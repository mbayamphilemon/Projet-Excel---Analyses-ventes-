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TILISATEUR\Desktop\DATA ANALYST\PORTFOLIO\EXCEL\"/>
    </mc:Choice>
  </mc:AlternateContent>
  <xr:revisionPtr revIDLastSave="0" documentId="13_ncr:1_{567C3CBD-C59E-46EC-9165-98402A147B82}" xr6:coauthVersionLast="47" xr6:coauthVersionMax="47" xr10:uidLastSave="{00000000-0000-0000-0000-000000000000}"/>
  <bookViews>
    <workbookView xWindow="-110" yWindow="-110" windowWidth="19420" windowHeight="10300" firstSheet="8" activeTab="10" xr2:uid="{00000000-000D-0000-FFFF-FFFF00000000}"/>
  </bookViews>
  <sheets>
    <sheet name="BDD Ventes brute" sheetId="1" r:id="rId1"/>
    <sheet name="transformation" sheetId="4" r:id="rId2"/>
    <sheet name="Feuil5" sheetId="23" r:id="rId3"/>
    <sheet name="A performance Globale" sheetId="6" r:id="rId4"/>
    <sheet name="B Analyse temporelle" sheetId="7" r:id="rId5"/>
    <sheet name="C Analyse des produits" sheetId="8" r:id="rId6"/>
    <sheet name="D Analyse géographique" sheetId="14" r:id="rId7"/>
    <sheet name="E Analyse des commerciaux" sheetId="15" r:id="rId8"/>
    <sheet name="F Analyse des canaux" sheetId="16" r:id="rId9"/>
    <sheet name="G Analyse des paiements" sheetId="18" r:id="rId10"/>
    <sheet name="DASHBOARD" sheetId="19" r:id="rId11"/>
    <sheet name="TDC" sheetId="20" r:id="rId12"/>
  </sheets>
  <definedNames>
    <definedName name="_xlnm._FilterDatabase" localSheetId="0" hidden="1">'BDD Ventes brute'!$A$1:$O$2006</definedName>
    <definedName name="CA">Tableau1_2[CA]</definedName>
    <definedName name="Canal">Tableau1_2[Canal]</definedName>
    <definedName name="Categorie">Tableau1_2[Catégorie]</definedName>
    <definedName name="Client">Tableau1_2[Client]</definedName>
    <definedName name="Commercial">Tableau1_2[Commercial]</definedName>
    <definedName name="Cout_total">Tableau1_2[Cout Total]</definedName>
    <definedName name="Cout_Unitaire">Tableau1_2[Coût_Unitaire]</definedName>
    <definedName name="Date">Tableau1_2[Date]</definedName>
    <definedName name="DonnéesExternes_1" localSheetId="1" hidden="1">transformation!$A$2:$O$1993</definedName>
    <definedName name="ID_Client">Tableau1_2[ID_Client]</definedName>
    <definedName name="ID_Vente">Tableau1_2[ID_Vente]</definedName>
    <definedName name="Marge">Tableau1_2[Marge]</definedName>
    <definedName name="Mode_paiement">Tableau1_2[Mode_Paiement]</definedName>
    <definedName name="mois">'B Analyse temporelle'!$A$4:$A$15</definedName>
    <definedName name="Prix_Unitaire">Tableau1_2[Prix_Unitaire]</definedName>
    <definedName name="Produit">Tableau1_2[Produit]</definedName>
    <definedName name="Quantite">Tableau1_2[Quantité]</definedName>
    <definedName name="Region">Tableau1_2[Région]</definedName>
    <definedName name="Segment_Catégorie">#N/A</definedName>
    <definedName name="Segment_Mode_Paiement">#N/A</definedName>
    <definedName name="Segment_Mois2">#N/A</definedName>
    <definedName name="Segment_Région">#N/A</definedName>
    <definedName name="Statut">Tableau1_2[Statut]</definedName>
    <definedName name="taux_de_marge">Tableau1_2[Taux de marge]</definedName>
    <definedName name="Ville">Tableau1_2[Ville]</definedName>
  </definedNames>
  <calcPr calcId="191029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6" l="1"/>
  <c r="B5" i="18" a="1"/>
  <c r="B5" i="18" s="1"/>
  <c r="B6" i="18" a="1"/>
  <c r="B6" i="18" s="1"/>
  <c r="B7" i="18" a="1"/>
  <c r="B7" i="18" s="1"/>
  <c r="B4" i="18" a="1"/>
  <c r="B4" i="18" s="1"/>
  <c r="D8" i="16"/>
  <c r="D9" i="16"/>
  <c r="D10" i="16"/>
  <c r="D7" i="16"/>
  <c r="C2" i="16"/>
  <c r="C1" i="16"/>
  <c r="B3" i="15"/>
  <c r="B2" i="15"/>
  <c r="B1" i="15"/>
  <c r="G4" i="7"/>
  <c r="F4" i="7" s="1"/>
  <c r="B3" i="14"/>
  <c r="B2" i="14"/>
  <c r="B1" i="14"/>
  <c r="R51" i="4"/>
  <c r="G12" i="7"/>
  <c r="D12" i="7" s="1"/>
  <c r="G10" i="7"/>
  <c r="F10" i="7" s="1"/>
  <c r="G7" i="7"/>
  <c r="F7" i="7" s="1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T1587" i="4"/>
  <c r="T1588" i="4"/>
  <c r="T1589" i="4"/>
  <c r="T1590" i="4"/>
  <c r="T1591" i="4"/>
  <c r="T1592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T1647" i="4"/>
  <c r="T1648" i="4"/>
  <c r="T1649" i="4"/>
  <c r="T1650" i="4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T1671" i="4"/>
  <c r="T1672" i="4"/>
  <c r="T1673" i="4"/>
  <c r="T1674" i="4"/>
  <c r="T1675" i="4"/>
  <c r="T1676" i="4"/>
  <c r="T1677" i="4"/>
  <c r="T1678" i="4"/>
  <c r="T1679" i="4"/>
  <c r="T1680" i="4"/>
  <c r="T1681" i="4"/>
  <c r="T1682" i="4"/>
  <c r="T1683" i="4"/>
  <c r="T1684" i="4"/>
  <c r="T1685" i="4"/>
  <c r="T1686" i="4"/>
  <c r="T1687" i="4"/>
  <c r="T1688" i="4"/>
  <c r="T1689" i="4"/>
  <c r="T1690" i="4"/>
  <c r="T1691" i="4"/>
  <c r="T1692" i="4"/>
  <c r="T1693" i="4"/>
  <c r="T1694" i="4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T1707" i="4"/>
  <c r="T1708" i="4"/>
  <c r="T1709" i="4"/>
  <c r="T1710" i="4"/>
  <c r="T1711" i="4"/>
  <c r="T1712" i="4"/>
  <c r="T1713" i="4"/>
  <c r="T1714" i="4"/>
  <c r="T1715" i="4"/>
  <c r="T1716" i="4"/>
  <c r="T1717" i="4"/>
  <c r="T1718" i="4"/>
  <c r="T1719" i="4"/>
  <c r="T1720" i="4"/>
  <c r="T1721" i="4"/>
  <c r="T1722" i="4"/>
  <c r="T1723" i="4"/>
  <c r="T1724" i="4"/>
  <c r="T1725" i="4"/>
  <c r="T1726" i="4"/>
  <c r="T1727" i="4"/>
  <c r="T1728" i="4"/>
  <c r="T1729" i="4"/>
  <c r="T1730" i="4"/>
  <c r="T1731" i="4"/>
  <c r="T1732" i="4"/>
  <c r="T1733" i="4"/>
  <c r="T1734" i="4"/>
  <c r="T1735" i="4"/>
  <c r="T1736" i="4"/>
  <c r="T1737" i="4"/>
  <c r="T1738" i="4"/>
  <c r="T1739" i="4"/>
  <c r="T1740" i="4"/>
  <c r="T1741" i="4"/>
  <c r="T1742" i="4"/>
  <c r="T1743" i="4"/>
  <c r="T1744" i="4"/>
  <c r="T1745" i="4"/>
  <c r="T1746" i="4"/>
  <c r="T1747" i="4"/>
  <c r="T1748" i="4"/>
  <c r="T1749" i="4"/>
  <c r="T1750" i="4"/>
  <c r="T1751" i="4"/>
  <c r="T1752" i="4"/>
  <c r="T1753" i="4"/>
  <c r="T1754" i="4"/>
  <c r="T1755" i="4"/>
  <c r="T1756" i="4"/>
  <c r="T1757" i="4"/>
  <c r="T1758" i="4"/>
  <c r="T1759" i="4"/>
  <c r="T1760" i="4"/>
  <c r="T1761" i="4"/>
  <c r="T1762" i="4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T1799" i="4"/>
  <c r="T1800" i="4"/>
  <c r="T1801" i="4"/>
  <c r="T1802" i="4"/>
  <c r="T1803" i="4"/>
  <c r="T1804" i="4"/>
  <c r="T1805" i="4"/>
  <c r="T1806" i="4"/>
  <c r="T1807" i="4"/>
  <c r="T1808" i="4"/>
  <c r="T1809" i="4"/>
  <c r="T1810" i="4"/>
  <c r="T1811" i="4"/>
  <c r="T1812" i="4"/>
  <c r="T1813" i="4"/>
  <c r="T1814" i="4"/>
  <c r="T1815" i="4"/>
  <c r="T1816" i="4"/>
  <c r="T1817" i="4"/>
  <c r="T1818" i="4"/>
  <c r="T1819" i="4"/>
  <c r="T1820" i="4"/>
  <c r="T1821" i="4"/>
  <c r="T1822" i="4"/>
  <c r="T1823" i="4"/>
  <c r="T1824" i="4"/>
  <c r="T1825" i="4"/>
  <c r="T1826" i="4"/>
  <c r="T1827" i="4"/>
  <c r="T1828" i="4"/>
  <c r="T1829" i="4"/>
  <c r="T1830" i="4"/>
  <c r="T1831" i="4"/>
  <c r="T1832" i="4"/>
  <c r="T1833" i="4"/>
  <c r="T1834" i="4"/>
  <c r="T1835" i="4"/>
  <c r="T1836" i="4"/>
  <c r="T1837" i="4"/>
  <c r="T1838" i="4"/>
  <c r="T1839" i="4"/>
  <c r="T1840" i="4"/>
  <c r="T1841" i="4"/>
  <c r="T1842" i="4"/>
  <c r="T1843" i="4"/>
  <c r="T1844" i="4"/>
  <c r="T1845" i="4"/>
  <c r="T1846" i="4"/>
  <c r="T1847" i="4"/>
  <c r="T1848" i="4"/>
  <c r="T1849" i="4"/>
  <c r="T1850" i="4"/>
  <c r="T1851" i="4"/>
  <c r="T1852" i="4"/>
  <c r="T1853" i="4"/>
  <c r="T1854" i="4"/>
  <c r="T1855" i="4"/>
  <c r="T1856" i="4"/>
  <c r="T1857" i="4"/>
  <c r="T1858" i="4"/>
  <c r="T1859" i="4"/>
  <c r="T1860" i="4"/>
  <c r="T1861" i="4"/>
  <c r="T1862" i="4"/>
  <c r="T1863" i="4"/>
  <c r="T1864" i="4"/>
  <c r="T1865" i="4"/>
  <c r="T1866" i="4"/>
  <c r="T1867" i="4"/>
  <c r="T1868" i="4"/>
  <c r="T1869" i="4"/>
  <c r="T1870" i="4"/>
  <c r="T1871" i="4"/>
  <c r="T1872" i="4"/>
  <c r="T1873" i="4"/>
  <c r="T1874" i="4"/>
  <c r="T1875" i="4"/>
  <c r="T1876" i="4"/>
  <c r="T1877" i="4"/>
  <c r="T1878" i="4"/>
  <c r="T1879" i="4"/>
  <c r="T1880" i="4"/>
  <c r="T1881" i="4"/>
  <c r="T1882" i="4"/>
  <c r="T1883" i="4"/>
  <c r="T1884" i="4"/>
  <c r="T1885" i="4"/>
  <c r="T1886" i="4"/>
  <c r="T1887" i="4"/>
  <c r="T1888" i="4"/>
  <c r="T1889" i="4"/>
  <c r="T1890" i="4"/>
  <c r="T1891" i="4"/>
  <c r="T1892" i="4"/>
  <c r="T1893" i="4"/>
  <c r="T1894" i="4"/>
  <c r="T1895" i="4"/>
  <c r="T1896" i="4"/>
  <c r="T1897" i="4"/>
  <c r="T1898" i="4"/>
  <c r="T1899" i="4"/>
  <c r="T1900" i="4"/>
  <c r="T1901" i="4"/>
  <c r="T1902" i="4"/>
  <c r="T1903" i="4"/>
  <c r="T1904" i="4"/>
  <c r="T1905" i="4"/>
  <c r="T1906" i="4"/>
  <c r="T1907" i="4"/>
  <c r="T1908" i="4"/>
  <c r="T1909" i="4"/>
  <c r="T1910" i="4"/>
  <c r="T1911" i="4"/>
  <c r="T1912" i="4"/>
  <c r="T1913" i="4"/>
  <c r="T1914" i="4"/>
  <c r="T1915" i="4"/>
  <c r="T1916" i="4"/>
  <c r="T1917" i="4"/>
  <c r="T1918" i="4"/>
  <c r="T1919" i="4"/>
  <c r="T1920" i="4"/>
  <c r="T1921" i="4"/>
  <c r="T1922" i="4"/>
  <c r="T1923" i="4"/>
  <c r="T1924" i="4"/>
  <c r="T1925" i="4"/>
  <c r="T1926" i="4"/>
  <c r="T1927" i="4"/>
  <c r="T1928" i="4"/>
  <c r="T1929" i="4"/>
  <c r="T1930" i="4"/>
  <c r="T1931" i="4"/>
  <c r="T1932" i="4"/>
  <c r="T1933" i="4"/>
  <c r="T1934" i="4"/>
  <c r="T1935" i="4"/>
  <c r="T1936" i="4"/>
  <c r="T1937" i="4"/>
  <c r="T1938" i="4"/>
  <c r="T1939" i="4"/>
  <c r="T1940" i="4"/>
  <c r="T1941" i="4"/>
  <c r="T1942" i="4"/>
  <c r="T1943" i="4"/>
  <c r="T1944" i="4"/>
  <c r="T1945" i="4"/>
  <c r="T1946" i="4"/>
  <c r="T1947" i="4"/>
  <c r="T1948" i="4"/>
  <c r="T1949" i="4"/>
  <c r="T1950" i="4"/>
  <c r="T1951" i="4"/>
  <c r="T1952" i="4"/>
  <c r="T1953" i="4"/>
  <c r="T1954" i="4"/>
  <c r="T1955" i="4"/>
  <c r="T1956" i="4"/>
  <c r="T1957" i="4"/>
  <c r="T1958" i="4"/>
  <c r="T1959" i="4"/>
  <c r="T1960" i="4"/>
  <c r="T1961" i="4"/>
  <c r="T1962" i="4"/>
  <c r="T1963" i="4"/>
  <c r="T1964" i="4"/>
  <c r="T1965" i="4"/>
  <c r="T1966" i="4"/>
  <c r="T1967" i="4"/>
  <c r="T1968" i="4"/>
  <c r="T1969" i="4"/>
  <c r="T1970" i="4"/>
  <c r="T1971" i="4"/>
  <c r="T1972" i="4"/>
  <c r="T1973" i="4"/>
  <c r="T1974" i="4"/>
  <c r="T1975" i="4"/>
  <c r="T1976" i="4"/>
  <c r="T1977" i="4"/>
  <c r="T1978" i="4"/>
  <c r="T1979" i="4"/>
  <c r="T1980" i="4"/>
  <c r="T1981" i="4"/>
  <c r="T1982" i="4"/>
  <c r="T1983" i="4"/>
  <c r="T1984" i="4"/>
  <c r="T1985" i="4"/>
  <c r="T1986" i="4"/>
  <c r="T1987" i="4"/>
  <c r="T1988" i="4"/>
  <c r="T1989" i="4"/>
  <c r="T1990" i="4"/>
  <c r="T1991" i="4"/>
  <c r="T1992" i="4"/>
  <c r="T1993" i="4"/>
  <c r="T3" i="4"/>
  <c r="B6" i="6"/>
  <c r="B7" i="6"/>
  <c r="B5" i="6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3" i="4"/>
  <c r="P4" i="4"/>
  <c r="R4" i="4" s="1"/>
  <c r="S4" i="4" s="1"/>
  <c r="P5" i="4"/>
  <c r="P6" i="4"/>
  <c r="P7" i="4"/>
  <c r="R7" i="4" s="1"/>
  <c r="S7" i="4" s="1"/>
  <c r="P8" i="4"/>
  <c r="P9" i="4"/>
  <c r="P10" i="4"/>
  <c r="P11" i="4"/>
  <c r="R11" i="4" s="1"/>
  <c r="S11" i="4" s="1"/>
  <c r="P12" i="4"/>
  <c r="R12" i="4" s="1"/>
  <c r="S12" i="4" s="1"/>
  <c r="P13" i="4"/>
  <c r="P14" i="4"/>
  <c r="P15" i="4"/>
  <c r="R15" i="4" s="1"/>
  <c r="S15" i="4" s="1"/>
  <c r="P16" i="4"/>
  <c r="P17" i="4"/>
  <c r="P18" i="4"/>
  <c r="P19" i="4"/>
  <c r="R19" i="4" s="1"/>
  <c r="S19" i="4" s="1"/>
  <c r="P20" i="4"/>
  <c r="R20" i="4" s="1"/>
  <c r="S20" i="4" s="1"/>
  <c r="P21" i="4"/>
  <c r="P22" i="4"/>
  <c r="P23" i="4"/>
  <c r="R23" i="4" s="1"/>
  <c r="S23" i="4" s="1"/>
  <c r="P24" i="4"/>
  <c r="P25" i="4"/>
  <c r="P26" i="4"/>
  <c r="P27" i="4"/>
  <c r="R27" i="4" s="1"/>
  <c r="S27" i="4" s="1"/>
  <c r="P28" i="4"/>
  <c r="R28" i="4" s="1"/>
  <c r="S28" i="4" s="1"/>
  <c r="P29" i="4"/>
  <c r="P30" i="4"/>
  <c r="P31" i="4"/>
  <c r="R31" i="4" s="1"/>
  <c r="S31" i="4" s="1"/>
  <c r="P32" i="4"/>
  <c r="P33" i="4"/>
  <c r="P34" i="4"/>
  <c r="P35" i="4"/>
  <c r="R35" i="4" s="1"/>
  <c r="S35" i="4" s="1"/>
  <c r="P36" i="4"/>
  <c r="R36" i="4" s="1"/>
  <c r="S36" i="4" s="1"/>
  <c r="P37" i="4"/>
  <c r="P38" i="4"/>
  <c r="P39" i="4"/>
  <c r="R39" i="4" s="1"/>
  <c r="S39" i="4" s="1"/>
  <c r="P40" i="4"/>
  <c r="P41" i="4"/>
  <c r="P42" i="4"/>
  <c r="P43" i="4"/>
  <c r="R43" i="4" s="1"/>
  <c r="S43" i="4" s="1"/>
  <c r="P44" i="4"/>
  <c r="R44" i="4" s="1"/>
  <c r="S44" i="4" s="1"/>
  <c r="P45" i="4"/>
  <c r="P46" i="4"/>
  <c r="P47" i="4"/>
  <c r="R47" i="4" s="1"/>
  <c r="S47" i="4" s="1"/>
  <c r="P48" i="4"/>
  <c r="P49" i="4"/>
  <c r="P50" i="4"/>
  <c r="P51" i="4"/>
  <c r="S51" i="4" s="1"/>
  <c r="P52" i="4"/>
  <c r="R52" i="4" s="1"/>
  <c r="S52" i="4" s="1"/>
  <c r="P53" i="4"/>
  <c r="P54" i="4"/>
  <c r="P55" i="4"/>
  <c r="R55" i="4" s="1"/>
  <c r="S55" i="4" s="1"/>
  <c r="P56" i="4"/>
  <c r="P57" i="4"/>
  <c r="R57" i="4" s="1"/>
  <c r="S57" i="4" s="1"/>
  <c r="P58" i="4"/>
  <c r="P59" i="4"/>
  <c r="R59" i="4" s="1"/>
  <c r="S59" i="4" s="1"/>
  <c r="P60" i="4"/>
  <c r="R60" i="4" s="1"/>
  <c r="S60" i="4" s="1"/>
  <c r="P61" i="4"/>
  <c r="P62" i="4"/>
  <c r="P63" i="4"/>
  <c r="R63" i="4" s="1"/>
  <c r="S63" i="4" s="1"/>
  <c r="P64" i="4"/>
  <c r="P65" i="4"/>
  <c r="R65" i="4" s="1"/>
  <c r="S65" i="4" s="1"/>
  <c r="P66" i="4"/>
  <c r="P67" i="4"/>
  <c r="R67" i="4" s="1"/>
  <c r="S67" i="4" s="1"/>
  <c r="P68" i="4"/>
  <c r="R68" i="4" s="1"/>
  <c r="S68" i="4" s="1"/>
  <c r="P69" i="4"/>
  <c r="P70" i="4"/>
  <c r="P71" i="4"/>
  <c r="R71" i="4" s="1"/>
  <c r="S71" i="4" s="1"/>
  <c r="P72" i="4"/>
  <c r="P73" i="4"/>
  <c r="R73" i="4" s="1"/>
  <c r="S73" i="4" s="1"/>
  <c r="P74" i="4"/>
  <c r="P75" i="4"/>
  <c r="R75" i="4" s="1"/>
  <c r="S75" i="4" s="1"/>
  <c r="P76" i="4"/>
  <c r="R76" i="4" s="1"/>
  <c r="S76" i="4" s="1"/>
  <c r="P77" i="4"/>
  <c r="P78" i="4"/>
  <c r="P79" i="4"/>
  <c r="R79" i="4" s="1"/>
  <c r="S79" i="4" s="1"/>
  <c r="P80" i="4"/>
  <c r="P81" i="4"/>
  <c r="R81" i="4" s="1"/>
  <c r="S81" i="4" s="1"/>
  <c r="P82" i="4"/>
  <c r="P83" i="4"/>
  <c r="R83" i="4" s="1"/>
  <c r="S83" i="4" s="1"/>
  <c r="P84" i="4"/>
  <c r="R84" i="4" s="1"/>
  <c r="S84" i="4" s="1"/>
  <c r="P85" i="4"/>
  <c r="P86" i="4"/>
  <c r="P87" i="4"/>
  <c r="R87" i="4" s="1"/>
  <c r="S87" i="4" s="1"/>
  <c r="P88" i="4"/>
  <c r="P89" i="4"/>
  <c r="R89" i="4" s="1"/>
  <c r="S89" i="4" s="1"/>
  <c r="P90" i="4"/>
  <c r="P91" i="4"/>
  <c r="R91" i="4" s="1"/>
  <c r="S91" i="4" s="1"/>
  <c r="P92" i="4"/>
  <c r="R92" i="4" s="1"/>
  <c r="S92" i="4" s="1"/>
  <c r="P93" i="4"/>
  <c r="P94" i="4"/>
  <c r="P95" i="4"/>
  <c r="R95" i="4" s="1"/>
  <c r="S95" i="4" s="1"/>
  <c r="P96" i="4"/>
  <c r="P97" i="4"/>
  <c r="R97" i="4" s="1"/>
  <c r="S97" i="4" s="1"/>
  <c r="P98" i="4"/>
  <c r="P99" i="4"/>
  <c r="R99" i="4" s="1"/>
  <c r="S99" i="4" s="1"/>
  <c r="P100" i="4"/>
  <c r="R100" i="4" s="1"/>
  <c r="S100" i="4" s="1"/>
  <c r="P101" i="4"/>
  <c r="P102" i="4"/>
  <c r="P103" i="4"/>
  <c r="R103" i="4" s="1"/>
  <c r="S103" i="4" s="1"/>
  <c r="P104" i="4"/>
  <c r="P105" i="4"/>
  <c r="R105" i="4" s="1"/>
  <c r="S105" i="4" s="1"/>
  <c r="P106" i="4"/>
  <c r="P107" i="4"/>
  <c r="R107" i="4" s="1"/>
  <c r="S107" i="4" s="1"/>
  <c r="P108" i="4"/>
  <c r="R108" i="4" s="1"/>
  <c r="S108" i="4" s="1"/>
  <c r="P109" i="4"/>
  <c r="P110" i="4"/>
  <c r="P111" i="4"/>
  <c r="R111" i="4" s="1"/>
  <c r="S111" i="4" s="1"/>
  <c r="P112" i="4"/>
  <c r="P113" i="4"/>
  <c r="R113" i="4" s="1"/>
  <c r="S113" i="4" s="1"/>
  <c r="P114" i="4"/>
  <c r="P115" i="4"/>
  <c r="R115" i="4" s="1"/>
  <c r="S115" i="4" s="1"/>
  <c r="P116" i="4"/>
  <c r="R116" i="4" s="1"/>
  <c r="S116" i="4" s="1"/>
  <c r="P117" i="4"/>
  <c r="P118" i="4"/>
  <c r="P119" i="4"/>
  <c r="R119" i="4" s="1"/>
  <c r="S119" i="4" s="1"/>
  <c r="P120" i="4"/>
  <c r="P121" i="4"/>
  <c r="R121" i="4" s="1"/>
  <c r="S121" i="4" s="1"/>
  <c r="P122" i="4"/>
  <c r="P123" i="4"/>
  <c r="R123" i="4" s="1"/>
  <c r="S123" i="4" s="1"/>
  <c r="P124" i="4"/>
  <c r="R124" i="4" s="1"/>
  <c r="S124" i="4" s="1"/>
  <c r="P125" i="4"/>
  <c r="P126" i="4"/>
  <c r="P127" i="4"/>
  <c r="R127" i="4" s="1"/>
  <c r="S127" i="4" s="1"/>
  <c r="P128" i="4"/>
  <c r="P129" i="4"/>
  <c r="R129" i="4" s="1"/>
  <c r="S129" i="4" s="1"/>
  <c r="P130" i="4"/>
  <c r="P131" i="4"/>
  <c r="R131" i="4" s="1"/>
  <c r="S131" i="4" s="1"/>
  <c r="P132" i="4"/>
  <c r="R132" i="4" s="1"/>
  <c r="S132" i="4" s="1"/>
  <c r="P133" i="4"/>
  <c r="P134" i="4"/>
  <c r="P135" i="4"/>
  <c r="R135" i="4" s="1"/>
  <c r="S135" i="4" s="1"/>
  <c r="P136" i="4"/>
  <c r="P137" i="4"/>
  <c r="R137" i="4" s="1"/>
  <c r="S137" i="4" s="1"/>
  <c r="P138" i="4"/>
  <c r="P139" i="4"/>
  <c r="R139" i="4" s="1"/>
  <c r="S139" i="4" s="1"/>
  <c r="P140" i="4"/>
  <c r="R140" i="4" s="1"/>
  <c r="S140" i="4" s="1"/>
  <c r="P141" i="4"/>
  <c r="P142" i="4"/>
  <c r="P143" i="4"/>
  <c r="R143" i="4" s="1"/>
  <c r="S143" i="4" s="1"/>
  <c r="P144" i="4"/>
  <c r="P145" i="4"/>
  <c r="R145" i="4" s="1"/>
  <c r="S145" i="4" s="1"/>
  <c r="P146" i="4"/>
  <c r="P147" i="4"/>
  <c r="R147" i="4" s="1"/>
  <c r="S147" i="4" s="1"/>
  <c r="P148" i="4"/>
  <c r="R148" i="4" s="1"/>
  <c r="S148" i="4" s="1"/>
  <c r="P149" i="4"/>
  <c r="P150" i="4"/>
  <c r="P151" i="4"/>
  <c r="R151" i="4" s="1"/>
  <c r="S151" i="4" s="1"/>
  <c r="P152" i="4"/>
  <c r="P153" i="4"/>
  <c r="R153" i="4" s="1"/>
  <c r="S153" i="4" s="1"/>
  <c r="P154" i="4"/>
  <c r="P155" i="4"/>
  <c r="R155" i="4" s="1"/>
  <c r="S155" i="4" s="1"/>
  <c r="P156" i="4"/>
  <c r="R156" i="4" s="1"/>
  <c r="S156" i="4" s="1"/>
  <c r="P157" i="4"/>
  <c r="P158" i="4"/>
  <c r="P159" i="4"/>
  <c r="R159" i="4" s="1"/>
  <c r="S159" i="4" s="1"/>
  <c r="P160" i="4"/>
  <c r="P161" i="4"/>
  <c r="R161" i="4" s="1"/>
  <c r="S161" i="4" s="1"/>
  <c r="P162" i="4"/>
  <c r="P163" i="4"/>
  <c r="R163" i="4" s="1"/>
  <c r="S163" i="4" s="1"/>
  <c r="P164" i="4"/>
  <c r="R164" i="4" s="1"/>
  <c r="S164" i="4" s="1"/>
  <c r="P165" i="4"/>
  <c r="P166" i="4"/>
  <c r="P167" i="4"/>
  <c r="R167" i="4" s="1"/>
  <c r="S167" i="4" s="1"/>
  <c r="P168" i="4"/>
  <c r="P169" i="4"/>
  <c r="R169" i="4" s="1"/>
  <c r="S169" i="4" s="1"/>
  <c r="P170" i="4"/>
  <c r="P171" i="4"/>
  <c r="R171" i="4" s="1"/>
  <c r="S171" i="4" s="1"/>
  <c r="P172" i="4"/>
  <c r="R172" i="4" s="1"/>
  <c r="S172" i="4" s="1"/>
  <c r="P173" i="4"/>
  <c r="P174" i="4"/>
  <c r="P175" i="4"/>
  <c r="R175" i="4" s="1"/>
  <c r="S175" i="4" s="1"/>
  <c r="P176" i="4"/>
  <c r="P177" i="4"/>
  <c r="R177" i="4" s="1"/>
  <c r="S177" i="4" s="1"/>
  <c r="P178" i="4"/>
  <c r="P179" i="4"/>
  <c r="R179" i="4" s="1"/>
  <c r="S179" i="4" s="1"/>
  <c r="P180" i="4"/>
  <c r="R180" i="4" s="1"/>
  <c r="S180" i="4" s="1"/>
  <c r="P181" i="4"/>
  <c r="P182" i="4"/>
  <c r="P183" i="4"/>
  <c r="R183" i="4" s="1"/>
  <c r="S183" i="4" s="1"/>
  <c r="P184" i="4"/>
  <c r="P185" i="4"/>
  <c r="R185" i="4" s="1"/>
  <c r="S185" i="4" s="1"/>
  <c r="P186" i="4"/>
  <c r="P187" i="4"/>
  <c r="R187" i="4" s="1"/>
  <c r="S187" i="4" s="1"/>
  <c r="P188" i="4"/>
  <c r="R188" i="4" s="1"/>
  <c r="S188" i="4" s="1"/>
  <c r="P189" i="4"/>
  <c r="P190" i="4"/>
  <c r="P191" i="4"/>
  <c r="R191" i="4" s="1"/>
  <c r="S191" i="4" s="1"/>
  <c r="P192" i="4"/>
  <c r="P193" i="4"/>
  <c r="R193" i="4" s="1"/>
  <c r="S193" i="4" s="1"/>
  <c r="P194" i="4"/>
  <c r="P195" i="4"/>
  <c r="R195" i="4" s="1"/>
  <c r="S195" i="4" s="1"/>
  <c r="P196" i="4"/>
  <c r="R196" i="4" s="1"/>
  <c r="S196" i="4" s="1"/>
  <c r="P197" i="4"/>
  <c r="P198" i="4"/>
  <c r="P199" i="4"/>
  <c r="R199" i="4" s="1"/>
  <c r="S199" i="4" s="1"/>
  <c r="P200" i="4"/>
  <c r="P201" i="4"/>
  <c r="R201" i="4" s="1"/>
  <c r="S201" i="4" s="1"/>
  <c r="P202" i="4"/>
  <c r="P203" i="4"/>
  <c r="R203" i="4" s="1"/>
  <c r="S203" i="4" s="1"/>
  <c r="P204" i="4"/>
  <c r="R204" i="4" s="1"/>
  <c r="S204" i="4" s="1"/>
  <c r="P205" i="4"/>
  <c r="P206" i="4"/>
  <c r="P207" i="4"/>
  <c r="R207" i="4" s="1"/>
  <c r="S207" i="4" s="1"/>
  <c r="P208" i="4"/>
  <c r="P209" i="4"/>
  <c r="R209" i="4" s="1"/>
  <c r="S209" i="4" s="1"/>
  <c r="P210" i="4"/>
  <c r="P211" i="4"/>
  <c r="R211" i="4" s="1"/>
  <c r="S211" i="4" s="1"/>
  <c r="P212" i="4"/>
  <c r="R212" i="4" s="1"/>
  <c r="S212" i="4" s="1"/>
  <c r="P213" i="4"/>
  <c r="P214" i="4"/>
  <c r="P215" i="4"/>
  <c r="R215" i="4" s="1"/>
  <c r="S215" i="4" s="1"/>
  <c r="P216" i="4"/>
  <c r="P217" i="4"/>
  <c r="R217" i="4" s="1"/>
  <c r="S217" i="4" s="1"/>
  <c r="P218" i="4"/>
  <c r="P219" i="4"/>
  <c r="R219" i="4" s="1"/>
  <c r="S219" i="4" s="1"/>
  <c r="P220" i="4"/>
  <c r="R220" i="4" s="1"/>
  <c r="S220" i="4" s="1"/>
  <c r="P221" i="4"/>
  <c r="P222" i="4"/>
  <c r="P223" i="4"/>
  <c r="R223" i="4" s="1"/>
  <c r="S223" i="4" s="1"/>
  <c r="P224" i="4"/>
  <c r="P225" i="4"/>
  <c r="R225" i="4" s="1"/>
  <c r="S225" i="4" s="1"/>
  <c r="P226" i="4"/>
  <c r="P227" i="4"/>
  <c r="R227" i="4" s="1"/>
  <c r="S227" i="4" s="1"/>
  <c r="P228" i="4"/>
  <c r="R228" i="4" s="1"/>
  <c r="S228" i="4" s="1"/>
  <c r="P229" i="4"/>
  <c r="P230" i="4"/>
  <c r="P231" i="4"/>
  <c r="R231" i="4" s="1"/>
  <c r="S231" i="4" s="1"/>
  <c r="P232" i="4"/>
  <c r="P233" i="4"/>
  <c r="R233" i="4" s="1"/>
  <c r="S233" i="4" s="1"/>
  <c r="P234" i="4"/>
  <c r="P235" i="4"/>
  <c r="R235" i="4" s="1"/>
  <c r="S235" i="4" s="1"/>
  <c r="P236" i="4"/>
  <c r="R236" i="4" s="1"/>
  <c r="S236" i="4" s="1"/>
  <c r="P237" i="4"/>
  <c r="P238" i="4"/>
  <c r="P239" i="4"/>
  <c r="R239" i="4" s="1"/>
  <c r="S239" i="4" s="1"/>
  <c r="P240" i="4"/>
  <c r="P241" i="4"/>
  <c r="R241" i="4" s="1"/>
  <c r="S241" i="4" s="1"/>
  <c r="P242" i="4"/>
  <c r="P243" i="4"/>
  <c r="R243" i="4" s="1"/>
  <c r="S243" i="4" s="1"/>
  <c r="P244" i="4"/>
  <c r="R244" i="4" s="1"/>
  <c r="S244" i="4" s="1"/>
  <c r="P245" i="4"/>
  <c r="P246" i="4"/>
  <c r="P247" i="4"/>
  <c r="R247" i="4" s="1"/>
  <c r="S247" i="4" s="1"/>
  <c r="P248" i="4"/>
  <c r="P249" i="4"/>
  <c r="R249" i="4" s="1"/>
  <c r="S249" i="4" s="1"/>
  <c r="P250" i="4"/>
  <c r="P251" i="4"/>
  <c r="R251" i="4" s="1"/>
  <c r="S251" i="4" s="1"/>
  <c r="P252" i="4"/>
  <c r="R252" i="4" s="1"/>
  <c r="S252" i="4" s="1"/>
  <c r="P253" i="4"/>
  <c r="P254" i="4"/>
  <c r="P255" i="4"/>
  <c r="R255" i="4" s="1"/>
  <c r="S255" i="4" s="1"/>
  <c r="P256" i="4"/>
  <c r="P257" i="4"/>
  <c r="R257" i="4" s="1"/>
  <c r="S257" i="4" s="1"/>
  <c r="P258" i="4"/>
  <c r="P259" i="4"/>
  <c r="R259" i="4" s="1"/>
  <c r="S259" i="4" s="1"/>
  <c r="P260" i="4"/>
  <c r="R260" i="4" s="1"/>
  <c r="S260" i="4" s="1"/>
  <c r="P261" i="4"/>
  <c r="P262" i="4"/>
  <c r="P263" i="4"/>
  <c r="R263" i="4" s="1"/>
  <c r="S263" i="4" s="1"/>
  <c r="P264" i="4"/>
  <c r="P265" i="4"/>
  <c r="R265" i="4" s="1"/>
  <c r="S265" i="4" s="1"/>
  <c r="P266" i="4"/>
  <c r="P267" i="4"/>
  <c r="R267" i="4" s="1"/>
  <c r="S267" i="4" s="1"/>
  <c r="P268" i="4"/>
  <c r="R268" i="4" s="1"/>
  <c r="S268" i="4" s="1"/>
  <c r="P269" i="4"/>
  <c r="P270" i="4"/>
  <c r="P271" i="4"/>
  <c r="R271" i="4" s="1"/>
  <c r="S271" i="4" s="1"/>
  <c r="P272" i="4"/>
  <c r="P273" i="4"/>
  <c r="R273" i="4" s="1"/>
  <c r="S273" i="4" s="1"/>
  <c r="P274" i="4"/>
  <c r="P275" i="4"/>
  <c r="R275" i="4" s="1"/>
  <c r="S275" i="4" s="1"/>
  <c r="P276" i="4"/>
  <c r="R276" i="4" s="1"/>
  <c r="S276" i="4" s="1"/>
  <c r="P277" i="4"/>
  <c r="P278" i="4"/>
  <c r="P279" i="4"/>
  <c r="R279" i="4" s="1"/>
  <c r="S279" i="4" s="1"/>
  <c r="P280" i="4"/>
  <c r="P281" i="4"/>
  <c r="R281" i="4" s="1"/>
  <c r="S281" i="4" s="1"/>
  <c r="P282" i="4"/>
  <c r="P283" i="4"/>
  <c r="R283" i="4" s="1"/>
  <c r="S283" i="4" s="1"/>
  <c r="P284" i="4"/>
  <c r="R284" i="4" s="1"/>
  <c r="S284" i="4" s="1"/>
  <c r="P285" i="4"/>
  <c r="P286" i="4"/>
  <c r="P287" i="4"/>
  <c r="R287" i="4" s="1"/>
  <c r="S287" i="4" s="1"/>
  <c r="P288" i="4"/>
  <c r="P289" i="4"/>
  <c r="R289" i="4" s="1"/>
  <c r="S289" i="4" s="1"/>
  <c r="P290" i="4"/>
  <c r="P291" i="4"/>
  <c r="R291" i="4" s="1"/>
  <c r="S291" i="4" s="1"/>
  <c r="P292" i="4"/>
  <c r="R292" i="4" s="1"/>
  <c r="S292" i="4" s="1"/>
  <c r="P293" i="4"/>
  <c r="P294" i="4"/>
  <c r="P295" i="4"/>
  <c r="R295" i="4" s="1"/>
  <c r="S295" i="4" s="1"/>
  <c r="P296" i="4"/>
  <c r="P297" i="4"/>
  <c r="R297" i="4" s="1"/>
  <c r="S297" i="4" s="1"/>
  <c r="P298" i="4"/>
  <c r="P299" i="4"/>
  <c r="R299" i="4" s="1"/>
  <c r="S299" i="4" s="1"/>
  <c r="P300" i="4"/>
  <c r="R300" i="4" s="1"/>
  <c r="S300" i="4" s="1"/>
  <c r="P301" i="4"/>
  <c r="P302" i="4"/>
  <c r="P303" i="4"/>
  <c r="R303" i="4" s="1"/>
  <c r="S303" i="4" s="1"/>
  <c r="P304" i="4"/>
  <c r="P305" i="4"/>
  <c r="R305" i="4" s="1"/>
  <c r="S305" i="4" s="1"/>
  <c r="P306" i="4"/>
  <c r="P307" i="4"/>
  <c r="R307" i="4" s="1"/>
  <c r="S307" i="4" s="1"/>
  <c r="P308" i="4"/>
  <c r="R308" i="4" s="1"/>
  <c r="S308" i="4" s="1"/>
  <c r="P309" i="4"/>
  <c r="P310" i="4"/>
  <c r="P311" i="4"/>
  <c r="R311" i="4" s="1"/>
  <c r="S311" i="4" s="1"/>
  <c r="P312" i="4"/>
  <c r="P313" i="4"/>
  <c r="R313" i="4" s="1"/>
  <c r="S313" i="4" s="1"/>
  <c r="P314" i="4"/>
  <c r="P315" i="4"/>
  <c r="R315" i="4" s="1"/>
  <c r="S315" i="4" s="1"/>
  <c r="P316" i="4"/>
  <c r="R316" i="4" s="1"/>
  <c r="S316" i="4" s="1"/>
  <c r="P317" i="4"/>
  <c r="P318" i="4"/>
  <c r="P319" i="4"/>
  <c r="R319" i="4" s="1"/>
  <c r="S319" i="4" s="1"/>
  <c r="P320" i="4"/>
  <c r="P321" i="4"/>
  <c r="R321" i="4" s="1"/>
  <c r="S321" i="4" s="1"/>
  <c r="P322" i="4"/>
  <c r="P323" i="4"/>
  <c r="R323" i="4" s="1"/>
  <c r="S323" i="4" s="1"/>
  <c r="P324" i="4"/>
  <c r="R324" i="4" s="1"/>
  <c r="S324" i="4" s="1"/>
  <c r="P325" i="4"/>
  <c r="P326" i="4"/>
  <c r="P327" i="4"/>
  <c r="R327" i="4" s="1"/>
  <c r="S327" i="4" s="1"/>
  <c r="P328" i="4"/>
  <c r="P329" i="4"/>
  <c r="R329" i="4" s="1"/>
  <c r="S329" i="4" s="1"/>
  <c r="P330" i="4"/>
  <c r="P331" i="4"/>
  <c r="R331" i="4" s="1"/>
  <c r="S331" i="4" s="1"/>
  <c r="P332" i="4"/>
  <c r="R332" i="4" s="1"/>
  <c r="S332" i="4" s="1"/>
  <c r="P333" i="4"/>
  <c r="P334" i="4"/>
  <c r="P335" i="4"/>
  <c r="R335" i="4" s="1"/>
  <c r="S335" i="4" s="1"/>
  <c r="P336" i="4"/>
  <c r="P337" i="4"/>
  <c r="R337" i="4" s="1"/>
  <c r="S337" i="4" s="1"/>
  <c r="P338" i="4"/>
  <c r="P339" i="4"/>
  <c r="R339" i="4" s="1"/>
  <c r="S339" i="4" s="1"/>
  <c r="P340" i="4"/>
  <c r="R340" i="4" s="1"/>
  <c r="S340" i="4" s="1"/>
  <c r="P341" i="4"/>
  <c r="P342" i="4"/>
  <c r="P343" i="4"/>
  <c r="R343" i="4" s="1"/>
  <c r="S343" i="4" s="1"/>
  <c r="P344" i="4"/>
  <c r="P345" i="4"/>
  <c r="R345" i="4" s="1"/>
  <c r="S345" i="4" s="1"/>
  <c r="P346" i="4"/>
  <c r="P347" i="4"/>
  <c r="R347" i="4" s="1"/>
  <c r="S347" i="4" s="1"/>
  <c r="P348" i="4"/>
  <c r="R348" i="4" s="1"/>
  <c r="S348" i="4" s="1"/>
  <c r="P349" i="4"/>
  <c r="P350" i="4"/>
  <c r="P351" i="4"/>
  <c r="R351" i="4" s="1"/>
  <c r="S351" i="4" s="1"/>
  <c r="P352" i="4"/>
  <c r="P353" i="4"/>
  <c r="R353" i="4" s="1"/>
  <c r="S353" i="4" s="1"/>
  <c r="P354" i="4"/>
  <c r="P355" i="4"/>
  <c r="R355" i="4" s="1"/>
  <c r="S355" i="4" s="1"/>
  <c r="P356" i="4"/>
  <c r="R356" i="4" s="1"/>
  <c r="S356" i="4" s="1"/>
  <c r="P357" i="4"/>
  <c r="P358" i="4"/>
  <c r="P359" i="4"/>
  <c r="R359" i="4" s="1"/>
  <c r="S359" i="4" s="1"/>
  <c r="P360" i="4"/>
  <c r="P361" i="4"/>
  <c r="R361" i="4" s="1"/>
  <c r="S361" i="4" s="1"/>
  <c r="P362" i="4"/>
  <c r="P363" i="4"/>
  <c r="R363" i="4" s="1"/>
  <c r="S363" i="4" s="1"/>
  <c r="P364" i="4"/>
  <c r="R364" i="4" s="1"/>
  <c r="S364" i="4" s="1"/>
  <c r="P365" i="4"/>
  <c r="P366" i="4"/>
  <c r="P367" i="4"/>
  <c r="R367" i="4" s="1"/>
  <c r="S367" i="4" s="1"/>
  <c r="P368" i="4"/>
  <c r="P369" i="4"/>
  <c r="R369" i="4" s="1"/>
  <c r="S369" i="4" s="1"/>
  <c r="P370" i="4"/>
  <c r="P371" i="4"/>
  <c r="R371" i="4" s="1"/>
  <c r="S371" i="4" s="1"/>
  <c r="P372" i="4"/>
  <c r="R372" i="4" s="1"/>
  <c r="S372" i="4" s="1"/>
  <c r="P373" i="4"/>
  <c r="P374" i="4"/>
  <c r="P375" i="4"/>
  <c r="R375" i="4" s="1"/>
  <c r="S375" i="4" s="1"/>
  <c r="P376" i="4"/>
  <c r="P377" i="4"/>
  <c r="R377" i="4" s="1"/>
  <c r="S377" i="4" s="1"/>
  <c r="P378" i="4"/>
  <c r="P379" i="4"/>
  <c r="R379" i="4" s="1"/>
  <c r="S379" i="4" s="1"/>
  <c r="P380" i="4"/>
  <c r="R380" i="4" s="1"/>
  <c r="S380" i="4" s="1"/>
  <c r="P381" i="4"/>
  <c r="P382" i="4"/>
  <c r="P383" i="4"/>
  <c r="R383" i="4" s="1"/>
  <c r="S383" i="4" s="1"/>
  <c r="P384" i="4"/>
  <c r="P385" i="4"/>
  <c r="R385" i="4" s="1"/>
  <c r="S385" i="4" s="1"/>
  <c r="P386" i="4"/>
  <c r="P387" i="4"/>
  <c r="R387" i="4" s="1"/>
  <c r="S387" i="4" s="1"/>
  <c r="P388" i="4"/>
  <c r="R388" i="4" s="1"/>
  <c r="S388" i="4" s="1"/>
  <c r="P389" i="4"/>
  <c r="P390" i="4"/>
  <c r="P391" i="4"/>
  <c r="R391" i="4" s="1"/>
  <c r="S391" i="4" s="1"/>
  <c r="P392" i="4"/>
  <c r="P393" i="4"/>
  <c r="R393" i="4" s="1"/>
  <c r="S393" i="4" s="1"/>
  <c r="P394" i="4"/>
  <c r="P395" i="4"/>
  <c r="R395" i="4" s="1"/>
  <c r="S395" i="4" s="1"/>
  <c r="P396" i="4"/>
  <c r="R396" i="4" s="1"/>
  <c r="S396" i="4" s="1"/>
  <c r="P397" i="4"/>
  <c r="P398" i="4"/>
  <c r="P399" i="4"/>
  <c r="R399" i="4" s="1"/>
  <c r="S399" i="4" s="1"/>
  <c r="P400" i="4"/>
  <c r="P401" i="4"/>
  <c r="R401" i="4" s="1"/>
  <c r="S401" i="4" s="1"/>
  <c r="P402" i="4"/>
  <c r="P403" i="4"/>
  <c r="R403" i="4" s="1"/>
  <c r="S403" i="4" s="1"/>
  <c r="P404" i="4"/>
  <c r="R404" i="4" s="1"/>
  <c r="S404" i="4" s="1"/>
  <c r="P405" i="4"/>
  <c r="P406" i="4"/>
  <c r="P407" i="4"/>
  <c r="R407" i="4" s="1"/>
  <c r="S407" i="4" s="1"/>
  <c r="P408" i="4"/>
  <c r="P409" i="4"/>
  <c r="R409" i="4" s="1"/>
  <c r="S409" i="4" s="1"/>
  <c r="P410" i="4"/>
  <c r="P411" i="4"/>
  <c r="R411" i="4" s="1"/>
  <c r="S411" i="4" s="1"/>
  <c r="P412" i="4"/>
  <c r="R412" i="4" s="1"/>
  <c r="S412" i="4" s="1"/>
  <c r="P413" i="4"/>
  <c r="P414" i="4"/>
  <c r="P415" i="4"/>
  <c r="R415" i="4" s="1"/>
  <c r="S415" i="4" s="1"/>
  <c r="P416" i="4"/>
  <c r="P417" i="4"/>
  <c r="R417" i="4" s="1"/>
  <c r="S417" i="4" s="1"/>
  <c r="P418" i="4"/>
  <c r="P419" i="4"/>
  <c r="R419" i="4" s="1"/>
  <c r="S419" i="4" s="1"/>
  <c r="P420" i="4"/>
  <c r="R420" i="4" s="1"/>
  <c r="S420" i="4" s="1"/>
  <c r="P421" i="4"/>
  <c r="P422" i="4"/>
  <c r="P423" i="4"/>
  <c r="R423" i="4" s="1"/>
  <c r="S423" i="4" s="1"/>
  <c r="P424" i="4"/>
  <c r="P425" i="4"/>
  <c r="R425" i="4" s="1"/>
  <c r="S425" i="4" s="1"/>
  <c r="P426" i="4"/>
  <c r="P427" i="4"/>
  <c r="R427" i="4" s="1"/>
  <c r="S427" i="4" s="1"/>
  <c r="P428" i="4"/>
  <c r="R428" i="4" s="1"/>
  <c r="S428" i="4" s="1"/>
  <c r="P429" i="4"/>
  <c r="P430" i="4"/>
  <c r="P431" i="4"/>
  <c r="R431" i="4" s="1"/>
  <c r="S431" i="4" s="1"/>
  <c r="P432" i="4"/>
  <c r="P433" i="4"/>
  <c r="R433" i="4" s="1"/>
  <c r="S433" i="4" s="1"/>
  <c r="P434" i="4"/>
  <c r="P435" i="4"/>
  <c r="R435" i="4" s="1"/>
  <c r="S435" i="4" s="1"/>
  <c r="P436" i="4"/>
  <c r="R436" i="4" s="1"/>
  <c r="S436" i="4" s="1"/>
  <c r="P437" i="4"/>
  <c r="P438" i="4"/>
  <c r="P439" i="4"/>
  <c r="R439" i="4" s="1"/>
  <c r="S439" i="4" s="1"/>
  <c r="P440" i="4"/>
  <c r="P441" i="4"/>
  <c r="R441" i="4" s="1"/>
  <c r="S441" i="4" s="1"/>
  <c r="P442" i="4"/>
  <c r="P443" i="4"/>
  <c r="R443" i="4" s="1"/>
  <c r="S443" i="4" s="1"/>
  <c r="P444" i="4"/>
  <c r="R444" i="4" s="1"/>
  <c r="S444" i="4" s="1"/>
  <c r="P445" i="4"/>
  <c r="P446" i="4"/>
  <c r="P447" i="4"/>
  <c r="R447" i="4" s="1"/>
  <c r="S447" i="4" s="1"/>
  <c r="P448" i="4"/>
  <c r="P449" i="4"/>
  <c r="R449" i="4" s="1"/>
  <c r="S449" i="4" s="1"/>
  <c r="P450" i="4"/>
  <c r="P451" i="4"/>
  <c r="R451" i="4" s="1"/>
  <c r="S451" i="4" s="1"/>
  <c r="P452" i="4"/>
  <c r="R452" i="4" s="1"/>
  <c r="S452" i="4" s="1"/>
  <c r="P453" i="4"/>
  <c r="P454" i="4"/>
  <c r="P455" i="4"/>
  <c r="R455" i="4" s="1"/>
  <c r="S455" i="4" s="1"/>
  <c r="P456" i="4"/>
  <c r="P457" i="4"/>
  <c r="R457" i="4" s="1"/>
  <c r="S457" i="4" s="1"/>
  <c r="P458" i="4"/>
  <c r="P459" i="4"/>
  <c r="R459" i="4" s="1"/>
  <c r="S459" i="4" s="1"/>
  <c r="P460" i="4"/>
  <c r="R460" i="4" s="1"/>
  <c r="S460" i="4" s="1"/>
  <c r="P461" i="4"/>
  <c r="P462" i="4"/>
  <c r="P463" i="4"/>
  <c r="R463" i="4" s="1"/>
  <c r="S463" i="4" s="1"/>
  <c r="P464" i="4"/>
  <c r="P465" i="4"/>
  <c r="R465" i="4" s="1"/>
  <c r="S465" i="4" s="1"/>
  <c r="P466" i="4"/>
  <c r="P467" i="4"/>
  <c r="R467" i="4" s="1"/>
  <c r="S467" i="4" s="1"/>
  <c r="P468" i="4"/>
  <c r="R468" i="4" s="1"/>
  <c r="S468" i="4" s="1"/>
  <c r="P469" i="4"/>
  <c r="P470" i="4"/>
  <c r="P471" i="4"/>
  <c r="R471" i="4" s="1"/>
  <c r="S471" i="4" s="1"/>
  <c r="P472" i="4"/>
  <c r="P473" i="4"/>
  <c r="R473" i="4" s="1"/>
  <c r="S473" i="4" s="1"/>
  <c r="P474" i="4"/>
  <c r="P475" i="4"/>
  <c r="R475" i="4" s="1"/>
  <c r="S475" i="4" s="1"/>
  <c r="P476" i="4"/>
  <c r="R476" i="4" s="1"/>
  <c r="S476" i="4" s="1"/>
  <c r="P477" i="4"/>
  <c r="P478" i="4"/>
  <c r="P479" i="4"/>
  <c r="R479" i="4" s="1"/>
  <c r="S479" i="4" s="1"/>
  <c r="P480" i="4"/>
  <c r="P481" i="4"/>
  <c r="R481" i="4" s="1"/>
  <c r="S481" i="4" s="1"/>
  <c r="P482" i="4"/>
  <c r="P483" i="4"/>
  <c r="R483" i="4" s="1"/>
  <c r="S483" i="4" s="1"/>
  <c r="P484" i="4"/>
  <c r="R484" i="4" s="1"/>
  <c r="S484" i="4" s="1"/>
  <c r="P485" i="4"/>
  <c r="P486" i="4"/>
  <c r="P487" i="4"/>
  <c r="R487" i="4" s="1"/>
  <c r="S487" i="4" s="1"/>
  <c r="P488" i="4"/>
  <c r="P489" i="4"/>
  <c r="R489" i="4" s="1"/>
  <c r="S489" i="4" s="1"/>
  <c r="P490" i="4"/>
  <c r="P491" i="4"/>
  <c r="R491" i="4" s="1"/>
  <c r="S491" i="4" s="1"/>
  <c r="P492" i="4"/>
  <c r="R492" i="4" s="1"/>
  <c r="S492" i="4" s="1"/>
  <c r="P493" i="4"/>
  <c r="P494" i="4"/>
  <c r="P495" i="4"/>
  <c r="R495" i="4" s="1"/>
  <c r="S495" i="4" s="1"/>
  <c r="P496" i="4"/>
  <c r="P497" i="4"/>
  <c r="R497" i="4" s="1"/>
  <c r="S497" i="4" s="1"/>
  <c r="P498" i="4"/>
  <c r="P499" i="4"/>
  <c r="R499" i="4" s="1"/>
  <c r="S499" i="4" s="1"/>
  <c r="P500" i="4"/>
  <c r="R500" i="4" s="1"/>
  <c r="S500" i="4" s="1"/>
  <c r="P501" i="4"/>
  <c r="P502" i="4"/>
  <c r="P503" i="4"/>
  <c r="R503" i="4" s="1"/>
  <c r="S503" i="4" s="1"/>
  <c r="P504" i="4"/>
  <c r="P505" i="4"/>
  <c r="R505" i="4" s="1"/>
  <c r="S505" i="4" s="1"/>
  <c r="P506" i="4"/>
  <c r="P507" i="4"/>
  <c r="R507" i="4" s="1"/>
  <c r="S507" i="4" s="1"/>
  <c r="P508" i="4"/>
  <c r="R508" i="4" s="1"/>
  <c r="S508" i="4" s="1"/>
  <c r="P509" i="4"/>
  <c r="P510" i="4"/>
  <c r="P511" i="4"/>
  <c r="R511" i="4" s="1"/>
  <c r="S511" i="4" s="1"/>
  <c r="P512" i="4"/>
  <c r="P513" i="4"/>
  <c r="R513" i="4" s="1"/>
  <c r="S513" i="4" s="1"/>
  <c r="P514" i="4"/>
  <c r="P515" i="4"/>
  <c r="R515" i="4" s="1"/>
  <c r="S515" i="4" s="1"/>
  <c r="P516" i="4"/>
  <c r="R516" i="4" s="1"/>
  <c r="S516" i="4" s="1"/>
  <c r="P517" i="4"/>
  <c r="P518" i="4"/>
  <c r="P519" i="4"/>
  <c r="R519" i="4" s="1"/>
  <c r="S519" i="4" s="1"/>
  <c r="P520" i="4"/>
  <c r="P521" i="4"/>
  <c r="R521" i="4" s="1"/>
  <c r="S521" i="4" s="1"/>
  <c r="P522" i="4"/>
  <c r="P523" i="4"/>
  <c r="R523" i="4" s="1"/>
  <c r="S523" i="4" s="1"/>
  <c r="P524" i="4"/>
  <c r="R524" i="4" s="1"/>
  <c r="S524" i="4" s="1"/>
  <c r="P525" i="4"/>
  <c r="P526" i="4"/>
  <c r="P527" i="4"/>
  <c r="R527" i="4" s="1"/>
  <c r="S527" i="4" s="1"/>
  <c r="P528" i="4"/>
  <c r="P529" i="4"/>
  <c r="R529" i="4" s="1"/>
  <c r="S529" i="4" s="1"/>
  <c r="P530" i="4"/>
  <c r="P531" i="4"/>
  <c r="R531" i="4" s="1"/>
  <c r="S531" i="4" s="1"/>
  <c r="P532" i="4"/>
  <c r="R532" i="4" s="1"/>
  <c r="S532" i="4" s="1"/>
  <c r="P533" i="4"/>
  <c r="P534" i="4"/>
  <c r="P535" i="4"/>
  <c r="R535" i="4" s="1"/>
  <c r="S535" i="4" s="1"/>
  <c r="P536" i="4"/>
  <c r="P537" i="4"/>
  <c r="R537" i="4" s="1"/>
  <c r="S537" i="4" s="1"/>
  <c r="P538" i="4"/>
  <c r="P539" i="4"/>
  <c r="R539" i="4" s="1"/>
  <c r="S539" i="4" s="1"/>
  <c r="P540" i="4"/>
  <c r="R540" i="4" s="1"/>
  <c r="S540" i="4" s="1"/>
  <c r="P541" i="4"/>
  <c r="P542" i="4"/>
  <c r="P543" i="4"/>
  <c r="R543" i="4" s="1"/>
  <c r="S543" i="4" s="1"/>
  <c r="P544" i="4"/>
  <c r="P545" i="4"/>
  <c r="R545" i="4" s="1"/>
  <c r="S545" i="4" s="1"/>
  <c r="P546" i="4"/>
  <c r="P547" i="4"/>
  <c r="R547" i="4" s="1"/>
  <c r="S547" i="4" s="1"/>
  <c r="P548" i="4"/>
  <c r="R548" i="4" s="1"/>
  <c r="S548" i="4" s="1"/>
  <c r="P549" i="4"/>
  <c r="P550" i="4"/>
  <c r="P551" i="4"/>
  <c r="R551" i="4" s="1"/>
  <c r="S551" i="4" s="1"/>
  <c r="P552" i="4"/>
  <c r="P553" i="4"/>
  <c r="R553" i="4" s="1"/>
  <c r="S553" i="4" s="1"/>
  <c r="P554" i="4"/>
  <c r="P555" i="4"/>
  <c r="R555" i="4" s="1"/>
  <c r="S555" i="4" s="1"/>
  <c r="P556" i="4"/>
  <c r="R556" i="4" s="1"/>
  <c r="S556" i="4" s="1"/>
  <c r="P557" i="4"/>
  <c r="P558" i="4"/>
  <c r="P559" i="4"/>
  <c r="R559" i="4" s="1"/>
  <c r="S559" i="4" s="1"/>
  <c r="P560" i="4"/>
  <c r="P561" i="4"/>
  <c r="R561" i="4" s="1"/>
  <c r="S561" i="4" s="1"/>
  <c r="P562" i="4"/>
  <c r="P563" i="4"/>
  <c r="R563" i="4" s="1"/>
  <c r="S563" i="4" s="1"/>
  <c r="P564" i="4"/>
  <c r="R564" i="4" s="1"/>
  <c r="S564" i="4" s="1"/>
  <c r="P565" i="4"/>
  <c r="P566" i="4"/>
  <c r="P567" i="4"/>
  <c r="R567" i="4" s="1"/>
  <c r="S567" i="4" s="1"/>
  <c r="P568" i="4"/>
  <c r="P569" i="4"/>
  <c r="R569" i="4" s="1"/>
  <c r="S569" i="4" s="1"/>
  <c r="P570" i="4"/>
  <c r="P571" i="4"/>
  <c r="R571" i="4" s="1"/>
  <c r="S571" i="4" s="1"/>
  <c r="P572" i="4"/>
  <c r="R572" i="4" s="1"/>
  <c r="S572" i="4" s="1"/>
  <c r="P573" i="4"/>
  <c r="P574" i="4"/>
  <c r="P575" i="4"/>
  <c r="R575" i="4" s="1"/>
  <c r="S575" i="4" s="1"/>
  <c r="P576" i="4"/>
  <c r="P577" i="4"/>
  <c r="R577" i="4" s="1"/>
  <c r="S577" i="4" s="1"/>
  <c r="P578" i="4"/>
  <c r="P579" i="4"/>
  <c r="R579" i="4" s="1"/>
  <c r="S579" i="4" s="1"/>
  <c r="P580" i="4"/>
  <c r="R580" i="4" s="1"/>
  <c r="S580" i="4" s="1"/>
  <c r="P581" i="4"/>
  <c r="P582" i="4"/>
  <c r="P583" i="4"/>
  <c r="R583" i="4" s="1"/>
  <c r="S583" i="4" s="1"/>
  <c r="P584" i="4"/>
  <c r="P585" i="4"/>
  <c r="R585" i="4" s="1"/>
  <c r="S585" i="4" s="1"/>
  <c r="P586" i="4"/>
  <c r="P587" i="4"/>
  <c r="R587" i="4" s="1"/>
  <c r="S587" i="4" s="1"/>
  <c r="P588" i="4"/>
  <c r="R588" i="4" s="1"/>
  <c r="S588" i="4" s="1"/>
  <c r="P589" i="4"/>
  <c r="P590" i="4"/>
  <c r="P591" i="4"/>
  <c r="R591" i="4" s="1"/>
  <c r="S591" i="4" s="1"/>
  <c r="P592" i="4"/>
  <c r="P593" i="4"/>
  <c r="R593" i="4" s="1"/>
  <c r="S593" i="4" s="1"/>
  <c r="P594" i="4"/>
  <c r="P595" i="4"/>
  <c r="R595" i="4" s="1"/>
  <c r="S595" i="4" s="1"/>
  <c r="P596" i="4"/>
  <c r="R596" i="4" s="1"/>
  <c r="S596" i="4" s="1"/>
  <c r="P597" i="4"/>
  <c r="P598" i="4"/>
  <c r="P599" i="4"/>
  <c r="R599" i="4" s="1"/>
  <c r="S599" i="4" s="1"/>
  <c r="P600" i="4"/>
  <c r="P601" i="4"/>
  <c r="R601" i="4" s="1"/>
  <c r="S601" i="4" s="1"/>
  <c r="P602" i="4"/>
  <c r="P603" i="4"/>
  <c r="R603" i="4" s="1"/>
  <c r="S603" i="4" s="1"/>
  <c r="P604" i="4"/>
  <c r="R604" i="4" s="1"/>
  <c r="S604" i="4" s="1"/>
  <c r="P605" i="4"/>
  <c r="P606" i="4"/>
  <c r="P607" i="4"/>
  <c r="R607" i="4" s="1"/>
  <c r="S607" i="4" s="1"/>
  <c r="P608" i="4"/>
  <c r="P609" i="4"/>
  <c r="R609" i="4" s="1"/>
  <c r="S609" i="4" s="1"/>
  <c r="P610" i="4"/>
  <c r="P611" i="4"/>
  <c r="R611" i="4" s="1"/>
  <c r="S611" i="4" s="1"/>
  <c r="P612" i="4"/>
  <c r="R612" i="4" s="1"/>
  <c r="S612" i="4" s="1"/>
  <c r="P613" i="4"/>
  <c r="P614" i="4"/>
  <c r="P615" i="4"/>
  <c r="R615" i="4" s="1"/>
  <c r="S615" i="4" s="1"/>
  <c r="P616" i="4"/>
  <c r="P617" i="4"/>
  <c r="R617" i="4" s="1"/>
  <c r="S617" i="4" s="1"/>
  <c r="P618" i="4"/>
  <c r="P619" i="4"/>
  <c r="R619" i="4" s="1"/>
  <c r="S619" i="4" s="1"/>
  <c r="P620" i="4"/>
  <c r="R620" i="4" s="1"/>
  <c r="S620" i="4" s="1"/>
  <c r="P621" i="4"/>
  <c r="P622" i="4"/>
  <c r="P623" i="4"/>
  <c r="R623" i="4" s="1"/>
  <c r="S623" i="4" s="1"/>
  <c r="P624" i="4"/>
  <c r="P625" i="4"/>
  <c r="R625" i="4" s="1"/>
  <c r="S625" i="4" s="1"/>
  <c r="P626" i="4"/>
  <c r="P627" i="4"/>
  <c r="R627" i="4" s="1"/>
  <c r="S627" i="4" s="1"/>
  <c r="P628" i="4"/>
  <c r="R628" i="4" s="1"/>
  <c r="S628" i="4" s="1"/>
  <c r="P629" i="4"/>
  <c r="P630" i="4"/>
  <c r="P631" i="4"/>
  <c r="R631" i="4" s="1"/>
  <c r="S631" i="4" s="1"/>
  <c r="P632" i="4"/>
  <c r="P633" i="4"/>
  <c r="R633" i="4" s="1"/>
  <c r="S633" i="4" s="1"/>
  <c r="P634" i="4"/>
  <c r="P635" i="4"/>
  <c r="R635" i="4" s="1"/>
  <c r="S635" i="4" s="1"/>
  <c r="P636" i="4"/>
  <c r="R636" i="4" s="1"/>
  <c r="S636" i="4" s="1"/>
  <c r="P637" i="4"/>
  <c r="P638" i="4"/>
  <c r="P639" i="4"/>
  <c r="R639" i="4" s="1"/>
  <c r="S639" i="4" s="1"/>
  <c r="P640" i="4"/>
  <c r="P641" i="4"/>
  <c r="R641" i="4" s="1"/>
  <c r="S641" i="4" s="1"/>
  <c r="P642" i="4"/>
  <c r="P643" i="4"/>
  <c r="R643" i="4" s="1"/>
  <c r="S643" i="4" s="1"/>
  <c r="P644" i="4"/>
  <c r="R644" i="4" s="1"/>
  <c r="S644" i="4" s="1"/>
  <c r="P645" i="4"/>
  <c r="P646" i="4"/>
  <c r="P647" i="4"/>
  <c r="R647" i="4" s="1"/>
  <c r="S647" i="4" s="1"/>
  <c r="P648" i="4"/>
  <c r="P649" i="4"/>
  <c r="R649" i="4" s="1"/>
  <c r="S649" i="4" s="1"/>
  <c r="P650" i="4"/>
  <c r="P651" i="4"/>
  <c r="R651" i="4" s="1"/>
  <c r="S651" i="4" s="1"/>
  <c r="P652" i="4"/>
  <c r="R652" i="4" s="1"/>
  <c r="S652" i="4" s="1"/>
  <c r="P653" i="4"/>
  <c r="P654" i="4"/>
  <c r="P655" i="4"/>
  <c r="R655" i="4" s="1"/>
  <c r="S655" i="4" s="1"/>
  <c r="P656" i="4"/>
  <c r="P657" i="4"/>
  <c r="R657" i="4" s="1"/>
  <c r="S657" i="4" s="1"/>
  <c r="P658" i="4"/>
  <c r="P659" i="4"/>
  <c r="R659" i="4" s="1"/>
  <c r="S659" i="4" s="1"/>
  <c r="P660" i="4"/>
  <c r="R660" i="4" s="1"/>
  <c r="S660" i="4" s="1"/>
  <c r="P661" i="4"/>
  <c r="P662" i="4"/>
  <c r="P663" i="4"/>
  <c r="R663" i="4" s="1"/>
  <c r="S663" i="4" s="1"/>
  <c r="P664" i="4"/>
  <c r="P665" i="4"/>
  <c r="R665" i="4" s="1"/>
  <c r="S665" i="4" s="1"/>
  <c r="P666" i="4"/>
  <c r="P667" i="4"/>
  <c r="R667" i="4" s="1"/>
  <c r="S667" i="4" s="1"/>
  <c r="P668" i="4"/>
  <c r="R668" i="4" s="1"/>
  <c r="S668" i="4" s="1"/>
  <c r="P669" i="4"/>
  <c r="P670" i="4"/>
  <c r="P671" i="4"/>
  <c r="R671" i="4" s="1"/>
  <c r="S671" i="4" s="1"/>
  <c r="P672" i="4"/>
  <c r="P673" i="4"/>
  <c r="R673" i="4" s="1"/>
  <c r="S673" i="4" s="1"/>
  <c r="P674" i="4"/>
  <c r="P675" i="4"/>
  <c r="R675" i="4" s="1"/>
  <c r="S675" i="4" s="1"/>
  <c r="P676" i="4"/>
  <c r="R676" i="4" s="1"/>
  <c r="S676" i="4" s="1"/>
  <c r="P677" i="4"/>
  <c r="P678" i="4"/>
  <c r="R678" i="4" s="1"/>
  <c r="S678" i="4" s="1"/>
  <c r="P679" i="4"/>
  <c r="R679" i="4" s="1"/>
  <c r="S679" i="4" s="1"/>
  <c r="P680" i="4"/>
  <c r="P681" i="4"/>
  <c r="R681" i="4" s="1"/>
  <c r="S681" i="4" s="1"/>
  <c r="P682" i="4"/>
  <c r="P683" i="4"/>
  <c r="R683" i="4" s="1"/>
  <c r="S683" i="4" s="1"/>
  <c r="P684" i="4"/>
  <c r="R684" i="4" s="1"/>
  <c r="S684" i="4" s="1"/>
  <c r="P685" i="4"/>
  <c r="P686" i="4"/>
  <c r="R686" i="4" s="1"/>
  <c r="S686" i="4" s="1"/>
  <c r="P687" i="4"/>
  <c r="R687" i="4" s="1"/>
  <c r="S687" i="4" s="1"/>
  <c r="P688" i="4"/>
  <c r="R688" i="4" s="1"/>
  <c r="S688" i="4" s="1"/>
  <c r="P689" i="4"/>
  <c r="R689" i="4" s="1"/>
  <c r="S689" i="4" s="1"/>
  <c r="P690" i="4"/>
  <c r="P691" i="4"/>
  <c r="R691" i="4" s="1"/>
  <c r="S691" i="4" s="1"/>
  <c r="P692" i="4"/>
  <c r="R692" i="4" s="1"/>
  <c r="S692" i="4" s="1"/>
  <c r="P693" i="4"/>
  <c r="P694" i="4"/>
  <c r="R694" i="4" s="1"/>
  <c r="S694" i="4" s="1"/>
  <c r="P695" i="4"/>
  <c r="R695" i="4" s="1"/>
  <c r="S695" i="4" s="1"/>
  <c r="P696" i="4"/>
  <c r="R696" i="4" s="1"/>
  <c r="S696" i="4" s="1"/>
  <c r="P697" i="4"/>
  <c r="R697" i="4" s="1"/>
  <c r="S697" i="4" s="1"/>
  <c r="P698" i="4"/>
  <c r="P699" i="4"/>
  <c r="R699" i="4" s="1"/>
  <c r="S699" i="4" s="1"/>
  <c r="P700" i="4"/>
  <c r="R700" i="4" s="1"/>
  <c r="S700" i="4" s="1"/>
  <c r="P701" i="4"/>
  <c r="P702" i="4"/>
  <c r="R702" i="4" s="1"/>
  <c r="S702" i="4" s="1"/>
  <c r="P703" i="4"/>
  <c r="R703" i="4" s="1"/>
  <c r="S703" i="4" s="1"/>
  <c r="P704" i="4"/>
  <c r="R704" i="4" s="1"/>
  <c r="S704" i="4" s="1"/>
  <c r="P705" i="4"/>
  <c r="R705" i="4" s="1"/>
  <c r="S705" i="4" s="1"/>
  <c r="P706" i="4"/>
  <c r="P707" i="4"/>
  <c r="R707" i="4" s="1"/>
  <c r="S707" i="4" s="1"/>
  <c r="P708" i="4"/>
  <c r="R708" i="4" s="1"/>
  <c r="S708" i="4" s="1"/>
  <c r="P709" i="4"/>
  <c r="P710" i="4"/>
  <c r="R710" i="4" s="1"/>
  <c r="S710" i="4" s="1"/>
  <c r="P711" i="4"/>
  <c r="R711" i="4" s="1"/>
  <c r="S711" i="4" s="1"/>
  <c r="P712" i="4"/>
  <c r="R712" i="4" s="1"/>
  <c r="S712" i="4" s="1"/>
  <c r="P713" i="4"/>
  <c r="R713" i="4" s="1"/>
  <c r="S713" i="4" s="1"/>
  <c r="P714" i="4"/>
  <c r="P715" i="4"/>
  <c r="R715" i="4" s="1"/>
  <c r="S715" i="4" s="1"/>
  <c r="P716" i="4"/>
  <c r="R716" i="4" s="1"/>
  <c r="S716" i="4" s="1"/>
  <c r="P717" i="4"/>
  <c r="P718" i="4"/>
  <c r="R718" i="4" s="1"/>
  <c r="S718" i="4" s="1"/>
  <c r="P719" i="4"/>
  <c r="R719" i="4" s="1"/>
  <c r="S719" i="4" s="1"/>
  <c r="P720" i="4"/>
  <c r="R720" i="4" s="1"/>
  <c r="S720" i="4" s="1"/>
  <c r="P721" i="4"/>
  <c r="R721" i="4" s="1"/>
  <c r="S721" i="4" s="1"/>
  <c r="P722" i="4"/>
  <c r="P723" i="4"/>
  <c r="R723" i="4" s="1"/>
  <c r="S723" i="4" s="1"/>
  <c r="P724" i="4"/>
  <c r="R724" i="4" s="1"/>
  <c r="S724" i="4" s="1"/>
  <c r="P725" i="4"/>
  <c r="P726" i="4"/>
  <c r="R726" i="4" s="1"/>
  <c r="S726" i="4" s="1"/>
  <c r="P727" i="4"/>
  <c r="R727" i="4" s="1"/>
  <c r="S727" i="4" s="1"/>
  <c r="P728" i="4"/>
  <c r="R728" i="4" s="1"/>
  <c r="S728" i="4" s="1"/>
  <c r="P729" i="4"/>
  <c r="R729" i="4" s="1"/>
  <c r="S729" i="4" s="1"/>
  <c r="P730" i="4"/>
  <c r="P731" i="4"/>
  <c r="R731" i="4" s="1"/>
  <c r="S731" i="4" s="1"/>
  <c r="P732" i="4"/>
  <c r="R732" i="4" s="1"/>
  <c r="S732" i="4" s="1"/>
  <c r="P733" i="4"/>
  <c r="P734" i="4"/>
  <c r="R734" i="4" s="1"/>
  <c r="S734" i="4" s="1"/>
  <c r="P735" i="4"/>
  <c r="R735" i="4" s="1"/>
  <c r="S735" i="4" s="1"/>
  <c r="P736" i="4"/>
  <c r="R736" i="4" s="1"/>
  <c r="S736" i="4" s="1"/>
  <c r="P737" i="4"/>
  <c r="R737" i="4" s="1"/>
  <c r="S737" i="4" s="1"/>
  <c r="P738" i="4"/>
  <c r="P739" i="4"/>
  <c r="R739" i="4" s="1"/>
  <c r="S739" i="4" s="1"/>
  <c r="P740" i="4"/>
  <c r="R740" i="4" s="1"/>
  <c r="S740" i="4" s="1"/>
  <c r="P741" i="4"/>
  <c r="P742" i="4"/>
  <c r="R742" i="4" s="1"/>
  <c r="S742" i="4" s="1"/>
  <c r="P743" i="4"/>
  <c r="R743" i="4" s="1"/>
  <c r="S743" i="4" s="1"/>
  <c r="P744" i="4"/>
  <c r="R744" i="4" s="1"/>
  <c r="S744" i="4" s="1"/>
  <c r="P745" i="4"/>
  <c r="R745" i="4" s="1"/>
  <c r="S745" i="4" s="1"/>
  <c r="P746" i="4"/>
  <c r="P747" i="4"/>
  <c r="R747" i="4" s="1"/>
  <c r="S747" i="4" s="1"/>
  <c r="P748" i="4"/>
  <c r="R748" i="4" s="1"/>
  <c r="S748" i="4" s="1"/>
  <c r="P749" i="4"/>
  <c r="P750" i="4"/>
  <c r="R750" i="4" s="1"/>
  <c r="S750" i="4" s="1"/>
  <c r="P751" i="4"/>
  <c r="R751" i="4" s="1"/>
  <c r="S751" i="4" s="1"/>
  <c r="P752" i="4"/>
  <c r="R752" i="4" s="1"/>
  <c r="S752" i="4" s="1"/>
  <c r="P753" i="4"/>
  <c r="R753" i="4" s="1"/>
  <c r="S753" i="4" s="1"/>
  <c r="P754" i="4"/>
  <c r="P755" i="4"/>
  <c r="R755" i="4" s="1"/>
  <c r="S755" i="4" s="1"/>
  <c r="P756" i="4"/>
  <c r="R756" i="4" s="1"/>
  <c r="S756" i="4" s="1"/>
  <c r="P757" i="4"/>
  <c r="P758" i="4"/>
  <c r="R758" i="4" s="1"/>
  <c r="S758" i="4" s="1"/>
  <c r="P759" i="4"/>
  <c r="R759" i="4" s="1"/>
  <c r="S759" i="4" s="1"/>
  <c r="P760" i="4"/>
  <c r="R760" i="4" s="1"/>
  <c r="S760" i="4" s="1"/>
  <c r="P761" i="4"/>
  <c r="R761" i="4" s="1"/>
  <c r="S761" i="4" s="1"/>
  <c r="P762" i="4"/>
  <c r="P763" i="4"/>
  <c r="R763" i="4" s="1"/>
  <c r="S763" i="4" s="1"/>
  <c r="P764" i="4"/>
  <c r="R764" i="4" s="1"/>
  <c r="S764" i="4" s="1"/>
  <c r="P765" i="4"/>
  <c r="P766" i="4"/>
  <c r="R766" i="4" s="1"/>
  <c r="S766" i="4" s="1"/>
  <c r="P767" i="4"/>
  <c r="R767" i="4" s="1"/>
  <c r="S767" i="4" s="1"/>
  <c r="P768" i="4"/>
  <c r="R768" i="4" s="1"/>
  <c r="S768" i="4" s="1"/>
  <c r="P769" i="4"/>
  <c r="R769" i="4" s="1"/>
  <c r="S769" i="4" s="1"/>
  <c r="P770" i="4"/>
  <c r="P771" i="4"/>
  <c r="R771" i="4" s="1"/>
  <c r="S771" i="4" s="1"/>
  <c r="P772" i="4"/>
  <c r="R772" i="4" s="1"/>
  <c r="S772" i="4" s="1"/>
  <c r="P773" i="4"/>
  <c r="P774" i="4"/>
  <c r="R774" i="4" s="1"/>
  <c r="S774" i="4" s="1"/>
  <c r="P775" i="4"/>
  <c r="R775" i="4" s="1"/>
  <c r="S775" i="4" s="1"/>
  <c r="P776" i="4"/>
  <c r="R776" i="4" s="1"/>
  <c r="S776" i="4" s="1"/>
  <c r="P777" i="4"/>
  <c r="R777" i="4" s="1"/>
  <c r="S777" i="4" s="1"/>
  <c r="P778" i="4"/>
  <c r="P779" i="4"/>
  <c r="R779" i="4" s="1"/>
  <c r="S779" i="4" s="1"/>
  <c r="P780" i="4"/>
  <c r="R780" i="4" s="1"/>
  <c r="S780" i="4" s="1"/>
  <c r="P781" i="4"/>
  <c r="P782" i="4"/>
  <c r="R782" i="4" s="1"/>
  <c r="S782" i="4" s="1"/>
  <c r="P783" i="4"/>
  <c r="R783" i="4" s="1"/>
  <c r="S783" i="4" s="1"/>
  <c r="P784" i="4"/>
  <c r="R784" i="4" s="1"/>
  <c r="S784" i="4" s="1"/>
  <c r="P785" i="4"/>
  <c r="R785" i="4" s="1"/>
  <c r="S785" i="4" s="1"/>
  <c r="P786" i="4"/>
  <c r="P787" i="4"/>
  <c r="R787" i="4" s="1"/>
  <c r="S787" i="4" s="1"/>
  <c r="P788" i="4"/>
  <c r="R788" i="4" s="1"/>
  <c r="S788" i="4" s="1"/>
  <c r="P789" i="4"/>
  <c r="P790" i="4"/>
  <c r="R790" i="4" s="1"/>
  <c r="S790" i="4" s="1"/>
  <c r="P791" i="4"/>
  <c r="R791" i="4" s="1"/>
  <c r="S791" i="4" s="1"/>
  <c r="P792" i="4"/>
  <c r="R792" i="4" s="1"/>
  <c r="S792" i="4" s="1"/>
  <c r="P793" i="4"/>
  <c r="R793" i="4" s="1"/>
  <c r="S793" i="4" s="1"/>
  <c r="P794" i="4"/>
  <c r="P795" i="4"/>
  <c r="R795" i="4" s="1"/>
  <c r="S795" i="4" s="1"/>
  <c r="P796" i="4"/>
  <c r="R796" i="4" s="1"/>
  <c r="S796" i="4" s="1"/>
  <c r="P797" i="4"/>
  <c r="P798" i="4"/>
  <c r="R798" i="4" s="1"/>
  <c r="S798" i="4" s="1"/>
  <c r="P799" i="4"/>
  <c r="R799" i="4" s="1"/>
  <c r="S799" i="4" s="1"/>
  <c r="P800" i="4"/>
  <c r="R800" i="4" s="1"/>
  <c r="S800" i="4" s="1"/>
  <c r="P801" i="4"/>
  <c r="R801" i="4" s="1"/>
  <c r="S801" i="4" s="1"/>
  <c r="P802" i="4"/>
  <c r="P803" i="4"/>
  <c r="R803" i="4" s="1"/>
  <c r="S803" i="4" s="1"/>
  <c r="P804" i="4"/>
  <c r="R804" i="4" s="1"/>
  <c r="S804" i="4" s="1"/>
  <c r="P805" i="4"/>
  <c r="P806" i="4"/>
  <c r="R806" i="4" s="1"/>
  <c r="S806" i="4" s="1"/>
  <c r="P807" i="4"/>
  <c r="R807" i="4" s="1"/>
  <c r="S807" i="4" s="1"/>
  <c r="P808" i="4"/>
  <c r="R808" i="4" s="1"/>
  <c r="S808" i="4" s="1"/>
  <c r="P809" i="4"/>
  <c r="R809" i="4" s="1"/>
  <c r="S809" i="4" s="1"/>
  <c r="P810" i="4"/>
  <c r="P811" i="4"/>
  <c r="R811" i="4" s="1"/>
  <c r="S811" i="4" s="1"/>
  <c r="P812" i="4"/>
  <c r="R812" i="4" s="1"/>
  <c r="S812" i="4" s="1"/>
  <c r="P813" i="4"/>
  <c r="P814" i="4"/>
  <c r="R814" i="4" s="1"/>
  <c r="S814" i="4" s="1"/>
  <c r="P815" i="4"/>
  <c r="R815" i="4" s="1"/>
  <c r="S815" i="4" s="1"/>
  <c r="P816" i="4"/>
  <c r="R816" i="4" s="1"/>
  <c r="S816" i="4" s="1"/>
  <c r="P817" i="4"/>
  <c r="R817" i="4" s="1"/>
  <c r="S817" i="4" s="1"/>
  <c r="P818" i="4"/>
  <c r="P819" i="4"/>
  <c r="R819" i="4" s="1"/>
  <c r="S819" i="4" s="1"/>
  <c r="P820" i="4"/>
  <c r="R820" i="4" s="1"/>
  <c r="S820" i="4" s="1"/>
  <c r="P821" i="4"/>
  <c r="P822" i="4"/>
  <c r="P823" i="4"/>
  <c r="R823" i="4" s="1"/>
  <c r="S823" i="4" s="1"/>
  <c r="P824" i="4"/>
  <c r="R824" i="4" s="1"/>
  <c r="S824" i="4" s="1"/>
  <c r="P825" i="4"/>
  <c r="R825" i="4" s="1"/>
  <c r="S825" i="4" s="1"/>
  <c r="P826" i="4"/>
  <c r="P827" i="4"/>
  <c r="R827" i="4" s="1"/>
  <c r="S827" i="4" s="1"/>
  <c r="P828" i="4"/>
  <c r="R828" i="4" s="1"/>
  <c r="S828" i="4" s="1"/>
  <c r="P829" i="4"/>
  <c r="P830" i="4"/>
  <c r="P831" i="4"/>
  <c r="R831" i="4" s="1"/>
  <c r="S831" i="4" s="1"/>
  <c r="P832" i="4"/>
  <c r="R832" i="4" s="1"/>
  <c r="S832" i="4" s="1"/>
  <c r="P833" i="4"/>
  <c r="R833" i="4" s="1"/>
  <c r="S833" i="4" s="1"/>
  <c r="P834" i="4"/>
  <c r="P835" i="4"/>
  <c r="R835" i="4" s="1"/>
  <c r="S835" i="4" s="1"/>
  <c r="P836" i="4"/>
  <c r="R836" i="4" s="1"/>
  <c r="S836" i="4" s="1"/>
  <c r="P837" i="4"/>
  <c r="P838" i="4"/>
  <c r="P839" i="4"/>
  <c r="R839" i="4" s="1"/>
  <c r="S839" i="4" s="1"/>
  <c r="P840" i="4"/>
  <c r="R840" i="4" s="1"/>
  <c r="S840" i="4" s="1"/>
  <c r="P841" i="4"/>
  <c r="R841" i="4" s="1"/>
  <c r="S841" i="4" s="1"/>
  <c r="P842" i="4"/>
  <c r="P843" i="4"/>
  <c r="R843" i="4" s="1"/>
  <c r="S843" i="4" s="1"/>
  <c r="P844" i="4"/>
  <c r="R844" i="4" s="1"/>
  <c r="S844" i="4" s="1"/>
  <c r="P845" i="4"/>
  <c r="P846" i="4"/>
  <c r="R846" i="4" s="1"/>
  <c r="S846" i="4" s="1"/>
  <c r="P847" i="4"/>
  <c r="R847" i="4" s="1"/>
  <c r="S847" i="4" s="1"/>
  <c r="P848" i="4"/>
  <c r="R848" i="4" s="1"/>
  <c r="S848" i="4" s="1"/>
  <c r="P849" i="4"/>
  <c r="R849" i="4" s="1"/>
  <c r="S849" i="4" s="1"/>
  <c r="P850" i="4"/>
  <c r="P851" i="4"/>
  <c r="R851" i="4" s="1"/>
  <c r="S851" i="4" s="1"/>
  <c r="P852" i="4"/>
  <c r="R852" i="4" s="1"/>
  <c r="S852" i="4" s="1"/>
  <c r="P853" i="4"/>
  <c r="P854" i="4"/>
  <c r="P855" i="4"/>
  <c r="R855" i="4" s="1"/>
  <c r="S855" i="4" s="1"/>
  <c r="P856" i="4"/>
  <c r="R856" i="4" s="1"/>
  <c r="S856" i="4" s="1"/>
  <c r="P857" i="4"/>
  <c r="R857" i="4" s="1"/>
  <c r="S857" i="4" s="1"/>
  <c r="P858" i="4"/>
  <c r="P859" i="4"/>
  <c r="R859" i="4" s="1"/>
  <c r="S859" i="4" s="1"/>
  <c r="P860" i="4"/>
  <c r="R860" i="4" s="1"/>
  <c r="S860" i="4" s="1"/>
  <c r="P861" i="4"/>
  <c r="P862" i="4"/>
  <c r="P863" i="4"/>
  <c r="R863" i="4" s="1"/>
  <c r="S863" i="4" s="1"/>
  <c r="P864" i="4"/>
  <c r="R864" i="4" s="1"/>
  <c r="S864" i="4" s="1"/>
  <c r="P865" i="4"/>
  <c r="R865" i="4" s="1"/>
  <c r="S865" i="4" s="1"/>
  <c r="P866" i="4"/>
  <c r="P867" i="4"/>
  <c r="R867" i="4" s="1"/>
  <c r="S867" i="4" s="1"/>
  <c r="P868" i="4"/>
  <c r="R868" i="4" s="1"/>
  <c r="S868" i="4" s="1"/>
  <c r="P869" i="4"/>
  <c r="P870" i="4"/>
  <c r="P871" i="4"/>
  <c r="R871" i="4" s="1"/>
  <c r="S871" i="4" s="1"/>
  <c r="P872" i="4"/>
  <c r="R872" i="4" s="1"/>
  <c r="S872" i="4" s="1"/>
  <c r="P873" i="4"/>
  <c r="R873" i="4" s="1"/>
  <c r="S873" i="4" s="1"/>
  <c r="P874" i="4"/>
  <c r="P875" i="4"/>
  <c r="R875" i="4" s="1"/>
  <c r="S875" i="4" s="1"/>
  <c r="P876" i="4"/>
  <c r="R876" i="4" s="1"/>
  <c r="S876" i="4" s="1"/>
  <c r="P877" i="4"/>
  <c r="P878" i="4"/>
  <c r="P879" i="4"/>
  <c r="R879" i="4" s="1"/>
  <c r="S879" i="4" s="1"/>
  <c r="P880" i="4"/>
  <c r="R880" i="4" s="1"/>
  <c r="S880" i="4" s="1"/>
  <c r="P881" i="4"/>
  <c r="R881" i="4" s="1"/>
  <c r="S881" i="4" s="1"/>
  <c r="P882" i="4"/>
  <c r="P883" i="4"/>
  <c r="R883" i="4" s="1"/>
  <c r="S883" i="4" s="1"/>
  <c r="P884" i="4"/>
  <c r="R884" i="4" s="1"/>
  <c r="S884" i="4" s="1"/>
  <c r="P885" i="4"/>
  <c r="P886" i="4"/>
  <c r="P887" i="4"/>
  <c r="R887" i="4" s="1"/>
  <c r="S887" i="4" s="1"/>
  <c r="P888" i="4"/>
  <c r="R888" i="4" s="1"/>
  <c r="S888" i="4" s="1"/>
  <c r="P889" i="4"/>
  <c r="R889" i="4" s="1"/>
  <c r="S889" i="4" s="1"/>
  <c r="P890" i="4"/>
  <c r="P891" i="4"/>
  <c r="R891" i="4" s="1"/>
  <c r="S891" i="4" s="1"/>
  <c r="P892" i="4"/>
  <c r="R892" i="4" s="1"/>
  <c r="S892" i="4" s="1"/>
  <c r="P893" i="4"/>
  <c r="P894" i="4"/>
  <c r="P895" i="4"/>
  <c r="R895" i="4" s="1"/>
  <c r="S895" i="4" s="1"/>
  <c r="P896" i="4"/>
  <c r="R896" i="4" s="1"/>
  <c r="S896" i="4" s="1"/>
  <c r="P897" i="4"/>
  <c r="R897" i="4" s="1"/>
  <c r="S897" i="4" s="1"/>
  <c r="P898" i="4"/>
  <c r="P899" i="4"/>
  <c r="R899" i="4" s="1"/>
  <c r="S899" i="4" s="1"/>
  <c r="P900" i="4"/>
  <c r="R900" i="4" s="1"/>
  <c r="S900" i="4" s="1"/>
  <c r="P901" i="4"/>
  <c r="P902" i="4"/>
  <c r="P903" i="4"/>
  <c r="R903" i="4" s="1"/>
  <c r="S903" i="4" s="1"/>
  <c r="P904" i="4"/>
  <c r="R904" i="4" s="1"/>
  <c r="S904" i="4" s="1"/>
  <c r="P905" i="4"/>
  <c r="R905" i="4" s="1"/>
  <c r="S905" i="4" s="1"/>
  <c r="P906" i="4"/>
  <c r="P907" i="4"/>
  <c r="R907" i="4" s="1"/>
  <c r="S907" i="4" s="1"/>
  <c r="P908" i="4"/>
  <c r="R908" i="4" s="1"/>
  <c r="S908" i="4" s="1"/>
  <c r="P909" i="4"/>
  <c r="P910" i="4"/>
  <c r="P911" i="4"/>
  <c r="R911" i="4" s="1"/>
  <c r="S911" i="4" s="1"/>
  <c r="P912" i="4"/>
  <c r="R912" i="4" s="1"/>
  <c r="S912" i="4" s="1"/>
  <c r="P913" i="4"/>
  <c r="R913" i="4" s="1"/>
  <c r="S913" i="4" s="1"/>
  <c r="P914" i="4"/>
  <c r="P915" i="4"/>
  <c r="R915" i="4" s="1"/>
  <c r="S915" i="4" s="1"/>
  <c r="P916" i="4"/>
  <c r="R916" i="4" s="1"/>
  <c r="S916" i="4" s="1"/>
  <c r="P917" i="4"/>
  <c r="P918" i="4"/>
  <c r="P919" i="4"/>
  <c r="R919" i="4" s="1"/>
  <c r="S919" i="4" s="1"/>
  <c r="P920" i="4"/>
  <c r="R920" i="4" s="1"/>
  <c r="S920" i="4" s="1"/>
  <c r="P921" i="4"/>
  <c r="R921" i="4" s="1"/>
  <c r="S921" i="4" s="1"/>
  <c r="P922" i="4"/>
  <c r="P923" i="4"/>
  <c r="R923" i="4" s="1"/>
  <c r="S923" i="4" s="1"/>
  <c r="P924" i="4"/>
  <c r="R924" i="4" s="1"/>
  <c r="S924" i="4" s="1"/>
  <c r="P925" i="4"/>
  <c r="P926" i="4"/>
  <c r="P927" i="4"/>
  <c r="R927" i="4" s="1"/>
  <c r="S927" i="4" s="1"/>
  <c r="P928" i="4"/>
  <c r="R928" i="4" s="1"/>
  <c r="S928" i="4" s="1"/>
  <c r="P929" i="4"/>
  <c r="R929" i="4" s="1"/>
  <c r="S929" i="4" s="1"/>
  <c r="P930" i="4"/>
  <c r="P931" i="4"/>
  <c r="R931" i="4" s="1"/>
  <c r="S931" i="4" s="1"/>
  <c r="P932" i="4"/>
  <c r="R932" i="4" s="1"/>
  <c r="S932" i="4" s="1"/>
  <c r="P933" i="4"/>
  <c r="P934" i="4"/>
  <c r="P935" i="4"/>
  <c r="R935" i="4" s="1"/>
  <c r="S935" i="4" s="1"/>
  <c r="P936" i="4"/>
  <c r="R936" i="4" s="1"/>
  <c r="S936" i="4" s="1"/>
  <c r="P937" i="4"/>
  <c r="R937" i="4" s="1"/>
  <c r="S937" i="4" s="1"/>
  <c r="P938" i="4"/>
  <c r="P939" i="4"/>
  <c r="R939" i="4" s="1"/>
  <c r="S939" i="4" s="1"/>
  <c r="P940" i="4"/>
  <c r="R940" i="4" s="1"/>
  <c r="S940" i="4" s="1"/>
  <c r="P941" i="4"/>
  <c r="P942" i="4"/>
  <c r="P943" i="4"/>
  <c r="R943" i="4" s="1"/>
  <c r="S943" i="4" s="1"/>
  <c r="P944" i="4"/>
  <c r="R944" i="4" s="1"/>
  <c r="S944" i="4" s="1"/>
  <c r="P945" i="4"/>
  <c r="R945" i="4" s="1"/>
  <c r="S945" i="4" s="1"/>
  <c r="P946" i="4"/>
  <c r="P947" i="4"/>
  <c r="R947" i="4" s="1"/>
  <c r="S947" i="4" s="1"/>
  <c r="P948" i="4"/>
  <c r="R948" i="4" s="1"/>
  <c r="S948" i="4" s="1"/>
  <c r="P949" i="4"/>
  <c r="P950" i="4"/>
  <c r="P951" i="4"/>
  <c r="R951" i="4" s="1"/>
  <c r="S951" i="4" s="1"/>
  <c r="P952" i="4"/>
  <c r="R952" i="4" s="1"/>
  <c r="S952" i="4" s="1"/>
  <c r="P953" i="4"/>
  <c r="R953" i="4" s="1"/>
  <c r="S953" i="4" s="1"/>
  <c r="P954" i="4"/>
  <c r="P955" i="4"/>
  <c r="R955" i="4" s="1"/>
  <c r="S955" i="4" s="1"/>
  <c r="P956" i="4"/>
  <c r="R956" i="4" s="1"/>
  <c r="S956" i="4" s="1"/>
  <c r="P957" i="4"/>
  <c r="P958" i="4"/>
  <c r="P959" i="4"/>
  <c r="R959" i="4" s="1"/>
  <c r="S959" i="4" s="1"/>
  <c r="P960" i="4"/>
  <c r="R960" i="4" s="1"/>
  <c r="S960" i="4" s="1"/>
  <c r="P961" i="4"/>
  <c r="R961" i="4" s="1"/>
  <c r="S961" i="4" s="1"/>
  <c r="P962" i="4"/>
  <c r="P963" i="4"/>
  <c r="R963" i="4" s="1"/>
  <c r="S963" i="4" s="1"/>
  <c r="P964" i="4"/>
  <c r="R964" i="4" s="1"/>
  <c r="S964" i="4" s="1"/>
  <c r="P965" i="4"/>
  <c r="P966" i="4"/>
  <c r="P967" i="4"/>
  <c r="R967" i="4" s="1"/>
  <c r="S967" i="4" s="1"/>
  <c r="P968" i="4"/>
  <c r="R968" i="4" s="1"/>
  <c r="S968" i="4" s="1"/>
  <c r="P969" i="4"/>
  <c r="R969" i="4" s="1"/>
  <c r="S969" i="4" s="1"/>
  <c r="P970" i="4"/>
  <c r="P971" i="4"/>
  <c r="R971" i="4" s="1"/>
  <c r="S971" i="4" s="1"/>
  <c r="P972" i="4"/>
  <c r="R972" i="4" s="1"/>
  <c r="S972" i="4" s="1"/>
  <c r="P973" i="4"/>
  <c r="P974" i="4"/>
  <c r="P975" i="4"/>
  <c r="R975" i="4" s="1"/>
  <c r="S975" i="4" s="1"/>
  <c r="P976" i="4"/>
  <c r="R976" i="4" s="1"/>
  <c r="S976" i="4" s="1"/>
  <c r="P977" i="4"/>
  <c r="R977" i="4" s="1"/>
  <c r="S977" i="4" s="1"/>
  <c r="P978" i="4"/>
  <c r="P979" i="4"/>
  <c r="R979" i="4" s="1"/>
  <c r="S979" i="4" s="1"/>
  <c r="P980" i="4"/>
  <c r="R980" i="4" s="1"/>
  <c r="S980" i="4" s="1"/>
  <c r="P981" i="4"/>
  <c r="P982" i="4"/>
  <c r="P983" i="4"/>
  <c r="R983" i="4" s="1"/>
  <c r="S983" i="4" s="1"/>
  <c r="P984" i="4"/>
  <c r="R984" i="4" s="1"/>
  <c r="S984" i="4" s="1"/>
  <c r="P985" i="4"/>
  <c r="R985" i="4" s="1"/>
  <c r="S985" i="4" s="1"/>
  <c r="P986" i="4"/>
  <c r="P987" i="4"/>
  <c r="R987" i="4" s="1"/>
  <c r="S987" i="4" s="1"/>
  <c r="P988" i="4"/>
  <c r="R988" i="4" s="1"/>
  <c r="S988" i="4" s="1"/>
  <c r="P989" i="4"/>
  <c r="P990" i="4"/>
  <c r="P991" i="4"/>
  <c r="R991" i="4" s="1"/>
  <c r="S991" i="4" s="1"/>
  <c r="P992" i="4"/>
  <c r="R992" i="4" s="1"/>
  <c r="S992" i="4" s="1"/>
  <c r="P993" i="4"/>
  <c r="R993" i="4" s="1"/>
  <c r="S993" i="4" s="1"/>
  <c r="P994" i="4"/>
  <c r="P995" i="4"/>
  <c r="R995" i="4" s="1"/>
  <c r="S995" i="4" s="1"/>
  <c r="P996" i="4"/>
  <c r="R996" i="4" s="1"/>
  <c r="S996" i="4" s="1"/>
  <c r="P997" i="4"/>
  <c r="P998" i="4"/>
  <c r="P999" i="4"/>
  <c r="R999" i="4" s="1"/>
  <c r="S999" i="4" s="1"/>
  <c r="P1000" i="4"/>
  <c r="R1000" i="4" s="1"/>
  <c r="S1000" i="4" s="1"/>
  <c r="P1001" i="4"/>
  <c r="R1001" i="4" s="1"/>
  <c r="S1001" i="4" s="1"/>
  <c r="P1002" i="4"/>
  <c r="P1003" i="4"/>
  <c r="R1003" i="4" s="1"/>
  <c r="S1003" i="4" s="1"/>
  <c r="P1004" i="4"/>
  <c r="R1004" i="4" s="1"/>
  <c r="S1004" i="4" s="1"/>
  <c r="P1005" i="4"/>
  <c r="P1006" i="4"/>
  <c r="P1007" i="4"/>
  <c r="R1007" i="4" s="1"/>
  <c r="S1007" i="4" s="1"/>
  <c r="P1008" i="4"/>
  <c r="R1008" i="4" s="1"/>
  <c r="S1008" i="4" s="1"/>
  <c r="P1009" i="4"/>
  <c r="R1009" i="4" s="1"/>
  <c r="S1009" i="4" s="1"/>
  <c r="P1010" i="4"/>
  <c r="P1011" i="4"/>
  <c r="R1011" i="4" s="1"/>
  <c r="S1011" i="4" s="1"/>
  <c r="P1012" i="4"/>
  <c r="R1012" i="4" s="1"/>
  <c r="S1012" i="4" s="1"/>
  <c r="P1013" i="4"/>
  <c r="P1014" i="4"/>
  <c r="P1015" i="4"/>
  <c r="R1015" i="4" s="1"/>
  <c r="S1015" i="4" s="1"/>
  <c r="P1016" i="4"/>
  <c r="R1016" i="4" s="1"/>
  <c r="S1016" i="4" s="1"/>
  <c r="P1017" i="4"/>
  <c r="R1017" i="4" s="1"/>
  <c r="S1017" i="4" s="1"/>
  <c r="P1018" i="4"/>
  <c r="P1019" i="4"/>
  <c r="R1019" i="4" s="1"/>
  <c r="S1019" i="4" s="1"/>
  <c r="P1020" i="4"/>
  <c r="R1020" i="4" s="1"/>
  <c r="S1020" i="4" s="1"/>
  <c r="P1021" i="4"/>
  <c r="P1022" i="4"/>
  <c r="P1023" i="4"/>
  <c r="R1023" i="4" s="1"/>
  <c r="S1023" i="4" s="1"/>
  <c r="P1024" i="4"/>
  <c r="R1024" i="4" s="1"/>
  <c r="S1024" i="4" s="1"/>
  <c r="P1025" i="4"/>
  <c r="R1025" i="4" s="1"/>
  <c r="S1025" i="4" s="1"/>
  <c r="P1026" i="4"/>
  <c r="P1027" i="4"/>
  <c r="R1027" i="4" s="1"/>
  <c r="S1027" i="4" s="1"/>
  <c r="P1028" i="4"/>
  <c r="R1028" i="4" s="1"/>
  <c r="S1028" i="4" s="1"/>
  <c r="P1029" i="4"/>
  <c r="P1030" i="4"/>
  <c r="P1031" i="4"/>
  <c r="R1031" i="4" s="1"/>
  <c r="S1031" i="4" s="1"/>
  <c r="P1032" i="4"/>
  <c r="R1032" i="4" s="1"/>
  <c r="S1032" i="4" s="1"/>
  <c r="P1033" i="4"/>
  <c r="R1033" i="4" s="1"/>
  <c r="S1033" i="4" s="1"/>
  <c r="P1034" i="4"/>
  <c r="P1035" i="4"/>
  <c r="R1035" i="4" s="1"/>
  <c r="S1035" i="4" s="1"/>
  <c r="P1036" i="4"/>
  <c r="R1036" i="4" s="1"/>
  <c r="S1036" i="4" s="1"/>
  <c r="P1037" i="4"/>
  <c r="P1038" i="4"/>
  <c r="R1038" i="4" s="1"/>
  <c r="S1038" i="4" s="1"/>
  <c r="P1039" i="4"/>
  <c r="R1039" i="4" s="1"/>
  <c r="S1039" i="4" s="1"/>
  <c r="P1040" i="4"/>
  <c r="R1040" i="4" s="1"/>
  <c r="S1040" i="4" s="1"/>
  <c r="P1041" i="4"/>
  <c r="R1041" i="4" s="1"/>
  <c r="S1041" i="4" s="1"/>
  <c r="P1042" i="4"/>
  <c r="P1043" i="4"/>
  <c r="R1043" i="4" s="1"/>
  <c r="S1043" i="4" s="1"/>
  <c r="P1044" i="4"/>
  <c r="R1044" i="4" s="1"/>
  <c r="S1044" i="4" s="1"/>
  <c r="P1045" i="4"/>
  <c r="P1046" i="4"/>
  <c r="R1046" i="4" s="1"/>
  <c r="S1046" i="4" s="1"/>
  <c r="P1047" i="4"/>
  <c r="R1047" i="4" s="1"/>
  <c r="S1047" i="4" s="1"/>
  <c r="P1048" i="4"/>
  <c r="R1048" i="4" s="1"/>
  <c r="S1048" i="4" s="1"/>
  <c r="P1049" i="4"/>
  <c r="R1049" i="4" s="1"/>
  <c r="S1049" i="4" s="1"/>
  <c r="P1050" i="4"/>
  <c r="P1051" i="4"/>
  <c r="R1051" i="4" s="1"/>
  <c r="S1051" i="4" s="1"/>
  <c r="P1052" i="4"/>
  <c r="R1052" i="4" s="1"/>
  <c r="S1052" i="4" s="1"/>
  <c r="P1053" i="4"/>
  <c r="P1054" i="4"/>
  <c r="R1054" i="4" s="1"/>
  <c r="S1054" i="4" s="1"/>
  <c r="P1055" i="4"/>
  <c r="R1055" i="4" s="1"/>
  <c r="S1055" i="4" s="1"/>
  <c r="P1056" i="4"/>
  <c r="R1056" i="4" s="1"/>
  <c r="S1056" i="4" s="1"/>
  <c r="P1057" i="4"/>
  <c r="R1057" i="4" s="1"/>
  <c r="S1057" i="4" s="1"/>
  <c r="P1058" i="4"/>
  <c r="P1059" i="4"/>
  <c r="R1059" i="4" s="1"/>
  <c r="S1059" i="4" s="1"/>
  <c r="P1060" i="4"/>
  <c r="R1060" i="4" s="1"/>
  <c r="S1060" i="4" s="1"/>
  <c r="P1061" i="4"/>
  <c r="P1062" i="4"/>
  <c r="R1062" i="4" s="1"/>
  <c r="S1062" i="4" s="1"/>
  <c r="P1063" i="4"/>
  <c r="R1063" i="4" s="1"/>
  <c r="S1063" i="4" s="1"/>
  <c r="P1064" i="4"/>
  <c r="R1064" i="4" s="1"/>
  <c r="S1064" i="4" s="1"/>
  <c r="P1065" i="4"/>
  <c r="R1065" i="4" s="1"/>
  <c r="S1065" i="4" s="1"/>
  <c r="P1066" i="4"/>
  <c r="P1067" i="4"/>
  <c r="R1067" i="4" s="1"/>
  <c r="S1067" i="4" s="1"/>
  <c r="P1068" i="4"/>
  <c r="R1068" i="4" s="1"/>
  <c r="S1068" i="4" s="1"/>
  <c r="P1069" i="4"/>
  <c r="P1070" i="4"/>
  <c r="R1070" i="4" s="1"/>
  <c r="S1070" i="4" s="1"/>
  <c r="P1071" i="4"/>
  <c r="R1071" i="4" s="1"/>
  <c r="S1071" i="4" s="1"/>
  <c r="P1072" i="4"/>
  <c r="R1072" i="4" s="1"/>
  <c r="S1072" i="4" s="1"/>
  <c r="P1073" i="4"/>
  <c r="R1073" i="4" s="1"/>
  <c r="S1073" i="4" s="1"/>
  <c r="P1074" i="4"/>
  <c r="P1075" i="4"/>
  <c r="R1075" i="4" s="1"/>
  <c r="S1075" i="4" s="1"/>
  <c r="P1076" i="4"/>
  <c r="R1076" i="4" s="1"/>
  <c r="S1076" i="4" s="1"/>
  <c r="P1077" i="4"/>
  <c r="P1078" i="4"/>
  <c r="R1078" i="4" s="1"/>
  <c r="S1078" i="4" s="1"/>
  <c r="P1079" i="4"/>
  <c r="R1079" i="4" s="1"/>
  <c r="S1079" i="4" s="1"/>
  <c r="P1080" i="4"/>
  <c r="R1080" i="4" s="1"/>
  <c r="S1080" i="4" s="1"/>
  <c r="P1081" i="4"/>
  <c r="R1081" i="4" s="1"/>
  <c r="S1081" i="4" s="1"/>
  <c r="P1082" i="4"/>
  <c r="P1083" i="4"/>
  <c r="R1083" i="4" s="1"/>
  <c r="S1083" i="4" s="1"/>
  <c r="P1084" i="4"/>
  <c r="R1084" i="4" s="1"/>
  <c r="S1084" i="4" s="1"/>
  <c r="P1085" i="4"/>
  <c r="P1086" i="4"/>
  <c r="R1086" i="4" s="1"/>
  <c r="S1086" i="4" s="1"/>
  <c r="P1087" i="4"/>
  <c r="R1087" i="4" s="1"/>
  <c r="S1087" i="4" s="1"/>
  <c r="P1088" i="4"/>
  <c r="R1088" i="4" s="1"/>
  <c r="S1088" i="4" s="1"/>
  <c r="P1089" i="4"/>
  <c r="R1089" i="4" s="1"/>
  <c r="S1089" i="4" s="1"/>
  <c r="P1090" i="4"/>
  <c r="P1091" i="4"/>
  <c r="R1091" i="4" s="1"/>
  <c r="S1091" i="4" s="1"/>
  <c r="P1092" i="4"/>
  <c r="R1092" i="4" s="1"/>
  <c r="S1092" i="4" s="1"/>
  <c r="P1093" i="4"/>
  <c r="P1094" i="4"/>
  <c r="R1094" i="4" s="1"/>
  <c r="S1094" i="4" s="1"/>
  <c r="P1095" i="4"/>
  <c r="R1095" i="4" s="1"/>
  <c r="S1095" i="4" s="1"/>
  <c r="P1096" i="4"/>
  <c r="R1096" i="4" s="1"/>
  <c r="S1096" i="4" s="1"/>
  <c r="P1097" i="4"/>
  <c r="R1097" i="4" s="1"/>
  <c r="S1097" i="4" s="1"/>
  <c r="P1098" i="4"/>
  <c r="P1099" i="4"/>
  <c r="R1099" i="4" s="1"/>
  <c r="S1099" i="4" s="1"/>
  <c r="P1100" i="4"/>
  <c r="R1100" i="4" s="1"/>
  <c r="S1100" i="4" s="1"/>
  <c r="P1101" i="4"/>
  <c r="P1102" i="4"/>
  <c r="R1102" i="4" s="1"/>
  <c r="S1102" i="4" s="1"/>
  <c r="P1103" i="4"/>
  <c r="R1103" i="4" s="1"/>
  <c r="S1103" i="4" s="1"/>
  <c r="P1104" i="4"/>
  <c r="R1104" i="4" s="1"/>
  <c r="S1104" i="4" s="1"/>
  <c r="P1105" i="4"/>
  <c r="R1105" i="4" s="1"/>
  <c r="S1105" i="4" s="1"/>
  <c r="P1106" i="4"/>
  <c r="P1107" i="4"/>
  <c r="R1107" i="4" s="1"/>
  <c r="S1107" i="4" s="1"/>
  <c r="P1108" i="4"/>
  <c r="R1108" i="4" s="1"/>
  <c r="S1108" i="4" s="1"/>
  <c r="P1109" i="4"/>
  <c r="P1110" i="4"/>
  <c r="R1110" i="4" s="1"/>
  <c r="S1110" i="4" s="1"/>
  <c r="P1111" i="4"/>
  <c r="R1111" i="4" s="1"/>
  <c r="S1111" i="4" s="1"/>
  <c r="P1112" i="4"/>
  <c r="R1112" i="4" s="1"/>
  <c r="S1112" i="4" s="1"/>
  <c r="P1113" i="4"/>
  <c r="R1113" i="4" s="1"/>
  <c r="S1113" i="4" s="1"/>
  <c r="P1114" i="4"/>
  <c r="P1115" i="4"/>
  <c r="R1115" i="4" s="1"/>
  <c r="S1115" i="4" s="1"/>
  <c r="P1116" i="4"/>
  <c r="R1116" i="4" s="1"/>
  <c r="S1116" i="4" s="1"/>
  <c r="P1117" i="4"/>
  <c r="P1118" i="4"/>
  <c r="R1118" i="4" s="1"/>
  <c r="S1118" i="4" s="1"/>
  <c r="P1119" i="4"/>
  <c r="R1119" i="4" s="1"/>
  <c r="S1119" i="4" s="1"/>
  <c r="P1120" i="4"/>
  <c r="R1120" i="4" s="1"/>
  <c r="S1120" i="4" s="1"/>
  <c r="P1121" i="4"/>
  <c r="R1121" i="4" s="1"/>
  <c r="S1121" i="4" s="1"/>
  <c r="P1122" i="4"/>
  <c r="P1123" i="4"/>
  <c r="R1123" i="4" s="1"/>
  <c r="S1123" i="4" s="1"/>
  <c r="P1124" i="4"/>
  <c r="R1124" i="4" s="1"/>
  <c r="S1124" i="4" s="1"/>
  <c r="P1125" i="4"/>
  <c r="P1126" i="4"/>
  <c r="R1126" i="4" s="1"/>
  <c r="S1126" i="4" s="1"/>
  <c r="P1127" i="4"/>
  <c r="R1127" i="4" s="1"/>
  <c r="S1127" i="4" s="1"/>
  <c r="P1128" i="4"/>
  <c r="R1128" i="4" s="1"/>
  <c r="S1128" i="4" s="1"/>
  <c r="P1129" i="4"/>
  <c r="R1129" i="4" s="1"/>
  <c r="S1129" i="4" s="1"/>
  <c r="P1130" i="4"/>
  <c r="P1131" i="4"/>
  <c r="R1131" i="4" s="1"/>
  <c r="S1131" i="4" s="1"/>
  <c r="P1132" i="4"/>
  <c r="R1132" i="4" s="1"/>
  <c r="S1132" i="4" s="1"/>
  <c r="P1133" i="4"/>
  <c r="P1134" i="4"/>
  <c r="R1134" i="4" s="1"/>
  <c r="S1134" i="4" s="1"/>
  <c r="P1135" i="4"/>
  <c r="R1135" i="4" s="1"/>
  <c r="S1135" i="4" s="1"/>
  <c r="P1136" i="4"/>
  <c r="R1136" i="4" s="1"/>
  <c r="S1136" i="4" s="1"/>
  <c r="P1137" i="4"/>
  <c r="R1137" i="4" s="1"/>
  <c r="S1137" i="4" s="1"/>
  <c r="P1138" i="4"/>
  <c r="P1139" i="4"/>
  <c r="R1139" i="4" s="1"/>
  <c r="S1139" i="4" s="1"/>
  <c r="P1140" i="4"/>
  <c r="R1140" i="4" s="1"/>
  <c r="S1140" i="4" s="1"/>
  <c r="P1141" i="4"/>
  <c r="P1142" i="4"/>
  <c r="R1142" i="4" s="1"/>
  <c r="S1142" i="4" s="1"/>
  <c r="P1143" i="4"/>
  <c r="R1143" i="4" s="1"/>
  <c r="S1143" i="4" s="1"/>
  <c r="P1144" i="4"/>
  <c r="R1144" i="4" s="1"/>
  <c r="S1144" i="4" s="1"/>
  <c r="P1145" i="4"/>
  <c r="R1145" i="4" s="1"/>
  <c r="S1145" i="4" s="1"/>
  <c r="P1146" i="4"/>
  <c r="P1147" i="4"/>
  <c r="R1147" i="4" s="1"/>
  <c r="S1147" i="4" s="1"/>
  <c r="P1148" i="4"/>
  <c r="R1148" i="4" s="1"/>
  <c r="S1148" i="4" s="1"/>
  <c r="P1149" i="4"/>
  <c r="P1150" i="4"/>
  <c r="R1150" i="4" s="1"/>
  <c r="S1150" i="4" s="1"/>
  <c r="P1151" i="4"/>
  <c r="R1151" i="4" s="1"/>
  <c r="S1151" i="4" s="1"/>
  <c r="P1152" i="4"/>
  <c r="R1152" i="4" s="1"/>
  <c r="S1152" i="4" s="1"/>
  <c r="P1153" i="4"/>
  <c r="R1153" i="4" s="1"/>
  <c r="S1153" i="4" s="1"/>
  <c r="P1154" i="4"/>
  <c r="P1155" i="4"/>
  <c r="R1155" i="4" s="1"/>
  <c r="S1155" i="4" s="1"/>
  <c r="P1156" i="4"/>
  <c r="R1156" i="4" s="1"/>
  <c r="S1156" i="4" s="1"/>
  <c r="P1157" i="4"/>
  <c r="P1158" i="4"/>
  <c r="R1158" i="4" s="1"/>
  <c r="S1158" i="4" s="1"/>
  <c r="P1159" i="4"/>
  <c r="R1159" i="4" s="1"/>
  <c r="S1159" i="4" s="1"/>
  <c r="P1160" i="4"/>
  <c r="R1160" i="4" s="1"/>
  <c r="S1160" i="4" s="1"/>
  <c r="P1161" i="4"/>
  <c r="R1161" i="4" s="1"/>
  <c r="S1161" i="4" s="1"/>
  <c r="P1162" i="4"/>
  <c r="P1163" i="4"/>
  <c r="R1163" i="4" s="1"/>
  <c r="S1163" i="4" s="1"/>
  <c r="P1164" i="4"/>
  <c r="R1164" i="4" s="1"/>
  <c r="S1164" i="4" s="1"/>
  <c r="P1165" i="4"/>
  <c r="P1166" i="4"/>
  <c r="R1166" i="4" s="1"/>
  <c r="S1166" i="4" s="1"/>
  <c r="P1167" i="4"/>
  <c r="R1167" i="4" s="1"/>
  <c r="S1167" i="4" s="1"/>
  <c r="P1168" i="4"/>
  <c r="R1168" i="4" s="1"/>
  <c r="S1168" i="4" s="1"/>
  <c r="P1169" i="4"/>
  <c r="R1169" i="4" s="1"/>
  <c r="S1169" i="4" s="1"/>
  <c r="P1170" i="4"/>
  <c r="P1171" i="4"/>
  <c r="R1171" i="4" s="1"/>
  <c r="S1171" i="4" s="1"/>
  <c r="P1172" i="4"/>
  <c r="R1172" i="4" s="1"/>
  <c r="S1172" i="4" s="1"/>
  <c r="P1173" i="4"/>
  <c r="P1174" i="4"/>
  <c r="R1174" i="4" s="1"/>
  <c r="S1174" i="4" s="1"/>
  <c r="P1175" i="4"/>
  <c r="R1175" i="4" s="1"/>
  <c r="S1175" i="4" s="1"/>
  <c r="P1176" i="4"/>
  <c r="R1176" i="4" s="1"/>
  <c r="S1176" i="4" s="1"/>
  <c r="P1177" i="4"/>
  <c r="R1177" i="4" s="1"/>
  <c r="S1177" i="4" s="1"/>
  <c r="P1178" i="4"/>
  <c r="P1179" i="4"/>
  <c r="R1179" i="4" s="1"/>
  <c r="S1179" i="4" s="1"/>
  <c r="P1180" i="4"/>
  <c r="R1180" i="4" s="1"/>
  <c r="S1180" i="4" s="1"/>
  <c r="P1181" i="4"/>
  <c r="P1182" i="4"/>
  <c r="R1182" i="4" s="1"/>
  <c r="S1182" i="4" s="1"/>
  <c r="P1183" i="4"/>
  <c r="R1183" i="4" s="1"/>
  <c r="S1183" i="4" s="1"/>
  <c r="P1184" i="4"/>
  <c r="R1184" i="4" s="1"/>
  <c r="S1184" i="4" s="1"/>
  <c r="P1185" i="4"/>
  <c r="R1185" i="4" s="1"/>
  <c r="S1185" i="4" s="1"/>
  <c r="P1186" i="4"/>
  <c r="P1187" i="4"/>
  <c r="R1187" i="4" s="1"/>
  <c r="S1187" i="4" s="1"/>
  <c r="P1188" i="4"/>
  <c r="R1188" i="4" s="1"/>
  <c r="S1188" i="4" s="1"/>
  <c r="P1189" i="4"/>
  <c r="P1190" i="4"/>
  <c r="R1190" i="4" s="1"/>
  <c r="S1190" i="4" s="1"/>
  <c r="P1191" i="4"/>
  <c r="R1191" i="4" s="1"/>
  <c r="S1191" i="4" s="1"/>
  <c r="P1192" i="4"/>
  <c r="R1192" i="4" s="1"/>
  <c r="S1192" i="4" s="1"/>
  <c r="P1193" i="4"/>
  <c r="R1193" i="4" s="1"/>
  <c r="S1193" i="4" s="1"/>
  <c r="P1194" i="4"/>
  <c r="P1195" i="4"/>
  <c r="R1195" i="4" s="1"/>
  <c r="S1195" i="4" s="1"/>
  <c r="P1196" i="4"/>
  <c r="R1196" i="4" s="1"/>
  <c r="S1196" i="4" s="1"/>
  <c r="P1197" i="4"/>
  <c r="P1198" i="4"/>
  <c r="R1198" i="4" s="1"/>
  <c r="S1198" i="4" s="1"/>
  <c r="P1199" i="4"/>
  <c r="R1199" i="4" s="1"/>
  <c r="S1199" i="4" s="1"/>
  <c r="P1200" i="4"/>
  <c r="R1200" i="4" s="1"/>
  <c r="S1200" i="4" s="1"/>
  <c r="P1201" i="4"/>
  <c r="R1201" i="4" s="1"/>
  <c r="S1201" i="4" s="1"/>
  <c r="P1202" i="4"/>
  <c r="P1203" i="4"/>
  <c r="R1203" i="4" s="1"/>
  <c r="S1203" i="4" s="1"/>
  <c r="P1204" i="4"/>
  <c r="R1204" i="4" s="1"/>
  <c r="S1204" i="4" s="1"/>
  <c r="P1205" i="4"/>
  <c r="P1206" i="4"/>
  <c r="R1206" i="4" s="1"/>
  <c r="S1206" i="4" s="1"/>
  <c r="P1207" i="4"/>
  <c r="R1207" i="4" s="1"/>
  <c r="S1207" i="4" s="1"/>
  <c r="P1208" i="4"/>
  <c r="R1208" i="4" s="1"/>
  <c r="S1208" i="4" s="1"/>
  <c r="P1209" i="4"/>
  <c r="R1209" i="4" s="1"/>
  <c r="S1209" i="4" s="1"/>
  <c r="P1210" i="4"/>
  <c r="P1211" i="4"/>
  <c r="R1211" i="4" s="1"/>
  <c r="S1211" i="4" s="1"/>
  <c r="P1212" i="4"/>
  <c r="R1212" i="4" s="1"/>
  <c r="S1212" i="4" s="1"/>
  <c r="P1213" i="4"/>
  <c r="P1214" i="4"/>
  <c r="R1214" i="4" s="1"/>
  <c r="S1214" i="4" s="1"/>
  <c r="P1215" i="4"/>
  <c r="R1215" i="4" s="1"/>
  <c r="S1215" i="4" s="1"/>
  <c r="P1216" i="4"/>
  <c r="R1216" i="4" s="1"/>
  <c r="S1216" i="4" s="1"/>
  <c r="P1217" i="4"/>
  <c r="R1217" i="4" s="1"/>
  <c r="S1217" i="4" s="1"/>
  <c r="P1218" i="4"/>
  <c r="P1219" i="4"/>
  <c r="R1219" i="4" s="1"/>
  <c r="S1219" i="4" s="1"/>
  <c r="P1220" i="4"/>
  <c r="R1220" i="4" s="1"/>
  <c r="S1220" i="4" s="1"/>
  <c r="P1221" i="4"/>
  <c r="P1222" i="4"/>
  <c r="R1222" i="4" s="1"/>
  <c r="S1222" i="4" s="1"/>
  <c r="P1223" i="4"/>
  <c r="R1223" i="4" s="1"/>
  <c r="S1223" i="4" s="1"/>
  <c r="P1224" i="4"/>
  <c r="R1224" i="4" s="1"/>
  <c r="S1224" i="4" s="1"/>
  <c r="P1225" i="4"/>
  <c r="R1225" i="4" s="1"/>
  <c r="S1225" i="4" s="1"/>
  <c r="P1226" i="4"/>
  <c r="P1227" i="4"/>
  <c r="R1227" i="4" s="1"/>
  <c r="S1227" i="4" s="1"/>
  <c r="P1228" i="4"/>
  <c r="R1228" i="4" s="1"/>
  <c r="S1228" i="4" s="1"/>
  <c r="P1229" i="4"/>
  <c r="P1230" i="4"/>
  <c r="R1230" i="4" s="1"/>
  <c r="S1230" i="4" s="1"/>
  <c r="P1231" i="4"/>
  <c r="R1231" i="4" s="1"/>
  <c r="S1231" i="4" s="1"/>
  <c r="P1232" i="4"/>
  <c r="R1232" i="4" s="1"/>
  <c r="S1232" i="4" s="1"/>
  <c r="P1233" i="4"/>
  <c r="R1233" i="4" s="1"/>
  <c r="S1233" i="4" s="1"/>
  <c r="P1234" i="4"/>
  <c r="P1235" i="4"/>
  <c r="R1235" i="4" s="1"/>
  <c r="S1235" i="4" s="1"/>
  <c r="P1236" i="4"/>
  <c r="R1236" i="4" s="1"/>
  <c r="S1236" i="4" s="1"/>
  <c r="P1237" i="4"/>
  <c r="P1238" i="4"/>
  <c r="R1238" i="4" s="1"/>
  <c r="S1238" i="4" s="1"/>
  <c r="P1239" i="4"/>
  <c r="R1239" i="4" s="1"/>
  <c r="S1239" i="4" s="1"/>
  <c r="P1240" i="4"/>
  <c r="R1240" i="4" s="1"/>
  <c r="S1240" i="4" s="1"/>
  <c r="P1241" i="4"/>
  <c r="R1241" i="4" s="1"/>
  <c r="S1241" i="4" s="1"/>
  <c r="P1242" i="4"/>
  <c r="P1243" i="4"/>
  <c r="R1243" i="4" s="1"/>
  <c r="S1243" i="4" s="1"/>
  <c r="P1244" i="4"/>
  <c r="R1244" i="4" s="1"/>
  <c r="S1244" i="4" s="1"/>
  <c r="P1245" i="4"/>
  <c r="P1246" i="4"/>
  <c r="R1246" i="4" s="1"/>
  <c r="S1246" i="4" s="1"/>
  <c r="P1247" i="4"/>
  <c r="R1247" i="4" s="1"/>
  <c r="S1247" i="4" s="1"/>
  <c r="P1248" i="4"/>
  <c r="R1248" i="4" s="1"/>
  <c r="S1248" i="4" s="1"/>
  <c r="P1249" i="4"/>
  <c r="R1249" i="4" s="1"/>
  <c r="S1249" i="4" s="1"/>
  <c r="P1250" i="4"/>
  <c r="P1251" i="4"/>
  <c r="R1251" i="4" s="1"/>
  <c r="S1251" i="4" s="1"/>
  <c r="P1252" i="4"/>
  <c r="R1252" i="4" s="1"/>
  <c r="S1252" i="4" s="1"/>
  <c r="P1253" i="4"/>
  <c r="P1254" i="4"/>
  <c r="R1254" i="4" s="1"/>
  <c r="S1254" i="4" s="1"/>
  <c r="P1255" i="4"/>
  <c r="R1255" i="4" s="1"/>
  <c r="S1255" i="4" s="1"/>
  <c r="P1256" i="4"/>
  <c r="R1256" i="4" s="1"/>
  <c r="S1256" i="4" s="1"/>
  <c r="P1257" i="4"/>
  <c r="R1257" i="4" s="1"/>
  <c r="S1257" i="4" s="1"/>
  <c r="P1258" i="4"/>
  <c r="P1259" i="4"/>
  <c r="R1259" i="4" s="1"/>
  <c r="S1259" i="4" s="1"/>
  <c r="P1260" i="4"/>
  <c r="R1260" i="4" s="1"/>
  <c r="S1260" i="4" s="1"/>
  <c r="P1261" i="4"/>
  <c r="P1262" i="4"/>
  <c r="R1262" i="4" s="1"/>
  <c r="S1262" i="4" s="1"/>
  <c r="P1263" i="4"/>
  <c r="R1263" i="4" s="1"/>
  <c r="S1263" i="4" s="1"/>
  <c r="P1264" i="4"/>
  <c r="R1264" i="4" s="1"/>
  <c r="S1264" i="4" s="1"/>
  <c r="P1265" i="4"/>
  <c r="R1265" i="4" s="1"/>
  <c r="S1265" i="4" s="1"/>
  <c r="P1266" i="4"/>
  <c r="P1267" i="4"/>
  <c r="R1267" i="4" s="1"/>
  <c r="S1267" i="4" s="1"/>
  <c r="P1268" i="4"/>
  <c r="R1268" i="4" s="1"/>
  <c r="S1268" i="4" s="1"/>
  <c r="P1269" i="4"/>
  <c r="P1270" i="4"/>
  <c r="R1270" i="4" s="1"/>
  <c r="S1270" i="4" s="1"/>
  <c r="P1271" i="4"/>
  <c r="R1271" i="4" s="1"/>
  <c r="S1271" i="4" s="1"/>
  <c r="P1272" i="4"/>
  <c r="R1272" i="4" s="1"/>
  <c r="S1272" i="4" s="1"/>
  <c r="P1273" i="4"/>
  <c r="R1273" i="4" s="1"/>
  <c r="S1273" i="4" s="1"/>
  <c r="P1274" i="4"/>
  <c r="P1275" i="4"/>
  <c r="R1275" i="4" s="1"/>
  <c r="S1275" i="4" s="1"/>
  <c r="P1276" i="4"/>
  <c r="R1276" i="4" s="1"/>
  <c r="S1276" i="4" s="1"/>
  <c r="P1277" i="4"/>
  <c r="P1278" i="4"/>
  <c r="R1278" i="4" s="1"/>
  <c r="S1278" i="4" s="1"/>
  <c r="P1279" i="4"/>
  <c r="R1279" i="4" s="1"/>
  <c r="S1279" i="4" s="1"/>
  <c r="P1280" i="4"/>
  <c r="R1280" i="4" s="1"/>
  <c r="S1280" i="4" s="1"/>
  <c r="P1281" i="4"/>
  <c r="R1281" i="4" s="1"/>
  <c r="S1281" i="4" s="1"/>
  <c r="P1282" i="4"/>
  <c r="P1283" i="4"/>
  <c r="R1283" i="4" s="1"/>
  <c r="S1283" i="4" s="1"/>
  <c r="P1284" i="4"/>
  <c r="R1284" i="4" s="1"/>
  <c r="S1284" i="4" s="1"/>
  <c r="P1285" i="4"/>
  <c r="P1286" i="4"/>
  <c r="R1286" i="4" s="1"/>
  <c r="S1286" i="4" s="1"/>
  <c r="P1287" i="4"/>
  <c r="R1287" i="4" s="1"/>
  <c r="S1287" i="4" s="1"/>
  <c r="P1288" i="4"/>
  <c r="R1288" i="4" s="1"/>
  <c r="S1288" i="4" s="1"/>
  <c r="P1289" i="4"/>
  <c r="R1289" i="4" s="1"/>
  <c r="S1289" i="4" s="1"/>
  <c r="P1290" i="4"/>
  <c r="P1291" i="4"/>
  <c r="R1291" i="4" s="1"/>
  <c r="S1291" i="4" s="1"/>
  <c r="P1292" i="4"/>
  <c r="R1292" i="4" s="1"/>
  <c r="S1292" i="4" s="1"/>
  <c r="P1293" i="4"/>
  <c r="P1294" i="4"/>
  <c r="R1294" i="4" s="1"/>
  <c r="S1294" i="4" s="1"/>
  <c r="P1295" i="4"/>
  <c r="R1295" i="4" s="1"/>
  <c r="S1295" i="4" s="1"/>
  <c r="P1296" i="4"/>
  <c r="R1296" i="4" s="1"/>
  <c r="S1296" i="4" s="1"/>
  <c r="P1297" i="4"/>
  <c r="R1297" i="4" s="1"/>
  <c r="S1297" i="4" s="1"/>
  <c r="P1298" i="4"/>
  <c r="P1299" i="4"/>
  <c r="R1299" i="4" s="1"/>
  <c r="S1299" i="4" s="1"/>
  <c r="P1300" i="4"/>
  <c r="R1300" i="4" s="1"/>
  <c r="S1300" i="4" s="1"/>
  <c r="P1301" i="4"/>
  <c r="P1302" i="4"/>
  <c r="R1302" i="4" s="1"/>
  <c r="S1302" i="4" s="1"/>
  <c r="P1303" i="4"/>
  <c r="R1303" i="4" s="1"/>
  <c r="S1303" i="4" s="1"/>
  <c r="P1304" i="4"/>
  <c r="R1304" i="4" s="1"/>
  <c r="S1304" i="4" s="1"/>
  <c r="P1305" i="4"/>
  <c r="R1305" i="4" s="1"/>
  <c r="S1305" i="4" s="1"/>
  <c r="P1306" i="4"/>
  <c r="R1306" i="4" s="1"/>
  <c r="S1306" i="4" s="1"/>
  <c r="P1307" i="4"/>
  <c r="R1307" i="4" s="1"/>
  <c r="S1307" i="4" s="1"/>
  <c r="P1308" i="4"/>
  <c r="R1308" i="4" s="1"/>
  <c r="S1308" i="4" s="1"/>
  <c r="P1309" i="4"/>
  <c r="P1310" i="4"/>
  <c r="R1310" i="4" s="1"/>
  <c r="S1310" i="4" s="1"/>
  <c r="P1311" i="4"/>
  <c r="R1311" i="4" s="1"/>
  <c r="S1311" i="4" s="1"/>
  <c r="P1312" i="4"/>
  <c r="R1312" i="4" s="1"/>
  <c r="S1312" i="4" s="1"/>
  <c r="P1313" i="4"/>
  <c r="R1313" i="4" s="1"/>
  <c r="S1313" i="4" s="1"/>
  <c r="P1314" i="4"/>
  <c r="P1315" i="4"/>
  <c r="R1315" i="4" s="1"/>
  <c r="S1315" i="4" s="1"/>
  <c r="P1316" i="4"/>
  <c r="R1316" i="4" s="1"/>
  <c r="S1316" i="4" s="1"/>
  <c r="P1317" i="4"/>
  <c r="P1318" i="4"/>
  <c r="R1318" i="4" s="1"/>
  <c r="S1318" i="4" s="1"/>
  <c r="P1319" i="4"/>
  <c r="R1319" i="4" s="1"/>
  <c r="S1319" i="4" s="1"/>
  <c r="P1320" i="4"/>
  <c r="R1320" i="4" s="1"/>
  <c r="S1320" i="4" s="1"/>
  <c r="P1321" i="4"/>
  <c r="R1321" i="4" s="1"/>
  <c r="S1321" i="4" s="1"/>
  <c r="P1322" i="4"/>
  <c r="P1323" i="4"/>
  <c r="R1323" i="4" s="1"/>
  <c r="S1323" i="4" s="1"/>
  <c r="P1324" i="4"/>
  <c r="R1324" i="4" s="1"/>
  <c r="S1324" i="4" s="1"/>
  <c r="P1325" i="4"/>
  <c r="P1326" i="4"/>
  <c r="R1326" i="4" s="1"/>
  <c r="S1326" i="4" s="1"/>
  <c r="P1327" i="4"/>
  <c r="R1327" i="4" s="1"/>
  <c r="S1327" i="4" s="1"/>
  <c r="P1328" i="4"/>
  <c r="R1328" i="4" s="1"/>
  <c r="S1328" i="4" s="1"/>
  <c r="P1329" i="4"/>
  <c r="R1329" i="4" s="1"/>
  <c r="S1329" i="4" s="1"/>
  <c r="P1330" i="4"/>
  <c r="P1331" i="4"/>
  <c r="R1331" i="4" s="1"/>
  <c r="S1331" i="4" s="1"/>
  <c r="P1332" i="4"/>
  <c r="R1332" i="4" s="1"/>
  <c r="S1332" i="4" s="1"/>
  <c r="P1333" i="4"/>
  <c r="P1334" i="4"/>
  <c r="R1334" i="4" s="1"/>
  <c r="S1334" i="4" s="1"/>
  <c r="P1335" i="4"/>
  <c r="R1335" i="4" s="1"/>
  <c r="S1335" i="4" s="1"/>
  <c r="P1336" i="4"/>
  <c r="R1336" i="4" s="1"/>
  <c r="S1336" i="4" s="1"/>
  <c r="P1337" i="4"/>
  <c r="R1337" i="4" s="1"/>
  <c r="S1337" i="4" s="1"/>
  <c r="P1338" i="4"/>
  <c r="P1339" i="4"/>
  <c r="R1339" i="4" s="1"/>
  <c r="S1339" i="4" s="1"/>
  <c r="P1340" i="4"/>
  <c r="R1340" i="4" s="1"/>
  <c r="S1340" i="4" s="1"/>
  <c r="P1341" i="4"/>
  <c r="P1342" i="4"/>
  <c r="R1342" i="4" s="1"/>
  <c r="S1342" i="4" s="1"/>
  <c r="P1343" i="4"/>
  <c r="R1343" i="4" s="1"/>
  <c r="S1343" i="4" s="1"/>
  <c r="P1344" i="4"/>
  <c r="R1344" i="4" s="1"/>
  <c r="S1344" i="4" s="1"/>
  <c r="P1345" i="4"/>
  <c r="R1345" i="4" s="1"/>
  <c r="S1345" i="4" s="1"/>
  <c r="P1346" i="4"/>
  <c r="P1347" i="4"/>
  <c r="R1347" i="4" s="1"/>
  <c r="S1347" i="4" s="1"/>
  <c r="P1348" i="4"/>
  <c r="R1348" i="4" s="1"/>
  <c r="S1348" i="4" s="1"/>
  <c r="P1349" i="4"/>
  <c r="P1350" i="4"/>
  <c r="R1350" i="4" s="1"/>
  <c r="S1350" i="4" s="1"/>
  <c r="P1351" i="4"/>
  <c r="R1351" i="4" s="1"/>
  <c r="S1351" i="4" s="1"/>
  <c r="P1352" i="4"/>
  <c r="R1352" i="4" s="1"/>
  <c r="S1352" i="4" s="1"/>
  <c r="P1353" i="4"/>
  <c r="R1353" i="4" s="1"/>
  <c r="S1353" i="4" s="1"/>
  <c r="P1354" i="4"/>
  <c r="R1354" i="4" s="1"/>
  <c r="S1354" i="4" s="1"/>
  <c r="P1355" i="4"/>
  <c r="R1355" i="4" s="1"/>
  <c r="S1355" i="4" s="1"/>
  <c r="P1356" i="4"/>
  <c r="R1356" i="4" s="1"/>
  <c r="S1356" i="4" s="1"/>
  <c r="P1357" i="4"/>
  <c r="P1358" i="4"/>
  <c r="R1358" i="4" s="1"/>
  <c r="S1358" i="4" s="1"/>
  <c r="P1359" i="4"/>
  <c r="R1359" i="4" s="1"/>
  <c r="S1359" i="4" s="1"/>
  <c r="P1360" i="4"/>
  <c r="R1360" i="4" s="1"/>
  <c r="S1360" i="4" s="1"/>
  <c r="P1361" i="4"/>
  <c r="R1361" i="4" s="1"/>
  <c r="S1361" i="4" s="1"/>
  <c r="P1362" i="4"/>
  <c r="P1363" i="4"/>
  <c r="R1363" i="4" s="1"/>
  <c r="S1363" i="4" s="1"/>
  <c r="P1364" i="4"/>
  <c r="R1364" i="4" s="1"/>
  <c r="S1364" i="4" s="1"/>
  <c r="P1365" i="4"/>
  <c r="P1366" i="4"/>
  <c r="R1366" i="4" s="1"/>
  <c r="S1366" i="4" s="1"/>
  <c r="P1367" i="4"/>
  <c r="R1367" i="4" s="1"/>
  <c r="S1367" i="4" s="1"/>
  <c r="P1368" i="4"/>
  <c r="R1368" i="4" s="1"/>
  <c r="S1368" i="4" s="1"/>
  <c r="P1369" i="4"/>
  <c r="R1369" i="4" s="1"/>
  <c r="S1369" i="4" s="1"/>
  <c r="P1370" i="4"/>
  <c r="P1371" i="4"/>
  <c r="R1371" i="4" s="1"/>
  <c r="S1371" i="4" s="1"/>
  <c r="P1372" i="4"/>
  <c r="R1372" i="4" s="1"/>
  <c r="S1372" i="4" s="1"/>
  <c r="P1373" i="4"/>
  <c r="P1374" i="4"/>
  <c r="R1374" i="4" s="1"/>
  <c r="S1374" i="4" s="1"/>
  <c r="P1375" i="4"/>
  <c r="R1375" i="4" s="1"/>
  <c r="S1375" i="4" s="1"/>
  <c r="P1376" i="4"/>
  <c r="R1376" i="4" s="1"/>
  <c r="S1376" i="4" s="1"/>
  <c r="P1377" i="4"/>
  <c r="R1377" i="4" s="1"/>
  <c r="S1377" i="4" s="1"/>
  <c r="P1378" i="4"/>
  <c r="P1379" i="4"/>
  <c r="R1379" i="4" s="1"/>
  <c r="S1379" i="4" s="1"/>
  <c r="P1380" i="4"/>
  <c r="R1380" i="4" s="1"/>
  <c r="S1380" i="4" s="1"/>
  <c r="P1381" i="4"/>
  <c r="P1382" i="4"/>
  <c r="R1382" i="4" s="1"/>
  <c r="S1382" i="4" s="1"/>
  <c r="P1383" i="4"/>
  <c r="R1383" i="4" s="1"/>
  <c r="S1383" i="4" s="1"/>
  <c r="P1384" i="4"/>
  <c r="R1384" i="4" s="1"/>
  <c r="S1384" i="4" s="1"/>
  <c r="P1385" i="4"/>
  <c r="R1385" i="4" s="1"/>
  <c r="S1385" i="4" s="1"/>
  <c r="P1386" i="4"/>
  <c r="P1387" i="4"/>
  <c r="R1387" i="4" s="1"/>
  <c r="S1387" i="4" s="1"/>
  <c r="P1388" i="4"/>
  <c r="R1388" i="4" s="1"/>
  <c r="S1388" i="4" s="1"/>
  <c r="P1389" i="4"/>
  <c r="P1390" i="4"/>
  <c r="R1390" i="4" s="1"/>
  <c r="S1390" i="4" s="1"/>
  <c r="P1391" i="4"/>
  <c r="R1391" i="4" s="1"/>
  <c r="S1391" i="4" s="1"/>
  <c r="P1392" i="4"/>
  <c r="R1392" i="4" s="1"/>
  <c r="S1392" i="4" s="1"/>
  <c r="P1393" i="4"/>
  <c r="R1393" i="4" s="1"/>
  <c r="S1393" i="4" s="1"/>
  <c r="P1394" i="4"/>
  <c r="P1395" i="4"/>
  <c r="R1395" i="4" s="1"/>
  <c r="S1395" i="4" s="1"/>
  <c r="P1396" i="4"/>
  <c r="R1396" i="4" s="1"/>
  <c r="S1396" i="4" s="1"/>
  <c r="P1397" i="4"/>
  <c r="P1398" i="4"/>
  <c r="R1398" i="4" s="1"/>
  <c r="S1398" i="4" s="1"/>
  <c r="P1399" i="4"/>
  <c r="R1399" i="4" s="1"/>
  <c r="S1399" i="4" s="1"/>
  <c r="P1400" i="4"/>
  <c r="R1400" i="4" s="1"/>
  <c r="S1400" i="4" s="1"/>
  <c r="P1401" i="4"/>
  <c r="R1401" i="4" s="1"/>
  <c r="S1401" i="4" s="1"/>
  <c r="P1402" i="4"/>
  <c r="P1403" i="4"/>
  <c r="R1403" i="4" s="1"/>
  <c r="S1403" i="4" s="1"/>
  <c r="P1404" i="4"/>
  <c r="R1404" i="4" s="1"/>
  <c r="S1404" i="4" s="1"/>
  <c r="P1405" i="4"/>
  <c r="P1406" i="4"/>
  <c r="R1406" i="4" s="1"/>
  <c r="S1406" i="4" s="1"/>
  <c r="P1407" i="4"/>
  <c r="R1407" i="4" s="1"/>
  <c r="S1407" i="4" s="1"/>
  <c r="P1408" i="4"/>
  <c r="R1408" i="4" s="1"/>
  <c r="S1408" i="4" s="1"/>
  <c r="P1409" i="4"/>
  <c r="R1409" i="4" s="1"/>
  <c r="S1409" i="4" s="1"/>
  <c r="P1410" i="4"/>
  <c r="P1411" i="4"/>
  <c r="R1411" i="4" s="1"/>
  <c r="S1411" i="4" s="1"/>
  <c r="P1412" i="4"/>
  <c r="R1412" i="4" s="1"/>
  <c r="S1412" i="4" s="1"/>
  <c r="P1413" i="4"/>
  <c r="P1414" i="4"/>
  <c r="R1414" i="4" s="1"/>
  <c r="S1414" i="4" s="1"/>
  <c r="P1415" i="4"/>
  <c r="R1415" i="4" s="1"/>
  <c r="S1415" i="4" s="1"/>
  <c r="P1416" i="4"/>
  <c r="R1416" i="4" s="1"/>
  <c r="S1416" i="4" s="1"/>
  <c r="P1417" i="4"/>
  <c r="R1417" i="4" s="1"/>
  <c r="S1417" i="4" s="1"/>
  <c r="P1418" i="4"/>
  <c r="R1418" i="4" s="1"/>
  <c r="S1418" i="4" s="1"/>
  <c r="P1419" i="4"/>
  <c r="R1419" i="4" s="1"/>
  <c r="S1419" i="4" s="1"/>
  <c r="P1420" i="4"/>
  <c r="R1420" i="4" s="1"/>
  <c r="S1420" i="4" s="1"/>
  <c r="P1421" i="4"/>
  <c r="P1422" i="4"/>
  <c r="R1422" i="4" s="1"/>
  <c r="S1422" i="4" s="1"/>
  <c r="P1423" i="4"/>
  <c r="R1423" i="4" s="1"/>
  <c r="S1423" i="4" s="1"/>
  <c r="P1424" i="4"/>
  <c r="R1424" i="4" s="1"/>
  <c r="S1424" i="4" s="1"/>
  <c r="P1425" i="4"/>
  <c r="R1425" i="4" s="1"/>
  <c r="S1425" i="4" s="1"/>
  <c r="P1426" i="4"/>
  <c r="P1427" i="4"/>
  <c r="R1427" i="4" s="1"/>
  <c r="S1427" i="4" s="1"/>
  <c r="P1428" i="4"/>
  <c r="R1428" i="4" s="1"/>
  <c r="S1428" i="4" s="1"/>
  <c r="P1429" i="4"/>
  <c r="P1430" i="4"/>
  <c r="R1430" i="4" s="1"/>
  <c r="S1430" i="4" s="1"/>
  <c r="P1431" i="4"/>
  <c r="R1431" i="4" s="1"/>
  <c r="S1431" i="4" s="1"/>
  <c r="P1432" i="4"/>
  <c r="R1432" i="4" s="1"/>
  <c r="S1432" i="4" s="1"/>
  <c r="P1433" i="4"/>
  <c r="R1433" i="4" s="1"/>
  <c r="S1433" i="4" s="1"/>
  <c r="P1434" i="4"/>
  <c r="P1435" i="4"/>
  <c r="R1435" i="4" s="1"/>
  <c r="S1435" i="4" s="1"/>
  <c r="P1436" i="4"/>
  <c r="R1436" i="4" s="1"/>
  <c r="S1436" i="4" s="1"/>
  <c r="P1437" i="4"/>
  <c r="P1438" i="4"/>
  <c r="R1438" i="4" s="1"/>
  <c r="S1438" i="4" s="1"/>
  <c r="P1439" i="4"/>
  <c r="R1439" i="4" s="1"/>
  <c r="S1439" i="4" s="1"/>
  <c r="P1440" i="4"/>
  <c r="R1440" i="4" s="1"/>
  <c r="S1440" i="4" s="1"/>
  <c r="P1441" i="4"/>
  <c r="R1441" i="4" s="1"/>
  <c r="S1441" i="4" s="1"/>
  <c r="P1442" i="4"/>
  <c r="P1443" i="4"/>
  <c r="R1443" i="4" s="1"/>
  <c r="S1443" i="4" s="1"/>
  <c r="P1444" i="4"/>
  <c r="R1444" i="4" s="1"/>
  <c r="S1444" i="4" s="1"/>
  <c r="P1445" i="4"/>
  <c r="P1446" i="4"/>
  <c r="R1446" i="4" s="1"/>
  <c r="S1446" i="4" s="1"/>
  <c r="P1447" i="4"/>
  <c r="R1447" i="4" s="1"/>
  <c r="S1447" i="4" s="1"/>
  <c r="P1448" i="4"/>
  <c r="R1448" i="4" s="1"/>
  <c r="S1448" i="4" s="1"/>
  <c r="P1449" i="4"/>
  <c r="R1449" i="4" s="1"/>
  <c r="S1449" i="4" s="1"/>
  <c r="P1450" i="4"/>
  <c r="P1451" i="4"/>
  <c r="R1451" i="4" s="1"/>
  <c r="S1451" i="4" s="1"/>
  <c r="P1452" i="4"/>
  <c r="R1452" i="4" s="1"/>
  <c r="S1452" i="4" s="1"/>
  <c r="P1453" i="4"/>
  <c r="P1454" i="4"/>
  <c r="R1454" i="4" s="1"/>
  <c r="S1454" i="4" s="1"/>
  <c r="P1455" i="4"/>
  <c r="R1455" i="4" s="1"/>
  <c r="S1455" i="4" s="1"/>
  <c r="P1456" i="4"/>
  <c r="R1456" i="4" s="1"/>
  <c r="S1456" i="4" s="1"/>
  <c r="P1457" i="4"/>
  <c r="R1457" i="4" s="1"/>
  <c r="S1457" i="4" s="1"/>
  <c r="P1458" i="4"/>
  <c r="P1459" i="4"/>
  <c r="R1459" i="4" s="1"/>
  <c r="S1459" i="4" s="1"/>
  <c r="P1460" i="4"/>
  <c r="R1460" i="4" s="1"/>
  <c r="S1460" i="4" s="1"/>
  <c r="P1461" i="4"/>
  <c r="P1462" i="4"/>
  <c r="R1462" i="4" s="1"/>
  <c r="S1462" i="4" s="1"/>
  <c r="P1463" i="4"/>
  <c r="R1463" i="4" s="1"/>
  <c r="S1463" i="4" s="1"/>
  <c r="P1464" i="4"/>
  <c r="R1464" i="4" s="1"/>
  <c r="S1464" i="4" s="1"/>
  <c r="P1465" i="4"/>
  <c r="R1465" i="4" s="1"/>
  <c r="S1465" i="4" s="1"/>
  <c r="P1466" i="4"/>
  <c r="P1467" i="4"/>
  <c r="R1467" i="4" s="1"/>
  <c r="S1467" i="4" s="1"/>
  <c r="P1468" i="4"/>
  <c r="R1468" i="4" s="1"/>
  <c r="S1468" i="4" s="1"/>
  <c r="P1469" i="4"/>
  <c r="P1470" i="4"/>
  <c r="R1470" i="4" s="1"/>
  <c r="S1470" i="4" s="1"/>
  <c r="P1471" i="4"/>
  <c r="R1471" i="4" s="1"/>
  <c r="S1471" i="4" s="1"/>
  <c r="P1472" i="4"/>
  <c r="R1472" i="4" s="1"/>
  <c r="S1472" i="4" s="1"/>
  <c r="P1473" i="4"/>
  <c r="R1473" i="4" s="1"/>
  <c r="S1473" i="4" s="1"/>
  <c r="P1474" i="4"/>
  <c r="P1475" i="4"/>
  <c r="R1475" i="4" s="1"/>
  <c r="S1475" i="4" s="1"/>
  <c r="P1476" i="4"/>
  <c r="R1476" i="4" s="1"/>
  <c r="S1476" i="4" s="1"/>
  <c r="P1477" i="4"/>
  <c r="P1478" i="4"/>
  <c r="R1478" i="4" s="1"/>
  <c r="S1478" i="4" s="1"/>
  <c r="P1479" i="4"/>
  <c r="R1479" i="4" s="1"/>
  <c r="S1479" i="4" s="1"/>
  <c r="P1480" i="4"/>
  <c r="R1480" i="4" s="1"/>
  <c r="S1480" i="4" s="1"/>
  <c r="P1481" i="4"/>
  <c r="R1481" i="4" s="1"/>
  <c r="S1481" i="4" s="1"/>
  <c r="P1482" i="4"/>
  <c r="R1482" i="4" s="1"/>
  <c r="S1482" i="4" s="1"/>
  <c r="P1483" i="4"/>
  <c r="R1483" i="4" s="1"/>
  <c r="S1483" i="4" s="1"/>
  <c r="P1484" i="4"/>
  <c r="R1484" i="4" s="1"/>
  <c r="S1484" i="4" s="1"/>
  <c r="P1485" i="4"/>
  <c r="P1486" i="4"/>
  <c r="R1486" i="4" s="1"/>
  <c r="S1486" i="4" s="1"/>
  <c r="P1487" i="4"/>
  <c r="R1487" i="4" s="1"/>
  <c r="S1487" i="4" s="1"/>
  <c r="P1488" i="4"/>
  <c r="R1488" i="4" s="1"/>
  <c r="S1488" i="4" s="1"/>
  <c r="P1489" i="4"/>
  <c r="R1489" i="4" s="1"/>
  <c r="S1489" i="4" s="1"/>
  <c r="P1490" i="4"/>
  <c r="P1491" i="4"/>
  <c r="R1491" i="4" s="1"/>
  <c r="S1491" i="4" s="1"/>
  <c r="P1492" i="4"/>
  <c r="R1492" i="4" s="1"/>
  <c r="S1492" i="4" s="1"/>
  <c r="P1493" i="4"/>
  <c r="P1494" i="4"/>
  <c r="R1494" i="4" s="1"/>
  <c r="S1494" i="4" s="1"/>
  <c r="P1495" i="4"/>
  <c r="R1495" i="4" s="1"/>
  <c r="S1495" i="4" s="1"/>
  <c r="P1496" i="4"/>
  <c r="R1496" i="4" s="1"/>
  <c r="S1496" i="4" s="1"/>
  <c r="P1497" i="4"/>
  <c r="R1497" i="4" s="1"/>
  <c r="S1497" i="4" s="1"/>
  <c r="P1498" i="4"/>
  <c r="P1499" i="4"/>
  <c r="R1499" i="4" s="1"/>
  <c r="S1499" i="4" s="1"/>
  <c r="P1500" i="4"/>
  <c r="R1500" i="4" s="1"/>
  <c r="S1500" i="4" s="1"/>
  <c r="P1501" i="4"/>
  <c r="P1502" i="4"/>
  <c r="R1502" i="4" s="1"/>
  <c r="S1502" i="4" s="1"/>
  <c r="P1503" i="4"/>
  <c r="R1503" i="4" s="1"/>
  <c r="S1503" i="4" s="1"/>
  <c r="P1504" i="4"/>
  <c r="R1504" i="4" s="1"/>
  <c r="S1504" i="4" s="1"/>
  <c r="P1505" i="4"/>
  <c r="R1505" i="4" s="1"/>
  <c r="S1505" i="4" s="1"/>
  <c r="P1506" i="4"/>
  <c r="P1507" i="4"/>
  <c r="R1507" i="4" s="1"/>
  <c r="S1507" i="4" s="1"/>
  <c r="P1508" i="4"/>
  <c r="R1508" i="4" s="1"/>
  <c r="S1508" i="4" s="1"/>
  <c r="P1509" i="4"/>
  <c r="P1510" i="4"/>
  <c r="R1510" i="4" s="1"/>
  <c r="S1510" i="4" s="1"/>
  <c r="P1511" i="4"/>
  <c r="R1511" i="4" s="1"/>
  <c r="S1511" i="4" s="1"/>
  <c r="P1512" i="4"/>
  <c r="R1512" i="4" s="1"/>
  <c r="S1512" i="4" s="1"/>
  <c r="P1513" i="4"/>
  <c r="R1513" i="4" s="1"/>
  <c r="S1513" i="4" s="1"/>
  <c r="P1514" i="4"/>
  <c r="P1515" i="4"/>
  <c r="R1515" i="4" s="1"/>
  <c r="S1515" i="4" s="1"/>
  <c r="P1516" i="4"/>
  <c r="R1516" i="4" s="1"/>
  <c r="S1516" i="4" s="1"/>
  <c r="P1517" i="4"/>
  <c r="P1518" i="4"/>
  <c r="R1518" i="4" s="1"/>
  <c r="S1518" i="4" s="1"/>
  <c r="P1519" i="4"/>
  <c r="R1519" i="4" s="1"/>
  <c r="S1519" i="4" s="1"/>
  <c r="P1520" i="4"/>
  <c r="R1520" i="4" s="1"/>
  <c r="S1520" i="4" s="1"/>
  <c r="P1521" i="4"/>
  <c r="R1521" i="4" s="1"/>
  <c r="S1521" i="4" s="1"/>
  <c r="P1522" i="4"/>
  <c r="P1523" i="4"/>
  <c r="R1523" i="4" s="1"/>
  <c r="S1523" i="4" s="1"/>
  <c r="P1524" i="4"/>
  <c r="R1524" i="4" s="1"/>
  <c r="S1524" i="4" s="1"/>
  <c r="P1525" i="4"/>
  <c r="P1526" i="4"/>
  <c r="R1526" i="4" s="1"/>
  <c r="S1526" i="4" s="1"/>
  <c r="P1527" i="4"/>
  <c r="R1527" i="4" s="1"/>
  <c r="S1527" i="4" s="1"/>
  <c r="P1528" i="4"/>
  <c r="R1528" i="4" s="1"/>
  <c r="S1528" i="4" s="1"/>
  <c r="P1529" i="4"/>
  <c r="R1529" i="4" s="1"/>
  <c r="S1529" i="4" s="1"/>
  <c r="P1530" i="4"/>
  <c r="P1531" i="4"/>
  <c r="R1531" i="4" s="1"/>
  <c r="S1531" i="4" s="1"/>
  <c r="P1532" i="4"/>
  <c r="R1532" i="4" s="1"/>
  <c r="S1532" i="4" s="1"/>
  <c r="P1533" i="4"/>
  <c r="P1534" i="4"/>
  <c r="R1534" i="4" s="1"/>
  <c r="S1534" i="4" s="1"/>
  <c r="P1535" i="4"/>
  <c r="R1535" i="4" s="1"/>
  <c r="S1535" i="4" s="1"/>
  <c r="P1536" i="4"/>
  <c r="R1536" i="4" s="1"/>
  <c r="S1536" i="4" s="1"/>
  <c r="P1537" i="4"/>
  <c r="R1537" i="4" s="1"/>
  <c r="S1537" i="4" s="1"/>
  <c r="P1538" i="4"/>
  <c r="P1539" i="4"/>
  <c r="R1539" i="4" s="1"/>
  <c r="S1539" i="4" s="1"/>
  <c r="P1540" i="4"/>
  <c r="R1540" i="4" s="1"/>
  <c r="S1540" i="4" s="1"/>
  <c r="P1541" i="4"/>
  <c r="P1542" i="4"/>
  <c r="R1542" i="4" s="1"/>
  <c r="S1542" i="4" s="1"/>
  <c r="P1543" i="4"/>
  <c r="R1543" i="4" s="1"/>
  <c r="S1543" i="4" s="1"/>
  <c r="P1544" i="4"/>
  <c r="R1544" i="4" s="1"/>
  <c r="S1544" i="4" s="1"/>
  <c r="P1545" i="4"/>
  <c r="R1545" i="4" s="1"/>
  <c r="S1545" i="4" s="1"/>
  <c r="P1546" i="4"/>
  <c r="R1546" i="4" s="1"/>
  <c r="S1546" i="4" s="1"/>
  <c r="P1547" i="4"/>
  <c r="R1547" i="4" s="1"/>
  <c r="S1547" i="4" s="1"/>
  <c r="P1548" i="4"/>
  <c r="R1548" i="4" s="1"/>
  <c r="S1548" i="4" s="1"/>
  <c r="P1549" i="4"/>
  <c r="P1550" i="4"/>
  <c r="R1550" i="4" s="1"/>
  <c r="S1550" i="4" s="1"/>
  <c r="P1551" i="4"/>
  <c r="R1551" i="4" s="1"/>
  <c r="S1551" i="4" s="1"/>
  <c r="P1552" i="4"/>
  <c r="R1552" i="4" s="1"/>
  <c r="S1552" i="4" s="1"/>
  <c r="P1553" i="4"/>
  <c r="R1553" i="4" s="1"/>
  <c r="S1553" i="4" s="1"/>
  <c r="P1554" i="4"/>
  <c r="P1555" i="4"/>
  <c r="R1555" i="4" s="1"/>
  <c r="S1555" i="4" s="1"/>
  <c r="P1556" i="4"/>
  <c r="R1556" i="4" s="1"/>
  <c r="S1556" i="4" s="1"/>
  <c r="P1557" i="4"/>
  <c r="P1558" i="4"/>
  <c r="R1558" i="4" s="1"/>
  <c r="S1558" i="4" s="1"/>
  <c r="P1559" i="4"/>
  <c r="R1559" i="4" s="1"/>
  <c r="S1559" i="4" s="1"/>
  <c r="P1560" i="4"/>
  <c r="R1560" i="4" s="1"/>
  <c r="S1560" i="4" s="1"/>
  <c r="P1561" i="4"/>
  <c r="R1561" i="4" s="1"/>
  <c r="S1561" i="4" s="1"/>
  <c r="P1562" i="4"/>
  <c r="P1563" i="4"/>
  <c r="R1563" i="4" s="1"/>
  <c r="S1563" i="4" s="1"/>
  <c r="P1564" i="4"/>
  <c r="R1564" i="4" s="1"/>
  <c r="S1564" i="4" s="1"/>
  <c r="P1565" i="4"/>
  <c r="P1566" i="4"/>
  <c r="R1566" i="4" s="1"/>
  <c r="S1566" i="4" s="1"/>
  <c r="P1567" i="4"/>
  <c r="R1567" i="4" s="1"/>
  <c r="S1567" i="4" s="1"/>
  <c r="P1568" i="4"/>
  <c r="R1568" i="4" s="1"/>
  <c r="S1568" i="4" s="1"/>
  <c r="P1569" i="4"/>
  <c r="R1569" i="4" s="1"/>
  <c r="S1569" i="4" s="1"/>
  <c r="P1570" i="4"/>
  <c r="P1571" i="4"/>
  <c r="R1571" i="4" s="1"/>
  <c r="S1571" i="4" s="1"/>
  <c r="P1572" i="4"/>
  <c r="R1572" i="4" s="1"/>
  <c r="S1572" i="4" s="1"/>
  <c r="P1573" i="4"/>
  <c r="P1574" i="4"/>
  <c r="R1574" i="4" s="1"/>
  <c r="S1574" i="4" s="1"/>
  <c r="P1575" i="4"/>
  <c r="R1575" i="4" s="1"/>
  <c r="S1575" i="4" s="1"/>
  <c r="P1576" i="4"/>
  <c r="R1576" i="4" s="1"/>
  <c r="S1576" i="4" s="1"/>
  <c r="P1577" i="4"/>
  <c r="R1577" i="4" s="1"/>
  <c r="S1577" i="4" s="1"/>
  <c r="P1578" i="4"/>
  <c r="P1579" i="4"/>
  <c r="R1579" i="4" s="1"/>
  <c r="S1579" i="4" s="1"/>
  <c r="P1580" i="4"/>
  <c r="R1580" i="4" s="1"/>
  <c r="S1580" i="4" s="1"/>
  <c r="P1581" i="4"/>
  <c r="P1582" i="4"/>
  <c r="R1582" i="4" s="1"/>
  <c r="S1582" i="4" s="1"/>
  <c r="P1583" i="4"/>
  <c r="R1583" i="4" s="1"/>
  <c r="S1583" i="4" s="1"/>
  <c r="P1584" i="4"/>
  <c r="R1584" i="4" s="1"/>
  <c r="S1584" i="4" s="1"/>
  <c r="P1585" i="4"/>
  <c r="R1585" i="4" s="1"/>
  <c r="S1585" i="4" s="1"/>
  <c r="P1586" i="4"/>
  <c r="P1587" i="4"/>
  <c r="R1587" i="4" s="1"/>
  <c r="S1587" i="4" s="1"/>
  <c r="P1588" i="4"/>
  <c r="R1588" i="4" s="1"/>
  <c r="S1588" i="4" s="1"/>
  <c r="P1589" i="4"/>
  <c r="P1590" i="4"/>
  <c r="R1590" i="4" s="1"/>
  <c r="S1590" i="4" s="1"/>
  <c r="P1591" i="4"/>
  <c r="R1591" i="4" s="1"/>
  <c r="S1591" i="4" s="1"/>
  <c r="P1592" i="4"/>
  <c r="R1592" i="4" s="1"/>
  <c r="S1592" i="4" s="1"/>
  <c r="P1593" i="4"/>
  <c r="R1593" i="4" s="1"/>
  <c r="S1593" i="4" s="1"/>
  <c r="P1594" i="4"/>
  <c r="R1594" i="4" s="1"/>
  <c r="S1594" i="4" s="1"/>
  <c r="P1595" i="4"/>
  <c r="R1595" i="4" s="1"/>
  <c r="S1595" i="4" s="1"/>
  <c r="P1596" i="4"/>
  <c r="R1596" i="4" s="1"/>
  <c r="S1596" i="4" s="1"/>
  <c r="P1597" i="4"/>
  <c r="P1598" i="4"/>
  <c r="R1598" i="4" s="1"/>
  <c r="S1598" i="4" s="1"/>
  <c r="P1599" i="4"/>
  <c r="R1599" i="4" s="1"/>
  <c r="S1599" i="4" s="1"/>
  <c r="P1600" i="4"/>
  <c r="R1600" i="4" s="1"/>
  <c r="S1600" i="4" s="1"/>
  <c r="P1601" i="4"/>
  <c r="R1601" i="4" s="1"/>
  <c r="S1601" i="4" s="1"/>
  <c r="P1602" i="4"/>
  <c r="R1602" i="4" s="1"/>
  <c r="S1602" i="4" s="1"/>
  <c r="P1603" i="4"/>
  <c r="R1603" i="4" s="1"/>
  <c r="S1603" i="4" s="1"/>
  <c r="P1604" i="4"/>
  <c r="R1604" i="4" s="1"/>
  <c r="S1604" i="4" s="1"/>
  <c r="P1605" i="4"/>
  <c r="P1606" i="4"/>
  <c r="R1606" i="4" s="1"/>
  <c r="S1606" i="4" s="1"/>
  <c r="P1607" i="4"/>
  <c r="R1607" i="4" s="1"/>
  <c r="S1607" i="4" s="1"/>
  <c r="P1608" i="4"/>
  <c r="R1608" i="4" s="1"/>
  <c r="S1608" i="4" s="1"/>
  <c r="P1609" i="4"/>
  <c r="R1609" i="4" s="1"/>
  <c r="S1609" i="4" s="1"/>
  <c r="P1610" i="4"/>
  <c r="R1610" i="4" s="1"/>
  <c r="S1610" i="4" s="1"/>
  <c r="P1611" i="4"/>
  <c r="R1611" i="4" s="1"/>
  <c r="S1611" i="4" s="1"/>
  <c r="P1612" i="4"/>
  <c r="R1612" i="4" s="1"/>
  <c r="S1612" i="4" s="1"/>
  <c r="P1613" i="4"/>
  <c r="P1614" i="4"/>
  <c r="R1614" i="4" s="1"/>
  <c r="S1614" i="4" s="1"/>
  <c r="P1615" i="4"/>
  <c r="R1615" i="4" s="1"/>
  <c r="S1615" i="4" s="1"/>
  <c r="P1616" i="4"/>
  <c r="R1616" i="4" s="1"/>
  <c r="S1616" i="4" s="1"/>
  <c r="P1617" i="4"/>
  <c r="R1617" i="4" s="1"/>
  <c r="S1617" i="4" s="1"/>
  <c r="P1618" i="4"/>
  <c r="R1618" i="4" s="1"/>
  <c r="S1618" i="4" s="1"/>
  <c r="P1619" i="4"/>
  <c r="R1619" i="4" s="1"/>
  <c r="S1619" i="4" s="1"/>
  <c r="P1620" i="4"/>
  <c r="R1620" i="4" s="1"/>
  <c r="S1620" i="4" s="1"/>
  <c r="P1621" i="4"/>
  <c r="P1622" i="4"/>
  <c r="R1622" i="4" s="1"/>
  <c r="S1622" i="4" s="1"/>
  <c r="P1623" i="4"/>
  <c r="R1623" i="4" s="1"/>
  <c r="S1623" i="4" s="1"/>
  <c r="P1624" i="4"/>
  <c r="R1624" i="4" s="1"/>
  <c r="S1624" i="4" s="1"/>
  <c r="P1625" i="4"/>
  <c r="R1625" i="4" s="1"/>
  <c r="S1625" i="4" s="1"/>
  <c r="P1626" i="4"/>
  <c r="R1626" i="4" s="1"/>
  <c r="S1626" i="4" s="1"/>
  <c r="P1627" i="4"/>
  <c r="R1627" i="4" s="1"/>
  <c r="S1627" i="4" s="1"/>
  <c r="P1628" i="4"/>
  <c r="R1628" i="4" s="1"/>
  <c r="S1628" i="4" s="1"/>
  <c r="P1629" i="4"/>
  <c r="P1630" i="4"/>
  <c r="R1630" i="4" s="1"/>
  <c r="S1630" i="4" s="1"/>
  <c r="P1631" i="4"/>
  <c r="R1631" i="4" s="1"/>
  <c r="S1631" i="4" s="1"/>
  <c r="P1632" i="4"/>
  <c r="R1632" i="4" s="1"/>
  <c r="S1632" i="4" s="1"/>
  <c r="P1633" i="4"/>
  <c r="R1633" i="4" s="1"/>
  <c r="S1633" i="4" s="1"/>
  <c r="P1634" i="4"/>
  <c r="R1634" i="4" s="1"/>
  <c r="S1634" i="4" s="1"/>
  <c r="P1635" i="4"/>
  <c r="R1635" i="4" s="1"/>
  <c r="S1635" i="4" s="1"/>
  <c r="P1636" i="4"/>
  <c r="R1636" i="4" s="1"/>
  <c r="S1636" i="4" s="1"/>
  <c r="P1637" i="4"/>
  <c r="P1638" i="4"/>
  <c r="R1638" i="4" s="1"/>
  <c r="S1638" i="4" s="1"/>
  <c r="P1639" i="4"/>
  <c r="R1639" i="4" s="1"/>
  <c r="S1639" i="4" s="1"/>
  <c r="P1640" i="4"/>
  <c r="R1640" i="4" s="1"/>
  <c r="S1640" i="4" s="1"/>
  <c r="P1641" i="4"/>
  <c r="R1641" i="4" s="1"/>
  <c r="S1641" i="4" s="1"/>
  <c r="P1642" i="4"/>
  <c r="R1642" i="4" s="1"/>
  <c r="S1642" i="4" s="1"/>
  <c r="P1643" i="4"/>
  <c r="R1643" i="4" s="1"/>
  <c r="S1643" i="4" s="1"/>
  <c r="P1644" i="4"/>
  <c r="R1644" i="4" s="1"/>
  <c r="S1644" i="4" s="1"/>
  <c r="P1645" i="4"/>
  <c r="P1646" i="4"/>
  <c r="R1646" i="4" s="1"/>
  <c r="S1646" i="4" s="1"/>
  <c r="P1647" i="4"/>
  <c r="R1647" i="4" s="1"/>
  <c r="S1647" i="4" s="1"/>
  <c r="P1648" i="4"/>
  <c r="R1648" i="4" s="1"/>
  <c r="S1648" i="4" s="1"/>
  <c r="P1649" i="4"/>
  <c r="R1649" i="4" s="1"/>
  <c r="S1649" i="4" s="1"/>
  <c r="P1650" i="4"/>
  <c r="R1650" i="4" s="1"/>
  <c r="S1650" i="4" s="1"/>
  <c r="P1651" i="4"/>
  <c r="R1651" i="4" s="1"/>
  <c r="S1651" i="4" s="1"/>
  <c r="P1652" i="4"/>
  <c r="R1652" i="4" s="1"/>
  <c r="S1652" i="4" s="1"/>
  <c r="P1653" i="4"/>
  <c r="P1654" i="4"/>
  <c r="R1654" i="4" s="1"/>
  <c r="S1654" i="4" s="1"/>
  <c r="P1655" i="4"/>
  <c r="R1655" i="4" s="1"/>
  <c r="S1655" i="4" s="1"/>
  <c r="P1656" i="4"/>
  <c r="R1656" i="4" s="1"/>
  <c r="S1656" i="4" s="1"/>
  <c r="P1657" i="4"/>
  <c r="R1657" i="4" s="1"/>
  <c r="S1657" i="4" s="1"/>
  <c r="P1658" i="4"/>
  <c r="R1658" i="4" s="1"/>
  <c r="S1658" i="4" s="1"/>
  <c r="P1659" i="4"/>
  <c r="R1659" i="4" s="1"/>
  <c r="S1659" i="4" s="1"/>
  <c r="P1660" i="4"/>
  <c r="R1660" i="4" s="1"/>
  <c r="S1660" i="4" s="1"/>
  <c r="P1661" i="4"/>
  <c r="P1662" i="4"/>
  <c r="R1662" i="4" s="1"/>
  <c r="S1662" i="4" s="1"/>
  <c r="P1663" i="4"/>
  <c r="R1663" i="4" s="1"/>
  <c r="S1663" i="4" s="1"/>
  <c r="P1664" i="4"/>
  <c r="R1664" i="4" s="1"/>
  <c r="S1664" i="4" s="1"/>
  <c r="P1665" i="4"/>
  <c r="R1665" i="4" s="1"/>
  <c r="S1665" i="4" s="1"/>
  <c r="P1666" i="4"/>
  <c r="R1666" i="4" s="1"/>
  <c r="S1666" i="4" s="1"/>
  <c r="P1667" i="4"/>
  <c r="R1667" i="4" s="1"/>
  <c r="S1667" i="4" s="1"/>
  <c r="P1668" i="4"/>
  <c r="R1668" i="4" s="1"/>
  <c r="S1668" i="4" s="1"/>
  <c r="P1669" i="4"/>
  <c r="P1670" i="4"/>
  <c r="R1670" i="4" s="1"/>
  <c r="S1670" i="4" s="1"/>
  <c r="P1671" i="4"/>
  <c r="R1671" i="4" s="1"/>
  <c r="S1671" i="4" s="1"/>
  <c r="P1672" i="4"/>
  <c r="R1672" i="4" s="1"/>
  <c r="S1672" i="4" s="1"/>
  <c r="P1673" i="4"/>
  <c r="R1673" i="4" s="1"/>
  <c r="S1673" i="4" s="1"/>
  <c r="P1674" i="4"/>
  <c r="R1674" i="4" s="1"/>
  <c r="S1674" i="4" s="1"/>
  <c r="P1675" i="4"/>
  <c r="R1675" i="4" s="1"/>
  <c r="S1675" i="4" s="1"/>
  <c r="P1676" i="4"/>
  <c r="R1676" i="4" s="1"/>
  <c r="S1676" i="4" s="1"/>
  <c r="P1677" i="4"/>
  <c r="P1678" i="4"/>
  <c r="R1678" i="4" s="1"/>
  <c r="S1678" i="4" s="1"/>
  <c r="P1679" i="4"/>
  <c r="R1679" i="4" s="1"/>
  <c r="S1679" i="4" s="1"/>
  <c r="P1680" i="4"/>
  <c r="R1680" i="4" s="1"/>
  <c r="S1680" i="4" s="1"/>
  <c r="P1681" i="4"/>
  <c r="R1681" i="4" s="1"/>
  <c r="S1681" i="4" s="1"/>
  <c r="P1682" i="4"/>
  <c r="R1682" i="4" s="1"/>
  <c r="S1682" i="4" s="1"/>
  <c r="P1683" i="4"/>
  <c r="R1683" i="4" s="1"/>
  <c r="S1683" i="4" s="1"/>
  <c r="P1684" i="4"/>
  <c r="R1684" i="4" s="1"/>
  <c r="S1684" i="4" s="1"/>
  <c r="P1685" i="4"/>
  <c r="P1686" i="4"/>
  <c r="R1686" i="4" s="1"/>
  <c r="S1686" i="4" s="1"/>
  <c r="P1687" i="4"/>
  <c r="R1687" i="4" s="1"/>
  <c r="S1687" i="4" s="1"/>
  <c r="P1688" i="4"/>
  <c r="R1688" i="4" s="1"/>
  <c r="S1688" i="4" s="1"/>
  <c r="P1689" i="4"/>
  <c r="R1689" i="4" s="1"/>
  <c r="S1689" i="4" s="1"/>
  <c r="P1690" i="4"/>
  <c r="R1690" i="4" s="1"/>
  <c r="S1690" i="4" s="1"/>
  <c r="P1691" i="4"/>
  <c r="R1691" i="4" s="1"/>
  <c r="S1691" i="4" s="1"/>
  <c r="P1692" i="4"/>
  <c r="R1692" i="4" s="1"/>
  <c r="S1692" i="4" s="1"/>
  <c r="P1693" i="4"/>
  <c r="P1694" i="4"/>
  <c r="R1694" i="4" s="1"/>
  <c r="S1694" i="4" s="1"/>
  <c r="P1695" i="4"/>
  <c r="R1695" i="4" s="1"/>
  <c r="S1695" i="4" s="1"/>
  <c r="P1696" i="4"/>
  <c r="R1696" i="4" s="1"/>
  <c r="S1696" i="4" s="1"/>
  <c r="P1697" i="4"/>
  <c r="R1697" i="4" s="1"/>
  <c r="S1697" i="4" s="1"/>
  <c r="P1698" i="4"/>
  <c r="R1698" i="4" s="1"/>
  <c r="S1698" i="4" s="1"/>
  <c r="P1699" i="4"/>
  <c r="R1699" i="4" s="1"/>
  <c r="S1699" i="4" s="1"/>
  <c r="P1700" i="4"/>
  <c r="R1700" i="4" s="1"/>
  <c r="S1700" i="4" s="1"/>
  <c r="P1701" i="4"/>
  <c r="P1702" i="4"/>
  <c r="R1702" i="4" s="1"/>
  <c r="S1702" i="4" s="1"/>
  <c r="P1703" i="4"/>
  <c r="R1703" i="4" s="1"/>
  <c r="S1703" i="4" s="1"/>
  <c r="P1704" i="4"/>
  <c r="R1704" i="4" s="1"/>
  <c r="S1704" i="4" s="1"/>
  <c r="P1705" i="4"/>
  <c r="R1705" i="4" s="1"/>
  <c r="S1705" i="4" s="1"/>
  <c r="P1706" i="4"/>
  <c r="R1706" i="4" s="1"/>
  <c r="S1706" i="4" s="1"/>
  <c r="P1707" i="4"/>
  <c r="R1707" i="4" s="1"/>
  <c r="S1707" i="4" s="1"/>
  <c r="P1708" i="4"/>
  <c r="R1708" i="4" s="1"/>
  <c r="S1708" i="4" s="1"/>
  <c r="P1709" i="4"/>
  <c r="P1710" i="4"/>
  <c r="R1710" i="4" s="1"/>
  <c r="S1710" i="4" s="1"/>
  <c r="P1711" i="4"/>
  <c r="R1711" i="4" s="1"/>
  <c r="S1711" i="4" s="1"/>
  <c r="P1712" i="4"/>
  <c r="R1712" i="4" s="1"/>
  <c r="S1712" i="4" s="1"/>
  <c r="P1713" i="4"/>
  <c r="R1713" i="4" s="1"/>
  <c r="S1713" i="4" s="1"/>
  <c r="P1714" i="4"/>
  <c r="R1714" i="4" s="1"/>
  <c r="S1714" i="4" s="1"/>
  <c r="P1715" i="4"/>
  <c r="R1715" i="4" s="1"/>
  <c r="S1715" i="4" s="1"/>
  <c r="P1716" i="4"/>
  <c r="R1716" i="4" s="1"/>
  <c r="S1716" i="4" s="1"/>
  <c r="P1717" i="4"/>
  <c r="P1718" i="4"/>
  <c r="R1718" i="4" s="1"/>
  <c r="S1718" i="4" s="1"/>
  <c r="P1719" i="4"/>
  <c r="R1719" i="4" s="1"/>
  <c r="S1719" i="4" s="1"/>
  <c r="P1720" i="4"/>
  <c r="R1720" i="4" s="1"/>
  <c r="S1720" i="4" s="1"/>
  <c r="P1721" i="4"/>
  <c r="R1721" i="4" s="1"/>
  <c r="S1721" i="4" s="1"/>
  <c r="P1722" i="4"/>
  <c r="R1722" i="4" s="1"/>
  <c r="S1722" i="4" s="1"/>
  <c r="P1723" i="4"/>
  <c r="R1723" i="4" s="1"/>
  <c r="S1723" i="4" s="1"/>
  <c r="P1724" i="4"/>
  <c r="R1724" i="4" s="1"/>
  <c r="S1724" i="4" s="1"/>
  <c r="P1725" i="4"/>
  <c r="P1726" i="4"/>
  <c r="R1726" i="4" s="1"/>
  <c r="S1726" i="4" s="1"/>
  <c r="P1727" i="4"/>
  <c r="R1727" i="4" s="1"/>
  <c r="S1727" i="4" s="1"/>
  <c r="P1728" i="4"/>
  <c r="R1728" i="4" s="1"/>
  <c r="S1728" i="4" s="1"/>
  <c r="P1729" i="4"/>
  <c r="R1729" i="4" s="1"/>
  <c r="S1729" i="4" s="1"/>
  <c r="P1730" i="4"/>
  <c r="R1730" i="4" s="1"/>
  <c r="S1730" i="4" s="1"/>
  <c r="P1731" i="4"/>
  <c r="R1731" i="4" s="1"/>
  <c r="S1731" i="4" s="1"/>
  <c r="P1732" i="4"/>
  <c r="R1732" i="4" s="1"/>
  <c r="S1732" i="4" s="1"/>
  <c r="P1733" i="4"/>
  <c r="P1734" i="4"/>
  <c r="R1734" i="4" s="1"/>
  <c r="S1734" i="4" s="1"/>
  <c r="P1735" i="4"/>
  <c r="R1735" i="4" s="1"/>
  <c r="S1735" i="4" s="1"/>
  <c r="P1736" i="4"/>
  <c r="R1736" i="4" s="1"/>
  <c r="S1736" i="4" s="1"/>
  <c r="P1737" i="4"/>
  <c r="R1737" i="4" s="1"/>
  <c r="S1737" i="4" s="1"/>
  <c r="P1738" i="4"/>
  <c r="R1738" i="4" s="1"/>
  <c r="S1738" i="4" s="1"/>
  <c r="P1739" i="4"/>
  <c r="R1739" i="4" s="1"/>
  <c r="S1739" i="4" s="1"/>
  <c r="P1740" i="4"/>
  <c r="R1740" i="4" s="1"/>
  <c r="S1740" i="4" s="1"/>
  <c r="P1741" i="4"/>
  <c r="P1742" i="4"/>
  <c r="R1742" i="4" s="1"/>
  <c r="S1742" i="4" s="1"/>
  <c r="P1743" i="4"/>
  <c r="R1743" i="4" s="1"/>
  <c r="S1743" i="4" s="1"/>
  <c r="P1744" i="4"/>
  <c r="R1744" i="4" s="1"/>
  <c r="S1744" i="4" s="1"/>
  <c r="P1745" i="4"/>
  <c r="R1745" i="4" s="1"/>
  <c r="S1745" i="4" s="1"/>
  <c r="P1746" i="4"/>
  <c r="R1746" i="4" s="1"/>
  <c r="S1746" i="4" s="1"/>
  <c r="P1747" i="4"/>
  <c r="R1747" i="4" s="1"/>
  <c r="S1747" i="4" s="1"/>
  <c r="P1748" i="4"/>
  <c r="R1748" i="4" s="1"/>
  <c r="S1748" i="4" s="1"/>
  <c r="P1749" i="4"/>
  <c r="P1750" i="4"/>
  <c r="R1750" i="4" s="1"/>
  <c r="S1750" i="4" s="1"/>
  <c r="P1751" i="4"/>
  <c r="R1751" i="4" s="1"/>
  <c r="S1751" i="4" s="1"/>
  <c r="P1752" i="4"/>
  <c r="R1752" i="4" s="1"/>
  <c r="S1752" i="4" s="1"/>
  <c r="P1753" i="4"/>
  <c r="R1753" i="4" s="1"/>
  <c r="S1753" i="4" s="1"/>
  <c r="P1754" i="4"/>
  <c r="R1754" i="4" s="1"/>
  <c r="S1754" i="4" s="1"/>
  <c r="P1755" i="4"/>
  <c r="R1755" i="4" s="1"/>
  <c r="S1755" i="4" s="1"/>
  <c r="P1756" i="4"/>
  <c r="R1756" i="4" s="1"/>
  <c r="S1756" i="4" s="1"/>
  <c r="P1757" i="4"/>
  <c r="P1758" i="4"/>
  <c r="R1758" i="4" s="1"/>
  <c r="S1758" i="4" s="1"/>
  <c r="P1759" i="4"/>
  <c r="R1759" i="4" s="1"/>
  <c r="S1759" i="4" s="1"/>
  <c r="P1760" i="4"/>
  <c r="R1760" i="4" s="1"/>
  <c r="S1760" i="4" s="1"/>
  <c r="P1761" i="4"/>
  <c r="R1761" i="4" s="1"/>
  <c r="S1761" i="4" s="1"/>
  <c r="P1762" i="4"/>
  <c r="R1762" i="4" s="1"/>
  <c r="S1762" i="4" s="1"/>
  <c r="P1763" i="4"/>
  <c r="R1763" i="4" s="1"/>
  <c r="S1763" i="4" s="1"/>
  <c r="P1764" i="4"/>
  <c r="R1764" i="4" s="1"/>
  <c r="S1764" i="4" s="1"/>
  <c r="P1765" i="4"/>
  <c r="P1766" i="4"/>
  <c r="R1766" i="4" s="1"/>
  <c r="S1766" i="4" s="1"/>
  <c r="P1767" i="4"/>
  <c r="R1767" i="4" s="1"/>
  <c r="S1767" i="4" s="1"/>
  <c r="P1768" i="4"/>
  <c r="R1768" i="4" s="1"/>
  <c r="S1768" i="4" s="1"/>
  <c r="P1769" i="4"/>
  <c r="R1769" i="4" s="1"/>
  <c r="S1769" i="4" s="1"/>
  <c r="P1770" i="4"/>
  <c r="R1770" i="4" s="1"/>
  <c r="S1770" i="4" s="1"/>
  <c r="P1771" i="4"/>
  <c r="R1771" i="4" s="1"/>
  <c r="S1771" i="4" s="1"/>
  <c r="P1772" i="4"/>
  <c r="R1772" i="4" s="1"/>
  <c r="S1772" i="4" s="1"/>
  <c r="P1773" i="4"/>
  <c r="P1774" i="4"/>
  <c r="R1774" i="4" s="1"/>
  <c r="S1774" i="4" s="1"/>
  <c r="P1775" i="4"/>
  <c r="R1775" i="4" s="1"/>
  <c r="S1775" i="4" s="1"/>
  <c r="P1776" i="4"/>
  <c r="R1776" i="4" s="1"/>
  <c r="S1776" i="4" s="1"/>
  <c r="P1777" i="4"/>
  <c r="R1777" i="4" s="1"/>
  <c r="S1777" i="4" s="1"/>
  <c r="P1778" i="4"/>
  <c r="R1778" i="4" s="1"/>
  <c r="S1778" i="4" s="1"/>
  <c r="P1779" i="4"/>
  <c r="R1779" i="4" s="1"/>
  <c r="S1779" i="4" s="1"/>
  <c r="P1780" i="4"/>
  <c r="R1780" i="4" s="1"/>
  <c r="S1780" i="4" s="1"/>
  <c r="P1781" i="4"/>
  <c r="P1782" i="4"/>
  <c r="R1782" i="4" s="1"/>
  <c r="S1782" i="4" s="1"/>
  <c r="P1783" i="4"/>
  <c r="R1783" i="4" s="1"/>
  <c r="S1783" i="4" s="1"/>
  <c r="P1784" i="4"/>
  <c r="R1784" i="4" s="1"/>
  <c r="S1784" i="4" s="1"/>
  <c r="P1785" i="4"/>
  <c r="R1785" i="4" s="1"/>
  <c r="S1785" i="4" s="1"/>
  <c r="P1786" i="4"/>
  <c r="R1786" i="4" s="1"/>
  <c r="S1786" i="4" s="1"/>
  <c r="P1787" i="4"/>
  <c r="R1787" i="4" s="1"/>
  <c r="S1787" i="4" s="1"/>
  <c r="P1788" i="4"/>
  <c r="R1788" i="4" s="1"/>
  <c r="S1788" i="4" s="1"/>
  <c r="P1789" i="4"/>
  <c r="P1790" i="4"/>
  <c r="R1790" i="4" s="1"/>
  <c r="S1790" i="4" s="1"/>
  <c r="P1791" i="4"/>
  <c r="R1791" i="4" s="1"/>
  <c r="S1791" i="4" s="1"/>
  <c r="P1792" i="4"/>
  <c r="R1792" i="4" s="1"/>
  <c r="S1792" i="4" s="1"/>
  <c r="P1793" i="4"/>
  <c r="R1793" i="4" s="1"/>
  <c r="S1793" i="4" s="1"/>
  <c r="P1794" i="4"/>
  <c r="R1794" i="4" s="1"/>
  <c r="S1794" i="4" s="1"/>
  <c r="P1795" i="4"/>
  <c r="R1795" i="4" s="1"/>
  <c r="S1795" i="4" s="1"/>
  <c r="P1796" i="4"/>
  <c r="R1796" i="4" s="1"/>
  <c r="S1796" i="4" s="1"/>
  <c r="P1797" i="4"/>
  <c r="P1798" i="4"/>
  <c r="R1798" i="4" s="1"/>
  <c r="S1798" i="4" s="1"/>
  <c r="P1799" i="4"/>
  <c r="R1799" i="4" s="1"/>
  <c r="S1799" i="4" s="1"/>
  <c r="P1800" i="4"/>
  <c r="R1800" i="4" s="1"/>
  <c r="S1800" i="4" s="1"/>
  <c r="P1801" i="4"/>
  <c r="R1801" i="4" s="1"/>
  <c r="S1801" i="4" s="1"/>
  <c r="P1802" i="4"/>
  <c r="R1802" i="4" s="1"/>
  <c r="S1802" i="4" s="1"/>
  <c r="P1803" i="4"/>
  <c r="R1803" i="4" s="1"/>
  <c r="S1803" i="4" s="1"/>
  <c r="P1804" i="4"/>
  <c r="R1804" i="4" s="1"/>
  <c r="S1804" i="4" s="1"/>
  <c r="P1805" i="4"/>
  <c r="P1806" i="4"/>
  <c r="R1806" i="4" s="1"/>
  <c r="S1806" i="4" s="1"/>
  <c r="P1807" i="4"/>
  <c r="R1807" i="4" s="1"/>
  <c r="S1807" i="4" s="1"/>
  <c r="P1808" i="4"/>
  <c r="R1808" i="4" s="1"/>
  <c r="S1808" i="4" s="1"/>
  <c r="P1809" i="4"/>
  <c r="R1809" i="4" s="1"/>
  <c r="S1809" i="4" s="1"/>
  <c r="P1810" i="4"/>
  <c r="R1810" i="4" s="1"/>
  <c r="S1810" i="4" s="1"/>
  <c r="P1811" i="4"/>
  <c r="R1811" i="4" s="1"/>
  <c r="S1811" i="4" s="1"/>
  <c r="P1812" i="4"/>
  <c r="R1812" i="4" s="1"/>
  <c r="S1812" i="4" s="1"/>
  <c r="P1813" i="4"/>
  <c r="P1814" i="4"/>
  <c r="R1814" i="4" s="1"/>
  <c r="S1814" i="4" s="1"/>
  <c r="P1815" i="4"/>
  <c r="R1815" i="4" s="1"/>
  <c r="S1815" i="4" s="1"/>
  <c r="P1816" i="4"/>
  <c r="R1816" i="4" s="1"/>
  <c r="S1816" i="4" s="1"/>
  <c r="P1817" i="4"/>
  <c r="R1817" i="4" s="1"/>
  <c r="S1817" i="4" s="1"/>
  <c r="P1818" i="4"/>
  <c r="R1818" i="4" s="1"/>
  <c r="S1818" i="4" s="1"/>
  <c r="P1819" i="4"/>
  <c r="R1819" i="4" s="1"/>
  <c r="S1819" i="4" s="1"/>
  <c r="P1820" i="4"/>
  <c r="R1820" i="4" s="1"/>
  <c r="S1820" i="4" s="1"/>
  <c r="P1821" i="4"/>
  <c r="P1822" i="4"/>
  <c r="R1822" i="4" s="1"/>
  <c r="S1822" i="4" s="1"/>
  <c r="P1823" i="4"/>
  <c r="R1823" i="4" s="1"/>
  <c r="S1823" i="4" s="1"/>
  <c r="P1824" i="4"/>
  <c r="R1824" i="4" s="1"/>
  <c r="S1824" i="4" s="1"/>
  <c r="P1825" i="4"/>
  <c r="R1825" i="4" s="1"/>
  <c r="S1825" i="4" s="1"/>
  <c r="P1826" i="4"/>
  <c r="R1826" i="4" s="1"/>
  <c r="S1826" i="4" s="1"/>
  <c r="P1827" i="4"/>
  <c r="R1827" i="4" s="1"/>
  <c r="S1827" i="4" s="1"/>
  <c r="P1828" i="4"/>
  <c r="R1828" i="4" s="1"/>
  <c r="S1828" i="4" s="1"/>
  <c r="P1829" i="4"/>
  <c r="P1830" i="4"/>
  <c r="R1830" i="4" s="1"/>
  <c r="S1830" i="4" s="1"/>
  <c r="P1831" i="4"/>
  <c r="R1831" i="4" s="1"/>
  <c r="S1831" i="4" s="1"/>
  <c r="P1832" i="4"/>
  <c r="R1832" i="4" s="1"/>
  <c r="S1832" i="4" s="1"/>
  <c r="P1833" i="4"/>
  <c r="R1833" i="4" s="1"/>
  <c r="S1833" i="4" s="1"/>
  <c r="P1834" i="4"/>
  <c r="R1834" i="4" s="1"/>
  <c r="S1834" i="4" s="1"/>
  <c r="P1835" i="4"/>
  <c r="R1835" i="4" s="1"/>
  <c r="S1835" i="4" s="1"/>
  <c r="P1836" i="4"/>
  <c r="R1836" i="4" s="1"/>
  <c r="S1836" i="4" s="1"/>
  <c r="P1837" i="4"/>
  <c r="P1838" i="4"/>
  <c r="R1838" i="4" s="1"/>
  <c r="S1838" i="4" s="1"/>
  <c r="P1839" i="4"/>
  <c r="R1839" i="4" s="1"/>
  <c r="S1839" i="4" s="1"/>
  <c r="P1840" i="4"/>
  <c r="R1840" i="4" s="1"/>
  <c r="S1840" i="4" s="1"/>
  <c r="P1841" i="4"/>
  <c r="R1841" i="4" s="1"/>
  <c r="S1841" i="4" s="1"/>
  <c r="P1842" i="4"/>
  <c r="R1842" i="4" s="1"/>
  <c r="S1842" i="4" s="1"/>
  <c r="P1843" i="4"/>
  <c r="R1843" i="4" s="1"/>
  <c r="S1843" i="4" s="1"/>
  <c r="P1844" i="4"/>
  <c r="R1844" i="4" s="1"/>
  <c r="S1844" i="4" s="1"/>
  <c r="P1845" i="4"/>
  <c r="P1846" i="4"/>
  <c r="R1846" i="4" s="1"/>
  <c r="S1846" i="4" s="1"/>
  <c r="P1847" i="4"/>
  <c r="R1847" i="4" s="1"/>
  <c r="S1847" i="4" s="1"/>
  <c r="P1848" i="4"/>
  <c r="R1848" i="4" s="1"/>
  <c r="S1848" i="4" s="1"/>
  <c r="P1849" i="4"/>
  <c r="R1849" i="4" s="1"/>
  <c r="S1849" i="4" s="1"/>
  <c r="P1850" i="4"/>
  <c r="R1850" i="4" s="1"/>
  <c r="S1850" i="4" s="1"/>
  <c r="P1851" i="4"/>
  <c r="R1851" i="4" s="1"/>
  <c r="S1851" i="4" s="1"/>
  <c r="P1852" i="4"/>
  <c r="R1852" i="4" s="1"/>
  <c r="S1852" i="4" s="1"/>
  <c r="P1853" i="4"/>
  <c r="P1854" i="4"/>
  <c r="R1854" i="4" s="1"/>
  <c r="S1854" i="4" s="1"/>
  <c r="P1855" i="4"/>
  <c r="R1855" i="4" s="1"/>
  <c r="S1855" i="4" s="1"/>
  <c r="P1856" i="4"/>
  <c r="R1856" i="4" s="1"/>
  <c r="S1856" i="4" s="1"/>
  <c r="P1857" i="4"/>
  <c r="R1857" i="4" s="1"/>
  <c r="S1857" i="4" s="1"/>
  <c r="P1858" i="4"/>
  <c r="R1858" i="4" s="1"/>
  <c r="S1858" i="4" s="1"/>
  <c r="P1859" i="4"/>
  <c r="R1859" i="4" s="1"/>
  <c r="S1859" i="4" s="1"/>
  <c r="P1860" i="4"/>
  <c r="R1860" i="4" s="1"/>
  <c r="S1860" i="4" s="1"/>
  <c r="P1861" i="4"/>
  <c r="P1862" i="4"/>
  <c r="R1862" i="4" s="1"/>
  <c r="S1862" i="4" s="1"/>
  <c r="P1863" i="4"/>
  <c r="R1863" i="4" s="1"/>
  <c r="S1863" i="4" s="1"/>
  <c r="P1864" i="4"/>
  <c r="R1864" i="4" s="1"/>
  <c r="S1864" i="4" s="1"/>
  <c r="P1865" i="4"/>
  <c r="R1865" i="4" s="1"/>
  <c r="S1865" i="4" s="1"/>
  <c r="P1866" i="4"/>
  <c r="R1866" i="4" s="1"/>
  <c r="S1866" i="4" s="1"/>
  <c r="P1867" i="4"/>
  <c r="R1867" i="4" s="1"/>
  <c r="S1867" i="4" s="1"/>
  <c r="P1868" i="4"/>
  <c r="R1868" i="4" s="1"/>
  <c r="S1868" i="4" s="1"/>
  <c r="P1869" i="4"/>
  <c r="P1870" i="4"/>
  <c r="R1870" i="4" s="1"/>
  <c r="S1870" i="4" s="1"/>
  <c r="P1871" i="4"/>
  <c r="R1871" i="4" s="1"/>
  <c r="S1871" i="4" s="1"/>
  <c r="P1872" i="4"/>
  <c r="R1872" i="4" s="1"/>
  <c r="S1872" i="4" s="1"/>
  <c r="P1873" i="4"/>
  <c r="R1873" i="4" s="1"/>
  <c r="S1873" i="4" s="1"/>
  <c r="P1874" i="4"/>
  <c r="R1874" i="4" s="1"/>
  <c r="S1874" i="4" s="1"/>
  <c r="P1875" i="4"/>
  <c r="R1875" i="4" s="1"/>
  <c r="S1875" i="4" s="1"/>
  <c r="P1876" i="4"/>
  <c r="R1876" i="4" s="1"/>
  <c r="S1876" i="4" s="1"/>
  <c r="P1877" i="4"/>
  <c r="P1878" i="4"/>
  <c r="R1878" i="4" s="1"/>
  <c r="S1878" i="4" s="1"/>
  <c r="P1879" i="4"/>
  <c r="R1879" i="4" s="1"/>
  <c r="S1879" i="4" s="1"/>
  <c r="P1880" i="4"/>
  <c r="R1880" i="4" s="1"/>
  <c r="S1880" i="4" s="1"/>
  <c r="P1881" i="4"/>
  <c r="R1881" i="4" s="1"/>
  <c r="S1881" i="4" s="1"/>
  <c r="P1882" i="4"/>
  <c r="R1882" i="4" s="1"/>
  <c r="S1882" i="4" s="1"/>
  <c r="P1883" i="4"/>
  <c r="R1883" i="4" s="1"/>
  <c r="S1883" i="4" s="1"/>
  <c r="P1884" i="4"/>
  <c r="R1884" i="4" s="1"/>
  <c r="S1884" i="4" s="1"/>
  <c r="P1885" i="4"/>
  <c r="P1886" i="4"/>
  <c r="R1886" i="4" s="1"/>
  <c r="S1886" i="4" s="1"/>
  <c r="P1887" i="4"/>
  <c r="R1887" i="4" s="1"/>
  <c r="S1887" i="4" s="1"/>
  <c r="P1888" i="4"/>
  <c r="R1888" i="4" s="1"/>
  <c r="S1888" i="4" s="1"/>
  <c r="P1889" i="4"/>
  <c r="R1889" i="4" s="1"/>
  <c r="S1889" i="4" s="1"/>
  <c r="P1890" i="4"/>
  <c r="R1890" i="4" s="1"/>
  <c r="S1890" i="4" s="1"/>
  <c r="P1891" i="4"/>
  <c r="R1891" i="4" s="1"/>
  <c r="S1891" i="4" s="1"/>
  <c r="P1892" i="4"/>
  <c r="R1892" i="4" s="1"/>
  <c r="S1892" i="4" s="1"/>
  <c r="P1893" i="4"/>
  <c r="P1894" i="4"/>
  <c r="R1894" i="4" s="1"/>
  <c r="S1894" i="4" s="1"/>
  <c r="P1895" i="4"/>
  <c r="R1895" i="4" s="1"/>
  <c r="S1895" i="4" s="1"/>
  <c r="P1896" i="4"/>
  <c r="R1896" i="4" s="1"/>
  <c r="S1896" i="4" s="1"/>
  <c r="P1897" i="4"/>
  <c r="R1897" i="4" s="1"/>
  <c r="S1897" i="4" s="1"/>
  <c r="P1898" i="4"/>
  <c r="R1898" i="4" s="1"/>
  <c r="S1898" i="4" s="1"/>
  <c r="P1899" i="4"/>
  <c r="R1899" i="4" s="1"/>
  <c r="S1899" i="4" s="1"/>
  <c r="P1900" i="4"/>
  <c r="R1900" i="4" s="1"/>
  <c r="S1900" i="4" s="1"/>
  <c r="P1901" i="4"/>
  <c r="P1902" i="4"/>
  <c r="R1902" i="4" s="1"/>
  <c r="S1902" i="4" s="1"/>
  <c r="P1903" i="4"/>
  <c r="R1903" i="4" s="1"/>
  <c r="S1903" i="4" s="1"/>
  <c r="P1904" i="4"/>
  <c r="R1904" i="4" s="1"/>
  <c r="S1904" i="4" s="1"/>
  <c r="P1905" i="4"/>
  <c r="R1905" i="4" s="1"/>
  <c r="S1905" i="4" s="1"/>
  <c r="P1906" i="4"/>
  <c r="R1906" i="4" s="1"/>
  <c r="S1906" i="4" s="1"/>
  <c r="P1907" i="4"/>
  <c r="R1907" i="4" s="1"/>
  <c r="S1907" i="4" s="1"/>
  <c r="P1908" i="4"/>
  <c r="R1908" i="4" s="1"/>
  <c r="S1908" i="4" s="1"/>
  <c r="P1909" i="4"/>
  <c r="P1910" i="4"/>
  <c r="R1910" i="4" s="1"/>
  <c r="S1910" i="4" s="1"/>
  <c r="P1911" i="4"/>
  <c r="R1911" i="4" s="1"/>
  <c r="S1911" i="4" s="1"/>
  <c r="P1912" i="4"/>
  <c r="R1912" i="4" s="1"/>
  <c r="S1912" i="4" s="1"/>
  <c r="P1913" i="4"/>
  <c r="R1913" i="4" s="1"/>
  <c r="S1913" i="4" s="1"/>
  <c r="P1914" i="4"/>
  <c r="R1914" i="4" s="1"/>
  <c r="S1914" i="4" s="1"/>
  <c r="P1915" i="4"/>
  <c r="R1915" i="4" s="1"/>
  <c r="S1915" i="4" s="1"/>
  <c r="P1916" i="4"/>
  <c r="R1916" i="4" s="1"/>
  <c r="S1916" i="4" s="1"/>
  <c r="P1917" i="4"/>
  <c r="P1918" i="4"/>
  <c r="R1918" i="4" s="1"/>
  <c r="S1918" i="4" s="1"/>
  <c r="P1919" i="4"/>
  <c r="R1919" i="4" s="1"/>
  <c r="S1919" i="4" s="1"/>
  <c r="P1920" i="4"/>
  <c r="R1920" i="4" s="1"/>
  <c r="S1920" i="4" s="1"/>
  <c r="P1921" i="4"/>
  <c r="R1921" i="4" s="1"/>
  <c r="S1921" i="4" s="1"/>
  <c r="P1922" i="4"/>
  <c r="R1922" i="4" s="1"/>
  <c r="S1922" i="4" s="1"/>
  <c r="P1923" i="4"/>
  <c r="R1923" i="4" s="1"/>
  <c r="S1923" i="4" s="1"/>
  <c r="P1924" i="4"/>
  <c r="R1924" i="4" s="1"/>
  <c r="S1924" i="4" s="1"/>
  <c r="P1925" i="4"/>
  <c r="P1926" i="4"/>
  <c r="R1926" i="4" s="1"/>
  <c r="S1926" i="4" s="1"/>
  <c r="P1927" i="4"/>
  <c r="R1927" i="4" s="1"/>
  <c r="S1927" i="4" s="1"/>
  <c r="P1928" i="4"/>
  <c r="R1928" i="4" s="1"/>
  <c r="S1928" i="4" s="1"/>
  <c r="P1929" i="4"/>
  <c r="R1929" i="4" s="1"/>
  <c r="S1929" i="4" s="1"/>
  <c r="P1930" i="4"/>
  <c r="R1930" i="4" s="1"/>
  <c r="S1930" i="4" s="1"/>
  <c r="P1931" i="4"/>
  <c r="R1931" i="4" s="1"/>
  <c r="S1931" i="4" s="1"/>
  <c r="P1932" i="4"/>
  <c r="R1932" i="4" s="1"/>
  <c r="S1932" i="4" s="1"/>
  <c r="P1933" i="4"/>
  <c r="P1934" i="4"/>
  <c r="R1934" i="4" s="1"/>
  <c r="S1934" i="4" s="1"/>
  <c r="P1935" i="4"/>
  <c r="R1935" i="4" s="1"/>
  <c r="S1935" i="4" s="1"/>
  <c r="P1936" i="4"/>
  <c r="R1936" i="4" s="1"/>
  <c r="S1936" i="4" s="1"/>
  <c r="P1937" i="4"/>
  <c r="R1937" i="4" s="1"/>
  <c r="S1937" i="4" s="1"/>
  <c r="P1938" i="4"/>
  <c r="R1938" i="4" s="1"/>
  <c r="S1938" i="4" s="1"/>
  <c r="P1939" i="4"/>
  <c r="R1939" i="4" s="1"/>
  <c r="S1939" i="4" s="1"/>
  <c r="P1940" i="4"/>
  <c r="R1940" i="4" s="1"/>
  <c r="S1940" i="4" s="1"/>
  <c r="P1941" i="4"/>
  <c r="P1942" i="4"/>
  <c r="R1942" i="4" s="1"/>
  <c r="S1942" i="4" s="1"/>
  <c r="P1943" i="4"/>
  <c r="R1943" i="4" s="1"/>
  <c r="S1943" i="4" s="1"/>
  <c r="P1944" i="4"/>
  <c r="R1944" i="4" s="1"/>
  <c r="S1944" i="4" s="1"/>
  <c r="P1945" i="4"/>
  <c r="R1945" i="4" s="1"/>
  <c r="S1945" i="4" s="1"/>
  <c r="P1946" i="4"/>
  <c r="R1946" i="4" s="1"/>
  <c r="S1946" i="4" s="1"/>
  <c r="P1947" i="4"/>
  <c r="R1947" i="4" s="1"/>
  <c r="S1947" i="4" s="1"/>
  <c r="P1948" i="4"/>
  <c r="R1948" i="4" s="1"/>
  <c r="S1948" i="4" s="1"/>
  <c r="P1949" i="4"/>
  <c r="P1950" i="4"/>
  <c r="R1950" i="4" s="1"/>
  <c r="S1950" i="4" s="1"/>
  <c r="P1951" i="4"/>
  <c r="R1951" i="4" s="1"/>
  <c r="S1951" i="4" s="1"/>
  <c r="P1952" i="4"/>
  <c r="R1952" i="4" s="1"/>
  <c r="S1952" i="4" s="1"/>
  <c r="P1953" i="4"/>
  <c r="R1953" i="4" s="1"/>
  <c r="S1953" i="4" s="1"/>
  <c r="P1954" i="4"/>
  <c r="R1954" i="4" s="1"/>
  <c r="S1954" i="4" s="1"/>
  <c r="P1955" i="4"/>
  <c r="R1955" i="4" s="1"/>
  <c r="S1955" i="4" s="1"/>
  <c r="P1956" i="4"/>
  <c r="R1956" i="4" s="1"/>
  <c r="S1956" i="4" s="1"/>
  <c r="P1957" i="4"/>
  <c r="P1958" i="4"/>
  <c r="R1958" i="4" s="1"/>
  <c r="S1958" i="4" s="1"/>
  <c r="P1959" i="4"/>
  <c r="R1959" i="4" s="1"/>
  <c r="S1959" i="4" s="1"/>
  <c r="P1960" i="4"/>
  <c r="R1960" i="4" s="1"/>
  <c r="S1960" i="4" s="1"/>
  <c r="P1961" i="4"/>
  <c r="R1961" i="4" s="1"/>
  <c r="S1961" i="4" s="1"/>
  <c r="P1962" i="4"/>
  <c r="R1962" i="4" s="1"/>
  <c r="S1962" i="4" s="1"/>
  <c r="P1963" i="4"/>
  <c r="R1963" i="4" s="1"/>
  <c r="S1963" i="4" s="1"/>
  <c r="P1964" i="4"/>
  <c r="R1964" i="4" s="1"/>
  <c r="S1964" i="4" s="1"/>
  <c r="P1965" i="4"/>
  <c r="P1966" i="4"/>
  <c r="R1966" i="4" s="1"/>
  <c r="S1966" i="4" s="1"/>
  <c r="P1967" i="4"/>
  <c r="R1967" i="4" s="1"/>
  <c r="S1967" i="4" s="1"/>
  <c r="P1968" i="4"/>
  <c r="R1968" i="4" s="1"/>
  <c r="S1968" i="4" s="1"/>
  <c r="P1969" i="4"/>
  <c r="R1969" i="4" s="1"/>
  <c r="S1969" i="4" s="1"/>
  <c r="P1970" i="4"/>
  <c r="R1970" i="4" s="1"/>
  <c r="S1970" i="4" s="1"/>
  <c r="P1971" i="4"/>
  <c r="R1971" i="4" s="1"/>
  <c r="S1971" i="4" s="1"/>
  <c r="P1972" i="4"/>
  <c r="R1972" i="4" s="1"/>
  <c r="S1972" i="4" s="1"/>
  <c r="P1973" i="4"/>
  <c r="P1974" i="4"/>
  <c r="R1974" i="4" s="1"/>
  <c r="S1974" i="4" s="1"/>
  <c r="P1975" i="4"/>
  <c r="R1975" i="4" s="1"/>
  <c r="S1975" i="4" s="1"/>
  <c r="P1976" i="4"/>
  <c r="R1976" i="4" s="1"/>
  <c r="S1976" i="4" s="1"/>
  <c r="P1977" i="4"/>
  <c r="R1977" i="4" s="1"/>
  <c r="S1977" i="4" s="1"/>
  <c r="P1978" i="4"/>
  <c r="R1978" i="4" s="1"/>
  <c r="S1978" i="4" s="1"/>
  <c r="P1979" i="4"/>
  <c r="R1979" i="4" s="1"/>
  <c r="S1979" i="4" s="1"/>
  <c r="P1980" i="4"/>
  <c r="R1980" i="4" s="1"/>
  <c r="S1980" i="4" s="1"/>
  <c r="P1981" i="4"/>
  <c r="P1982" i="4"/>
  <c r="R1982" i="4" s="1"/>
  <c r="S1982" i="4" s="1"/>
  <c r="P1983" i="4"/>
  <c r="R1983" i="4" s="1"/>
  <c r="S1983" i="4" s="1"/>
  <c r="P1984" i="4"/>
  <c r="R1984" i="4" s="1"/>
  <c r="S1984" i="4" s="1"/>
  <c r="P1985" i="4"/>
  <c r="R1985" i="4" s="1"/>
  <c r="S1985" i="4" s="1"/>
  <c r="P1986" i="4"/>
  <c r="R1986" i="4" s="1"/>
  <c r="S1986" i="4" s="1"/>
  <c r="P1987" i="4"/>
  <c r="R1987" i="4" s="1"/>
  <c r="S1987" i="4" s="1"/>
  <c r="P1988" i="4"/>
  <c r="R1988" i="4" s="1"/>
  <c r="S1988" i="4" s="1"/>
  <c r="P1989" i="4"/>
  <c r="P1990" i="4"/>
  <c r="R1990" i="4" s="1"/>
  <c r="S1990" i="4" s="1"/>
  <c r="P1991" i="4"/>
  <c r="R1991" i="4" s="1"/>
  <c r="S1991" i="4" s="1"/>
  <c r="P1992" i="4"/>
  <c r="R1992" i="4" s="1"/>
  <c r="S1992" i="4" s="1"/>
  <c r="P1993" i="4"/>
  <c r="R1993" i="4" s="1"/>
  <c r="S1993" i="4" s="1"/>
  <c r="P3" i="4"/>
  <c r="D4" i="7" l="1"/>
  <c r="D13" i="7"/>
  <c r="D9" i="7"/>
  <c r="D11" i="7"/>
  <c r="D8" i="7"/>
  <c r="D5" i="7"/>
  <c r="D10" i="7"/>
  <c r="D1" i="18"/>
  <c r="D15" i="7"/>
  <c r="D7" i="7"/>
  <c r="B12" i="16"/>
  <c r="D14" i="7"/>
  <c r="D6" i="7"/>
  <c r="B8" i="18"/>
  <c r="E10" i="18" s="1"/>
  <c r="R1030" i="4"/>
  <c r="S1030" i="4" s="1"/>
  <c r="R1014" i="4"/>
  <c r="S1014" i="4" s="1"/>
  <c r="R998" i="4"/>
  <c r="S998" i="4" s="1"/>
  <c r="R982" i="4"/>
  <c r="S982" i="4" s="1"/>
  <c r="R966" i="4"/>
  <c r="S966" i="4" s="1"/>
  <c r="R950" i="4"/>
  <c r="S950" i="4" s="1"/>
  <c r="R942" i="4"/>
  <c r="S942" i="4" s="1"/>
  <c r="R926" i="4"/>
  <c r="S926" i="4" s="1"/>
  <c r="R918" i="4"/>
  <c r="S918" i="4" s="1"/>
  <c r="R910" i="4"/>
  <c r="S910" i="4" s="1"/>
  <c r="R902" i="4"/>
  <c r="S902" i="4" s="1"/>
  <c r="R894" i="4"/>
  <c r="S894" i="4" s="1"/>
  <c r="R886" i="4"/>
  <c r="S886" i="4" s="1"/>
  <c r="R878" i="4"/>
  <c r="S878" i="4" s="1"/>
  <c r="R870" i="4"/>
  <c r="S870" i="4" s="1"/>
  <c r="R862" i="4"/>
  <c r="S862" i="4" s="1"/>
  <c r="R854" i="4"/>
  <c r="S854" i="4" s="1"/>
  <c r="R838" i="4"/>
  <c r="S838" i="4" s="1"/>
  <c r="R830" i="4"/>
  <c r="S830" i="4" s="1"/>
  <c r="R822" i="4"/>
  <c r="S822" i="4" s="1"/>
  <c r="R1022" i="4"/>
  <c r="S1022" i="4" s="1"/>
  <c r="R1006" i="4"/>
  <c r="S1006" i="4" s="1"/>
  <c r="R990" i="4"/>
  <c r="S990" i="4" s="1"/>
  <c r="R974" i="4"/>
  <c r="S974" i="4" s="1"/>
  <c r="R958" i="4"/>
  <c r="S958" i="4" s="1"/>
  <c r="R934" i="4"/>
  <c r="S934" i="4" s="1"/>
  <c r="R670" i="4"/>
  <c r="S670" i="4" s="1"/>
  <c r="R662" i="4"/>
  <c r="S662" i="4" s="1"/>
  <c r="R654" i="4"/>
  <c r="S654" i="4" s="1"/>
  <c r="R646" i="4"/>
  <c r="S646" i="4" s="1"/>
  <c r="R638" i="4"/>
  <c r="S638" i="4" s="1"/>
  <c r="R630" i="4"/>
  <c r="S630" i="4" s="1"/>
  <c r="R622" i="4"/>
  <c r="S622" i="4" s="1"/>
  <c r="R614" i="4"/>
  <c r="S614" i="4" s="1"/>
  <c r="R606" i="4"/>
  <c r="S606" i="4" s="1"/>
  <c r="R598" i="4"/>
  <c r="S598" i="4" s="1"/>
  <c r="R590" i="4"/>
  <c r="S590" i="4" s="1"/>
  <c r="R582" i="4"/>
  <c r="S582" i="4" s="1"/>
  <c r="R574" i="4"/>
  <c r="S574" i="4" s="1"/>
  <c r="R566" i="4"/>
  <c r="S566" i="4" s="1"/>
  <c r="R558" i="4"/>
  <c r="S558" i="4" s="1"/>
  <c r="R550" i="4"/>
  <c r="S550" i="4" s="1"/>
  <c r="R542" i="4"/>
  <c r="S542" i="4" s="1"/>
  <c r="R534" i="4"/>
  <c r="S534" i="4" s="1"/>
  <c r="R526" i="4"/>
  <c r="S526" i="4" s="1"/>
  <c r="R518" i="4"/>
  <c r="S518" i="4" s="1"/>
  <c r="R510" i="4"/>
  <c r="S510" i="4" s="1"/>
  <c r="R502" i="4"/>
  <c r="S502" i="4" s="1"/>
  <c r="R494" i="4"/>
  <c r="S494" i="4" s="1"/>
  <c r="R486" i="4"/>
  <c r="S486" i="4" s="1"/>
  <c r="R478" i="4"/>
  <c r="S478" i="4" s="1"/>
  <c r="R470" i="4"/>
  <c r="S470" i="4" s="1"/>
  <c r="R462" i="4"/>
  <c r="S462" i="4" s="1"/>
  <c r="R454" i="4"/>
  <c r="S454" i="4" s="1"/>
  <c r="R446" i="4"/>
  <c r="S446" i="4" s="1"/>
  <c r="R438" i="4"/>
  <c r="S438" i="4" s="1"/>
  <c r="R430" i="4"/>
  <c r="S430" i="4" s="1"/>
  <c r="R422" i="4"/>
  <c r="S422" i="4" s="1"/>
  <c r="R414" i="4"/>
  <c r="S414" i="4" s="1"/>
  <c r="R406" i="4"/>
  <c r="S406" i="4" s="1"/>
  <c r="R398" i="4"/>
  <c r="S398" i="4" s="1"/>
  <c r="R390" i="4"/>
  <c r="S390" i="4" s="1"/>
  <c r="R382" i="4"/>
  <c r="S382" i="4" s="1"/>
  <c r="R374" i="4"/>
  <c r="S374" i="4" s="1"/>
  <c r="R366" i="4"/>
  <c r="S366" i="4" s="1"/>
  <c r="R358" i="4"/>
  <c r="S358" i="4" s="1"/>
  <c r="R350" i="4"/>
  <c r="S350" i="4" s="1"/>
  <c r="R342" i="4"/>
  <c r="S342" i="4" s="1"/>
  <c r="R334" i="4"/>
  <c r="S334" i="4" s="1"/>
  <c r="R326" i="4"/>
  <c r="S326" i="4" s="1"/>
  <c r="R318" i="4"/>
  <c r="S318" i="4" s="1"/>
  <c r="R310" i="4"/>
  <c r="S310" i="4" s="1"/>
  <c r="R302" i="4"/>
  <c r="S302" i="4" s="1"/>
  <c r="R294" i="4"/>
  <c r="S294" i="4" s="1"/>
  <c r="R286" i="4"/>
  <c r="S286" i="4" s="1"/>
  <c r="R278" i="4"/>
  <c r="S278" i="4" s="1"/>
  <c r="R270" i="4"/>
  <c r="S270" i="4" s="1"/>
  <c r="R262" i="4"/>
  <c r="S262" i="4" s="1"/>
  <c r="R254" i="4"/>
  <c r="S254" i="4" s="1"/>
  <c r="R246" i="4"/>
  <c r="S246" i="4" s="1"/>
  <c r="R238" i="4"/>
  <c r="S238" i="4" s="1"/>
  <c r="R230" i="4"/>
  <c r="S230" i="4" s="1"/>
  <c r="R222" i="4"/>
  <c r="S222" i="4" s="1"/>
  <c r="R214" i="4"/>
  <c r="S214" i="4" s="1"/>
  <c r="R206" i="4"/>
  <c r="S206" i="4" s="1"/>
  <c r="R198" i="4"/>
  <c r="S198" i="4" s="1"/>
  <c r="R190" i="4"/>
  <c r="S190" i="4" s="1"/>
  <c r="R182" i="4"/>
  <c r="S182" i="4" s="1"/>
  <c r="R174" i="4"/>
  <c r="S174" i="4" s="1"/>
  <c r="R166" i="4"/>
  <c r="S166" i="4" s="1"/>
  <c r="R158" i="4"/>
  <c r="S158" i="4" s="1"/>
  <c r="R150" i="4"/>
  <c r="S150" i="4" s="1"/>
  <c r="R142" i="4"/>
  <c r="S142" i="4" s="1"/>
  <c r="R134" i="4"/>
  <c r="S134" i="4" s="1"/>
  <c r="R126" i="4"/>
  <c r="S126" i="4" s="1"/>
  <c r="R118" i="4"/>
  <c r="S118" i="4" s="1"/>
  <c r="R110" i="4"/>
  <c r="S110" i="4" s="1"/>
  <c r="R102" i="4"/>
  <c r="S102" i="4" s="1"/>
  <c r="R94" i="4"/>
  <c r="S94" i="4" s="1"/>
  <c r="R86" i="4"/>
  <c r="S86" i="4" s="1"/>
  <c r="R78" i="4"/>
  <c r="S78" i="4" s="1"/>
  <c r="R70" i="4"/>
  <c r="S70" i="4" s="1"/>
  <c r="R62" i="4"/>
  <c r="S62" i="4" s="1"/>
  <c r="R54" i="4"/>
  <c r="S54" i="4" s="1"/>
  <c r="R46" i="4"/>
  <c r="S46" i="4" s="1"/>
  <c r="R38" i="4"/>
  <c r="S38" i="4" s="1"/>
  <c r="R30" i="4"/>
  <c r="S30" i="4" s="1"/>
  <c r="R22" i="4"/>
  <c r="S22" i="4" s="1"/>
  <c r="R14" i="4"/>
  <c r="S14" i="4" s="1"/>
  <c r="R6" i="4"/>
  <c r="S6" i="4" s="1"/>
  <c r="R49" i="4"/>
  <c r="S49" i="4" s="1"/>
  <c r="R41" i="4"/>
  <c r="S41" i="4" s="1"/>
  <c r="R33" i="4"/>
  <c r="S33" i="4" s="1"/>
  <c r="R25" i="4"/>
  <c r="S25" i="4" s="1"/>
  <c r="R17" i="4"/>
  <c r="S17" i="4" s="1"/>
  <c r="R9" i="4"/>
  <c r="S9" i="4" s="1"/>
  <c r="R1973" i="4"/>
  <c r="S1973" i="4" s="1"/>
  <c r="R1949" i="4"/>
  <c r="S1949" i="4" s="1"/>
  <c r="R1925" i="4"/>
  <c r="S1925" i="4" s="1"/>
  <c r="R1901" i="4"/>
  <c r="S1901" i="4" s="1"/>
  <c r="R1869" i="4"/>
  <c r="S1869" i="4" s="1"/>
  <c r="R1837" i="4"/>
  <c r="S1837" i="4" s="1"/>
  <c r="R1813" i="4"/>
  <c r="S1813" i="4" s="1"/>
  <c r="R1789" i="4"/>
  <c r="S1789" i="4" s="1"/>
  <c r="R1765" i="4"/>
  <c r="S1765" i="4" s="1"/>
  <c r="R1741" i="4"/>
  <c r="S1741" i="4" s="1"/>
  <c r="R1717" i="4"/>
  <c r="S1717" i="4" s="1"/>
  <c r="R1693" i="4"/>
  <c r="S1693" i="4" s="1"/>
  <c r="R1677" i="4"/>
  <c r="S1677" i="4" s="1"/>
  <c r="R1669" i="4"/>
  <c r="S1669" i="4" s="1"/>
  <c r="R1661" i="4"/>
  <c r="S1661" i="4" s="1"/>
  <c r="R1653" i="4"/>
  <c r="S1653" i="4" s="1"/>
  <c r="R1645" i="4"/>
  <c r="S1645" i="4" s="1"/>
  <c r="R1621" i="4"/>
  <c r="S1621" i="4" s="1"/>
  <c r="R1613" i="4"/>
  <c r="S1613" i="4" s="1"/>
  <c r="R1605" i="4"/>
  <c r="S1605" i="4" s="1"/>
  <c r="R1597" i="4"/>
  <c r="S1597" i="4" s="1"/>
  <c r="R1589" i="4"/>
  <c r="S1589" i="4" s="1"/>
  <c r="R1581" i="4"/>
  <c r="S1581" i="4" s="1"/>
  <c r="R1573" i="4"/>
  <c r="S1573" i="4" s="1"/>
  <c r="R1565" i="4"/>
  <c r="S1565" i="4" s="1"/>
  <c r="R1557" i="4"/>
  <c r="S1557" i="4" s="1"/>
  <c r="R1549" i="4"/>
  <c r="S1549" i="4" s="1"/>
  <c r="R1541" i="4"/>
  <c r="S1541" i="4" s="1"/>
  <c r="R1533" i="4"/>
  <c r="S1533" i="4" s="1"/>
  <c r="R1525" i="4"/>
  <c r="S1525" i="4" s="1"/>
  <c r="R1517" i="4"/>
  <c r="S1517" i="4" s="1"/>
  <c r="R1509" i="4"/>
  <c r="S1509" i="4" s="1"/>
  <c r="R1501" i="4"/>
  <c r="S1501" i="4" s="1"/>
  <c r="R1493" i="4"/>
  <c r="S1493" i="4" s="1"/>
  <c r="R1485" i="4"/>
  <c r="S1485" i="4" s="1"/>
  <c r="R1477" i="4"/>
  <c r="S1477" i="4" s="1"/>
  <c r="R1469" i="4"/>
  <c r="S1469" i="4" s="1"/>
  <c r="R1461" i="4"/>
  <c r="S1461" i="4" s="1"/>
  <c r="R1453" i="4"/>
  <c r="S1453" i="4" s="1"/>
  <c r="R1445" i="4"/>
  <c r="S1445" i="4" s="1"/>
  <c r="R1437" i="4"/>
  <c r="S1437" i="4" s="1"/>
  <c r="R1429" i="4"/>
  <c r="S1429" i="4" s="1"/>
  <c r="R1421" i="4"/>
  <c r="S1421" i="4" s="1"/>
  <c r="R1413" i="4"/>
  <c r="S1413" i="4" s="1"/>
  <c r="R1405" i="4"/>
  <c r="S1405" i="4" s="1"/>
  <c r="R1397" i="4"/>
  <c r="S1397" i="4" s="1"/>
  <c r="R1389" i="4"/>
  <c r="S1389" i="4" s="1"/>
  <c r="R1381" i="4"/>
  <c r="S1381" i="4" s="1"/>
  <c r="R1373" i="4"/>
  <c r="S1373" i="4" s="1"/>
  <c r="R1365" i="4"/>
  <c r="S1365" i="4" s="1"/>
  <c r="R1357" i="4"/>
  <c r="S1357" i="4" s="1"/>
  <c r="R1349" i="4"/>
  <c r="S1349" i="4" s="1"/>
  <c r="R1341" i="4"/>
  <c r="S1341" i="4" s="1"/>
  <c r="R1333" i="4"/>
  <c r="S1333" i="4" s="1"/>
  <c r="R1325" i="4"/>
  <c r="S1325" i="4" s="1"/>
  <c r="R1317" i="4"/>
  <c r="S1317" i="4" s="1"/>
  <c r="R1309" i="4"/>
  <c r="S1309" i="4" s="1"/>
  <c r="R1301" i="4"/>
  <c r="S1301" i="4" s="1"/>
  <c r="R1293" i="4"/>
  <c r="S1293" i="4" s="1"/>
  <c r="R1285" i="4"/>
  <c r="S1285" i="4" s="1"/>
  <c r="R1277" i="4"/>
  <c r="S1277" i="4" s="1"/>
  <c r="R1269" i="4"/>
  <c r="S1269" i="4" s="1"/>
  <c r="R1261" i="4"/>
  <c r="S1261" i="4" s="1"/>
  <c r="R1253" i="4"/>
  <c r="S1253" i="4" s="1"/>
  <c r="R1245" i="4"/>
  <c r="S1245" i="4" s="1"/>
  <c r="R1237" i="4"/>
  <c r="S1237" i="4" s="1"/>
  <c r="R1229" i="4"/>
  <c r="S1229" i="4" s="1"/>
  <c r="R1221" i="4"/>
  <c r="S1221" i="4" s="1"/>
  <c r="R1213" i="4"/>
  <c r="S1213" i="4" s="1"/>
  <c r="R1205" i="4"/>
  <c r="S1205" i="4" s="1"/>
  <c r="R1197" i="4"/>
  <c r="S1197" i="4" s="1"/>
  <c r="R1189" i="4"/>
  <c r="S1189" i="4" s="1"/>
  <c r="R1181" i="4"/>
  <c r="S1181" i="4" s="1"/>
  <c r="R1173" i="4"/>
  <c r="S1173" i="4" s="1"/>
  <c r="R1165" i="4"/>
  <c r="S1165" i="4" s="1"/>
  <c r="R1157" i="4"/>
  <c r="S1157" i="4" s="1"/>
  <c r="R1149" i="4"/>
  <c r="S1149" i="4" s="1"/>
  <c r="R1141" i="4"/>
  <c r="S1141" i="4" s="1"/>
  <c r="R1133" i="4"/>
  <c r="S1133" i="4" s="1"/>
  <c r="R1125" i="4"/>
  <c r="S1125" i="4" s="1"/>
  <c r="R1117" i="4"/>
  <c r="S1117" i="4" s="1"/>
  <c r="R1109" i="4"/>
  <c r="S1109" i="4" s="1"/>
  <c r="R1101" i="4"/>
  <c r="S1101" i="4" s="1"/>
  <c r="R1093" i="4"/>
  <c r="S1093" i="4" s="1"/>
  <c r="R1085" i="4"/>
  <c r="S1085" i="4" s="1"/>
  <c r="R1077" i="4"/>
  <c r="S1077" i="4" s="1"/>
  <c r="R1069" i="4"/>
  <c r="S1069" i="4" s="1"/>
  <c r="R1061" i="4"/>
  <c r="S1061" i="4" s="1"/>
  <c r="R1053" i="4"/>
  <c r="S1053" i="4" s="1"/>
  <c r="R1045" i="4"/>
  <c r="S1045" i="4" s="1"/>
  <c r="R1037" i="4"/>
  <c r="S1037" i="4" s="1"/>
  <c r="R1029" i="4"/>
  <c r="S1029" i="4" s="1"/>
  <c r="R1021" i="4"/>
  <c r="S1021" i="4" s="1"/>
  <c r="R1013" i="4"/>
  <c r="S1013" i="4" s="1"/>
  <c r="R1005" i="4"/>
  <c r="S1005" i="4" s="1"/>
  <c r="R997" i="4"/>
  <c r="S997" i="4" s="1"/>
  <c r="R989" i="4"/>
  <c r="S989" i="4" s="1"/>
  <c r="R981" i="4"/>
  <c r="S981" i="4" s="1"/>
  <c r="R973" i="4"/>
  <c r="S973" i="4" s="1"/>
  <c r="R965" i="4"/>
  <c r="S965" i="4" s="1"/>
  <c r="R1989" i="4"/>
  <c r="S1989" i="4" s="1"/>
  <c r="R1965" i="4"/>
  <c r="S1965" i="4" s="1"/>
  <c r="R1941" i="4"/>
  <c r="S1941" i="4" s="1"/>
  <c r="R1909" i="4"/>
  <c r="S1909" i="4" s="1"/>
  <c r="R1885" i="4"/>
  <c r="S1885" i="4" s="1"/>
  <c r="R1861" i="4"/>
  <c r="S1861" i="4" s="1"/>
  <c r="R1845" i="4"/>
  <c r="S1845" i="4" s="1"/>
  <c r="R1821" i="4"/>
  <c r="S1821" i="4" s="1"/>
  <c r="R1797" i="4"/>
  <c r="S1797" i="4" s="1"/>
  <c r="R1773" i="4"/>
  <c r="S1773" i="4" s="1"/>
  <c r="R1749" i="4"/>
  <c r="S1749" i="4" s="1"/>
  <c r="R1725" i="4"/>
  <c r="S1725" i="4" s="1"/>
  <c r="R1701" i="4"/>
  <c r="S1701" i="4" s="1"/>
  <c r="R1637" i="4"/>
  <c r="S1637" i="4" s="1"/>
  <c r="R1981" i="4"/>
  <c r="S1981" i="4" s="1"/>
  <c r="R1957" i="4"/>
  <c r="S1957" i="4" s="1"/>
  <c r="R1933" i="4"/>
  <c r="S1933" i="4" s="1"/>
  <c r="R1917" i="4"/>
  <c r="S1917" i="4" s="1"/>
  <c r="R1893" i="4"/>
  <c r="S1893" i="4" s="1"/>
  <c r="R1877" i="4"/>
  <c r="S1877" i="4" s="1"/>
  <c r="R1853" i="4"/>
  <c r="S1853" i="4" s="1"/>
  <c r="R1829" i="4"/>
  <c r="S1829" i="4" s="1"/>
  <c r="R1805" i="4"/>
  <c r="S1805" i="4" s="1"/>
  <c r="R1781" i="4"/>
  <c r="S1781" i="4" s="1"/>
  <c r="R1757" i="4"/>
  <c r="S1757" i="4" s="1"/>
  <c r="R1733" i="4"/>
  <c r="S1733" i="4" s="1"/>
  <c r="R1709" i="4"/>
  <c r="S1709" i="4" s="1"/>
  <c r="R1685" i="4"/>
  <c r="S1685" i="4" s="1"/>
  <c r="R1629" i="4"/>
  <c r="S1629" i="4" s="1"/>
  <c r="R957" i="4"/>
  <c r="S957" i="4" s="1"/>
  <c r="R949" i="4"/>
  <c r="S949" i="4" s="1"/>
  <c r="R941" i="4"/>
  <c r="S941" i="4" s="1"/>
  <c r="R933" i="4"/>
  <c r="S933" i="4" s="1"/>
  <c r="R925" i="4"/>
  <c r="S925" i="4" s="1"/>
  <c r="R917" i="4"/>
  <c r="S917" i="4" s="1"/>
  <c r="R909" i="4"/>
  <c r="S909" i="4" s="1"/>
  <c r="R901" i="4"/>
  <c r="S901" i="4" s="1"/>
  <c r="R893" i="4"/>
  <c r="S893" i="4" s="1"/>
  <c r="R885" i="4"/>
  <c r="S885" i="4" s="1"/>
  <c r="R877" i="4"/>
  <c r="S877" i="4" s="1"/>
  <c r="R869" i="4"/>
  <c r="S869" i="4" s="1"/>
  <c r="R861" i="4"/>
  <c r="S861" i="4" s="1"/>
  <c r="R853" i="4"/>
  <c r="S853" i="4" s="1"/>
  <c r="R845" i="4"/>
  <c r="S845" i="4" s="1"/>
  <c r="R837" i="4"/>
  <c r="S837" i="4" s="1"/>
  <c r="R829" i="4"/>
  <c r="S829" i="4" s="1"/>
  <c r="R821" i="4"/>
  <c r="S821" i="4" s="1"/>
  <c r="R813" i="4"/>
  <c r="S813" i="4" s="1"/>
  <c r="R805" i="4"/>
  <c r="S805" i="4" s="1"/>
  <c r="R797" i="4"/>
  <c r="S797" i="4" s="1"/>
  <c r="R789" i="4"/>
  <c r="S789" i="4" s="1"/>
  <c r="R781" i="4"/>
  <c r="S781" i="4" s="1"/>
  <c r="R773" i="4"/>
  <c r="S773" i="4" s="1"/>
  <c r="R765" i="4"/>
  <c r="S765" i="4" s="1"/>
  <c r="R757" i="4"/>
  <c r="S757" i="4" s="1"/>
  <c r="R749" i="4"/>
  <c r="S749" i="4" s="1"/>
  <c r="R741" i="4"/>
  <c r="S741" i="4" s="1"/>
  <c r="R733" i="4"/>
  <c r="S733" i="4" s="1"/>
  <c r="R725" i="4"/>
  <c r="S725" i="4" s="1"/>
  <c r="R717" i="4"/>
  <c r="S717" i="4" s="1"/>
  <c r="R709" i="4"/>
  <c r="S709" i="4" s="1"/>
  <c r="R701" i="4"/>
  <c r="S701" i="4" s="1"/>
  <c r="R693" i="4"/>
  <c r="S693" i="4" s="1"/>
  <c r="R685" i="4"/>
  <c r="S685" i="4" s="1"/>
  <c r="R677" i="4"/>
  <c r="S677" i="4" s="1"/>
  <c r="R669" i="4"/>
  <c r="S669" i="4" s="1"/>
  <c r="R661" i="4"/>
  <c r="S661" i="4" s="1"/>
  <c r="R653" i="4"/>
  <c r="S653" i="4" s="1"/>
  <c r="R645" i="4"/>
  <c r="S645" i="4" s="1"/>
  <c r="R637" i="4"/>
  <c r="S637" i="4" s="1"/>
  <c r="R629" i="4"/>
  <c r="S629" i="4" s="1"/>
  <c r="R621" i="4"/>
  <c r="S621" i="4" s="1"/>
  <c r="R613" i="4"/>
  <c r="S613" i="4" s="1"/>
  <c r="R605" i="4"/>
  <c r="S605" i="4" s="1"/>
  <c r="R597" i="4"/>
  <c r="S597" i="4" s="1"/>
  <c r="R589" i="4"/>
  <c r="S589" i="4" s="1"/>
  <c r="R581" i="4"/>
  <c r="S581" i="4" s="1"/>
  <c r="R573" i="4"/>
  <c r="S573" i="4" s="1"/>
  <c r="R565" i="4"/>
  <c r="S565" i="4" s="1"/>
  <c r="R557" i="4"/>
  <c r="S557" i="4" s="1"/>
  <c r="R549" i="4"/>
  <c r="S549" i="4" s="1"/>
  <c r="R541" i="4"/>
  <c r="S541" i="4" s="1"/>
  <c r="R533" i="4"/>
  <c r="S533" i="4" s="1"/>
  <c r="R525" i="4"/>
  <c r="S525" i="4" s="1"/>
  <c r="R517" i="4"/>
  <c r="S517" i="4" s="1"/>
  <c r="R509" i="4"/>
  <c r="S509" i="4" s="1"/>
  <c r="R501" i="4"/>
  <c r="S501" i="4" s="1"/>
  <c r="R493" i="4"/>
  <c r="S493" i="4" s="1"/>
  <c r="R485" i="4"/>
  <c r="S485" i="4" s="1"/>
  <c r="R477" i="4"/>
  <c r="S477" i="4" s="1"/>
  <c r="R469" i="4"/>
  <c r="S469" i="4" s="1"/>
  <c r="R461" i="4"/>
  <c r="S461" i="4" s="1"/>
  <c r="R453" i="4"/>
  <c r="S453" i="4" s="1"/>
  <c r="R445" i="4"/>
  <c r="S445" i="4" s="1"/>
  <c r="R437" i="4"/>
  <c r="S437" i="4" s="1"/>
  <c r="R429" i="4"/>
  <c r="S429" i="4" s="1"/>
  <c r="R421" i="4"/>
  <c r="S421" i="4" s="1"/>
  <c r="R413" i="4"/>
  <c r="S413" i="4" s="1"/>
  <c r="R405" i="4"/>
  <c r="S405" i="4" s="1"/>
  <c r="R397" i="4"/>
  <c r="S397" i="4" s="1"/>
  <c r="R389" i="4"/>
  <c r="S389" i="4" s="1"/>
  <c r="R381" i="4"/>
  <c r="S381" i="4" s="1"/>
  <c r="R373" i="4"/>
  <c r="S373" i="4" s="1"/>
  <c r="R365" i="4"/>
  <c r="S365" i="4" s="1"/>
  <c r="R357" i="4"/>
  <c r="S357" i="4" s="1"/>
  <c r="R349" i="4"/>
  <c r="S349" i="4" s="1"/>
  <c r="R341" i="4"/>
  <c r="S341" i="4" s="1"/>
  <c r="R333" i="4"/>
  <c r="S333" i="4" s="1"/>
  <c r="R325" i="4"/>
  <c r="S325" i="4" s="1"/>
  <c r="R317" i="4"/>
  <c r="S317" i="4" s="1"/>
  <c r="R309" i="4"/>
  <c r="S309" i="4" s="1"/>
  <c r="R301" i="4"/>
  <c r="S301" i="4" s="1"/>
  <c r="R293" i="4"/>
  <c r="S293" i="4" s="1"/>
  <c r="R285" i="4"/>
  <c r="S285" i="4" s="1"/>
  <c r="R277" i="4"/>
  <c r="S277" i="4" s="1"/>
  <c r="R269" i="4"/>
  <c r="S269" i="4" s="1"/>
  <c r="R261" i="4"/>
  <c r="S261" i="4" s="1"/>
  <c r="R253" i="4"/>
  <c r="S253" i="4" s="1"/>
  <c r="R245" i="4"/>
  <c r="S245" i="4" s="1"/>
  <c r="R237" i="4"/>
  <c r="S237" i="4" s="1"/>
  <c r="R229" i="4"/>
  <c r="S229" i="4" s="1"/>
  <c r="R221" i="4"/>
  <c r="S221" i="4" s="1"/>
  <c r="R213" i="4"/>
  <c r="S213" i="4" s="1"/>
  <c r="R205" i="4"/>
  <c r="S205" i="4" s="1"/>
  <c r="R197" i="4"/>
  <c r="S197" i="4" s="1"/>
  <c r="R189" i="4"/>
  <c r="S189" i="4" s="1"/>
  <c r="R181" i="4"/>
  <c r="S181" i="4" s="1"/>
  <c r="R173" i="4"/>
  <c r="S173" i="4" s="1"/>
  <c r="R165" i="4"/>
  <c r="S165" i="4" s="1"/>
  <c r="R157" i="4"/>
  <c r="S157" i="4" s="1"/>
  <c r="R149" i="4"/>
  <c r="S149" i="4" s="1"/>
  <c r="R141" i="4"/>
  <c r="S141" i="4" s="1"/>
  <c r="R133" i="4"/>
  <c r="S133" i="4" s="1"/>
  <c r="R125" i="4"/>
  <c r="S125" i="4" s="1"/>
  <c r="R117" i="4"/>
  <c r="S117" i="4" s="1"/>
  <c r="R109" i="4"/>
  <c r="S109" i="4" s="1"/>
  <c r="R101" i="4"/>
  <c r="S101" i="4" s="1"/>
  <c r="R93" i="4"/>
  <c r="S93" i="4" s="1"/>
  <c r="R85" i="4"/>
  <c r="S85" i="4" s="1"/>
  <c r="R77" i="4"/>
  <c r="S77" i="4" s="1"/>
  <c r="R69" i="4"/>
  <c r="S69" i="4" s="1"/>
  <c r="R61" i="4"/>
  <c r="S61" i="4" s="1"/>
  <c r="R53" i="4"/>
  <c r="S53" i="4" s="1"/>
  <c r="R45" i="4"/>
  <c r="S45" i="4" s="1"/>
  <c r="R37" i="4"/>
  <c r="S37" i="4" s="1"/>
  <c r="R29" i="4"/>
  <c r="S29" i="4" s="1"/>
  <c r="R21" i="4"/>
  <c r="S21" i="4" s="1"/>
  <c r="R13" i="4"/>
  <c r="S13" i="4" s="1"/>
  <c r="R5" i="4"/>
  <c r="S5" i="4" s="1"/>
  <c r="R3" i="4"/>
  <c r="B8" i="6"/>
  <c r="R680" i="4"/>
  <c r="S680" i="4" s="1"/>
  <c r="R672" i="4"/>
  <c r="S672" i="4" s="1"/>
  <c r="R664" i="4"/>
  <c r="S664" i="4" s="1"/>
  <c r="R656" i="4"/>
  <c r="S656" i="4" s="1"/>
  <c r="R648" i="4"/>
  <c r="S648" i="4" s="1"/>
  <c r="R640" i="4"/>
  <c r="S640" i="4" s="1"/>
  <c r="R632" i="4"/>
  <c r="S632" i="4" s="1"/>
  <c r="R624" i="4"/>
  <c r="S624" i="4" s="1"/>
  <c r="R616" i="4"/>
  <c r="S616" i="4" s="1"/>
  <c r="R608" i="4"/>
  <c r="S608" i="4" s="1"/>
  <c r="R600" i="4"/>
  <c r="S600" i="4" s="1"/>
  <c r="R592" i="4"/>
  <c r="S592" i="4" s="1"/>
  <c r="R584" i="4"/>
  <c r="S584" i="4" s="1"/>
  <c r="R576" i="4"/>
  <c r="S576" i="4" s="1"/>
  <c r="R568" i="4"/>
  <c r="S568" i="4" s="1"/>
  <c r="R560" i="4"/>
  <c r="S560" i="4" s="1"/>
  <c r="R552" i="4"/>
  <c r="S552" i="4" s="1"/>
  <c r="R544" i="4"/>
  <c r="S544" i="4" s="1"/>
  <c r="R536" i="4"/>
  <c r="S536" i="4" s="1"/>
  <c r="R528" i="4"/>
  <c r="S528" i="4" s="1"/>
  <c r="R520" i="4"/>
  <c r="S520" i="4" s="1"/>
  <c r="R512" i="4"/>
  <c r="S512" i="4" s="1"/>
  <c r="R504" i="4"/>
  <c r="S504" i="4" s="1"/>
  <c r="R496" i="4"/>
  <c r="S496" i="4" s="1"/>
  <c r="R488" i="4"/>
  <c r="S488" i="4" s="1"/>
  <c r="R480" i="4"/>
  <c r="S480" i="4" s="1"/>
  <c r="R472" i="4"/>
  <c r="S472" i="4" s="1"/>
  <c r="R464" i="4"/>
  <c r="S464" i="4" s="1"/>
  <c r="R456" i="4"/>
  <c r="S456" i="4" s="1"/>
  <c r="R448" i="4"/>
  <c r="S448" i="4" s="1"/>
  <c r="R440" i="4"/>
  <c r="S440" i="4" s="1"/>
  <c r="R432" i="4"/>
  <c r="S432" i="4" s="1"/>
  <c r="R424" i="4"/>
  <c r="S424" i="4" s="1"/>
  <c r="R416" i="4"/>
  <c r="S416" i="4" s="1"/>
  <c r="R408" i="4"/>
  <c r="S408" i="4" s="1"/>
  <c r="R400" i="4"/>
  <c r="S400" i="4" s="1"/>
  <c r="R392" i="4"/>
  <c r="S392" i="4" s="1"/>
  <c r="R384" i="4"/>
  <c r="S384" i="4" s="1"/>
  <c r="R376" i="4"/>
  <c r="S376" i="4" s="1"/>
  <c r="R368" i="4"/>
  <c r="S368" i="4" s="1"/>
  <c r="R360" i="4"/>
  <c r="S360" i="4" s="1"/>
  <c r="R352" i="4"/>
  <c r="S352" i="4" s="1"/>
  <c r="R344" i="4"/>
  <c r="S344" i="4" s="1"/>
  <c r="R336" i="4"/>
  <c r="S336" i="4" s="1"/>
  <c r="R328" i="4"/>
  <c r="S328" i="4" s="1"/>
  <c r="R320" i="4"/>
  <c r="S320" i="4" s="1"/>
  <c r="R312" i="4"/>
  <c r="S312" i="4" s="1"/>
  <c r="R304" i="4"/>
  <c r="S304" i="4" s="1"/>
  <c r="R296" i="4"/>
  <c r="S296" i="4" s="1"/>
  <c r="R288" i="4"/>
  <c r="S288" i="4" s="1"/>
  <c r="R280" i="4"/>
  <c r="S280" i="4" s="1"/>
  <c r="R272" i="4"/>
  <c r="S272" i="4" s="1"/>
  <c r="R264" i="4"/>
  <c r="S264" i="4" s="1"/>
  <c r="R256" i="4"/>
  <c r="S256" i="4" s="1"/>
  <c r="R248" i="4"/>
  <c r="S248" i="4" s="1"/>
  <c r="R240" i="4"/>
  <c r="S240" i="4" s="1"/>
  <c r="R232" i="4"/>
  <c r="S232" i="4" s="1"/>
  <c r="R224" i="4"/>
  <c r="S224" i="4" s="1"/>
  <c r="R216" i="4"/>
  <c r="S216" i="4" s="1"/>
  <c r="R208" i="4"/>
  <c r="S208" i="4" s="1"/>
  <c r="R200" i="4"/>
  <c r="S200" i="4" s="1"/>
  <c r="R192" i="4"/>
  <c r="S192" i="4" s="1"/>
  <c r="R184" i="4"/>
  <c r="S184" i="4" s="1"/>
  <c r="R176" i="4"/>
  <c r="S176" i="4" s="1"/>
  <c r="R168" i="4"/>
  <c r="S168" i="4" s="1"/>
  <c r="R160" i="4"/>
  <c r="S160" i="4" s="1"/>
  <c r="R152" i="4"/>
  <c r="S152" i="4" s="1"/>
  <c r="R144" i="4"/>
  <c r="S144" i="4" s="1"/>
  <c r="R136" i="4"/>
  <c r="S136" i="4" s="1"/>
  <c r="R128" i="4"/>
  <c r="S128" i="4" s="1"/>
  <c r="R120" i="4"/>
  <c r="S120" i="4" s="1"/>
  <c r="R112" i="4"/>
  <c r="S112" i="4" s="1"/>
  <c r="R104" i="4"/>
  <c r="S104" i="4" s="1"/>
  <c r="R96" i="4"/>
  <c r="S96" i="4" s="1"/>
  <c r="R88" i="4"/>
  <c r="S88" i="4" s="1"/>
  <c r="R80" i="4"/>
  <c r="S80" i="4" s="1"/>
  <c r="R72" i="4"/>
  <c r="S72" i="4" s="1"/>
  <c r="R64" i="4"/>
  <c r="S64" i="4" s="1"/>
  <c r="R56" i="4"/>
  <c r="S56" i="4" s="1"/>
  <c r="R48" i="4"/>
  <c r="S48" i="4" s="1"/>
  <c r="R40" i="4"/>
  <c r="S40" i="4" s="1"/>
  <c r="R32" i="4"/>
  <c r="S32" i="4" s="1"/>
  <c r="R24" i="4"/>
  <c r="S24" i="4" s="1"/>
  <c r="R16" i="4"/>
  <c r="S16" i="4" s="1"/>
  <c r="R8" i="4"/>
  <c r="S8" i="4" s="1"/>
  <c r="R1586" i="4"/>
  <c r="S1586" i="4" s="1"/>
  <c r="R1578" i="4"/>
  <c r="S1578" i="4" s="1"/>
  <c r="R1570" i="4"/>
  <c r="S1570" i="4" s="1"/>
  <c r="R1562" i="4"/>
  <c r="S1562" i="4" s="1"/>
  <c r="R1554" i="4"/>
  <c r="S1554" i="4" s="1"/>
  <c r="R1538" i="4"/>
  <c r="S1538" i="4" s="1"/>
  <c r="R1530" i="4"/>
  <c r="S1530" i="4" s="1"/>
  <c r="R1522" i="4"/>
  <c r="S1522" i="4" s="1"/>
  <c r="R1514" i="4"/>
  <c r="S1514" i="4" s="1"/>
  <c r="R1506" i="4"/>
  <c r="S1506" i="4" s="1"/>
  <c r="R1498" i="4"/>
  <c r="S1498" i="4" s="1"/>
  <c r="R1490" i="4"/>
  <c r="S1490" i="4" s="1"/>
  <c r="R1474" i="4"/>
  <c r="S1474" i="4" s="1"/>
  <c r="R1466" i="4"/>
  <c r="S1466" i="4" s="1"/>
  <c r="R1458" i="4"/>
  <c r="S1458" i="4" s="1"/>
  <c r="R1450" i="4"/>
  <c r="S1450" i="4" s="1"/>
  <c r="R1442" i="4"/>
  <c r="S1442" i="4" s="1"/>
  <c r="R1434" i="4"/>
  <c r="S1434" i="4" s="1"/>
  <c r="R1426" i="4"/>
  <c r="S1426" i="4" s="1"/>
  <c r="R1410" i="4"/>
  <c r="S1410" i="4" s="1"/>
  <c r="R1402" i="4"/>
  <c r="S1402" i="4" s="1"/>
  <c r="R1394" i="4"/>
  <c r="S1394" i="4" s="1"/>
  <c r="R1386" i="4"/>
  <c r="S1386" i="4" s="1"/>
  <c r="R1378" i="4"/>
  <c r="S1378" i="4" s="1"/>
  <c r="R1370" i="4"/>
  <c r="S1370" i="4" s="1"/>
  <c r="R1362" i="4"/>
  <c r="S1362" i="4" s="1"/>
  <c r="R1346" i="4"/>
  <c r="S1346" i="4" s="1"/>
  <c r="R1338" i="4"/>
  <c r="S1338" i="4" s="1"/>
  <c r="R1330" i="4"/>
  <c r="S1330" i="4" s="1"/>
  <c r="R1322" i="4"/>
  <c r="S1322" i="4" s="1"/>
  <c r="R1314" i="4"/>
  <c r="S1314" i="4" s="1"/>
  <c r="R1298" i="4"/>
  <c r="S1298" i="4" s="1"/>
  <c r="R1290" i="4"/>
  <c r="S1290" i="4" s="1"/>
  <c r="R1282" i="4"/>
  <c r="S1282" i="4" s="1"/>
  <c r="R1274" i="4"/>
  <c r="S1274" i="4" s="1"/>
  <c r="R1266" i="4"/>
  <c r="S1266" i="4" s="1"/>
  <c r="R1258" i="4"/>
  <c r="S1258" i="4" s="1"/>
  <c r="R1250" i="4"/>
  <c r="S1250" i="4" s="1"/>
  <c r="R1242" i="4"/>
  <c r="S1242" i="4" s="1"/>
  <c r="R1234" i="4"/>
  <c r="S1234" i="4" s="1"/>
  <c r="R1226" i="4"/>
  <c r="S1226" i="4" s="1"/>
  <c r="R1218" i="4"/>
  <c r="S1218" i="4" s="1"/>
  <c r="R1210" i="4"/>
  <c r="S1210" i="4" s="1"/>
  <c r="R1202" i="4"/>
  <c r="S1202" i="4" s="1"/>
  <c r="R1194" i="4"/>
  <c r="S1194" i="4" s="1"/>
  <c r="R1186" i="4"/>
  <c r="S1186" i="4" s="1"/>
  <c r="R1178" i="4"/>
  <c r="S1178" i="4" s="1"/>
  <c r="R1170" i="4"/>
  <c r="S1170" i="4" s="1"/>
  <c r="R1162" i="4"/>
  <c r="S1162" i="4" s="1"/>
  <c r="R1154" i="4"/>
  <c r="S1154" i="4" s="1"/>
  <c r="R1146" i="4"/>
  <c r="S1146" i="4" s="1"/>
  <c r="R1138" i="4"/>
  <c r="S1138" i="4" s="1"/>
  <c r="R1130" i="4"/>
  <c r="S1130" i="4" s="1"/>
  <c r="R1122" i="4"/>
  <c r="S1122" i="4" s="1"/>
  <c r="R1114" i="4"/>
  <c r="S1114" i="4" s="1"/>
  <c r="R1106" i="4"/>
  <c r="S1106" i="4" s="1"/>
  <c r="R1098" i="4"/>
  <c r="S1098" i="4" s="1"/>
  <c r="R1090" i="4"/>
  <c r="S1090" i="4" s="1"/>
  <c r="R1082" i="4"/>
  <c r="S1082" i="4" s="1"/>
  <c r="R1074" i="4"/>
  <c r="S1074" i="4" s="1"/>
  <c r="R1066" i="4"/>
  <c r="S1066" i="4" s="1"/>
  <c r="R1058" i="4"/>
  <c r="S1058" i="4" s="1"/>
  <c r="R1050" i="4"/>
  <c r="S1050" i="4" s="1"/>
  <c r="R1042" i="4"/>
  <c r="S1042" i="4" s="1"/>
  <c r="R1034" i="4"/>
  <c r="S1034" i="4" s="1"/>
  <c r="R1026" i="4"/>
  <c r="S1026" i="4" s="1"/>
  <c r="R1018" i="4"/>
  <c r="S1018" i="4" s="1"/>
  <c r="R1010" i="4"/>
  <c r="S1010" i="4" s="1"/>
  <c r="R1002" i="4"/>
  <c r="S1002" i="4" s="1"/>
  <c r="R994" i="4"/>
  <c r="S994" i="4" s="1"/>
  <c r="R986" i="4"/>
  <c r="S986" i="4" s="1"/>
  <c r="R978" i="4"/>
  <c r="S978" i="4" s="1"/>
  <c r="R970" i="4"/>
  <c r="S970" i="4" s="1"/>
  <c r="R962" i="4"/>
  <c r="S962" i="4" s="1"/>
  <c r="R954" i="4"/>
  <c r="S954" i="4" s="1"/>
  <c r="R946" i="4"/>
  <c r="S946" i="4" s="1"/>
  <c r="R938" i="4"/>
  <c r="S938" i="4" s="1"/>
  <c r="R930" i="4"/>
  <c r="S930" i="4" s="1"/>
  <c r="R922" i="4"/>
  <c r="S922" i="4" s="1"/>
  <c r="R914" i="4"/>
  <c r="S914" i="4" s="1"/>
  <c r="R906" i="4"/>
  <c r="S906" i="4" s="1"/>
  <c r="R898" i="4"/>
  <c r="S898" i="4" s="1"/>
  <c r="R890" i="4"/>
  <c r="S890" i="4" s="1"/>
  <c r="R882" i="4"/>
  <c r="S882" i="4" s="1"/>
  <c r="R874" i="4"/>
  <c r="S874" i="4" s="1"/>
  <c r="R866" i="4"/>
  <c r="S866" i="4" s="1"/>
  <c r="R858" i="4"/>
  <c r="S858" i="4" s="1"/>
  <c r="R850" i="4"/>
  <c r="S850" i="4" s="1"/>
  <c r="R842" i="4"/>
  <c r="S842" i="4" s="1"/>
  <c r="R834" i="4"/>
  <c r="S834" i="4" s="1"/>
  <c r="R826" i="4"/>
  <c r="S826" i="4" s="1"/>
  <c r="R818" i="4"/>
  <c r="S818" i="4" s="1"/>
  <c r="R810" i="4"/>
  <c r="S810" i="4" s="1"/>
  <c r="R802" i="4"/>
  <c r="S802" i="4" s="1"/>
  <c r="R794" i="4"/>
  <c r="S794" i="4" s="1"/>
  <c r="R786" i="4"/>
  <c r="S786" i="4" s="1"/>
  <c r="R778" i="4"/>
  <c r="S778" i="4" s="1"/>
  <c r="R770" i="4"/>
  <c r="S770" i="4" s="1"/>
  <c r="R762" i="4"/>
  <c r="S762" i="4" s="1"/>
  <c r="R754" i="4"/>
  <c r="S754" i="4" s="1"/>
  <c r="R746" i="4"/>
  <c r="S746" i="4" s="1"/>
  <c r="R738" i="4"/>
  <c r="S738" i="4" s="1"/>
  <c r="R730" i="4"/>
  <c r="S730" i="4" s="1"/>
  <c r="R722" i="4"/>
  <c r="S722" i="4" s="1"/>
  <c r="R714" i="4"/>
  <c r="S714" i="4" s="1"/>
  <c r="R706" i="4"/>
  <c r="S706" i="4" s="1"/>
  <c r="R698" i="4"/>
  <c r="S698" i="4" s="1"/>
  <c r="R690" i="4"/>
  <c r="S690" i="4" s="1"/>
  <c r="R682" i="4"/>
  <c r="S682" i="4" s="1"/>
  <c r="R674" i="4"/>
  <c r="S674" i="4" s="1"/>
  <c r="R666" i="4"/>
  <c r="S666" i="4" s="1"/>
  <c r="R658" i="4"/>
  <c r="S658" i="4" s="1"/>
  <c r="R650" i="4"/>
  <c r="S650" i="4" s="1"/>
  <c r="R642" i="4"/>
  <c r="S642" i="4" s="1"/>
  <c r="R634" i="4"/>
  <c r="S634" i="4" s="1"/>
  <c r="R626" i="4"/>
  <c r="S626" i="4" s="1"/>
  <c r="R618" i="4"/>
  <c r="S618" i="4" s="1"/>
  <c r="R610" i="4"/>
  <c r="S610" i="4" s="1"/>
  <c r="R602" i="4"/>
  <c r="S602" i="4" s="1"/>
  <c r="R594" i="4"/>
  <c r="S594" i="4" s="1"/>
  <c r="R586" i="4"/>
  <c r="S586" i="4" s="1"/>
  <c r="R578" i="4"/>
  <c r="S578" i="4" s="1"/>
  <c r="R570" i="4"/>
  <c r="S570" i="4" s="1"/>
  <c r="R562" i="4"/>
  <c r="S562" i="4" s="1"/>
  <c r="R554" i="4"/>
  <c r="S554" i="4" s="1"/>
  <c r="R546" i="4"/>
  <c r="S546" i="4" s="1"/>
  <c r="R538" i="4"/>
  <c r="S538" i="4" s="1"/>
  <c r="R530" i="4"/>
  <c r="S530" i="4" s="1"/>
  <c r="R522" i="4"/>
  <c r="S522" i="4" s="1"/>
  <c r="R514" i="4"/>
  <c r="S514" i="4" s="1"/>
  <c r="R506" i="4"/>
  <c r="S506" i="4" s="1"/>
  <c r="R498" i="4"/>
  <c r="S498" i="4" s="1"/>
  <c r="R490" i="4"/>
  <c r="S490" i="4" s="1"/>
  <c r="R482" i="4"/>
  <c r="S482" i="4" s="1"/>
  <c r="R474" i="4"/>
  <c r="S474" i="4" s="1"/>
  <c r="R466" i="4"/>
  <c r="S466" i="4" s="1"/>
  <c r="R458" i="4"/>
  <c r="S458" i="4" s="1"/>
  <c r="R450" i="4"/>
  <c r="S450" i="4" s="1"/>
  <c r="R442" i="4"/>
  <c r="S442" i="4" s="1"/>
  <c r="R434" i="4"/>
  <c r="S434" i="4" s="1"/>
  <c r="R426" i="4"/>
  <c r="S426" i="4" s="1"/>
  <c r="R418" i="4"/>
  <c r="S418" i="4" s="1"/>
  <c r="R410" i="4"/>
  <c r="S410" i="4" s="1"/>
  <c r="R402" i="4"/>
  <c r="S402" i="4" s="1"/>
  <c r="R394" i="4"/>
  <c r="S394" i="4" s="1"/>
  <c r="R386" i="4"/>
  <c r="S386" i="4" s="1"/>
  <c r="R378" i="4"/>
  <c r="S378" i="4" s="1"/>
  <c r="R370" i="4"/>
  <c r="S370" i="4" s="1"/>
  <c r="R362" i="4"/>
  <c r="S362" i="4" s="1"/>
  <c r="R354" i="4"/>
  <c r="S354" i="4" s="1"/>
  <c r="R346" i="4"/>
  <c r="S346" i="4" s="1"/>
  <c r="R338" i="4"/>
  <c r="S338" i="4" s="1"/>
  <c r="R330" i="4"/>
  <c r="S330" i="4" s="1"/>
  <c r="R322" i="4"/>
  <c r="S322" i="4" s="1"/>
  <c r="R314" i="4"/>
  <c r="S314" i="4" s="1"/>
  <c r="R306" i="4"/>
  <c r="S306" i="4" s="1"/>
  <c r="R298" i="4"/>
  <c r="S298" i="4" s="1"/>
  <c r="R290" i="4"/>
  <c r="S290" i="4" s="1"/>
  <c r="R282" i="4"/>
  <c r="S282" i="4" s="1"/>
  <c r="R274" i="4"/>
  <c r="S274" i="4" s="1"/>
  <c r="R266" i="4"/>
  <c r="S266" i="4" s="1"/>
  <c r="R258" i="4"/>
  <c r="S258" i="4" s="1"/>
  <c r="R250" i="4"/>
  <c r="S250" i="4" s="1"/>
  <c r="R242" i="4"/>
  <c r="S242" i="4" s="1"/>
  <c r="R234" i="4"/>
  <c r="S234" i="4" s="1"/>
  <c r="R226" i="4"/>
  <c r="S226" i="4" s="1"/>
  <c r="R218" i="4"/>
  <c r="S218" i="4" s="1"/>
  <c r="R210" i="4"/>
  <c r="S210" i="4" s="1"/>
  <c r="R202" i="4"/>
  <c r="S202" i="4" s="1"/>
  <c r="R194" i="4"/>
  <c r="S194" i="4" s="1"/>
  <c r="R186" i="4"/>
  <c r="S186" i="4" s="1"/>
  <c r="R178" i="4"/>
  <c r="S178" i="4" s="1"/>
  <c r="R170" i="4"/>
  <c r="S170" i="4" s="1"/>
  <c r="R162" i="4"/>
  <c r="S162" i="4" s="1"/>
  <c r="R154" i="4"/>
  <c r="S154" i="4" s="1"/>
  <c r="R146" i="4"/>
  <c r="S146" i="4" s="1"/>
  <c r="R138" i="4"/>
  <c r="S138" i="4" s="1"/>
  <c r="R130" i="4"/>
  <c r="S130" i="4" s="1"/>
  <c r="R122" i="4"/>
  <c r="S122" i="4" s="1"/>
  <c r="R114" i="4"/>
  <c r="S114" i="4" s="1"/>
  <c r="R106" i="4"/>
  <c r="S106" i="4" s="1"/>
  <c r="R98" i="4"/>
  <c r="S98" i="4" s="1"/>
  <c r="R90" i="4"/>
  <c r="S90" i="4" s="1"/>
  <c r="R82" i="4"/>
  <c r="S82" i="4" s="1"/>
  <c r="R74" i="4"/>
  <c r="S74" i="4" s="1"/>
  <c r="R66" i="4"/>
  <c r="S66" i="4" s="1"/>
  <c r="R58" i="4"/>
  <c r="S58" i="4" s="1"/>
  <c r="R50" i="4"/>
  <c r="S50" i="4" s="1"/>
  <c r="R42" i="4"/>
  <c r="S42" i="4" s="1"/>
  <c r="R34" i="4"/>
  <c r="S34" i="4" s="1"/>
  <c r="R26" i="4"/>
  <c r="S26" i="4" s="1"/>
  <c r="R18" i="4"/>
  <c r="S18" i="4" s="1"/>
  <c r="R10" i="4"/>
  <c r="S10" i="4" s="1"/>
  <c r="B3" i="6" l="1"/>
  <c r="S3" i="4"/>
  <c r="B4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D28E85-2C14-4B2C-913A-61BC5F38EFAC}" keepAlive="1" name="Requête - Tableau1" description="Connexion à la requête « Tableau1 » dans le classeur." type="5" refreshedVersion="7" background="1" saveData="1">
    <dbPr connection="Provider=Microsoft.Mashup.OleDb.1;Data Source=$Workbook$;Location=Tableau1;Extended Properties=&quot;&quot;" command="SELECT * FROM [Tableau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<sst xmlns="http://schemas.openxmlformats.org/spreadsheetml/2006/main" count="44179" uniqueCount="3128">
  <si>
    <t>ID_Vente</t>
  </si>
  <si>
    <t>Date</t>
  </si>
  <si>
    <t>ID_Client</t>
  </si>
  <si>
    <t>Client</t>
  </si>
  <si>
    <t>Région</t>
  </si>
  <si>
    <t>Ville</t>
  </si>
  <si>
    <t>Catégorie</t>
  </si>
  <si>
    <t>Produit</t>
  </si>
  <si>
    <t>Quantité</t>
  </si>
  <si>
    <t>Prix_Unitaire</t>
  </si>
  <si>
    <t>Coût_Unitaire</t>
  </si>
  <si>
    <t>Commercial</t>
  </si>
  <si>
    <t>Mode_Paiement</t>
  </si>
  <si>
    <t>Canal</t>
  </si>
  <si>
    <t>Statut</t>
  </si>
  <si>
    <t>V00001</t>
  </si>
  <si>
    <t>CL0178</t>
  </si>
  <si>
    <t>Client 416</t>
  </si>
  <si>
    <t>N'Djamena</t>
  </si>
  <si>
    <t>Mobilier</t>
  </si>
  <si>
    <t>Chaise de bureau</t>
  </si>
  <si>
    <t>Hawa</t>
  </si>
  <si>
    <t>Virement</t>
  </si>
  <si>
    <t>Boutique</t>
  </si>
  <si>
    <t>Livrée</t>
  </si>
  <si>
    <t>V00002</t>
  </si>
  <si>
    <t>CL0377</t>
  </si>
  <si>
    <t>Client 060</t>
  </si>
  <si>
    <t>Accessoires</t>
  </si>
  <si>
    <t>Câble HDMI</t>
  </si>
  <si>
    <t>Issa</t>
  </si>
  <si>
    <t>Carte bancaire</t>
  </si>
  <si>
    <t>V00003</t>
  </si>
  <si>
    <t>CL0332</t>
  </si>
  <si>
    <t>Informatique</t>
  </si>
  <si>
    <t>Disque SSD</t>
  </si>
  <si>
    <t>Adam</t>
  </si>
  <si>
    <t>Mobile Money</t>
  </si>
  <si>
    <t>V00004</t>
  </si>
  <si>
    <t>CL0438</t>
  </si>
  <si>
    <t>Client 479</t>
  </si>
  <si>
    <t>Ouaddaï</t>
  </si>
  <si>
    <t>Abéché</t>
  </si>
  <si>
    <t>Bureautique</t>
  </si>
  <si>
    <t>Clavier</t>
  </si>
  <si>
    <t>Annulée</t>
  </si>
  <si>
    <t>V00005</t>
  </si>
  <si>
    <t>CL0348</t>
  </si>
  <si>
    <t>Client 206</t>
  </si>
  <si>
    <t>Clé USB</t>
  </si>
  <si>
    <t>Mahamat</t>
  </si>
  <si>
    <t>Espèces</t>
  </si>
  <si>
    <t>En ligne</t>
  </si>
  <si>
    <t>V00006</t>
  </si>
  <si>
    <t>CL0275</t>
  </si>
  <si>
    <t>Client 226</t>
  </si>
  <si>
    <t>Logone Oriental</t>
  </si>
  <si>
    <t>Doba</t>
  </si>
  <si>
    <t>V00007</t>
  </si>
  <si>
    <t>CL0001</t>
  </si>
  <si>
    <t>Client 020</t>
  </si>
  <si>
    <t>Table de réunion</t>
  </si>
  <si>
    <t>V00008</t>
  </si>
  <si>
    <t>CL0180</t>
  </si>
  <si>
    <t>Client 351</t>
  </si>
  <si>
    <t>Chargeur universel</t>
  </si>
  <si>
    <t>Moussa</t>
  </si>
  <si>
    <t>V00009</t>
  </si>
  <si>
    <t>CL0081</t>
  </si>
  <si>
    <t>Client 053</t>
  </si>
  <si>
    <t>Kanem</t>
  </si>
  <si>
    <t>Mao</t>
  </si>
  <si>
    <t>Multiprise</t>
  </si>
  <si>
    <t>Saleh</t>
  </si>
  <si>
    <t>V00010</t>
  </si>
  <si>
    <t>CL0303</t>
  </si>
  <si>
    <t>Client 467</t>
  </si>
  <si>
    <t>Batha</t>
  </si>
  <si>
    <t>Ati</t>
  </si>
  <si>
    <t>Ramette papier</t>
  </si>
  <si>
    <t>Fatimé</t>
  </si>
  <si>
    <t>V00011</t>
  </si>
  <si>
    <t>CL0320</t>
  </si>
  <si>
    <t>Client 039</t>
  </si>
  <si>
    <t>Chari-Baguirmi</t>
  </si>
  <si>
    <t>Massaguet</t>
  </si>
  <si>
    <t>Smartphone</t>
  </si>
  <si>
    <t>Livraison</t>
  </si>
  <si>
    <t>V00012</t>
  </si>
  <si>
    <t>CL0202</t>
  </si>
  <si>
    <t>Client 073</t>
  </si>
  <si>
    <t>En cours</t>
  </si>
  <si>
    <t>V00013</t>
  </si>
  <si>
    <t>CL0335</t>
  </si>
  <si>
    <t>Client 410</t>
  </si>
  <si>
    <t>Ordinateur portable</t>
  </si>
  <si>
    <t>Amina</t>
  </si>
  <si>
    <t>V00014</t>
  </si>
  <si>
    <t>CL0441</t>
  </si>
  <si>
    <t>Client 372</t>
  </si>
  <si>
    <t>V00015</t>
  </si>
  <si>
    <t>CL0480</t>
  </si>
  <si>
    <t>Client 463</t>
  </si>
  <si>
    <t>V00016</t>
  </si>
  <si>
    <t>CL0345</t>
  </si>
  <si>
    <t>Client 303</t>
  </si>
  <si>
    <t>V00017</t>
  </si>
  <si>
    <t>CL0051</t>
  </si>
  <si>
    <t>Client 382</t>
  </si>
  <si>
    <t>V00018</t>
  </si>
  <si>
    <t>CL0212</t>
  </si>
  <si>
    <t>Client 065</t>
  </si>
  <si>
    <t>Bureau</t>
  </si>
  <si>
    <t>V00019</t>
  </si>
  <si>
    <t>CL0483</t>
  </si>
  <si>
    <t>Client 288</t>
  </si>
  <si>
    <t>V00020</t>
  </si>
  <si>
    <t>CL0037</t>
  </si>
  <si>
    <t>Client 434</t>
  </si>
  <si>
    <t>V00021</t>
  </si>
  <si>
    <t>CL0138</t>
  </si>
  <si>
    <t>Client 404</t>
  </si>
  <si>
    <t>V00022</t>
  </si>
  <si>
    <t>CL0289</t>
  </si>
  <si>
    <t>Client 255</t>
  </si>
  <si>
    <t>V00023</t>
  </si>
  <si>
    <t>CL0104</t>
  </si>
  <si>
    <t>Client 437</t>
  </si>
  <si>
    <t>V00024</t>
  </si>
  <si>
    <t>CL0276</t>
  </si>
  <si>
    <t>Client 120</t>
  </si>
  <si>
    <t>Sac ordinateur</t>
  </si>
  <si>
    <t>V00025</t>
  </si>
  <si>
    <t>CL0214</t>
  </si>
  <si>
    <t>Client 311</t>
  </si>
  <si>
    <t>V00026</t>
  </si>
  <si>
    <t>CL0444</t>
  </si>
  <si>
    <t>Client 323</t>
  </si>
  <si>
    <t>V00027</t>
  </si>
  <si>
    <t>CL0183</t>
  </si>
  <si>
    <t>Client 198</t>
  </si>
  <si>
    <t>Tablette</t>
  </si>
  <si>
    <t>V00028</t>
  </si>
  <si>
    <t>CL0039</t>
  </si>
  <si>
    <t>Client 418</t>
  </si>
  <si>
    <t>V00029</t>
  </si>
  <si>
    <t>Client 026</t>
  </si>
  <si>
    <t>V00030</t>
  </si>
  <si>
    <t>CL0101</t>
  </si>
  <si>
    <t>Client 389</t>
  </si>
  <si>
    <t>V00031</t>
  </si>
  <si>
    <t>CL0216</t>
  </si>
  <si>
    <t>Client 282</t>
  </si>
  <si>
    <t>V00032</t>
  </si>
  <si>
    <t>CL0071</t>
  </si>
  <si>
    <t>Client 445</t>
  </si>
  <si>
    <t>Mayo-Kebbi</t>
  </si>
  <si>
    <t>Moundou</t>
  </si>
  <si>
    <t>Imprimante</t>
  </si>
  <si>
    <t>V00033</t>
  </si>
  <si>
    <t>CL0122</t>
  </si>
  <si>
    <t>Client 216</t>
  </si>
  <si>
    <t>Souris</t>
  </si>
  <si>
    <t>V00034</t>
  </si>
  <si>
    <t>CL0435</t>
  </si>
  <si>
    <t>Client 005</t>
  </si>
  <si>
    <t>Armoire</t>
  </si>
  <si>
    <t>V00035</t>
  </si>
  <si>
    <t>CL0421</t>
  </si>
  <si>
    <t>Client 482</t>
  </si>
  <si>
    <t>Pala</t>
  </si>
  <si>
    <t>V00036</t>
  </si>
  <si>
    <t>CL0370</t>
  </si>
  <si>
    <t>Client 414</t>
  </si>
  <si>
    <t>V00037</t>
  </si>
  <si>
    <t>CL0203</t>
  </si>
  <si>
    <t>Client 155</t>
  </si>
  <si>
    <t>Cartouche imprimante</t>
  </si>
  <si>
    <t>V00038</t>
  </si>
  <si>
    <t>CL0469</t>
  </si>
  <si>
    <t>Client 196</t>
  </si>
  <si>
    <t>V00039</t>
  </si>
  <si>
    <t>V00040</t>
  </si>
  <si>
    <t>CL0171</t>
  </si>
  <si>
    <t>Client 144</t>
  </si>
  <si>
    <t>V00041</t>
  </si>
  <si>
    <t>CL0218</t>
  </si>
  <si>
    <t>Client 047</t>
  </si>
  <si>
    <t>V00042</t>
  </si>
  <si>
    <t>Client 446</t>
  </si>
  <si>
    <t>Lac</t>
  </si>
  <si>
    <t>Bol</t>
  </si>
  <si>
    <t>V00043</t>
  </si>
  <si>
    <t>CL0221</t>
  </si>
  <si>
    <t>Client 153</t>
  </si>
  <si>
    <t>V00044</t>
  </si>
  <si>
    <t>CL0033</t>
  </si>
  <si>
    <t>Client 320</t>
  </si>
  <si>
    <t>V00045</t>
  </si>
  <si>
    <t>CL0459</t>
  </si>
  <si>
    <t>Client 017</t>
  </si>
  <si>
    <t>V00046</t>
  </si>
  <si>
    <t>CL0063</t>
  </si>
  <si>
    <t>Client 454</t>
  </si>
  <si>
    <t>V00047</t>
  </si>
  <si>
    <t>CL0052</t>
  </si>
  <si>
    <t>V00048</t>
  </si>
  <si>
    <t>CL0334</t>
  </si>
  <si>
    <t>Client 302</t>
  </si>
  <si>
    <t>V00049</t>
  </si>
  <si>
    <t>CL0112</t>
  </si>
  <si>
    <t>V00050</t>
  </si>
  <si>
    <t>CL0497</t>
  </si>
  <si>
    <t>Client 305</t>
  </si>
  <si>
    <t>V00051</t>
  </si>
  <si>
    <t>Client 366</t>
  </si>
  <si>
    <t>V00052</t>
  </si>
  <si>
    <t>CL0169</t>
  </si>
  <si>
    <t>Client 209</t>
  </si>
  <si>
    <t>V00053</t>
  </si>
  <si>
    <t>CL0385</t>
  </si>
  <si>
    <t>V00054</t>
  </si>
  <si>
    <t>CL0408</t>
  </si>
  <si>
    <t>Client 038</t>
  </si>
  <si>
    <t>V00055</t>
  </si>
  <si>
    <t>CL0457</t>
  </si>
  <si>
    <t>Client 350</t>
  </si>
  <si>
    <t>V00056</t>
  </si>
  <si>
    <t>CL0292</t>
  </si>
  <si>
    <t>Client 448</t>
  </si>
  <si>
    <t>V00057</t>
  </si>
  <si>
    <t>CL0158</t>
  </si>
  <si>
    <t>Client 247</t>
  </si>
  <si>
    <t>V00058</t>
  </si>
  <si>
    <t>CL0220</t>
  </si>
  <si>
    <t>Client 359</t>
  </si>
  <si>
    <t>V00059</t>
  </si>
  <si>
    <t>CL0322</t>
  </si>
  <si>
    <t>Client 468</t>
  </si>
  <si>
    <t>V00060</t>
  </si>
  <si>
    <t>CL0020</t>
  </si>
  <si>
    <t>Client 363</t>
  </si>
  <si>
    <t>V00061</t>
  </si>
  <si>
    <t>CL0149</t>
  </si>
  <si>
    <t>Client 174</t>
  </si>
  <si>
    <t>V00062</t>
  </si>
  <si>
    <t>CL0299</t>
  </si>
  <si>
    <t>Client 177</t>
  </si>
  <si>
    <t>Casque audio</t>
  </si>
  <si>
    <t>V00063</t>
  </si>
  <si>
    <t>Client 489</t>
  </si>
  <si>
    <t>V00064</t>
  </si>
  <si>
    <t>CL0268</t>
  </si>
  <si>
    <t>Client 116</t>
  </si>
  <si>
    <t>V00065</t>
  </si>
  <si>
    <t>CL0096</t>
  </si>
  <si>
    <t>Client 204</t>
  </si>
  <si>
    <t>V00066</t>
  </si>
  <si>
    <t>CL0105</t>
  </si>
  <si>
    <t>Client 494</t>
  </si>
  <si>
    <t>V00067</t>
  </si>
  <si>
    <t>CL0254</t>
  </si>
  <si>
    <t>Client 424</t>
  </si>
  <si>
    <t>V00068</t>
  </si>
  <si>
    <t>CL0047</t>
  </si>
  <si>
    <t>V00069</t>
  </si>
  <si>
    <t>CL0338</t>
  </si>
  <si>
    <t>Client 407</t>
  </si>
  <si>
    <t>V00070</t>
  </si>
  <si>
    <t>CL0327</t>
  </si>
  <si>
    <t>Client 137</t>
  </si>
  <si>
    <t>V00071</t>
  </si>
  <si>
    <t>CL0225</t>
  </si>
  <si>
    <t>Client 171</t>
  </si>
  <si>
    <t>V00072</t>
  </si>
  <si>
    <t>CL0493</t>
  </si>
  <si>
    <t>Client 395</t>
  </si>
  <si>
    <t>V00073</t>
  </si>
  <si>
    <t>Client 010</t>
  </si>
  <si>
    <t>V00074</t>
  </si>
  <si>
    <t>CL0126</t>
  </si>
  <si>
    <t>Client 254</t>
  </si>
  <si>
    <t>V00075</t>
  </si>
  <si>
    <t>CL0005</t>
  </si>
  <si>
    <t>Client 231</t>
  </si>
  <si>
    <t>V00076</t>
  </si>
  <si>
    <t>CL0271</t>
  </si>
  <si>
    <t>Client 388</t>
  </si>
  <si>
    <t>V00077</t>
  </si>
  <si>
    <t>V00078</t>
  </si>
  <si>
    <t>CL0475</t>
  </si>
  <si>
    <t>Client 420</t>
  </si>
  <si>
    <t>V00079</t>
  </si>
  <si>
    <t>CL0491</t>
  </si>
  <si>
    <t>Client 051</t>
  </si>
  <si>
    <t>V00080</t>
  </si>
  <si>
    <t>CL0433</t>
  </si>
  <si>
    <t>Client 274</t>
  </si>
  <si>
    <t>V00081</t>
  </si>
  <si>
    <t>CL0264</t>
  </si>
  <si>
    <t>Client 369</t>
  </si>
  <si>
    <t>V00082</t>
  </si>
  <si>
    <t>CL0496</t>
  </si>
  <si>
    <t>Client 337</t>
  </si>
  <si>
    <t>V00083</t>
  </si>
  <si>
    <t>CL0060</t>
  </si>
  <si>
    <t>Client 154</t>
  </si>
  <si>
    <t>V00084</t>
  </si>
  <si>
    <t>CL0393</t>
  </si>
  <si>
    <t>Client 230</t>
  </si>
  <si>
    <t>V00085</t>
  </si>
  <si>
    <t>CL0258</t>
  </si>
  <si>
    <t>Client 037</t>
  </si>
  <si>
    <t>V00086</t>
  </si>
  <si>
    <t>CL0137</t>
  </si>
  <si>
    <t>V00087</t>
  </si>
  <si>
    <t>CL0277</t>
  </si>
  <si>
    <t>Client 422</t>
  </si>
  <si>
    <t>V00088</t>
  </si>
  <si>
    <t>CL0239</t>
  </si>
  <si>
    <t>V00089</t>
  </si>
  <si>
    <t>Client 234</t>
  </si>
  <si>
    <t>V00090</t>
  </si>
  <si>
    <t>CL0157</t>
  </si>
  <si>
    <t>Client 299</t>
  </si>
  <si>
    <t>V00091</t>
  </si>
  <si>
    <t>CL0471</t>
  </si>
  <si>
    <t>Client 136</t>
  </si>
  <si>
    <t>V00092</t>
  </si>
  <si>
    <t>Client 342</t>
  </si>
  <si>
    <t>V00093</t>
  </si>
  <si>
    <t>CL0004</t>
  </si>
  <si>
    <t>Client 481</t>
  </si>
  <si>
    <t>V00094</t>
  </si>
  <si>
    <t>CL0242</t>
  </si>
  <si>
    <t>Client 217</t>
  </si>
  <si>
    <t>V00095</t>
  </si>
  <si>
    <t>CL0288</t>
  </si>
  <si>
    <t>V00096</t>
  </si>
  <si>
    <t>CL0374</t>
  </si>
  <si>
    <t>Client 187</t>
  </si>
  <si>
    <t>V00097</t>
  </si>
  <si>
    <t>Client 006</t>
  </si>
  <si>
    <t>V00098</t>
  </si>
  <si>
    <t>CL0432</t>
  </si>
  <si>
    <t>Client 102</t>
  </si>
  <si>
    <t>V00099</t>
  </si>
  <si>
    <t>CL0028</t>
  </si>
  <si>
    <t>Client 191</t>
  </si>
  <si>
    <t>V00100</t>
  </si>
  <si>
    <t>CL0295</t>
  </si>
  <si>
    <t>Client 478</t>
  </si>
  <si>
    <t>V00101</t>
  </si>
  <si>
    <t>CL0210</t>
  </si>
  <si>
    <t>Client 066</t>
  </si>
  <si>
    <t>V00102</t>
  </si>
  <si>
    <t>Client 394</t>
  </si>
  <si>
    <t>V00103</t>
  </si>
  <si>
    <t>CL0465</t>
  </si>
  <si>
    <t>Client 284</t>
  </si>
  <si>
    <t>V00104</t>
  </si>
  <si>
    <t>CL0099</t>
  </si>
  <si>
    <t>Client 367</t>
  </si>
  <si>
    <t>V00105</t>
  </si>
  <si>
    <t>CL0040</t>
  </si>
  <si>
    <t>V00106</t>
  </si>
  <si>
    <t>CL0430</t>
  </si>
  <si>
    <t>Client 045</t>
  </si>
  <si>
    <t>informatique</t>
  </si>
  <si>
    <t>V00107</t>
  </si>
  <si>
    <t>CL0318</t>
  </si>
  <si>
    <t>Client 491</t>
  </si>
  <si>
    <t>V00108</t>
  </si>
  <si>
    <t>CL0010</t>
  </si>
  <si>
    <t>Client 096</t>
  </si>
  <si>
    <t>V00109</t>
  </si>
  <si>
    <t>CL0280</t>
  </si>
  <si>
    <t>Client 432</t>
  </si>
  <si>
    <t>V00110</t>
  </si>
  <si>
    <t>CL0463</t>
  </si>
  <si>
    <t>Client 423</t>
  </si>
  <si>
    <t>V00111</t>
  </si>
  <si>
    <t>CL0402</t>
  </si>
  <si>
    <t>Client 126</t>
  </si>
  <si>
    <t>V00112</t>
  </si>
  <si>
    <t>Client 330</t>
  </si>
  <si>
    <t>V00113</t>
  </si>
  <si>
    <t>CL0403</t>
  </si>
  <si>
    <t>Client 475</t>
  </si>
  <si>
    <t>V00114</t>
  </si>
  <si>
    <t>CL0325</t>
  </si>
  <si>
    <t>Client 495</t>
  </si>
  <si>
    <t>V00115</t>
  </si>
  <si>
    <t>CL0392</t>
  </si>
  <si>
    <t>Client 074</t>
  </si>
  <si>
    <t>V00116</t>
  </si>
  <si>
    <t>CL0454</t>
  </si>
  <si>
    <t>Client 281</t>
  </si>
  <si>
    <t>V00117</t>
  </si>
  <si>
    <t>CL0177</t>
  </si>
  <si>
    <t>Client 258</t>
  </si>
  <si>
    <t>V00118</t>
  </si>
  <si>
    <t>CL0344</t>
  </si>
  <si>
    <t>Client 265</t>
  </si>
  <si>
    <t>V00119</t>
  </si>
  <si>
    <t>CL0409</t>
  </si>
  <si>
    <t>Client 411</t>
  </si>
  <si>
    <t>V00120</t>
  </si>
  <si>
    <t>Client 083</t>
  </si>
  <si>
    <t>V00121</t>
  </si>
  <si>
    <t>CL0185</t>
  </si>
  <si>
    <t>Client 384</t>
  </si>
  <si>
    <t>V00122</t>
  </si>
  <si>
    <t>CL0269</t>
  </si>
  <si>
    <t>Client 016</t>
  </si>
  <si>
    <t>V00123</t>
  </si>
  <si>
    <t>CL0103</t>
  </si>
  <si>
    <t>Client 321</t>
  </si>
  <si>
    <t>V00124</t>
  </si>
  <si>
    <t>CL0252</t>
  </si>
  <si>
    <t>Client 453</t>
  </si>
  <si>
    <t>V00125</t>
  </si>
  <si>
    <t>Client 315</t>
  </si>
  <si>
    <t>V00126</t>
  </si>
  <si>
    <t>CL0293</t>
  </si>
  <si>
    <t>Client 318</t>
  </si>
  <si>
    <t>V00127</t>
  </si>
  <si>
    <t>CL0350</t>
  </si>
  <si>
    <t>V00128</t>
  </si>
  <si>
    <t>Client 040</t>
  </si>
  <si>
    <t>V00129</t>
  </si>
  <si>
    <t>CL0174</t>
  </si>
  <si>
    <t>Client 085</t>
  </si>
  <si>
    <t>V00130</t>
  </si>
  <si>
    <t>CL0364</t>
  </si>
  <si>
    <t>Client 195</t>
  </si>
  <si>
    <t>V00131</t>
  </si>
  <si>
    <t>CL0066</t>
  </si>
  <si>
    <t>Client 202</t>
  </si>
  <si>
    <t>V00132</t>
  </si>
  <si>
    <t>Client 190</t>
  </si>
  <si>
    <t>V00133</t>
  </si>
  <si>
    <t>Client 149</t>
  </si>
  <si>
    <t>V00134</t>
  </si>
  <si>
    <t>CL0340</t>
  </si>
  <si>
    <t>V00135</t>
  </si>
  <si>
    <t>CL0443</t>
  </si>
  <si>
    <t>Client 170</t>
  </si>
  <si>
    <t>V00136</t>
  </si>
  <si>
    <t>CL0067</t>
  </si>
  <si>
    <t>Client 185</t>
  </si>
  <si>
    <t>V00137</t>
  </si>
  <si>
    <t>CL0257</t>
  </si>
  <si>
    <t>Client 082</t>
  </si>
  <si>
    <t>V00138</t>
  </si>
  <si>
    <t>CL0449</t>
  </si>
  <si>
    <t>Client 433</t>
  </si>
  <si>
    <t>V00139</t>
  </si>
  <si>
    <t>CL0065</t>
  </si>
  <si>
    <t>Client 138</t>
  </si>
  <si>
    <t>V00140</t>
  </si>
  <si>
    <t>CL0209</t>
  </si>
  <si>
    <t>Client 290</t>
  </si>
  <si>
    <t>V00141</t>
  </si>
  <si>
    <t>V00142</t>
  </si>
  <si>
    <t>Client 200</t>
  </si>
  <si>
    <t>V00143</t>
  </si>
  <si>
    <t>CL0168</t>
  </si>
  <si>
    <t>Client 253</t>
  </si>
  <si>
    <t>V00144</t>
  </si>
  <si>
    <t>Client 156</t>
  </si>
  <si>
    <t>V00145</t>
  </si>
  <si>
    <t>CL0466</t>
  </si>
  <si>
    <t>Client 329</t>
  </si>
  <si>
    <t>V00146</t>
  </si>
  <si>
    <t>CL0439</t>
  </si>
  <si>
    <t>Client 266</t>
  </si>
  <si>
    <t>V00147</t>
  </si>
  <si>
    <t>CL0076</t>
  </si>
  <si>
    <t>Client 167</t>
  </si>
  <si>
    <t>V00148</t>
  </si>
  <si>
    <t>CL0300</t>
  </si>
  <si>
    <t>Client 397</t>
  </si>
  <si>
    <t>V00149</t>
  </si>
  <si>
    <t>CL0343</t>
  </si>
  <si>
    <t>V00150</t>
  </si>
  <si>
    <t>CL0116</t>
  </si>
  <si>
    <t>Client 438</t>
  </si>
  <si>
    <t>V00151</t>
  </si>
  <si>
    <t>CL0032</t>
  </si>
  <si>
    <t>Client 370</t>
  </si>
  <si>
    <t>V00152</t>
  </si>
  <si>
    <t>CL0379</t>
  </si>
  <si>
    <t>Client 470</t>
  </si>
  <si>
    <t>V00153</t>
  </si>
  <si>
    <t>CL0207</t>
  </si>
  <si>
    <t>V00154</t>
  </si>
  <si>
    <t>CL0316</t>
  </si>
  <si>
    <t>Client 456</t>
  </si>
  <si>
    <t>V00155</t>
  </si>
  <si>
    <t>CL0287</t>
  </si>
  <si>
    <t>Client 487</t>
  </si>
  <si>
    <t>V00156</t>
  </si>
  <si>
    <t>CL0141</t>
  </si>
  <si>
    <t>Client 078</t>
  </si>
  <si>
    <t>V00157</t>
  </si>
  <si>
    <t>CL0229</t>
  </si>
  <si>
    <t>Client 163</t>
  </si>
  <si>
    <t>V00158</t>
  </si>
  <si>
    <t>V00159</t>
  </si>
  <si>
    <t>CL0042</t>
  </si>
  <si>
    <t>Client 023</t>
  </si>
  <si>
    <t>V00160</t>
  </si>
  <si>
    <t>CL0451</t>
  </si>
  <si>
    <t>Client 011</t>
  </si>
  <si>
    <t>V00161</t>
  </si>
  <si>
    <t>Client 409</t>
  </si>
  <si>
    <t>V00162</t>
  </si>
  <si>
    <t>CL0045</t>
  </si>
  <si>
    <t>Client 440</t>
  </si>
  <si>
    <t>V00163</t>
  </si>
  <si>
    <t>Client 181</t>
  </si>
  <si>
    <t>V00164</t>
  </si>
  <si>
    <t>CL0034</t>
  </si>
  <si>
    <t>Client 084</t>
  </si>
  <si>
    <t>V00165</t>
  </si>
  <si>
    <t>CL0068</t>
  </si>
  <si>
    <t>V00166</t>
  </si>
  <si>
    <t>V00167</t>
  </si>
  <si>
    <t>CL0336</t>
  </si>
  <si>
    <t>Client 075</t>
  </si>
  <si>
    <t>V00168</t>
  </si>
  <si>
    <t>CL0111</t>
  </si>
  <si>
    <t>Client 146</t>
  </si>
  <si>
    <t>V00169</t>
  </si>
  <si>
    <t>Client 341</t>
  </si>
  <si>
    <t>V00170</t>
  </si>
  <si>
    <t>CL0282</t>
  </si>
  <si>
    <t>V00171</t>
  </si>
  <si>
    <t>CL0359</t>
  </si>
  <si>
    <t>Client 249</t>
  </si>
  <si>
    <t>V00172</t>
  </si>
  <si>
    <t>V00173</t>
  </si>
  <si>
    <t>Client 401</t>
  </si>
  <si>
    <t>V00174</t>
  </si>
  <si>
    <t>CL0006</t>
  </si>
  <si>
    <t>Client 452</t>
  </si>
  <si>
    <t>V00175</t>
  </si>
  <si>
    <t>CL0498</t>
  </si>
  <si>
    <t>Client 336</t>
  </si>
  <si>
    <t>V00176</t>
  </si>
  <si>
    <t>V00177</t>
  </si>
  <si>
    <t>Client 159</t>
  </si>
  <si>
    <t>V00178</t>
  </si>
  <si>
    <t>CL0349</t>
  </si>
  <si>
    <t>Client 439</t>
  </si>
  <si>
    <t>V00179</t>
  </si>
  <si>
    <t>CL0134</t>
  </si>
  <si>
    <t>V00180</t>
  </si>
  <si>
    <t>CL0310</t>
  </si>
  <si>
    <t>Client 267</t>
  </si>
  <si>
    <t>V00181</t>
  </si>
  <si>
    <t>CL0097</t>
  </si>
  <si>
    <t>V00182</t>
  </si>
  <si>
    <t>CL0027</t>
  </si>
  <si>
    <t>Client 054</t>
  </si>
  <si>
    <t>V00183</t>
  </si>
  <si>
    <t>Client 499</t>
  </si>
  <si>
    <t>V00184</t>
  </si>
  <si>
    <t>CL0428</t>
  </si>
  <si>
    <t>Client 273</t>
  </si>
  <si>
    <t>V00185</t>
  </si>
  <si>
    <t>Client 312</t>
  </si>
  <si>
    <t>V00186</t>
  </si>
  <si>
    <t>V00187</t>
  </si>
  <si>
    <t>CL0306</t>
  </si>
  <si>
    <t>Client 099</t>
  </si>
  <si>
    <t>V00188</t>
  </si>
  <si>
    <t>CL0437</t>
  </si>
  <si>
    <t>V00189</t>
  </si>
  <si>
    <t>CL0342</t>
  </si>
  <si>
    <t>Client 128</t>
  </si>
  <si>
    <t>V00190</t>
  </si>
  <si>
    <t>CL0160</t>
  </si>
  <si>
    <t>V00191</t>
  </si>
  <si>
    <t>CL0302</t>
  </si>
  <si>
    <t>Client 287</t>
  </si>
  <si>
    <t>V00192</t>
  </si>
  <si>
    <t>CL0186</t>
  </si>
  <si>
    <t>Client 193</t>
  </si>
  <si>
    <t>V00193</t>
  </si>
  <si>
    <t>CL0404</t>
  </si>
  <si>
    <t>V00194</t>
  </si>
  <si>
    <t>CL0206</t>
  </si>
  <si>
    <t>Client 080</t>
  </si>
  <si>
    <t>V00195</t>
  </si>
  <si>
    <t>CL0453</t>
  </si>
  <si>
    <t>V00196</t>
  </si>
  <si>
    <t>CL0241</t>
  </si>
  <si>
    <t>V00197</t>
  </si>
  <si>
    <t>CL0118</t>
  </si>
  <si>
    <t>Client 012</t>
  </si>
  <si>
    <t>V00198</t>
  </si>
  <si>
    <t>CL0199</t>
  </si>
  <si>
    <t>V00199</t>
  </si>
  <si>
    <t>CL0297</t>
  </si>
  <si>
    <t>V00200</t>
  </si>
  <si>
    <t>CL0205</t>
  </si>
  <si>
    <t>V00201</t>
  </si>
  <si>
    <t>CL0401</t>
  </si>
  <si>
    <t>Client 339</t>
  </si>
  <si>
    <t>V00202</t>
  </si>
  <si>
    <t>CL0012</t>
  </si>
  <si>
    <t>Client 426</t>
  </si>
  <si>
    <t>V00203</t>
  </si>
  <si>
    <t>CL0093</t>
  </si>
  <si>
    <t>Client 022</t>
  </si>
  <si>
    <t>V00204</t>
  </si>
  <si>
    <t>CL0312</t>
  </si>
  <si>
    <t>Client 027</t>
  </si>
  <si>
    <t>V00205</t>
  </si>
  <si>
    <t>CL0070</t>
  </si>
  <si>
    <t>Client 246</t>
  </si>
  <si>
    <t>V00206</t>
  </si>
  <si>
    <t>CL0130</t>
  </si>
  <si>
    <t>V00207</t>
  </si>
  <si>
    <t>CL0363</t>
  </si>
  <si>
    <t>Client 261</t>
  </si>
  <si>
    <t>V00208</t>
  </si>
  <si>
    <t>Client 374</t>
  </si>
  <si>
    <t>V00209</t>
  </si>
  <si>
    <t>Client 024</t>
  </si>
  <si>
    <t>V00210</t>
  </si>
  <si>
    <t>Client 064</t>
  </si>
  <si>
    <t>V00211</t>
  </si>
  <si>
    <t>CL0193</t>
  </si>
  <si>
    <t>Client 244</t>
  </si>
  <si>
    <t>V00212</t>
  </si>
  <si>
    <t>CL0445</t>
  </si>
  <si>
    <t>Client 297</t>
  </si>
  <si>
    <t>V00213</t>
  </si>
  <si>
    <t>V00214</t>
  </si>
  <si>
    <t>CL0290</t>
  </si>
  <si>
    <t>Client 008</t>
  </si>
  <si>
    <t>V00215</t>
  </si>
  <si>
    <t>CL0114</t>
  </si>
  <si>
    <t>Client 210</t>
  </si>
  <si>
    <t>V00216</t>
  </si>
  <si>
    <t>V00217</t>
  </si>
  <si>
    <t>CL0487</t>
  </si>
  <si>
    <t>Client 242</t>
  </si>
  <si>
    <t>V00218</t>
  </si>
  <si>
    <t>CL0321</t>
  </si>
  <si>
    <t>V00219</t>
  </si>
  <si>
    <t>CL0355</t>
  </si>
  <si>
    <t>V00220</t>
  </si>
  <si>
    <t>CL0082</t>
  </si>
  <si>
    <t>V00221</t>
  </si>
  <si>
    <t>V00222</t>
  </si>
  <si>
    <t>CL0460</t>
  </si>
  <si>
    <t>Client 300</t>
  </si>
  <si>
    <t>V00223</t>
  </si>
  <si>
    <t>Client 291</t>
  </si>
  <si>
    <t>V00224</t>
  </si>
  <si>
    <t>CL0079</t>
  </si>
  <si>
    <t>Client 077</t>
  </si>
  <si>
    <t>V00225</t>
  </si>
  <si>
    <t>Client 169</t>
  </si>
  <si>
    <t>V00226</t>
  </si>
  <si>
    <t>Client 238</t>
  </si>
  <si>
    <t>V00227</t>
  </si>
  <si>
    <t>CL0059</t>
  </si>
  <si>
    <t>Client 093</t>
  </si>
  <si>
    <t>V00228</t>
  </si>
  <si>
    <t>Client 180</t>
  </si>
  <si>
    <t>V00229</t>
  </si>
  <si>
    <t>Client 124</t>
  </si>
  <si>
    <t>V00230</t>
  </si>
  <si>
    <t>CL0260</t>
  </si>
  <si>
    <t>Client 435</t>
  </si>
  <si>
    <t>V00231</t>
  </si>
  <si>
    <t>V00232</t>
  </si>
  <si>
    <t>V00233</t>
  </si>
  <si>
    <t>CL0262</t>
  </si>
  <si>
    <t>V00234</t>
  </si>
  <si>
    <t>CL0025</t>
  </si>
  <si>
    <t>V00235</t>
  </si>
  <si>
    <t>CL0436</t>
  </si>
  <si>
    <t>Client 406</t>
  </si>
  <si>
    <t>V00236</t>
  </si>
  <si>
    <t>CL0470</t>
  </si>
  <si>
    <t>Client 319</t>
  </si>
  <si>
    <t>V00237</t>
  </si>
  <si>
    <t>V00238</t>
  </si>
  <si>
    <t>CL0031</t>
  </si>
  <si>
    <t>Client 286</t>
  </si>
  <si>
    <t>V00239</t>
  </si>
  <si>
    <t>Client 412</t>
  </si>
  <si>
    <t>V00240</t>
  </si>
  <si>
    <t>CL0107</t>
  </si>
  <si>
    <t>Client 129</t>
  </si>
  <si>
    <t>V00241</t>
  </si>
  <si>
    <t>CL0235</t>
  </si>
  <si>
    <t>Client 457</t>
  </si>
  <si>
    <t>V00242</t>
  </si>
  <si>
    <t>Client 317</t>
  </si>
  <si>
    <t>V00243</t>
  </si>
  <si>
    <t>CL0140</t>
  </si>
  <si>
    <t>V00244</t>
  </si>
  <si>
    <t>Client 399</t>
  </si>
  <si>
    <t>V00245</t>
  </si>
  <si>
    <t>Client 071</t>
  </si>
  <si>
    <t>V00246</t>
  </si>
  <si>
    <t>Client 106</t>
  </si>
  <si>
    <t>V00247</t>
  </si>
  <si>
    <t>Client 122</t>
  </si>
  <si>
    <t>V00248</t>
  </si>
  <si>
    <t>CL0170</t>
  </si>
  <si>
    <t>Client 490</t>
  </si>
  <si>
    <t>V00249</t>
  </si>
  <si>
    <t>Client 307</t>
  </si>
  <si>
    <t>V00250</t>
  </si>
  <si>
    <t>V00251</t>
  </si>
  <si>
    <t>V00252</t>
  </si>
  <si>
    <t>Client 089</t>
  </si>
  <si>
    <t>V00253</t>
  </si>
  <si>
    <t>V00254</t>
  </si>
  <si>
    <t>CL0187</t>
  </si>
  <si>
    <t>Client 239</t>
  </si>
  <si>
    <t>V00255</t>
  </si>
  <si>
    <t>CL0195</t>
  </si>
  <si>
    <t>Client 132</t>
  </si>
  <si>
    <t>V00256</t>
  </si>
  <si>
    <t>CL0139</t>
  </si>
  <si>
    <t>V00257</t>
  </si>
  <si>
    <t>CL0192</t>
  </si>
  <si>
    <t>Client 029</t>
  </si>
  <si>
    <t>V00258</t>
  </si>
  <si>
    <t>Client 425</t>
  </si>
  <si>
    <t>V00259</t>
  </si>
  <si>
    <t>V00260</t>
  </si>
  <si>
    <t>Client 127</t>
  </si>
  <si>
    <t>V00261</t>
  </si>
  <si>
    <t>Client 292</t>
  </si>
  <si>
    <t>V00262</t>
  </si>
  <si>
    <t>V00263</t>
  </si>
  <si>
    <t>CL0330</t>
  </si>
  <si>
    <t>Client 383</t>
  </si>
  <si>
    <t>V00264</t>
  </si>
  <si>
    <t>CL0351</t>
  </si>
  <si>
    <t>Client 125</t>
  </si>
  <si>
    <t>V00265</t>
  </si>
  <si>
    <t>V00266</t>
  </si>
  <si>
    <t>CL0324</t>
  </si>
  <si>
    <t>V00267</t>
  </si>
  <si>
    <t>Client 172</t>
  </si>
  <si>
    <t>V00268</t>
  </si>
  <si>
    <t>CL0196</t>
  </si>
  <si>
    <t>V00269</t>
  </si>
  <si>
    <t>CL0087</t>
  </si>
  <si>
    <t>Client 076</t>
  </si>
  <si>
    <t>V00270</t>
  </si>
  <si>
    <t>V00271</t>
  </si>
  <si>
    <t>V00272</t>
  </si>
  <si>
    <t>Client 091</t>
  </si>
  <si>
    <t>V00273</t>
  </si>
  <si>
    <t>CL0416</t>
  </si>
  <si>
    <t>Client 135</t>
  </si>
  <si>
    <t>V00274</t>
  </si>
  <si>
    <t>CL0265</t>
  </si>
  <si>
    <t>V00275</t>
  </si>
  <si>
    <t>CL0232</t>
  </si>
  <si>
    <t>V00276</t>
  </si>
  <si>
    <t>V00277</t>
  </si>
  <si>
    <t>CL0434</t>
  </si>
  <si>
    <t>Client 275</t>
  </si>
  <si>
    <t>V00278</t>
  </si>
  <si>
    <t>CL0489</t>
  </si>
  <si>
    <t>V00279</t>
  </si>
  <si>
    <t>Client 050</t>
  </si>
  <si>
    <t>V00280</t>
  </si>
  <si>
    <t>Client 098</t>
  </si>
  <si>
    <t>V00281</t>
  </si>
  <si>
    <t>CL0396</t>
  </si>
  <si>
    <t>Client 033</t>
  </si>
  <si>
    <t>V00282</t>
  </si>
  <si>
    <t>CL0036</t>
  </si>
  <si>
    <t>V00283</t>
  </si>
  <si>
    <t>CL0356</t>
  </si>
  <si>
    <t>Client 348</t>
  </si>
  <si>
    <t>V00284</t>
  </si>
  <si>
    <t>CL0044</t>
  </si>
  <si>
    <t>V00285</t>
  </si>
  <si>
    <t>CL0145</t>
  </si>
  <si>
    <t>V00286</t>
  </si>
  <si>
    <t>CL0151</t>
  </si>
  <si>
    <t>Client 019</t>
  </si>
  <si>
    <t>V00287</t>
  </si>
  <si>
    <t>V00288</t>
  </si>
  <si>
    <t>CL0425</t>
  </si>
  <si>
    <t>Client 304</t>
  </si>
  <si>
    <t>V00289</t>
  </si>
  <si>
    <t>V00290</t>
  </si>
  <si>
    <t>Client 215</t>
  </si>
  <si>
    <t>V00291</t>
  </si>
  <si>
    <t>CL0488</t>
  </si>
  <si>
    <t>Client 392</t>
  </si>
  <si>
    <t>V00292</t>
  </si>
  <si>
    <t>CL0353</t>
  </si>
  <si>
    <t>Client 103</t>
  </si>
  <si>
    <t>V00293</t>
  </si>
  <si>
    <t>CL0128</t>
  </si>
  <si>
    <t>Client 301</t>
  </si>
  <si>
    <t>V00294</t>
  </si>
  <si>
    <t>Client 278</t>
  </si>
  <si>
    <t>V00295</t>
  </si>
  <si>
    <t>CL0201</t>
  </si>
  <si>
    <t>V00296</t>
  </si>
  <si>
    <t>CL0215</t>
  </si>
  <si>
    <t>V00297</t>
  </si>
  <si>
    <t>CL0317</t>
  </si>
  <si>
    <t>Client 497</t>
  </si>
  <si>
    <t>V00298</t>
  </si>
  <si>
    <t>Client 338</t>
  </si>
  <si>
    <t>V00299</t>
  </si>
  <si>
    <t>CL0474</t>
  </si>
  <si>
    <t>V00300</t>
  </si>
  <si>
    <t>CL0048</t>
  </si>
  <si>
    <t>Client 113</t>
  </si>
  <si>
    <t>V00301</t>
  </si>
  <si>
    <t>CL0329</t>
  </si>
  <si>
    <t>V00302</t>
  </si>
  <si>
    <t>CL0083</t>
  </si>
  <si>
    <t>Client 178</t>
  </si>
  <si>
    <t>V00303</t>
  </si>
  <si>
    <t>V00304</t>
  </si>
  <si>
    <t>CL0016</t>
  </si>
  <si>
    <t>V00305</t>
  </si>
  <si>
    <t>CL0159</t>
  </si>
  <si>
    <t>Client 224</t>
  </si>
  <si>
    <t>V00306</t>
  </si>
  <si>
    <t>CL0431</t>
  </si>
  <si>
    <t>Client 165</t>
  </si>
  <si>
    <t>V00307</t>
  </si>
  <si>
    <t>Client 377</t>
  </si>
  <si>
    <t>V00308</t>
  </si>
  <si>
    <t>Client 484</t>
  </si>
  <si>
    <t>V00309</t>
  </si>
  <si>
    <t>CL0164</t>
  </si>
  <si>
    <t>V00310</t>
  </si>
  <si>
    <t>CL0015</t>
  </si>
  <si>
    <t>V00311</t>
  </si>
  <si>
    <t>V00312</t>
  </si>
  <si>
    <t>CL0414</t>
  </si>
  <si>
    <t>Client 276</t>
  </si>
  <si>
    <t>V00313</t>
  </si>
  <si>
    <t>Client 362</t>
  </si>
  <si>
    <t>V00314</t>
  </si>
  <si>
    <t>CL0383</t>
  </si>
  <si>
    <t>Client 405</t>
  </si>
  <si>
    <t>V00315</t>
  </si>
  <si>
    <t>V00316</t>
  </si>
  <si>
    <t>V00317</t>
  </si>
  <si>
    <t>CL0013</t>
  </si>
  <si>
    <t>V00318</t>
  </si>
  <si>
    <t>V00319</t>
  </si>
  <si>
    <t>Client 413</t>
  </si>
  <si>
    <t>V00320</t>
  </si>
  <si>
    <t>CL0217</t>
  </si>
  <si>
    <t>Client 345</t>
  </si>
  <si>
    <t>V00321</t>
  </si>
  <si>
    <t>CL0418</t>
  </si>
  <si>
    <t>Client 421</t>
  </si>
  <si>
    <t>V00322</t>
  </si>
  <si>
    <t>CL0046</t>
  </si>
  <si>
    <t>Client 387</t>
  </si>
  <si>
    <t>V00323</t>
  </si>
  <si>
    <t>CL0227</t>
  </si>
  <si>
    <t>Client 340</t>
  </si>
  <si>
    <t>V00324</t>
  </si>
  <si>
    <t>Client 428</t>
  </si>
  <si>
    <t>V00325</t>
  </si>
  <si>
    <t>CL0415</t>
  </si>
  <si>
    <t>V00326</t>
  </si>
  <si>
    <t>V00327</t>
  </si>
  <si>
    <t>V00328</t>
  </si>
  <si>
    <t>CL0371</t>
  </si>
  <si>
    <t>V00329</t>
  </si>
  <si>
    <t>CL0064</t>
  </si>
  <si>
    <t>Client 207</t>
  </si>
  <si>
    <t>V00330</t>
  </si>
  <si>
    <t>V00331</t>
  </si>
  <si>
    <t>CL0464</t>
  </si>
  <si>
    <t>Client 346</t>
  </si>
  <si>
    <t>V00332</t>
  </si>
  <si>
    <t>V00333</t>
  </si>
  <si>
    <t>CL0094</t>
  </si>
  <si>
    <t>V00334</t>
  </si>
  <si>
    <t>Client 208</t>
  </si>
  <si>
    <t>V00335</t>
  </si>
  <si>
    <t>V00336</t>
  </si>
  <si>
    <t>CL0372</t>
  </si>
  <si>
    <t>V00337</t>
  </si>
  <si>
    <t>CL0165</t>
  </si>
  <si>
    <t>Client 114</t>
  </si>
  <si>
    <t>V00338</t>
  </si>
  <si>
    <t>Client 139</t>
  </si>
  <si>
    <t>V00339</t>
  </si>
  <si>
    <t>CL0198</t>
  </si>
  <si>
    <t>Client 331</t>
  </si>
  <si>
    <t>V00340</t>
  </si>
  <si>
    <t>Client 013</t>
  </si>
  <si>
    <t>V00341</t>
  </si>
  <si>
    <t>CL0213</t>
  </si>
  <si>
    <t>Client 245</t>
  </si>
  <si>
    <t>V00342</t>
  </si>
  <si>
    <t>CL0270</t>
  </si>
  <si>
    <t>V00343</t>
  </si>
  <si>
    <t>V00344</t>
  </si>
  <si>
    <t>CL0003</t>
  </si>
  <si>
    <t>V00345</t>
  </si>
  <si>
    <t>V00346</t>
  </si>
  <si>
    <t>Client 133</t>
  </si>
  <si>
    <t>V00347</t>
  </si>
  <si>
    <t>V00348</t>
  </si>
  <si>
    <t>CL0455</t>
  </si>
  <si>
    <t>V00349</t>
  </si>
  <si>
    <t>CL0173</t>
  </si>
  <si>
    <t>V00350</t>
  </si>
  <si>
    <t>V00351</t>
  </si>
  <si>
    <t>CL0313</t>
  </si>
  <si>
    <t>V00352</t>
  </si>
  <si>
    <t>V00353</t>
  </si>
  <si>
    <t>V00354</t>
  </si>
  <si>
    <t>CL0360</t>
  </si>
  <si>
    <t>V00355</t>
  </si>
  <si>
    <t>V00356</t>
  </si>
  <si>
    <t>V00357</t>
  </si>
  <si>
    <t>CL0204</t>
  </si>
  <si>
    <t>Client 378</t>
  </si>
  <si>
    <t>V00358</t>
  </si>
  <si>
    <t>CL0296</t>
  </si>
  <si>
    <t>V00359</t>
  </si>
  <si>
    <t>CL0188</t>
  </si>
  <si>
    <t>V00360</t>
  </si>
  <si>
    <t>CL0375</t>
  </si>
  <si>
    <t>V00361</t>
  </si>
  <si>
    <t>CL0121</t>
  </si>
  <si>
    <t>V00362</t>
  </si>
  <si>
    <t>CL0184</t>
  </si>
  <si>
    <t>Client 310</t>
  </si>
  <si>
    <t>V00363</t>
  </si>
  <si>
    <t>CL0098</t>
  </si>
  <si>
    <t>Client 309</t>
  </si>
  <si>
    <t>V00364</t>
  </si>
  <si>
    <t>CL0369</t>
  </si>
  <si>
    <t>V00365</t>
  </si>
  <si>
    <t>V00366</t>
  </si>
  <si>
    <t>V00367</t>
  </si>
  <si>
    <t>V00368</t>
  </si>
  <si>
    <t>Client 402</t>
  </si>
  <si>
    <t>V00369</t>
  </si>
  <si>
    <t>CL0120</t>
  </si>
  <si>
    <t>Client 322</t>
  </si>
  <si>
    <t>V00370</t>
  </si>
  <si>
    <t>CL0017</t>
  </si>
  <si>
    <t>V00371</t>
  </si>
  <si>
    <t>CL0246</t>
  </si>
  <si>
    <t>V00372</t>
  </si>
  <si>
    <t>Client 036</t>
  </si>
  <si>
    <t>V00373</t>
  </si>
  <si>
    <t>Client 034</t>
  </si>
  <si>
    <t>V00374</t>
  </si>
  <si>
    <t>V00375</t>
  </si>
  <si>
    <t>Client 353</t>
  </si>
  <si>
    <t>V00376</t>
  </si>
  <si>
    <t>CL0373</t>
  </si>
  <si>
    <t>Client 131</t>
  </si>
  <si>
    <t>V00377</t>
  </si>
  <si>
    <t>Client 046</t>
  </si>
  <si>
    <t>V00378</t>
  </si>
  <si>
    <t>CL0247</t>
  </si>
  <si>
    <t>V00379</t>
  </si>
  <si>
    <t>V00380</t>
  </si>
  <si>
    <t>Client 477</t>
  </si>
  <si>
    <t>V00381</t>
  </si>
  <si>
    <t>Client 134</t>
  </si>
  <si>
    <t>V00382</t>
  </si>
  <si>
    <t>Client 030</t>
  </si>
  <si>
    <t>V00383</t>
  </si>
  <si>
    <t>Client 048</t>
  </si>
  <si>
    <t>V00384</t>
  </si>
  <si>
    <t>Client 334</t>
  </si>
  <si>
    <t>V00385</t>
  </si>
  <si>
    <t>V00386</t>
  </si>
  <si>
    <t>CL0442</t>
  </si>
  <si>
    <t>V00387</t>
  </si>
  <si>
    <t>CL0301</t>
  </si>
  <si>
    <t>Client 354</t>
  </si>
  <si>
    <t>V00388</t>
  </si>
  <si>
    <t>Client 469</t>
  </si>
  <si>
    <t>V00389</t>
  </si>
  <si>
    <t>V00390</t>
  </si>
  <si>
    <t>V00391</t>
  </si>
  <si>
    <t>V00392</t>
  </si>
  <si>
    <t>CL0388</t>
  </si>
  <si>
    <t>V00393</t>
  </si>
  <si>
    <t>CL0382</t>
  </si>
  <si>
    <t>Client 296</t>
  </si>
  <si>
    <t>V00394</t>
  </si>
  <si>
    <t>CL0176</t>
  </si>
  <si>
    <t>V00395</t>
  </si>
  <si>
    <t>Client 333</t>
  </si>
  <si>
    <t>V00396</t>
  </si>
  <si>
    <t>Client 262</t>
  </si>
  <si>
    <t>V00397</t>
  </si>
  <si>
    <t>Client 164</t>
  </si>
  <si>
    <t>V00398</t>
  </si>
  <si>
    <t>CL0347</t>
  </si>
  <si>
    <t>V00399</t>
  </si>
  <si>
    <t>CL0056</t>
  </si>
  <si>
    <t>Client 018</t>
  </si>
  <si>
    <t>V00400</t>
  </si>
  <si>
    <t>Client 376</t>
  </si>
  <si>
    <t>V00401</t>
  </si>
  <si>
    <t>V00402</t>
  </si>
  <si>
    <t>CL0381</t>
  </si>
  <si>
    <t>V00403</t>
  </si>
  <si>
    <t>Client 466</t>
  </si>
  <si>
    <t>V00404</t>
  </si>
  <si>
    <t>V00405</t>
  </si>
  <si>
    <t>Client 279</t>
  </si>
  <si>
    <t>V00406</t>
  </si>
  <si>
    <t>CL0406</t>
  </si>
  <si>
    <t>Client 001</t>
  </si>
  <si>
    <t>V00407</t>
  </si>
  <si>
    <t>V00408</t>
  </si>
  <si>
    <t>CL0412</t>
  </si>
  <si>
    <t>Client 212</t>
  </si>
  <si>
    <t>V00409</t>
  </si>
  <si>
    <t>CL0019</t>
  </si>
  <si>
    <t>V00410</t>
  </si>
  <si>
    <t>CL0058</t>
  </si>
  <si>
    <t>Client 068</t>
  </si>
  <si>
    <t>V00411</t>
  </si>
  <si>
    <t>CL0298</t>
  </si>
  <si>
    <t>V00412</t>
  </si>
  <si>
    <t>CL0456</t>
  </si>
  <si>
    <t>Client 147</t>
  </si>
  <si>
    <t>V00413</t>
  </si>
  <si>
    <t>V00414</t>
  </si>
  <si>
    <t>CL0461</t>
  </si>
  <si>
    <t>Client 168</t>
  </si>
  <si>
    <t>V00415</t>
  </si>
  <si>
    <t>Client 094</t>
  </si>
  <si>
    <t>V00416</t>
  </si>
  <si>
    <t>CL0135</t>
  </si>
  <si>
    <t>Client 356</t>
  </si>
  <si>
    <t>V00417</t>
  </si>
  <si>
    <t>Client 324</t>
  </si>
  <si>
    <t>V00418</t>
  </si>
  <si>
    <t>V00419</t>
  </si>
  <si>
    <t>Client 069</t>
  </si>
  <si>
    <t>V00420</t>
  </si>
  <si>
    <t>CL0080</t>
  </si>
  <si>
    <t>V00421</t>
  </si>
  <si>
    <t>V00422</t>
  </si>
  <si>
    <t>CL0035</t>
  </si>
  <si>
    <t>V00423</t>
  </si>
  <si>
    <t>CL0273</t>
  </si>
  <si>
    <t>V00424</t>
  </si>
  <si>
    <t>V00425</t>
  </si>
  <si>
    <t>CL0156</t>
  </si>
  <si>
    <t>V00426</t>
  </si>
  <si>
    <t>V00427</t>
  </si>
  <si>
    <t>V00428</t>
  </si>
  <si>
    <t>CL0181</t>
  </si>
  <si>
    <t>Client 183</t>
  </si>
  <si>
    <t>V00429</t>
  </si>
  <si>
    <t>Client 123</t>
  </si>
  <si>
    <t>V00430</t>
  </si>
  <si>
    <t>CL0331</t>
  </si>
  <si>
    <t>V00431</t>
  </si>
  <si>
    <t>V00432</t>
  </si>
  <si>
    <t>V00433</t>
  </si>
  <si>
    <t>CL0109</t>
  </si>
  <si>
    <t>V00434</t>
  </si>
  <si>
    <t>Client 205</t>
  </si>
  <si>
    <t>V00435</t>
  </si>
  <si>
    <t>V00436</t>
  </si>
  <si>
    <t>V00437</t>
  </si>
  <si>
    <t>Client 004</t>
  </si>
  <si>
    <t>V00438</t>
  </si>
  <si>
    <t>CL0311</t>
  </si>
  <si>
    <t>Client 237</t>
  </si>
  <si>
    <t>V00439</t>
  </si>
  <si>
    <t>V00440</t>
  </si>
  <si>
    <t>CL0286</t>
  </si>
  <si>
    <t>V00441</t>
  </si>
  <si>
    <t>Client 233</t>
  </si>
  <si>
    <t>V00442</t>
  </si>
  <si>
    <t>V00443</t>
  </si>
  <si>
    <t>V00444</t>
  </si>
  <si>
    <t>V00445</t>
  </si>
  <si>
    <t>Client 214</t>
  </si>
  <si>
    <t>V00446</t>
  </si>
  <si>
    <t>CL0354</t>
  </si>
  <si>
    <t>V00447</t>
  </si>
  <si>
    <t>V00448</t>
  </si>
  <si>
    <t>Client 391</t>
  </si>
  <si>
    <t>V00449</t>
  </si>
  <si>
    <t>V00450</t>
  </si>
  <si>
    <t>CL0346</t>
  </si>
  <si>
    <t>Client 055</t>
  </si>
  <si>
    <t>V00451</t>
  </si>
  <si>
    <t>V00452</t>
  </si>
  <si>
    <t>V00453</t>
  </si>
  <si>
    <t>Client 101</t>
  </si>
  <si>
    <t>V00454</t>
  </si>
  <si>
    <t>CL0226</t>
  </si>
  <si>
    <t>Client 344</t>
  </si>
  <si>
    <t>V00455</t>
  </si>
  <si>
    <t>Client 014</t>
  </si>
  <si>
    <t>V00456</t>
  </si>
  <si>
    <t>CL0077</t>
  </si>
  <si>
    <t>V00457</t>
  </si>
  <si>
    <t>Client 259</t>
  </si>
  <si>
    <t>V00458</t>
  </si>
  <si>
    <t>Client 252</t>
  </si>
  <si>
    <t>V00459</t>
  </si>
  <si>
    <t>V00460</t>
  </si>
  <si>
    <t>CL0394</t>
  </si>
  <si>
    <t>Client 110</t>
  </si>
  <si>
    <t>V00461</t>
  </si>
  <si>
    <t>CL0448</t>
  </si>
  <si>
    <t>V00462</t>
  </si>
  <si>
    <t>Client 264</t>
  </si>
  <si>
    <t>V00463</t>
  </si>
  <si>
    <t>CL0420</t>
  </si>
  <si>
    <t>V00464</t>
  </si>
  <si>
    <t>CL0423</t>
  </si>
  <si>
    <t>Client 280</t>
  </si>
  <si>
    <t>V00465</t>
  </si>
  <si>
    <t>CL0014</t>
  </si>
  <si>
    <t>V00466</t>
  </si>
  <si>
    <t>V00467</t>
  </si>
  <si>
    <t>V00468</t>
  </si>
  <si>
    <t>V00469</t>
  </si>
  <si>
    <t>CL0304</t>
  </si>
  <si>
    <t>Client 081</t>
  </si>
  <si>
    <t>V00470</t>
  </si>
  <si>
    <t>V00471</t>
  </si>
  <si>
    <t>CL0357</t>
  </si>
  <si>
    <t>V00472</t>
  </si>
  <si>
    <t>Client 427</t>
  </si>
  <si>
    <t>V00473</t>
  </si>
  <si>
    <t>CL0167</t>
  </si>
  <si>
    <t>Client 332</t>
  </si>
  <si>
    <t>V00474</t>
  </si>
  <si>
    <t>V00475</t>
  </si>
  <si>
    <t>CL0294</t>
  </si>
  <si>
    <t>V00476</t>
  </si>
  <si>
    <t>CL0411</t>
  </si>
  <si>
    <t>V00477</t>
  </si>
  <si>
    <t>CL0291</t>
  </si>
  <si>
    <t>V00478</t>
  </si>
  <si>
    <t>CL0179</t>
  </si>
  <si>
    <t>V00479</t>
  </si>
  <si>
    <t>V00480</t>
  </si>
  <si>
    <t>V00481</t>
  </si>
  <si>
    <t>CL0341</t>
  </si>
  <si>
    <t>Client 460</t>
  </si>
  <si>
    <t>V00482</t>
  </si>
  <si>
    <t>V00483</t>
  </si>
  <si>
    <t>Client 347</t>
  </si>
  <si>
    <t>V00484</t>
  </si>
  <si>
    <t>V00485</t>
  </si>
  <si>
    <t>BOUTIQUE</t>
  </si>
  <si>
    <t>V00486</t>
  </si>
  <si>
    <t>Client 364</t>
  </si>
  <si>
    <t>V00487</t>
  </si>
  <si>
    <t>Client 121</t>
  </si>
  <si>
    <t>V00488</t>
  </si>
  <si>
    <t>CL0146</t>
  </si>
  <si>
    <t>V00489</t>
  </si>
  <si>
    <t>CL0240</t>
  </si>
  <si>
    <t>V00490</t>
  </si>
  <si>
    <t>V00491</t>
  </si>
  <si>
    <t>V00492</t>
  </si>
  <si>
    <t>Client 043</t>
  </si>
  <si>
    <t>V00493</t>
  </si>
  <si>
    <t>V00494</t>
  </si>
  <si>
    <t>CL0054</t>
  </si>
  <si>
    <t>V00495</t>
  </si>
  <si>
    <t>CL0102</t>
  </si>
  <si>
    <t>Client 313</t>
  </si>
  <si>
    <t>V00496</t>
  </si>
  <si>
    <t>Client 365</t>
  </si>
  <si>
    <t>V00497</t>
  </si>
  <si>
    <t>V00498</t>
  </si>
  <si>
    <t>V00499</t>
  </si>
  <si>
    <t>CL0380</t>
  </si>
  <si>
    <t>Client 449</t>
  </si>
  <si>
    <t>V00500</t>
  </si>
  <si>
    <t>Client 269</t>
  </si>
  <si>
    <t>V00501</t>
  </si>
  <si>
    <t>V00502</t>
  </si>
  <si>
    <t>CL0113</t>
  </si>
  <si>
    <t>V00503</t>
  </si>
  <si>
    <t>V00504</t>
  </si>
  <si>
    <t>CL0405</t>
  </si>
  <si>
    <t>V00505</t>
  </si>
  <si>
    <t>V00506</t>
  </si>
  <si>
    <t>V00507</t>
  </si>
  <si>
    <t>CL0429</t>
  </si>
  <si>
    <t>V00508</t>
  </si>
  <si>
    <t>CL0323</t>
  </si>
  <si>
    <t>Client 260</t>
  </si>
  <si>
    <t>V00509</t>
  </si>
  <si>
    <t>Client 130</t>
  </si>
  <si>
    <t>V00510</t>
  </si>
  <si>
    <t>Client 473</t>
  </si>
  <si>
    <t>V00511</t>
  </si>
  <si>
    <t>CL0057</t>
  </si>
  <si>
    <t>Client 417</t>
  </si>
  <si>
    <t>V00512</t>
  </si>
  <si>
    <t>CL0008</t>
  </si>
  <si>
    <t>V00513</t>
  </si>
  <si>
    <t>Client 430</t>
  </si>
  <si>
    <t>V00514</t>
  </si>
  <si>
    <t>Client 393</t>
  </si>
  <si>
    <t>V00515</t>
  </si>
  <si>
    <t>V00516</t>
  </si>
  <si>
    <t>V00517</t>
  </si>
  <si>
    <t>Client 072</t>
  </si>
  <si>
    <t>V00518</t>
  </si>
  <si>
    <t>V00519</t>
  </si>
  <si>
    <t>CL0143</t>
  </si>
  <si>
    <t>V00520</t>
  </si>
  <si>
    <t>V00521</t>
  </si>
  <si>
    <t>V00522</t>
  </si>
  <si>
    <t>Client 429</t>
  </si>
  <si>
    <t>V00523</t>
  </si>
  <si>
    <t>CL0007</t>
  </si>
  <si>
    <t>V00524</t>
  </si>
  <si>
    <t>CL0233</t>
  </si>
  <si>
    <t>Client 493</t>
  </si>
  <si>
    <t>V00525</t>
  </si>
  <si>
    <t>CL0266</t>
  </si>
  <si>
    <t>V00526</t>
  </si>
  <si>
    <t>V00527</t>
  </si>
  <si>
    <t>Client 140</t>
  </si>
  <si>
    <t>V00528</t>
  </si>
  <si>
    <t>CL0023</t>
  </si>
  <si>
    <t>V00529</t>
  </si>
  <si>
    <t>CL0075</t>
  </si>
  <si>
    <t>Client 192</t>
  </si>
  <si>
    <t>V00530</t>
  </si>
  <si>
    <t>Client 400</t>
  </si>
  <si>
    <t>V00531</t>
  </si>
  <si>
    <t>V00532</t>
  </si>
  <si>
    <t>V00533</t>
  </si>
  <si>
    <t>Client 175</t>
  </si>
  <si>
    <t>V00534</t>
  </si>
  <si>
    <t>Client 115</t>
  </si>
  <si>
    <t>V00535</t>
  </si>
  <si>
    <t>CL0486</t>
  </si>
  <si>
    <t>Client 325</t>
  </si>
  <si>
    <t>V00536</t>
  </si>
  <si>
    <t>V00537</t>
  </si>
  <si>
    <t>V00538</t>
  </si>
  <si>
    <t>V00539</t>
  </si>
  <si>
    <t>Client 459</t>
  </si>
  <si>
    <t>V00540</t>
  </si>
  <si>
    <t>V00541</t>
  </si>
  <si>
    <t>V00542</t>
  </si>
  <si>
    <t>Client 386</t>
  </si>
  <si>
    <t>V00543</t>
  </si>
  <si>
    <t>CL0339</t>
  </si>
  <si>
    <t>V00544</t>
  </si>
  <si>
    <t>V00545</t>
  </si>
  <si>
    <t>V00546</t>
  </si>
  <si>
    <t>V00547</t>
  </si>
  <si>
    <t>CL0072</t>
  </si>
  <si>
    <t>V00548</t>
  </si>
  <si>
    <t>CL0228</t>
  </si>
  <si>
    <t>V00549</t>
  </si>
  <si>
    <t>V00550</t>
  </si>
  <si>
    <t>Client 419</t>
  </si>
  <si>
    <t>V00551</t>
  </si>
  <si>
    <t>V00552</t>
  </si>
  <si>
    <t>V00553</t>
  </si>
  <si>
    <t>Client 398</t>
  </si>
  <si>
    <t>V00554</t>
  </si>
  <si>
    <t>CL0133</t>
  </si>
  <si>
    <t>Client 194</t>
  </si>
  <si>
    <t>V00555</t>
  </si>
  <si>
    <t>Client 087</t>
  </si>
  <si>
    <t>V00556</t>
  </si>
  <si>
    <t>Client 352</t>
  </si>
  <si>
    <t>V00557</t>
  </si>
  <si>
    <t>V00558</t>
  </si>
  <si>
    <t>CL0391</t>
  </si>
  <si>
    <t>Client 221</t>
  </si>
  <si>
    <t>V00559</t>
  </si>
  <si>
    <t>V00560</t>
  </si>
  <si>
    <t>V00561</t>
  </si>
  <si>
    <t>CL0478</t>
  </si>
  <si>
    <t>Client 044</t>
  </si>
  <si>
    <t>V00562</t>
  </si>
  <si>
    <t>CL0022</t>
  </si>
  <si>
    <t>Client 086</t>
  </si>
  <si>
    <t>V00563</t>
  </si>
  <si>
    <t>Client 213</t>
  </si>
  <si>
    <t>V00564</t>
  </si>
  <si>
    <t>Client 272</t>
  </si>
  <si>
    <t>V00565</t>
  </si>
  <si>
    <t>V00566</t>
  </si>
  <si>
    <t>V00567</t>
  </si>
  <si>
    <t>V00568</t>
  </si>
  <si>
    <t>V00569</t>
  </si>
  <si>
    <t>CL0485</t>
  </si>
  <si>
    <t>Client 492</t>
  </si>
  <si>
    <t>V00570</t>
  </si>
  <si>
    <t>V00571</t>
  </si>
  <si>
    <t>Client 240</t>
  </si>
  <si>
    <t>V00572</t>
  </si>
  <si>
    <t>CL0279</t>
  </si>
  <si>
    <t>V00573</t>
  </si>
  <si>
    <t>V00574</t>
  </si>
  <si>
    <t>Client 285</t>
  </si>
  <si>
    <t>V00575</t>
  </si>
  <si>
    <t>Client 150</t>
  </si>
  <si>
    <t>V00576</t>
  </si>
  <si>
    <t>V00577</t>
  </si>
  <si>
    <t>Client 355</t>
  </si>
  <si>
    <t>V00578</t>
  </si>
  <si>
    <t>V00579</t>
  </si>
  <si>
    <t>Client 218</t>
  </si>
  <si>
    <t>V00580</t>
  </si>
  <si>
    <t>CL0243</t>
  </si>
  <si>
    <t>V00581</t>
  </si>
  <si>
    <t>CL0476</t>
  </si>
  <si>
    <t>Client 222</t>
  </si>
  <si>
    <t>V00582</t>
  </si>
  <si>
    <t>V00583</t>
  </si>
  <si>
    <t>Client 189</t>
  </si>
  <si>
    <t>V00584</t>
  </si>
  <si>
    <t>CL0030</t>
  </si>
  <si>
    <t>V00585</t>
  </si>
  <si>
    <t>V00586</t>
  </si>
  <si>
    <t>V00587</t>
  </si>
  <si>
    <t>V00588</t>
  </si>
  <si>
    <t>CL0222</t>
  </si>
  <si>
    <t>V00589</t>
  </si>
  <si>
    <t>V00590</t>
  </si>
  <si>
    <t>CL0123</t>
  </si>
  <si>
    <t>V00591</t>
  </si>
  <si>
    <t>CL0253</t>
  </si>
  <si>
    <t>Client 326</t>
  </si>
  <si>
    <t>V00592</t>
  </si>
  <si>
    <t>Client 157</t>
  </si>
  <si>
    <t>V00593</t>
  </si>
  <si>
    <t>Client 447</t>
  </si>
  <si>
    <t>V00594</t>
  </si>
  <si>
    <t>V00595</t>
  </si>
  <si>
    <t>V00596</t>
  </si>
  <si>
    <t>V00597</t>
  </si>
  <si>
    <t>CL0050</t>
  </si>
  <si>
    <t>Client 476</t>
  </si>
  <si>
    <t>V00598</t>
  </si>
  <si>
    <t>CL0208</t>
  </si>
  <si>
    <t>V00599</t>
  </si>
  <si>
    <t>V00600</t>
  </si>
  <si>
    <t>V00601</t>
  </si>
  <si>
    <t>Client 390</t>
  </si>
  <si>
    <t>V00602</t>
  </si>
  <si>
    <t>Client 462</t>
  </si>
  <si>
    <t>V00603</t>
  </si>
  <si>
    <t>CL0211</t>
  </si>
  <si>
    <t>Client 455</t>
  </si>
  <si>
    <t>V00604</t>
  </si>
  <si>
    <t>Client 182</t>
  </si>
  <si>
    <t>V00605</t>
  </si>
  <si>
    <t>Client 158</t>
  </si>
  <si>
    <t>V00606</t>
  </si>
  <si>
    <t>CL0115</t>
  </si>
  <si>
    <t>V00607</t>
  </si>
  <si>
    <t>V00608</t>
  </si>
  <si>
    <t>V00609</t>
  </si>
  <si>
    <t>CL0308</t>
  </si>
  <si>
    <t>V00610</t>
  </si>
  <si>
    <t>V00611</t>
  </si>
  <si>
    <t>V00612</t>
  </si>
  <si>
    <t>V00613</t>
  </si>
  <si>
    <t>V00614</t>
  </si>
  <si>
    <t>Client 119</t>
  </si>
  <si>
    <t>V00615</t>
  </si>
  <si>
    <t>V00616</t>
  </si>
  <si>
    <t>V00617</t>
  </si>
  <si>
    <t>V00618</t>
  </si>
  <si>
    <t>V00619</t>
  </si>
  <si>
    <t>V00620</t>
  </si>
  <si>
    <t>Client 465</t>
  </si>
  <si>
    <t>V00621</t>
  </si>
  <si>
    <t>Client 015</t>
  </si>
  <si>
    <t>V00622</t>
  </si>
  <si>
    <t>V00623</t>
  </si>
  <si>
    <t>Client 112</t>
  </si>
  <si>
    <t>V00624</t>
  </si>
  <si>
    <t>CL0223</t>
  </si>
  <si>
    <t>V00625</t>
  </si>
  <si>
    <t>Client 032</t>
  </si>
  <si>
    <t>V00626</t>
  </si>
  <si>
    <t>CL0154</t>
  </si>
  <si>
    <t>V00627</t>
  </si>
  <si>
    <t>CL0152</t>
  </si>
  <si>
    <t>V00628</t>
  </si>
  <si>
    <t>Client 227</t>
  </si>
  <si>
    <t>V00629</t>
  </si>
  <si>
    <t>Client 057</t>
  </si>
  <si>
    <t>V00630</t>
  </si>
  <si>
    <t>V00631</t>
  </si>
  <si>
    <t>V00632</t>
  </si>
  <si>
    <t>CL0368</t>
  </si>
  <si>
    <t>V00633</t>
  </si>
  <si>
    <t>V00634</t>
  </si>
  <si>
    <t>Client 229</t>
  </si>
  <si>
    <t>V00635</t>
  </si>
  <si>
    <t>Client 277</t>
  </si>
  <si>
    <t>V00636</t>
  </si>
  <si>
    <t>V00637</t>
  </si>
  <si>
    <t>CL0492</t>
  </si>
  <si>
    <t>V00638</t>
  </si>
  <si>
    <t>Client 188</t>
  </si>
  <si>
    <t>V00639</t>
  </si>
  <si>
    <t>V00640</t>
  </si>
  <si>
    <t>CL0084</t>
  </si>
  <si>
    <t>V00641</t>
  </si>
  <si>
    <t>Client 161</t>
  </si>
  <si>
    <t>V00642</t>
  </si>
  <si>
    <t>V00643</t>
  </si>
  <si>
    <t>CL0189</t>
  </si>
  <si>
    <t>V00644</t>
  </si>
  <si>
    <t>CL0284</t>
  </si>
  <si>
    <t>V00645</t>
  </si>
  <si>
    <t>CL0018</t>
  </si>
  <si>
    <t>V00646</t>
  </si>
  <si>
    <t>CL0191</t>
  </si>
  <si>
    <t>V00647</t>
  </si>
  <si>
    <t>CL0422</t>
  </si>
  <si>
    <t>V00648</t>
  </si>
  <si>
    <t>V00649</t>
  </si>
  <si>
    <t>Client 232</t>
  </si>
  <si>
    <t>V00650</t>
  </si>
  <si>
    <t>V00651</t>
  </si>
  <si>
    <t>CL0091</t>
  </si>
  <si>
    <t>V00652</t>
  </si>
  <si>
    <t>V00653</t>
  </si>
  <si>
    <t>V00654</t>
  </si>
  <si>
    <t>V00655</t>
  </si>
  <si>
    <t>V00656</t>
  </si>
  <si>
    <t>V00657</t>
  </si>
  <si>
    <t>CL0166</t>
  </si>
  <si>
    <t>V00658</t>
  </si>
  <si>
    <t>CL0358</t>
  </si>
  <si>
    <t>V00659</t>
  </si>
  <si>
    <t>V00660</t>
  </si>
  <si>
    <t>V00661</t>
  </si>
  <si>
    <t>V00662</t>
  </si>
  <si>
    <t>V00663</t>
  </si>
  <si>
    <t>Client 415</t>
  </si>
  <si>
    <t>V00664</t>
  </si>
  <si>
    <t>Client 270</t>
  </si>
  <si>
    <t>V00665</t>
  </si>
  <si>
    <t>V00666</t>
  </si>
  <si>
    <t>V00667</t>
  </si>
  <si>
    <t>V00668</t>
  </si>
  <si>
    <t>V00669</t>
  </si>
  <si>
    <t>CL0390</t>
  </si>
  <si>
    <t>V00670</t>
  </si>
  <si>
    <t>CL0440</t>
  </si>
  <si>
    <t>V00671</t>
  </si>
  <si>
    <t>V00672</t>
  </si>
  <si>
    <t>Client 118</t>
  </si>
  <si>
    <t>V00673</t>
  </si>
  <si>
    <t>Client 100</t>
  </si>
  <si>
    <t>V00674</t>
  </si>
  <si>
    <t>V00675</t>
  </si>
  <si>
    <t>V00676</t>
  </si>
  <si>
    <t>CL0500</t>
  </si>
  <si>
    <t>V00677</t>
  </si>
  <si>
    <t>V00678</t>
  </si>
  <si>
    <t>V00679</t>
  </si>
  <si>
    <t>V00680</t>
  </si>
  <si>
    <t>V00681</t>
  </si>
  <si>
    <t>V00682</t>
  </si>
  <si>
    <t>Client 211</t>
  </si>
  <si>
    <t>V00683</t>
  </si>
  <si>
    <t>V00684</t>
  </si>
  <si>
    <t>V00685</t>
  </si>
  <si>
    <t>CL0088</t>
  </si>
  <si>
    <t>V00686</t>
  </si>
  <si>
    <t>CL0074</t>
  </si>
  <si>
    <t>V00687</t>
  </si>
  <si>
    <t>V00688</t>
  </si>
  <si>
    <t>CL0494</t>
  </si>
  <si>
    <t>V00689</t>
  </si>
  <si>
    <t>V00690</t>
  </si>
  <si>
    <t>CL0078</t>
  </si>
  <si>
    <t>V00691</t>
  </si>
  <si>
    <t>CL0387</t>
  </si>
  <si>
    <t>V00692</t>
  </si>
  <si>
    <t>V00693</t>
  </si>
  <si>
    <t>V00694</t>
  </si>
  <si>
    <t>V00695</t>
  </si>
  <si>
    <t>V00696</t>
  </si>
  <si>
    <t>V00697</t>
  </si>
  <si>
    <t>CL0309</t>
  </si>
  <si>
    <t>Client 349</t>
  </si>
  <si>
    <t>V00698</t>
  </si>
  <si>
    <t>V00699</t>
  </si>
  <si>
    <t>CL0274</t>
  </si>
  <si>
    <t>V00700</t>
  </si>
  <si>
    <t>CL0315</t>
  </si>
  <si>
    <t>V00701</t>
  </si>
  <si>
    <t>V00702</t>
  </si>
  <si>
    <t>CL0314</t>
  </si>
  <si>
    <t>V00703</t>
  </si>
  <si>
    <t>CL0319</t>
  </si>
  <si>
    <t>V00704</t>
  </si>
  <si>
    <t>V00705</t>
  </si>
  <si>
    <t>CL0244</t>
  </si>
  <si>
    <t>V00706</t>
  </si>
  <si>
    <t>V00707</t>
  </si>
  <si>
    <t>Client 111</t>
  </si>
  <si>
    <t>V00708</t>
  </si>
  <si>
    <t>V00709</t>
  </si>
  <si>
    <t>V00710</t>
  </si>
  <si>
    <t>CL0085</t>
  </si>
  <si>
    <t>V00711</t>
  </si>
  <si>
    <t>CL0479</t>
  </si>
  <si>
    <t>Client 450</t>
  </si>
  <si>
    <t>V00712</t>
  </si>
  <si>
    <t>V00713</t>
  </si>
  <si>
    <t>V00714</t>
  </si>
  <si>
    <t>Client 379</t>
  </si>
  <si>
    <t>V00715</t>
  </si>
  <si>
    <t>CL0398</t>
  </si>
  <si>
    <t>V00716</t>
  </si>
  <si>
    <t>V00717</t>
  </si>
  <si>
    <t>Client 179</t>
  </si>
  <si>
    <t>V00718</t>
  </si>
  <si>
    <t>V00719</t>
  </si>
  <si>
    <t>Client 117</t>
  </si>
  <si>
    <t>V00720</t>
  </si>
  <si>
    <t>V00721</t>
  </si>
  <si>
    <t>Client 308</t>
  </si>
  <si>
    <t>V00722</t>
  </si>
  <si>
    <t>Client 474</t>
  </si>
  <si>
    <t>V00723</t>
  </si>
  <si>
    <t>V00724</t>
  </si>
  <si>
    <t>V00725</t>
  </si>
  <si>
    <t>Client 042</t>
  </si>
  <si>
    <t>V00726</t>
  </si>
  <si>
    <t>CL0399</t>
  </si>
  <si>
    <t>V00727</t>
  </si>
  <si>
    <t>CL0256</t>
  </si>
  <si>
    <t>V00728</t>
  </si>
  <si>
    <t>V00729</t>
  </si>
  <si>
    <t>V00730</t>
  </si>
  <si>
    <t>V00731</t>
  </si>
  <si>
    <t>CL0095</t>
  </si>
  <si>
    <t>Client 162</t>
  </si>
  <si>
    <t>V00732</t>
  </si>
  <si>
    <t>CL0234</t>
  </si>
  <si>
    <t>Client 458</t>
  </si>
  <si>
    <t>V00733</t>
  </si>
  <si>
    <t>V00734</t>
  </si>
  <si>
    <t>V00735</t>
  </si>
  <si>
    <t>V00736</t>
  </si>
  <si>
    <t>Client 151</t>
  </si>
  <si>
    <t>V00737</t>
  </si>
  <si>
    <t>V00738</t>
  </si>
  <si>
    <t>Client 160</t>
  </si>
  <si>
    <t>V00739</t>
  </si>
  <si>
    <t>V00740</t>
  </si>
  <si>
    <t>V00741</t>
  </si>
  <si>
    <t>V00742</t>
  </si>
  <si>
    <t>V00743</t>
  </si>
  <si>
    <t>V00744</t>
  </si>
  <si>
    <t>Client 343</t>
  </si>
  <si>
    <t>V00745</t>
  </si>
  <si>
    <t>V00746</t>
  </si>
  <si>
    <t>CL0073</t>
  </si>
  <si>
    <t>V00747</t>
  </si>
  <si>
    <t>V00748</t>
  </si>
  <si>
    <t>CL0219</t>
  </si>
  <si>
    <t>Client 095</t>
  </si>
  <si>
    <t>V00749</t>
  </si>
  <si>
    <t>V00750</t>
  </si>
  <si>
    <t>V00751</t>
  </si>
  <si>
    <t>Client 241</t>
  </si>
  <si>
    <t>V00752</t>
  </si>
  <si>
    <t>Client 263</t>
  </si>
  <si>
    <t>V00753</t>
  </si>
  <si>
    <t>V00754</t>
  </si>
  <si>
    <t>V00755</t>
  </si>
  <si>
    <t>V00756</t>
  </si>
  <si>
    <t>CL0092</t>
  </si>
  <si>
    <t>V00757</t>
  </si>
  <si>
    <t>V00758</t>
  </si>
  <si>
    <t>V00759</t>
  </si>
  <si>
    <t>Client 480</t>
  </si>
  <si>
    <t>V00760</t>
  </si>
  <si>
    <t>V00761</t>
  </si>
  <si>
    <t>V00762</t>
  </si>
  <si>
    <t>CL0238</t>
  </si>
  <si>
    <t>V00763</t>
  </si>
  <si>
    <t>V00764</t>
  </si>
  <si>
    <t>CL0119</t>
  </si>
  <si>
    <t>V00765</t>
  </si>
  <si>
    <t>V00766</t>
  </si>
  <si>
    <t>V00767</t>
  </si>
  <si>
    <t>V00768</t>
  </si>
  <si>
    <t>V00769</t>
  </si>
  <si>
    <t>V00770</t>
  </si>
  <si>
    <t>V00771</t>
  </si>
  <si>
    <t>Client 268</t>
  </si>
  <si>
    <t>V00772</t>
  </si>
  <si>
    <t>V00773</t>
  </si>
  <si>
    <t>V00774</t>
  </si>
  <si>
    <t>CL0281</t>
  </si>
  <si>
    <t>Client 067</t>
  </si>
  <si>
    <t>V00775</t>
  </si>
  <si>
    <t>Client 049</t>
  </si>
  <si>
    <t>V00776</t>
  </si>
  <si>
    <t>V00777</t>
  </si>
  <si>
    <t>Client 444</t>
  </si>
  <si>
    <t>V00778</t>
  </si>
  <si>
    <t>V00779</t>
  </si>
  <si>
    <t>V00780</t>
  </si>
  <si>
    <t>CL0161</t>
  </si>
  <si>
    <t>Client 061</t>
  </si>
  <si>
    <t>V00781</t>
  </si>
  <si>
    <t>V00782</t>
  </si>
  <si>
    <t>V00783</t>
  </si>
  <si>
    <t>V00784</t>
  </si>
  <si>
    <t>V00785</t>
  </si>
  <si>
    <t>V00786</t>
  </si>
  <si>
    <t>V00787</t>
  </si>
  <si>
    <t>CL0089</t>
  </si>
  <si>
    <t>V00788</t>
  </si>
  <si>
    <t>CL0259</t>
  </si>
  <si>
    <t>Client 373</t>
  </si>
  <si>
    <t>V00789</t>
  </si>
  <si>
    <t>Client 293</t>
  </si>
  <si>
    <t>V00790</t>
  </si>
  <si>
    <t>CL0446</t>
  </si>
  <si>
    <t>V00791</t>
  </si>
  <si>
    <t>V00792</t>
  </si>
  <si>
    <t>CL0026</t>
  </si>
  <si>
    <t>V00793</t>
  </si>
  <si>
    <t>V00794</t>
  </si>
  <si>
    <t>V00795</t>
  </si>
  <si>
    <t>CL0362</t>
  </si>
  <si>
    <t>V00796</t>
  </si>
  <si>
    <t>V00797</t>
  </si>
  <si>
    <t>V00798</t>
  </si>
  <si>
    <t>V00799</t>
  </si>
  <si>
    <t>Client 396</t>
  </si>
  <si>
    <t>V00800</t>
  </si>
  <si>
    <t>V00801</t>
  </si>
  <si>
    <t>CL0352</t>
  </si>
  <si>
    <t>V00802</t>
  </si>
  <si>
    <t>V00803</t>
  </si>
  <si>
    <t>V00804</t>
  </si>
  <si>
    <t>V00805</t>
  </si>
  <si>
    <t>V00806</t>
  </si>
  <si>
    <t>V00807</t>
  </si>
  <si>
    <t>V00808</t>
  </si>
  <si>
    <t>V00809</t>
  </si>
  <si>
    <t>V00810</t>
  </si>
  <si>
    <t>V00811</t>
  </si>
  <si>
    <t>V00812</t>
  </si>
  <si>
    <t>V00813</t>
  </si>
  <si>
    <t>Client 145</t>
  </si>
  <si>
    <t>V00814</t>
  </si>
  <si>
    <t>V00815</t>
  </si>
  <si>
    <t>Client 228</t>
  </si>
  <si>
    <t>V00816</t>
  </si>
  <si>
    <t>Client 361</t>
  </si>
  <si>
    <t>V00817</t>
  </si>
  <si>
    <t>CL0337</t>
  </si>
  <si>
    <t>V00818</t>
  </si>
  <si>
    <t>V00819</t>
  </si>
  <si>
    <t>CL0127</t>
  </si>
  <si>
    <t>V00820</t>
  </si>
  <si>
    <t>V00821</t>
  </si>
  <si>
    <t>Client 142</t>
  </si>
  <si>
    <t>V00822</t>
  </si>
  <si>
    <t>CL0053</t>
  </si>
  <si>
    <t>V00823</t>
  </si>
  <si>
    <t>V00824</t>
  </si>
  <si>
    <t>V00825</t>
  </si>
  <si>
    <t>V00826</t>
  </si>
  <si>
    <t>V00827</t>
  </si>
  <si>
    <t>Client 058</t>
  </si>
  <si>
    <t>V00828</t>
  </si>
  <si>
    <t>V00829</t>
  </si>
  <si>
    <t>V00830</t>
  </si>
  <si>
    <t>V00831</t>
  </si>
  <si>
    <t>V00832</t>
  </si>
  <si>
    <t>V00833</t>
  </si>
  <si>
    <t>V00834</t>
  </si>
  <si>
    <t>CL0473</t>
  </si>
  <si>
    <t>V00835</t>
  </si>
  <si>
    <t>Client 431</t>
  </si>
  <si>
    <t>V00836</t>
  </si>
  <si>
    <t>V00837</t>
  </si>
  <si>
    <t>V00838</t>
  </si>
  <si>
    <t>V00839</t>
  </si>
  <si>
    <t>V00840</t>
  </si>
  <si>
    <t>V00841</t>
  </si>
  <si>
    <t>V00842</t>
  </si>
  <si>
    <t>V00843</t>
  </si>
  <si>
    <t>V00844</t>
  </si>
  <si>
    <t>V00845</t>
  </si>
  <si>
    <t>Client 375</t>
  </si>
  <si>
    <t>V00846</t>
  </si>
  <si>
    <t>V00847</t>
  </si>
  <si>
    <t>V00848</t>
  </si>
  <si>
    <t>CL0249</t>
  </si>
  <si>
    <t>V00849</t>
  </si>
  <si>
    <t>V00850</t>
  </si>
  <si>
    <t>V00851</t>
  </si>
  <si>
    <t>V00852</t>
  </si>
  <si>
    <t>V00853</t>
  </si>
  <si>
    <t>Client 201</t>
  </si>
  <si>
    <t>V00854</t>
  </si>
  <si>
    <t>V00855</t>
  </si>
  <si>
    <t>Client 088</t>
  </si>
  <si>
    <t>V00856</t>
  </si>
  <si>
    <t>CL0410</t>
  </si>
  <si>
    <t>V00857</t>
  </si>
  <si>
    <t>V00858</t>
  </si>
  <si>
    <t>V00859</t>
  </si>
  <si>
    <t>CL0376</t>
  </si>
  <si>
    <t>V00860</t>
  </si>
  <si>
    <t>V00861</t>
  </si>
  <si>
    <t>V00862</t>
  </si>
  <si>
    <t>CL0021</t>
  </si>
  <si>
    <t>V00863</t>
  </si>
  <si>
    <t>V00864</t>
  </si>
  <si>
    <t>CL0049</t>
  </si>
  <si>
    <t>V00865</t>
  </si>
  <si>
    <t>V00866</t>
  </si>
  <si>
    <t>CL0251</t>
  </si>
  <si>
    <t>V00867</t>
  </si>
  <si>
    <t>CL0468</t>
  </si>
  <si>
    <t>Client 235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</si>
  <si>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</si>
  <si>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</si>
  <si>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</si>
  <si>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</si>
  <si>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</si>
  <si>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</si>
  <si>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</si>
  <si>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</si>
  <si>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</si>
  <si>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CL0361</t>
  </si>
  <si>
    <t>V00877</t>
  </si>
  <si>
    <t>Client 248</t>
  </si>
  <si>
    <t>V00878</t>
  </si>
  <si>
    <t>Client 483</t>
  </si>
  <si>
    <t>V00879</t>
  </si>
  <si>
    <t>V00880</t>
  </si>
  <si>
    <t>V00881</t>
  </si>
  <si>
    <t>CL0417</t>
  </si>
  <si>
    <t>V00882</t>
  </si>
  <si>
    <t>CL0129</t>
  </si>
  <si>
    <t>V00883</t>
  </si>
  <si>
    <t>V00884</t>
  </si>
  <si>
    <t>Client 056</t>
  </si>
  <si>
    <t>V00885</t>
  </si>
  <si>
    <t>V00886</t>
  </si>
  <si>
    <t>V00887</t>
  </si>
  <si>
    <t>V00888</t>
  </si>
  <si>
    <t>CL0009</t>
  </si>
  <si>
    <t>V00889</t>
  </si>
  <si>
    <t>V00890</t>
  </si>
  <si>
    <t>V00891</t>
  </si>
  <si>
    <t>V00892</t>
  </si>
  <si>
    <t>CL0495</t>
  </si>
  <si>
    <t>Client 295</t>
  </si>
  <si>
    <t>V00893</t>
  </si>
  <si>
    <t>V00894</t>
  </si>
  <si>
    <t>Client 176</t>
  </si>
  <si>
    <t>V00895</t>
  </si>
  <si>
    <t>V00896</t>
  </si>
  <si>
    <t>V00897</t>
  </si>
  <si>
    <t>V00898</t>
  </si>
  <si>
    <t>V00899</t>
  </si>
  <si>
    <t>V00900</t>
  </si>
  <si>
    <t>CL0125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</si>
  <si>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</si>
  <si>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</si>
  <si>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</si>
  <si>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</si>
  <si>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</si>
  <si>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</si>
  <si>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</si>
  <si>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</si>
  <si>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</si>
  <si>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</si>
  <si>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CL0482</t>
  </si>
  <si>
    <t>V00911</t>
  </si>
  <si>
    <t>CL0458</t>
  </si>
  <si>
    <t>V00912</t>
  </si>
  <si>
    <t>V00913</t>
  </si>
  <si>
    <t>V00914</t>
  </si>
  <si>
    <t>V00915</t>
  </si>
  <si>
    <t>Client 079</t>
  </si>
  <si>
    <t>V00916</t>
  </si>
  <si>
    <t>Client 256</t>
  </si>
  <si>
    <t>V00917</t>
  </si>
  <si>
    <t>V00918</t>
  </si>
  <si>
    <t>CL0389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</si>
  <si>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</si>
  <si>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</si>
  <si>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</si>
  <si>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</si>
  <si>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</si>
  <si>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</si>
  <si>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</si>
  <si>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</si>
  <si>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Client 225</t>
  </si>
  <si>
    <t>V00927</t>
  </si>
  <si>
    <t>V00928</t>
  </si>
  <si>
    <t>Client 306</t>
  </si>
  <si>
    <t>V00929</t>
  </si>
  <si>
    <t>V00930</t>
  </si>
  <si>
    <t>CL0236</t>
  </si>
  <si>
    <t>V00931</t>
  </si>
  <si>
    <t>V00932</t>
  </si>
  <si>
    <t>Client 003</t>
  </si>
  <si>
    <t>V00933</t>
  </si>
  <si>
    <t>V00934</t>
  </si>
  <si>
    <t>V00935</t>
  </si>
  <si>
    <t>V00936</t>
  </si>
  <si>
    <t>V00937</t>
  </si>
  <si>
    <t>CL0467</t>
  </si>
  <si>
    <t>V00938</t>
  </si>
  <si>
    <t>V00939</t>
  </si>
  <si>
    <t>V00940</t>
  </si>
  <si>
    <t>V00941</t>
  </si>
  <si>
    <t>V00942</t>
  </si>
  <si>
    <t>CL0386</t>
  </si>
  <si>
    <t>V00943</t>
  </si>
  <si>
    <t>Client 251</t>
  </si>
  <si>
    <t>V00944</t>
  </si>
  <si>
    <t>CL0261</t>
  </si>
  <si>
    <t>V00945</t>
  </si>
  <si>
    <t>V00946</t>
  </si>
  <si>
    <t>V00947</t>
  </si>
  <si>
    <t>CL0378</t>
  </si>
  <si>
    <t>V00948</t>
  </si>
  <si>
    <t>V00949</t>
  </si>
  <si>
    <t>V00950</t>
  </si>
  <si>
    <t>CL0384</t>
  </si>
  <si>
    <t>V00951</t>
  </si>
  <si>
    <t>Client 443</t>
  </si>
  <si>
    <t>V00952</t>
  </si>
  <si>
    <t>V00953</t>
  </si>
  <si>
    <t>V00954</t>
  </si>
  <si>
    <t>Client 298</t>
  </si>
  <si>
    <t>V00955</t>
  </si>
  <si>
    <t>V00956</t>
  </si>
  <si>
    <t>V00957</t>
  </si>
  <si>
    <t>CL0248</t>
  </si>
  <si>
    <t>V00958</t>
  </si>
  <si>
    <t>V00959</t>
  </si>
  <si>
    <t>CL0150</t>
  </si>
  <si>
    <t>V00960</t>
  </si>
  <si>
    <t>V00961</t>
  </si>
  <si>
    <t>V00962</t>
  </si>
  <si>
    <t>V00963</t>
  </si>
  <si>
    <t>CL0108</t>
  </si>
  <si>
    <t>V00964</t>
  </si>
  <si>
    <t>V00965</t>
  </si>
  <si>
    <t>CL0472</t>
  </si>
  <si>
    <t>V00966</t>
  </si>
  <si>
    <t>V00967</t>
  </si>
  <si>
    <t>V00968</t>
  </si>
  <si>
    <t>CL0397</t>
  </si>
  <si>
    <t>V00969</t>
  </si>
  <si>
    <t>V00970</t>
  </si>
  <si>
    <t>V00971</t>
  </si>
  <si>
    <t>V00972</t>
  </si>
  <si>
    <t>V00973</t>
  </si>
  <si>
    <t>V00974</t>
  </si>
  <si>
    <t>V00975</t>
  </si>
  <si>
    <t>V00976</t>
  </si>
  <si>
    <t>V00977</t>
  </si>
  <si>
    <t>Client 250</t>
  </si>
  <si>
    <t>V00978</t>
  </si>
  <si>
    <t>Client 294</t>
  </si>
  <si>
    <t>V00979</t>
  </si>
  <si>
    <t>Client 328</t>
  </si>
  <si>
    <t>V00980</t>
  </si>
  <si>
    <t>V00981</t>
  </si>
  <si>
    <t>V00982</t>
  </si>
  <si>
    <t>V00983</t>
  </si>
  <si>
    <t>Client 461</t>
  </si>
  <si>
    <t>V00984</t>
  </si>
  <si>
    <t>V00985</t>
  </si>
  <si>
    <t>V00986</t>
  </si>
  <si>
    <t>V00987</t>
  </si>
  <si>
    <t>V00988</t>
  </si>
  <si>
    <t>V00989</t>
  </si>
  <si>
    <t>V00990</t>
  </si>
  <si>
    <t>Client 059</t>
  </si>
  <si>
    <t>V00991</t>
  </si>
  <si>
    <t>Client 441</t>
  </si>
  <si>
    <t>V00992</t>
  </si>
  <si>
    <t>V00993</t>
  </si>
  <si>
    <t>CL0484</t>
  </si>
  <si>
    <t>Client 021</t>
  </si>
  <si>
    <t>V00994</t>
  </si>
  <si>
    <t>V00995</t>
  </si>
  <si>
    <t>V00996</t>
  </si>
  <si>
    <t>V00997</t>
  </si>
  <si>
    <t>CL0250</t>
  </si>
  <si>
    <t>V00998</t>
  </si>
  <si>
    <t>V00999</t>
  </si>
  <si>
    <t>V01000</t>
  </si>
  <si>
    <t>Client 166</t>
  </si>
  <si>
    <t>V01001</t>
  </si>
  <si>
    <t>V01002</t>
  </si>
  <si>
    <t>V01003</t>
  </si>
  <si>
    <t>V01004</t>
  </si>
  <si>
    <t>V01005</t>
  </si>
  <si>
    <t>Client 283</t>
  </si>
  <si>
    <t>V01006</t>
  </si>
  <si>
    <t>V01007</t>
  </si>
  <si>
    <t>V01008</t>
  </si>
  <si>
    <t>V01009</t>
  </si>
  <si>
    <t>Client 471</t>
  </si>
  <si>
    <t>V01010</t>
  </si>
  <si>
    <t>V01011</t>
  </si>
  <si>
    <t>V01012</t>
  </si>
  <si>
    <t>V01013</t>
  </si>
  <si>
    <t>V01014</t>
  </si>
  <si>
    <t>V01015</t>
  </si>
  <si>
    <t>Client 052</t>
  </si>
  <si>
    <t>V01016</t>
  </si>
  <si>
    <t>Client 104</t>
  </si>
  <si>
    <t>V01017</t>
  </si>
  <si>
    <t>V01018</t>
  </si>
  <si>
    <t>V01019</t>
  </si>
  <si>
    <t>V01020</t>
  </si>
  <si>
    <t>V01021</t>
  </si>
  <si>
    <t>V01022</t>
  </si>
  <si>
    <t>V01023</t>
  </si>
  <si>
    <t>V01024</t>
  </si>
  <si>
    <t>V01025</t>
  </si>
  <si>
    <t>V01026</t>
  </si>
  <si>
    <t>V01027</t>
  </si>
  <si>
    <t>CL0245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</si>
  <si>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</si>
  <si>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</si>
  <si>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</si>
  <si>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</si>
  <si>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</si>
  <si>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</si>
  <si>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</si>
  <si>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</si>
  <si>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</si>
  <si>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</si>
  <si>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</si>
  <si>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</si>
  <si>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</si>
  <si>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Client 236</t>
  </si>
  <si>
    <t>V01041</t>
  </si>
  <si>
    <t>V01042</t>
  </si>
  <si>
    <t>V01043</t>
  </si>
  <si>
    <t>V01044</t>
  </si>
  <si>
    <t>CL0200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</si>
  <si>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</si>
  <si>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</si>
  <si>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</si>
  <si>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</si>
  <si>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</si>
  <si>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</si>
  <si>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</si>
  <si>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</si>
  <si>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</si>
  <si>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Client 090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</si>
  <si>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</si>
  <si>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</si>
  <si>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</si>
  <si>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</si>
  <si>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</si>
  <si>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</si>
  <si>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</si>
  <si>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</si>
  <si>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V01062</t>
  </si>
  <si>
    <t>V01063</t>
  </si>
  <si>
    <t>Client 097</t>
  </si>
  <si>
    <t>V01064</t>
  </si>
  <si>
    <t>V01065</t>
  </si>
  <si>
    <t>CL0452</t>
  </si>
  <si>
    <t>Client 472</t>
  </si>
  <si>
    <t>V01066</t>
  </si>
  <si>
    <t>V01067</t>
  </si>
  <si>
    <t>V01068</t>
  </si>
  <si>
    <t>Client 358</t>
  </si>
  <si>
    <t>V01069</t>
  </si>
  <si>
    <t>V01070</t>
  </si>
  <si>
    <t>V01071</t>
  </si>
  <si>
    <t>V01072</t>
  </si>
  <si>
    <t>CL0285</t>
  </si>
  <si>
    <t>V01073</t>
  </si>
  <si>
    <t>V01074</t>
  </si>
  <si>
    <t>CL0499</t>
  </si>
  <si>
    <t>V01075</t>
  </si>
  <si>
    <t>V01076</t>
  </si>
  <si>
    <t>V01077</t>
  </si>
  <si>
    <t>V01078</t>
  </si>
  <si>
    <t>V01079</t>
  </si>
  <si>
    <t>V01080</t>
  </si>
  <si>
    <t>CL0447</t>
  </si>
  <si>
    <t>V01081</t>
  </si>
  <si>
    <t>V01082</t>
  </si>
  <si>
    <t>CL0326</t>
  </si>
  <si>
    <t>V01083</t>
  </si>
  <si>
    <t>V01084</t>
  </si>
  <si>
    <t>V01085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</si>
  <si>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</si>
  <si>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</si>
  <si>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</si>
  <si>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</si>
  <si>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</si>
  <si>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</si>
  <si>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</si>
  <si>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</si>
  <si>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Client 403</t>
  </si>
  <si>
    <t>V01094</t>
  </si>
  <si>
    <t>V01095</t>
  </si>
  <si>
    <t>V01096</t>
  </si>
  <si>
    <t>V01097</t>
  </si>
  <si>
    <t>V01098</t>
  </si>
  <si>
    <t>V01099</t>
  </si>
  <si>
    <t>V01100</t>
  </si>
  <si>
    <t>V01101</t>
  </si>
  <si>
    <t>V01102</t>
  </si>
  <si>
    <t>Client 316</t>
  </si>
  <si>
    <t>V01103</t>
  </si>
  <si>
    <t>V01104</t>
  </si>
  <si>
    <t>V01105</t>
  </si>
  <si>
    <t>V01106</t>
  </si>
  <si>
    <t>V01107</t>
  </si>
  <si>
    <t>V01108</t>
  </si>
  <si>
    <t>V01109</t>
  </si>
  <si>
    <t>V01110</t>
  </si>
  <si>
    <t>CL0407</t>
  </si>
  <si>
    <t>V01111</t>
  </si>
  <si>
    <t>V01112</t>
  </si>
  <si>
    <t>V01113</t>
  </si>
  <si>
    <t>CL0100</t>
  </si>
  <si>
    <t>LIVRAISON</t>
  </si>
  <si>
    <t>V01114</t>
  </si>
  <si>
    <t>V01115</t>
  </si>
  <si>
    <t>V01116</t>
  </si>
  <si>
    <t>CL0427</t>
  </si>
  <si>
    <t>V01117</t>
  </si>
  <si>
    <t>V01118</t>
  </si>
  <si>
    <t>V01119</t>
  </si>
  <si>
    <t>V01120</t>
  </si>
  <si>
    <t>V01121</t>
  </si>
  <si>
    <t>V01122</t>
  </si>
  <si>
    <t>V01123</t>
  </si>
  <si>
    <t>CL0237</t>
  </si>
  <si>
    <t>V01124</t>
  </si>
  <si>
    <t>CL0424</t>
  </si>
  <si>
    <t>V01125</t>
  </si>
  <si>
    <t>V01126</t>
  </si>
  <si>
    <t>Client 408</t>
  </si>
  <si>
    <t>V01127</t>
  </si>
  <si>
    <t>V01128</t>
  </si>
  <si>
    <t>V01129</t>
  </si>
  <si>
    <t>V01130</t>
  </si>
  <si>
    <t>V01131</t>
  </si>
  <si>
    <t>V01132</t>
  </si>
  <si>
    <t>V01133</t>
  </si>
  <si>
    <t>V01134</t>
  </si>
  <si>
    <t>V01135</t>
  </si>
  <si>
    <t>V01136</t>
  </si>
  <si>
    <t>Client 173</t>
  </si>
  <si>
    <t>V01137</t>
  </si>
  <si>
    <t>V01138</t>
  </si>
  <si>
    <t>V01139</t>
  </si>
  <si>
    <t>V01140</t>
  </si>
  <si>
    <t>Client 360</t>
  </si>
  <si>
    <t>V01141</t>
  </si>
  <si>
    <t>V01142</t>
  </si>
  <si>
    <t>V01143</t>
  </si>
  <si>
    <t>CL0481</t>
  </si>
  <si>
    <t>V01144</t>
  </si>
  <si>
    <t>V01145</t>
  </si>
  <si>
    <t>Client 371</t>
  </si>
  <si>
    <t>V01146</t>
  </si>
  <si>
    <t>V01147</t>
  </si>
  <si>
    <t>V01148</t>
  </si>
  <si>
    <t>V01149</t>
  </si>
  <si>
    <t>CL0124</t>
  </si>
  <si>
    <t>Client 070</t>
  </si>
  <si>
    <t>V01150</t>
  </si>
  <si>
    <t>CL0175</t>
  </si>
  <si>
    <t>V01151</t>
  </si>
  <si>
    <t>V01152</t>
  </si>
  <si>
    <t>V01153</t>
  </si>
  <si>
    <t>V01154</t>
  </si>
  <si>
    <t>V01155</t>
  </si>
  <si>
    <t>CL0061</t>
  </si>
  <si>
    <t>V01156</t>
  </si>
  <si>
    <t>V01157</t>
  </si>
  <si>
    <t>V01158</t>
  </si>
  <si>
    <t>V01159</t>
  </si>
  <si>
    <t>V01160</t>
  </si>
  <si>
    <t>V01161</t>
  </si>
  <si>
    <t>Client 257</t>
  </si>
  <si>
    <t>V01162</t>
  </si>
  <si>
    <t>Client 335</t>
  </si>
  <si>
    <t>V01163</t>
  </si>
  <si>
    <t>V01164</t>
  </si>
  <si>
    <t>V01165</t>
  </si>
  <si>
    <t>CL0062</t>
  </si>
  <si>
    <t>V01166</t>
  </si>
  <si>
    <t>V01167</t>
  </si>
  <si>
    <t>V01168</t>
  </si>
  <si>
    <t>V01169</t>
  </si>
  <si>
    <t>V01170</t>
  </si>
  <si>
    <t>V01171</t>
  </si>
  <si>
    <t>CL0117</t>
  </si>
  <si>
    <t>V01172</t>
  </si>
  <si>
    <t>V01173</t>
  </si>
  <si>
    <t>V01174</t>
  </si>
  <si>
    <t>CL0413</t>
  </si>
  <si>
    <t>V01175</t>
  </si>
  <si>
    <t>V01176</t>
  </si>
  <si>
    <t>V01177</t>
  </si>
  <si>
    <t>Client 009</t>
  </si>
  <si>
    <t>V01178</t>
  </si>
  <si>
    <t>V01179</t>
  </si>
  <si>
    <t>V01180</t>
  </si>
  <si>
    <t>V01181</t>
  </si>
  <si>
    <t>V01182</t>
  </si>
  <si>
    <t>V01183</t>
  </si>
  <si>
    <t>V01184</t>
  </si>
  <si>
    <t>V01185</t>
  </si>
  <si>
    <t>CL0155</t>
  </si>
  <si>
    <t>V01186</t>
  </si>
  <si>
    <t>V01187</t>
  </si>
  <si>
    <t>V01188</t>
  </si>
  <si>
    <t>V01189</t>
  </si>
  <si>
    <t>V01190</t>
  </si>
  <si>
    <t>V01191</t>
  </si>
  <si>
    <t>V01192</t>
  </si>
  <si>
    <t>V01193</t>
  </si>
  <si>
    <t>V01194</t>
  </si>
  <si>
    <t>V01195</t>
  </si>
  <si>
    <t>V01196</t>
  </si>
  <si>
    <t>V01197</t>
  </si>
  <si>
    <t>Client 451</t>
  </si>
  <si>
    <t>V01198</t>
  </si>
  <si>
    <t>V01199</t>
  </si>
  <si>
    <t>CL0224</t>
  </si>
  <si>
    <t>V01200</t>
  </si>
  <si>
    <t>V01201</t>
  </si>
  <si>
    <t>V01202</t>
  </si>
  <si>
    <t>V01203</t>
  </si>
  <si>
    <t>V01204</t>
  </si>
  <si>
    <t>V01205</t>
  </si>
  <si>
    <t>Client 289</t>
  </si>
  <si>
    <t>V01206</t>
  </si>
  <si>
    <t>V01207</t>
  </si>
  <si>
    <t>V01208</t>
  </si>
  <si>
    <t>V01209</t>
  </si>
  <si>
    <t>V01210</t>
  </si>
  <si>
    <t>V01211</t>
  </si>
  <si>
    <t>V01212</t>
  </si>
  <si>
    <t>V01213</t>
  </si>
  <si>
    <t>V01214</t>
  </si>
  <si>
    <t>V01215</t>
  </si>
  <si>
    <t>V01216</t>
  </si>
  <si>
    <t>V01217</t>
  </si>
  <si>
    <t>V01218</t>
  </si>
  <si>
    <t>V01219</t>
  </si>
  <si>
    <t>V01220</t>
  </si>
  <si>
    <t>V01221</t>
  </si>
  <si>
    <t>V01222</t>
  </si>
  <si>
    <t>V01223</t>
  </si>
  <si>
    <t>V01224</t>
  </si>
  <si>
    <t>V01225</t>
  </si>
  <si>
    <t>CL0365</t>
  </si>
  <si>
    <t>V01226</t>
  </si>
  <si>
    <t>V01227</t>
  </si>
  <si>
    <t>V01228</t>
  </si>
  <si>
    <t>V01229</t>
  </si>
  <si>
    <t>V01230</t>
  </si>
  <si>
    <t>V01231</t>
  </si>
  <si>
    <t>V01232</t>
  </si>
  <si>
    <t>Client 271</t>
  </si>
  <si>
    <t>V01233</t>
  </si>
  <si>
    <t>V01234</t>
  </si>
  <si>
    <t>V01235</t>
  </si>
  <si>
    <t>V01236</t>
  </si>
  <si>
    <t>CL0197</t>
  </si>
  <si>
    <t>V01237</t>
  </si>
  <si>
    <t>V01238</t>
  </si>
  <si>
    <t>V01239</t>
  </si>
  <si>
    <t>V01240</t>
  </si>
  <si>
    <t>Client 381</t>
  </si>
  <si>
    <t>V01241</t>
  </si>
  <si>
    <t>V01242</t>
  </si>
  <si>
    <t>V01243</t>
  </si>
  <si>
    <t>V01244</t>
  </si>
  <si>
    <t>V01245</t>
  </si>
  <si>
    <t>V01246</t>
  </si>
  <si>
    <t>V01247</t>
  </si>
  <si>
    <t>V01248</t>
  </si>
  <si>
    <t>V01249</t>
  </si>
  <si>
    <t>CL0194</t>
  </si>
  <si>
    <t>V01250</t>
  </si>
  <si>
    <t>V01251</t>
  </si>
  <si>
    <t>CL0255</t>
  </si>
  <si>
    <t>V01252</t>
  </si>
  <si>
    <t>V01253</t>
  </si>
  <si>
    <t>V01254</t>
  </si>
  <si>
    <t>V01255</t>
  </si>
  <si>
    <t>V01256</t>
  </si>
  <si>
    <t>V01257</t>
  </si>
  <si>
    <t>V01258</t>
  </si>
  <si>
    <t>V01259</t>
  </si>
  <si>
    <t>Client 385</t>
  </si>
  <si>
    <t>V01260</t>
  </si>
  <si>
    <t>V01261</t>
  </si>
  <si>
    <t>V01262</t>
  </si>
  <si>
    <t>V01263</t>
  </si>
  <si>
    <t>V01264</t>
  </si>
  <si>
    <t>V01265</t>
  </si>
  <si>
    <t>V01266</t>
  </si>
  <si>
    <t>V01267</t>
  </si>
  <si>
    <t>V01268</t>
  </si>
  <si>
    <t>V01269</t>
  </si>
  <si>
    <t>V01270</t>
  </si>
  <si>
    <t>V01271</t>
  </si>
  <si>
    <t>V01272</t>
  </si>
  <si>
    <t>V01273</t>
  </si>
  <si>
    <t>V01274</t>
  </si>
  <si>
    <t>V01275</t>
  </si>
  <si>
    <t>V01276</t>
  </si>
  <si>
    <t>V01277</t>
  </si>
  <si>
    <t>V01278</t>
  </si>
  <si>
    <t>V01279</t>
  </si>
  <si>
    <t>V01280</t>
  </si>
  <si>
    <t>V01281</t>
  </si>
  <si>
    <t>V01282</t>
  </si>
  <si>
    <t>V01283</t>
  </si>
  <si>
    <t>CL0278</t>
  </si>
  <si>
    <t>V01284</t>
  </si>
  <si>
    <t>V01285</t>
  </si>
  <si>
    <t>Client 184</t>
  </si>
  <si>
    <t>V01286</t>
  </si>
  <si>
    <t>V01287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</si>
  <si>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</si>
  <si>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</si>
  <si>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</si>
  <si>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</si>
  <si>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</si>
  <si>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</si>
  <si>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</si>
  <si>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</si>
  <si>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</si>
  <si>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</si>
  <si>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</si>
  <si>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</si>
  <si>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</si>
  <si>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</si>
  <si>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</si>
  <si>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V01303</t>
  </si>
  <si>
    <t>V01304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</si>
  <si>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</si>
  <si>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</si>
  <si>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</si>
  <si>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</si>
  <si>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</si>
  <si>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</si>
  <si>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</si>
  <si>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</si>
  <si>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</si>
  <si>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CL0426</t>
  </si>
  <si>
    <t>V01314</t>
  </si>
  <si>
    <t>V01315</t>
  </si>
  <si>
    <t>Client 197</t>
  </si>
  <si>
    <t>V01316</t>
  </si>
  <si>
    <t>V01317</t>
  </si>
  <si>
    <t>V01318</t>
  </si>
  <si>
    <t>V01319</t>
  </si>
  <si>
    <t>V01320</t>
  </si>
  <si>
    <t>V01321</t>
  </si>
  <si>
    <t>V01322</t>
  </si>
  <si>
    <t>V01323</t>
  </si>
  <si>
    <t>V01324</t>
  </si>
  <si>
    <t>V01325</t>
  </si>
  <si>
    <t>V01326</t>
  </si>
  <si>
    <t>V01327</t>
  </si>
  <si>
    <t>V01328</t>
  </si>
  <si>
    <t>V01329</t>
  </si>
  <si>
    <t>V01330</t>
  </si>
  <si>
    <t>V01331</t>
  </si>
  <si>
    <t>V01332</t>
  </si>
  <si>
    <t>V01333</t>
  </si>
  <si>
    <t>V01334</t>
  </si>
  <si>
    <t>V01335</t>
  </si>
  <si>
    <t>V01336</t>
  </si>
  <si>
    <t>V01337</t>
  </si>
  <si>
    <t>CL0002</t>
  </si>
  <si>
    <t>V01338</t>
  </si>
  <si>
    <t>V01339</t>
  </si>
  <si>
    <t>V01340</t>
  </si>
  <si>
    <t>V01341</t>
  </si>
  <si>
    <t>V01342</t>
  </si>
  <si>
    <t>CL0131</t>
  </si>
  <si>
    <t>V01343</t>
  </si>
  <si>
    <t>V01344</t>
  </si>
  <si>
    <t>Client 327</t>
  </si>
  <si>
    <t>V01345</t>
  </si>
  <si>
    <t>V01346</t>
  </si>
  <si>
    <t>V01347</t>
  </si>
  <si>
    <t>V01348</t>
  </si>
  <si>
    <t>CL0041</t>
  </si>
  <si>
    <t>V01349</t>
  </si>
  <si>
    <t>CL0069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</si>
  <si>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</si>
  <si>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</si>
  <si>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</si>
  <si>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</si>
  <si>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</si>
  <si>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</si>
  <si>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</si>
  <si>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</si>
  <si>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</si>
  <si>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</si>
  <si>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</si>
  <si>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</si>
  <si>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</si>
  <si>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</si>
  <si>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</si>
  <si>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</si>
  <si>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</si>
  <si>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</si>
  <si>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</si>
  <si>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</si>
  <si>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</si>
  <si>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</si>
  <si>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</si>
  <si>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</si>
  <si>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</si>
  <si>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</si>
  <si>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</si>
  <si>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</si>
  <si>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</si>
  <si>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</si>
  <si>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</si>
  <si>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</si>
  <si>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</si>
  <si>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</si>
  <si>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Client 041</t>
  </si>
  <si>
    <t>V01384</t>
  </si>
  <si>
    <t>V01385</t>
  </si>
  <si>
    <t>V01386</t>
  </si>
  <si>
    <t>V01387</t>
  </si>
  <si>
    <t>CL0450</t>
  </si>
  <si>
    <t>V01388</t>
  </si>
  <si>
    <t>V01389</t>
  </si>
  <si>
    <t>V01390</t>
  </si>
  <si>
    <t>V01391</t>
  </si>
  <si>
    <t>V01392</t>
  </si>
  <si>
    <t>V01393</t>
  </si>
  <si>
    <t>V01394</t>
  </si>
  <si>
    <t>V01395</t>
  </si>
  <si>
    <t>V01396</t>
  </si>
  <si>
    <t>V01397</t>
  </si>
  <si>
    <t>V01398</t>
  </si>
  <si>
    <t>V01399</t>
  </si>
  <si>
    <t>V01400</t>
  </si>
  <si>
    <t>V01401</t>
  </si>
  <si>
    <t>V01402</t>
  </si>
  <si>
    <t>V01403</t>
  </si>
  <si>
    <t>V01404</t>
  </si>
  <si>
    <t>V01405</t>
  </si>
  <si>
    <t>CL0055</t>
  </si>
  <si>
    <t>V01406</t>
  </si>
  <si>
    <t>V01407</t>
  </si>
  <si>
    <t>V01408</t>
  </si>
  <si>
    <t>V01409</t>
  </si>
  <si>
    <t>V01410</t>
  </si>
  <si>
    <t>V01411</t>
  </si>
  <si>
    <t>V01412</t>
  </si>
  <si>
    <t>V01413</t>
  </si>
  <si>
    <t>V01414</t>
  </si>
  <si>
    <t>V01415</t>
  </si>
  <si>
    <t>V01416</t>
  </si>
  <si>
    <t>V01417</t>
  </si>
  <si>
    <t>Client 488</t>
  </si>
  <si>
    <t>V01418</t>
  </si>
  <si>
    <t>V01419</t>
  </si>
  <si>
    <t>V01420</t>
  </si>
  <si>
    <t>V01421</t>
  </si>
  <si>
    <t>V01422</t>
  </si>
  <si>
    <t>V01423</t>
  </si>
  <si>
    <t>V01424</t>
  </si>
  <si>
    <t>V01425</t>
  </si>
  <si>
    <t>V01426</t>
  </si>
  <si>
    <t>V01427</t>
  </si>
  <si>
    <t>V01428</t>
  </si>
  <si>
    <t>V01429</t>
  </si>
  <si>
    <t>V01430</t>
  </si>
  <si>
    <t>CL0283</t>
  </si>
  <si>
    <t>V01431</t>
  </si>
  <si>
    <t>CL0011</t>
  </si>
  <si>
    <t>V01432</t>
  </si>
  <si>
    <t>Client 002</t>
  </si>
  <si>
    <t>V01433</t>
  </si>
  <si>
    <t>V01434</t>
  </si>
  <si>
    <t>V01435</t>
  </si>
  <si>
    <t>V01436</t>
  </si>
  <si>
    <t>V01437</t>
  </si>
  <si>
    <t>CL0490</t>
  </si>
  <si>
    <t>V01438</t>
  </si>
  <si>
    <t>V01439</t>
  </si>
  <si>
    <t>Client 107</t>
  </si>
  <si>
    <t>V01440</t>
  </si>
  <si>
    <t>CL0086</t>
  </si>
  <si>
    <t>V01441</t>
  </si>
  <si>
    <t>V01442</t>
  </si>
  <si>
    <t>V01443</t>
  </si>
  <si>
    <t>V01444</t>
  </si>
  <si>
    <t>V01445</t>
  </si>
  <si>
    <t>Client 357</t>
  </si>
  <si>
    <t>V01446</t>
  </si>
  <si>
    <t>V01447</t>
  </si>
  <si>
    <t>V01448</t>
  </si>
  <si>
    <t>V01449</t>
  </si>
  <si>
    <t>V01450</t>
  </si>
  <si>
    <t>CL0419</t>
  </si>
  <si>
    <t>V01451</t>
  </si>
  <si>
    <t>V01452</t>
  </si>
  <si>
    <t>V01453</t>
  </si>
  <si>
    <t>Client 219</t>
  </si>
  <si>
    <t>V01454</t>
  </si>
  <si>
    <t>V01455</t>
  </si>
  <si>
    <t>V01456</t>
  </si>
  <si>
    <t>V01457</t>
  </si>
  <si>
    <t>CL0144</t>
  </si>
  <si>
    <t>V01458</t>
  </si>
  <si>
    <t>V01459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</si>
  <si>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</si>
  <si>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</si>
  <si>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</si>
  <si>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</si>
  <si>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</si>
  <si>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</si>
  <si>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</si>
  <si>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</si>
  <si>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</si>
  <si>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</si>
  <si>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</si>
  <si>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</si>
  <si>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</si>
  <si>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</si>
  <si>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</si>
  <si>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</si>
  <si>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</si>
  <si>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</si>
  <si>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</si>
  <si>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</si>
  <si>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CL0263</t>
  </si>
  <si>
    <t>V01480</t>
  </si>
  <si>
    <t>V01481</t>
  </si>
  <si>
    <t>V01482</t>
  </si>
  <si>
    <t>V01483</t>
  </si>
  <si>
    <t>V01484</t>
  </si>
  <si>
    <t>Client 063</t>
  </si>
  <si>
    <t>V01485</t>
  </si>
  <si>
    <t>V01486</t>
  </si>
  <si>
    <t>CL0024</t>
  </si>
  <si>
    <t>V01487</t>
  </si>
  <si>
    <t>V01488</t>
  </si>
  <si>
    <t>V01489</t>
  </si>
  <si>
    <t>V01490</t>
  </si>
  <si>
    <t>CL0462</t>
  </si>
  <si>
    <t>V01491</t>
  </si>
  <si>
    <t>V01492</t>
  </si>
  <si>
    <t>V01493</t>
  </si>
  <si>
    <t>V01494</t>
  </si>
  <si>
    <t>V01495</t>
  </si>
  <si>
    <t>CL0182</t>
  </si>
  <si>
    <t>V01496</t>
  </si>
  <si>
    <t>V01497</t>
  </si>
  <si>
    <t>CL0029</t>
  </si>
  <si>
    <t>V01498</t>
  </si>
  <si>
    <t>V01499</t>
  </si>
  <si>
    <t>V01500</t>
  </si>
  <si>
    <t>V01501</t>
  </si>
  <si>
    <t>Client 498</t>
  </si>
  <si>
    <t>V01502</t>
  </si>
  <si>
    <t>V01503</t>
  </si>
  <si>
    <t>V01504</t>
  </si>
  <si>
    <t>V01505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</si>
  <si>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</si>
  <si>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</si>
  <si>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</si>
  <si>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</si>
  <si>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</si>
  <si>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</si>
  <si>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</si>
  <si>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</si>
  <si>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</si>
  <si>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</si>
  <si>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</si>
  <si>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</si>
  <si>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</si>
  <si>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Client 442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</si>
  <si>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</si>
  <si>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</si>
  <si>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</si>
  <si>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</si>
  <si>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</si>
  <si>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</si>
  <si>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</si>
  <si>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</si>
  <si>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V01527</t>
  </si>
  <si>
    <t>CL0477</t>
  </si>
  <si>
    <t>V01528</t>
  </si>
  <si>
    <t>V01529</t>
  </si>
  <si>
    <t>V01530</t>
  </si>
  <si>
    <t>CL0328</t>
  </si>
  <si>
    <t>V01531</t>
  </si>
  <si>
    <t>V01532</t>
  </si>
  <si>
    <t>V01533</t>
  </si>
  <si>
    <t>V01534</t>
  </si>
  <si>
    <t>V01535</t>
  </si>
  <si>
    <t>V01536</t>
  </si>
  <si>
    <t>V01537</t>
  </si>
  <si>
    <t>V01538</t>
  </si>
  <si>
    <t>V01539</t>
  </si>
  <si>
    <t>CL0305</t>
  </si>
  <si>
    <t>V01540</t>
  </si>
  <si>
    <t>V01541</t>
  </si>
  <si>
    <t>V01542</t>
  </si>
  <si>
    <t>V01543</t>
  </si>
  <si>
    <t>V01544</t>
  </si>
  <si>
    <t>V01545</t>
  </si>
  <si>
    <t>V01546</t>
  </si>
  <si>
    <t>V01547</t>
  </si>
  <si>
    <t>V01548</t>
  </si>
  <si>
    <t>V01549</t>
  </si>
  <si>
    <t>V01550</t>
  </si>
  <si>
    <t>V01551</t>
  </si>
  <si>
    <t>V01552</t>
  </si>
  <si>
    <t>V01553</t>
  </si>
  <si>
    <t>CL0395</t>
  </si>
  <si>
    <t>Client 092</t>
  </si>
  <si>
    <t>V01554</t>
  </si>
  <si>
    <t>V01555</t>
  </si>
  <si>
    <t>V01556</t>
  </si>
  <si>
    <t>V01557</t>
  </si>
  <si>
    <t>V01558</t>
  </si>
  <si>
    <t>V01559</t>
  </si>
  <si>
    <t>V01560</t>
  </si>
  <si>
    <t>V01561</t>
  </si>
  <si>
    <t>CL0136</t>
  </si>
  <si>
    <t>V01562</t>
  </si>
  <si>
    <t>V01563</t>
  </si>
  <si>
    <t>V01564</t>
  </si>
  <si>
    <t>V01565</t>
  </si>
  <si>
    <t>Client 496</t>
  </si>
  <si>
    <t>V01566</t>
  </si>
  <si>
    <t>V01567</t>
  </si>
  <si>
    <t>V01568</t>
  </si>
  <si>
    <t>V01569</t>
  </si>
  <si>
    <t>V01570</t>
  </si>
  <si>
    <t>V01571</t>
  </si>
  <si>
    <t>V01572</t>
  </si>
  <si>
    <t>V01573</t>
  </si>
  <si>
    <t>V01574</t>
  </si>
  <si>
    <t>V01575</t>
  </si>
  <si>
    <t>V01576</t>
  </si>
  <si>
    <t>V01577</t>
  </si>
  <si>
    <t>V01578</t>
  </si>
  <si>
    <t>V01579</t>
  </si>
  <si>
    <t>V01580</t>
  </si>
  <si>
    <t>V01581</t>
  </si>
  <si>
    <t>V01582</t>
  </si>
  <si>
    <t>V01583</t>
  </si>
  <si>
    <t>V01584</t>
  </si>
  <si>
    <t>V01585</t>
  </si>
  <si>
    <t>V01586</t>
  </si>
  <si>
    <t>V01587</t>
  </si>
  <si>
    <t>V01588</t>
  </si>
  <si>
    <t>V01589</t>
  </si>
  <si>
    <t>V01590</t>
  </si>
  <si>
    <t>V01591</t>
  </si>
  <si>
    <t>V01592</t>
  </si>
  <si>
    <t>V01593</t>
  </si>
  <si>
    <t>V01594</t>
  </si>
  <si>
    <t>V01595</t>
  </si>
  <si>
    <t>CL0230</t>
  </si>
  <si>
    <t>V01596</t>
  </si>
  <si>
    <t>CL0148</t>
  </si>
  <si>
    <t>V01597</t>
  </si>
  <si>
    <t>V01598</t>
  </si>
  <si>
    <t>Client 152</t>
  </si>
  <si>
    <t>V01599</t>
  </si>
  <si>
    <t>CL0090</t>
  </si>
  <si>
    <t>V01600</t>
  </si>
  <si>
    <t>V01601</t>
  </si>
  <si>
    <t>V01602</t>
  </si>
  <si>
    <t>Client 223</t>
  </si>
  <si>
    <t>V01603</t>
  </si>
  <si>
    <t>V01604</t>
  </si>
  <si>
    <t>V01605</t>
  </si>
  <si>
    <t>V01606</t>
  </si>
  <si>
    <t>V01607</t>
  </si>
  <si>
    <t>V01608</t>
  </si>
  <si>
    <t>V01609</t>
  </si>
  <si>
    <t>Client 035</t>
  </si>
  <si>
    <t>V01610</t>
  </si>
  <si>
    <t>V01611</t>
  </si>
  <si>
    <t>V01612</t>
  </si>
  <si>
    <t>V01613</t>
  </si>
  <si>
    <t>V01614</t>
  </si>
  <si>
    <t>V01615</t>
  </si>
  <si>
    <t>V01616</t>
  </si>
  <si>
    <t>V01617</t>
  </si>
  <si>
    <t>V01618</t>
  </si>
  <si>
    <t>V01619</t>
  </si>
  <si>
    <t>V01620</t>
  </si>
  <si>
    <t>V01621</t>
  </si>
  <si>
    <t>Client 199</t>
  </si>
  <si>
    <t>V01622</t>
  </si>
  <si>
    <t>V01623</t>
  </si>
  <si>
    <t>V01624</t>
  </si>
  <si>
    <t>V01625</t>
  </si>
  <si>
    <t>V01626</t>
  </si>
  <si>
    <t>V01627</t>
  </si>
  <si>
    <t>V01628</t>
  </si>
  <si>
    <t>V01629</t>
  </si>
  <si>
    <t>V01630</t>
  </si>
  <si>
    <t>V01631</t>
  </si>
  <si>
    <t>V01632</t>
  </si>
  <si>
    <t>V01633</t>
  </si>
  <si>
    <t>V01634</t>
  </si>
  <si>
    <t>V01635</t>
  </si>
  <si>
    <t>V01636</t>
  </si>
  <si>
    <t>V01637</t>
  </si>
  <si>
    <t>V01638</t>
  </si>
  <si>
    <t>V01639</t>
  </si>
  <si>
    <t>V01640</t>
  </si>
  <si>
    <t>CL0038</t>
  </si>
  <si>
    <t>V01641</t>
  </si>
  <si>
    <t>V01642</t>
  </si>
  <si>
    <t>V01643</t>
  </si>
  <si>
    <t>V01644</t>
  </si>
  <si>
    <t>V01645</t>
  </si>
  <si>
    <t>V01646</t>
  </si>
  <si>
    <t>V01647</t>
  </si>
  <si>
    <t>V01648</t>
  </si>
  <si>
    <t>V01649</t>
  </si>
  <si>
    <t>Client 203</t>
  </si>
  <si>
    <t>V01650</t>
  </si>
  <si>
    <t>V01651</t>
  </si>
  <si>
    <t>accessoires</t>
  </si>
  <si>
    <t>V01652</t>
  </si>
  <si>
    <t>V01653</t>
  </si>
  <si>
    <t>V01654</t>
  </si>
  <si>
    <t>V01655</t>
  </si>
  <si>
    <t>V01656</t>
  </si>
  <si>
    <t>V01657</t>
  </si>
  <si>
    <t>V01658</t>
  </si>
  <si>
    <t>V01659</t>
  </si>
  <si>
    <t>V01660</t>
  </si>
  <si>
    <t>V01661</t>
  </si>
  <si>
    <t>V01662</t>
  </si>
  <si>
    <t>V01663</t>
  </si>
  <si>
    <t>V01664</t>
  </si>
  <si>
    <t>V01665</t>
  </si>
  <si>
    <t>V01666</t>
  </si>
  <si>
    <t>V01667</t>
  </si>
  <si>
    <t>V01668</t>
  </si>
  <si>
    <t>V01669</t>
  </si>
  <si>
    <t>V01670</t>
  </si>
  <si>
    <t>V01671</t>
  </si>
  <si>
    <t>V01672</t>
  </si>
  <si>
    <t>V01673</t>
  </si>
  <si>
    <t>V01674</t>
  </si>
  <si>
    <t>V01675</t>
  </si>
  <si>
    <t>V01676</t>
  </si>
  <si>
    <t>V01677</t>
  </si>
  <si>
    <t>V01678</t>
  </si>
  <si>
    <t>V01679</t>
  </si>
  <si>
    <t>V01680</t>
  </si>
  <si>
    <t>V01681</t>
  </si>
  <si>
    <t>V01682</t>
  </si>
  <si>
    <t>V01683</t>
  </si>
  <si>
    <t>V01684</t>
  </si>
  <si>
    <t>V01685</t>
  </si>
  <si>
    <t>V01686</t>
  </si>
  <si>
    <t>Client 380</t>
  </si>
  <si>
    <t>V01687</t>
  </si>
  <si>
    <t>V01688</t>
  </si>
  <si>
    <t>Client 314</t>
  </si>
  <si>
    <t>V01689</t>
  </si>
  <si>
    <t>V01690</t>
  </si>
  <si>
    <t>V01691</t>
  </si>
  <si>
    <t>V01692</t>
  </si>
  <si>
    <t>V01693</t>
  </si>
  <si>
    <t>V01694</t>
  </si>
  <si>
    <t>V01695</t>
  </si>
  <si>
    <t>V01696</t>
  </si>
  <si>
    <t>V01697</t>
  </si>
  <si>
    <t>V01698</t>
  </si>
  <si>
    <t>V01699</t>
  </si>
  <si>
    <t>V01700</t>
  </si>
  <si>
    <t>V01701</t>
  </si>
  <si>
    <t>V01702</t>
  </si>
  <si>
    <t>V01703</t>
  </si>
  <si>
    <t>V01704</t>
  </si>
  <si>
    <t>V01705</t>
  </si>
  <si>
    <t>V01706</t>
  </si>
  <si>
    <t>V01707</t>
  </si>
  <si>
    <t>V01708</t>
  </si>
  <si>
    <t>CL0172</t>
  </si>
  <si>
    <t>V01709</t>
  </si>
  <si>
    <t>V01710</t>
  </si>
  <si>
    <t>V01711</t>
  </si>
  <si>
    <t>V01712</t>
  </si>
  <si>
    <t>V01713</t>
  </si>
  <si>
    <t>V01714</t>
  </si>
  <si>
    <t>V01715</t>
  </si>
  <si>
    <t>V01716</t>
  </si>
  <si>
    <t>V01717</t>
  </si>
  <si>
    <t>V01718</t>
  </si>
  <si>
    <t>V01719</t>
  </si>
  <si>
    <t>V01720</t>
  </si>
  <si>
    <t>V01721</t>
  </si>
  <si>
    <t>V01722</t>
  </si>
  <si>
    <t>V01723</t>
  </si>
  <si>
    <t>CL0110</t>
  </si>
  <si>
    <t>Client 108</t>
  </si>
  <si>
    <t>V01724</t>
  </si>
  <si>
    <t>V01725</t>
  </si>
  <si>
    <t>V01726</t>
  </si>
  <si>
    <t>V01727</t>
  </si>
  <si>
    <t>V01728</t>
  </si>
  <si>
    <t>V01729</t>
  </si>
  <si>
    <t>V01730</t>
  </si>
  <si>
    <t>V01731</t>
  </si>
  <si>
    <t>V01732</t>
  </si>
  <si>
    <t>V01733</t>
  </si>
  <si>
    <t>V01734</t>
  </si>
  <si>
    <t>V01735</t>
  </si>
  <si>
    <t>CL0162</t>
  </si>
  <si>
    <t>V01736</t>
  </si>
  <si>
    <t>V01737</t>
  </si>
  <si>
    <t>V01738</t>
  </si>
  <si>
    <t>V01739</t>
  </si>
  <si>
    <t>V01740</t>
  </si>
  <si>
    <t>V01741</t>
  </si>
  <si>
    <t>V01742</t>
  </si>
  <si>
    <t>V01743</t>
  </si>
  <si>
    <t>V01744</t>
  </si>
  <si>
    <t>V01745</t>
  </si>
  <si>
    <t>V01746</t>
  </si>
  <si>
    <t>V01747</t>
  </si>
  <si>
    <t>Client 464</t>
  </si>
  <si>
    <t>V01748</t>
  </si>
  <si>
    <t>V01749</t>
  </si>
  <si>
    <t>V01750</t>
  </si>
  <si>
    <t>V01751</t>
  </si>
  <si>
    <t>V01752</t>
  </si>
  <si>
    <t>V01753</t>
  </si>
  <si>
    <t>V01754</t>
  </si>
  <si>
    <t>V01755</t>
  </si>
  <si>
    <t>V01756</t>
  </si>
  <si>
    <t>V01757</t>
  </si>
  <si>
    <t>V01758</t>
  </si>
  <si>
    <t>V01759</t>
  </si>
  <si>
    <t>V01760</t>
  </si>
  <si>
    <t>CL0400</t>
  </si>
  <si>
    <t>V01761</t>
  </si>
  <si>
    <t>V01762</t>
  </si>
  <si>
    <t>V01763</t>
  </si>
  <si>
    <t>CL0267</t>
  </si>
  <si>
    <t>V01764</t>
  </si>
  <si>
    <t>V01765</t>
  </si>
  <si>
    <t>V01766</t>
  </si>
  <si>
    <t>V01767</t>
  </si>
  <si>
    <t>V01768</t>
  </si>
  <si>
    <t>V01769</t>
  </si>
  <si>
    <t>Client 025</t>
  </si>
  <si>
    <t>V01770</t>
  </si>
  <si>
    <t>V01771</t>
  </si>
  <si>
    <t>V01772</t>
  </si>
  <si>
    <t>V01773</t>
  </si>
  <si>
    <t>V01774</t>
  </si>
  <si>
    <t>V01775</t>
  </si>
  <si>
    <t>V01776</t>
  </si>
  <si>
    <t>V01777</t>
  </si>
  <si>
    <t>V01778</t>
  </si>
  <si>
    <t>V01779</t>
  </si>
  <si>
    <t>V01780</t>
  </si>
  <si>
    <t>V01781</t>
  </si>
  <si>
    <t>V01782</t>
  </si>
  <si>
    <t>V01783</t>
  </si>
  <si>
    <t>V01784</t>
  </si>
  <si>
    <t>V01785</t>
  </si>
  <si>
    <t>V01786</t>
  </si>
  <si>
    <t>V01787</t>
  </si>
  <si>
    <t>V01788</t>
  </si>
  <si>
    <t>V01789</t>
  </si>
  <si>
    <t>V01790</t>
  </si>
  <si>
    <t>V01791</t>
  </si>
  <si>
    <t>V01792</t>
  </si>
  <si>
    <t>V01793</t>
  </si>
  <si>
    <t>V01794</t>
  </si>
  <si>
    <t>V01795</t>
  </si>
  <si>
    <t>V01796</t>
  </si>
  <si>
    <t>V01797</t>
  </si>
  <si>
    <t>V01798</t>
  </si>
  <si>
    <t>V01799</t>
  </si>
  <si>
    <t>V01800</t>
  </si>
  <si>
    <t>Client 007</t>
  </si>
  <si>
    <t>V01801</t>
  </si>
  <si>
    <t>V01802</t>
  </si>
  <si>
    <t>V01803</t>
  </si>
  <si>
    <t>V01804</t>
  </si>
  <si>
    <t>V01805</t>
  </si>
  <si>
    <t>CL0163</t>
  </si>
  <si>
    <t>V01806</t>
  </si>
  <si>
    <t>V01807</t>
  </si>
  <si>
    <t>V01808</t>
  </si>
  <si>
    <t>V01809</t>
  </si>
  <si>
    <t>V01810</t>
  </si>
  <si>
    <t>V01811</t>
  </si>
  <si>
    <t>V01812</t>
  </si>
  <si>
    <t>V01813</t>
  </si>
  <si>
    <t>V01814</t>
  </si>
  <si>
    <t>V01815</t>
  </si>
  <si>
    <t>V01816</t>
  </si>
  <si>
    <t>V01817</t>
  </si>
  <si>
    <t>V01818</t>
  </si>
  <si>
    <t>V01819</t>
  </si>
  <si>
    <t>V01820</t>
  </si>
  <si>
    <t>V01821</t>
  </si>
  <si>
    <t>V01822</t>
  </si>
  <si>
    <t>V01823</t>
  </si>
  <si>
    <t>V01824</t>
  </si>
  <si>
    <t>V01825</t>
  </si>
  <si>
    <t>V01826</t>
  </si>
  <si>
    <t>V01827</t>
  </si>
  <si>
    <t>V01828</t>
  </si>
  <si>
    <t>V01829</t>
  </si>
  <si>
    <t>V01830</t>
  </si>
  <si>
    <t>V01831</t>
  </si>
  <si>
    <t>V01832</t>
  </si>
  <si>
    <t>V01833</t>
  </si>
  <si>
    <t>V01834</t>
  </si>
  <si>
    <t>V01835</t>
  </si>
  <si>
    <t>V01836</t>
  </si>
  <si>
    <t>V01837</t>
  </si>
  <si>
    <t>V01838</t>
  </si>
  <si>
    <t>V01839</t>
  </si>
  <si>
    <t>V01840</t>
  </si>
  <si>
    <t>V01841</t>
  </si>
  <si>
    <t>V01842</t>
  </si>
  <si>
    <t>V01843</t>
  </si>
  <si>
    <t>Client 031</t>
  </si>
  <si>
    <t>V01844</t>
  </si>
  <si>
    <t>V01845</t>
  </si>
  <si>
    <t>V01846</t>
  </si>
  <si>
    <t>V01847</t>
  </si>
  <si>
    <t>V01848</t>
  </si>
  <si>
    <t>V01849</t>
  </si>
  <si>
    <t>V01850</t>
  </si>
  <si>
    <t>V01851</t>
  </si>
  <si>
    <t>V01852</t>
  </si>
  <si>
    <t>V01853</t>
  </si>
  <si>
    <t>V01854</t>
  </si>
  <si>
    <t>V01855</t>
  </si>
  <si>
    <t>V01856</t>
  </si>
  <si>
    <t>CL0142</t>
  </si>
  <si>
    <t>V01857</t>
  </si>
  <si>
    <t>V01858</t>
  </si>
  <si>
    <t>V01859</t>
  </si>
  <si>
    <t>V01860</t>
  </si>
  <si>
    <t>CL0367</t>
  </si>
  <si>
    <t>V01861</t>
  </si>
  <si>
    <t>V01862</t>
  </si>
  <si>
    <t>V01863</t>
  </si>
  <si>
    <t>V01864</t>
  </si>
  <si>
    <t>V01865</t>
  </si>
  <si>
    <t>V01866</t>
  </si>
  <si>
    <t>V01867</t>
  </si>
  <si>
    <t>V01868</t>
  </si>
  <si>
    <t>V01869</t>
  </si>
  <si>
    <t>V01870</t>
  </si>
  <si>
    <t>V01871</t>
  </si>
  <si>
    <t>V01872</t>
  </si>
  <si>
    <t>V01873</t>
  </si>
  <si>
    <t>V01874</t>
  </si>
  <si>
    <t>V01875</t>
  </si>
  <si>
    <t>V01876</t>
  </si>
  <si>
    <t>V01877</t>
  </si>
  <si>
    <t>V01878</t>
  </si>
  <si>
    <t>V01879</t>
  </si>
  <si>
    <t>V01880</t>
  </si>
  <si>
    <t>V01881</t>
  </si>
  <si>
    <t>V01882</t>
  </si>
  <si>
    <t>V01883</t>
  </si>
  <si>
    <t>V01884</t>
  </si>
  <si>
    <t>V01885</t>
  </si>
  <si>
    <t>V01886</t>
  </si>
  <si>
    <t>V01887</t>
  </si>
  <si>
    <t>V01888</t>
  </si>
  <si>
    <t>V01889</t>
  </si>
  <si>
    <t>V01890</t>
  </si>
  <si>
    <t>V01891</t>
  </si>
  <si>
    <t>V01892</t>
  </si>
  <si>
    <t>V01893</t>
  </si>
  <si>
    <t>V01894</t>
  </si>
  <si>
    <t>V01895</t>
  </si>
  <si>
    <t>V01896</t>
  </si>
  <si>
    <t>V01897</t>
  </si>
  <si>
    <t>V01898</t>
  </si>
  <si>
    <t>V01899</t>
  </si>
  <si>
    <t>V01900</t>
  </si>
  <si>
    <t>V01901</t>
  </si>
  <si>
    <t>V01902</t>
  </si>
  <si>
    <t>V01903</t>
  </si>
  <si>
    <t>V01904</t>
  </si>
  <si>
    <t>V01905</t>
  </si>
  <si>
    <t>V01906</t>
  </si>
  <si>
    <t>V01907</t>
  </si>
  <si>
    <t>V01908</t>
  </si>
  <si>
    <t>V01909</t>
  </si>
  <si>
    <t>V01910</t>
  </si>
  <si>
    <t>V01911</t>
  </si>
  <si>
    <t>V01912</t>
  </si>
  <si>
    <t>V01913</t>
  </si>
  <si>
    <t>V01914</t>
  </si>
  <si>
    <t>V01915</t>
  </si>
  <si>
    <t>CL0132</t>
  </si>
  <si>
    <t>V01916</t>
  </si>
  <si>
    <t>V01917</t>
  </si>
  <si>
    <t>V01918</t>
  </si>
  <si>
    <t>V01919</t>
  </si>
  <si>
    <t>V01920</t>
  </si>
  <si>
    <t>V01921</t>
  </si>
  <si>
    <t>V01922</t>
  </si>
  <si>
    <t>V01923</t>
  </si>
  <si>
    <t>V01924</t>
  </si>
  <si>
    <t>V01925</t>
  </si>
  <si>
    <t>V01926</t>
  </si>
  <si>
    <t>V01927</t>
  </si>
  <si>
    <t>V01928</t>
  </si>
  <si>
    <t>V01929</t>
  </si>
  <si>
    <t>V01930</t>
  </si>
  <si>
    <t>V01931</t>
  </si>
  <si>
    <t>V01932</t>
  </si>
  <si>
    <t>V01933</t>
  </si>
  <si>
    <t>V01934</t>
  </si>
  <si>
    <t>V01935</t>
  </si>
  <si>
    <t>V01936</t>
  </si>
  <si>
    <t>V01937</t>
  </si>
  <si>
    <t>V01938</t>
  </si>
  <si>
    <t>V01939</t>
  </si>
  <si>
    <t>V01940</t>
  </si>
  <si>
    <t>V01941</t>
  </si>
  <si>
    <t>V01942</t>
  </si>
  <si>
    <t>V01943</t>
  </si>
  <si>
    <t>V01944</t>
  </si>
  <si>
    <t>V01945</t>
  </si>
  <si>
    <t>V01946</t>
  </si>
  <si>
    <t>V01947</t>
  </si>
  <si>
    <t>V01948</t>
  </si>
  <si>
    <t>V01949</t>
  </si>
  <si>
    <t>V01950</t>
  </si>
  <si>
    <t>V01951</t>
  </si>
  <si>
    <t>V01952</t>
  </si>
  <si>
    <t>V01953</t>
  </si>
  <si>
    <t>V01954</t>
  </si>
  <si>
    <t>V01955</t>
  </si>
  <si>
    <t>V01956</t>
  </si>
  <si>
    <t>V01957</t>
  </si>
  <si>
    <t>V01958</t>
  </si>
  <si>
    <t>V01959</t>
  </si>
  <si>
    <t>V01960</t>
  </si>
  <si>
    <t>V01961</t>
  </si>
  <si>
    <t>Client 028</t>
  </si>
  <si>
    <t>V01962</t>
  </si>
  <si>
    <t>V01963</t>
  </si>
  <si>
    <t>V01964</t>
  </si>
  <si>
    <t>V01965</t>
  </si>
  <si>
    <t>V01966</t>
  </si>
  <si>
    <t>V01967</t>
  </si>
  <si>
    <t>V01968</t>
  </si>
  <si>
    <t>V01969</t>
  </si>
  <si>
    <t>V01970</t>
  </si>
  <si>
    <t>V01971</t>
  </si>
  <si>
    <t>V01972</t>
  </si>
  <si>
    <t>V01973</t>
  </si>
  <si>
    <t>V01974</t>
  </si>
  <si>
    <t>V01975</t>
  </si>
  <si>
    <t>V01976</t>
  </si>
  <si>
    <t>V01977</t>
  </si>
  <si>
    <t>V01978</t>
  </si>
  <si>
    <t>V01979</t>
  </si>
  <si>
    <t>V01980</t>
  </si>
  <si>
    <t>V01981</t>
  </si>
  <si>
    <t>V01982</t>
  </si>
  <si>
    <t>V01983</t>
  </si>
  <si>
    <t>V01984</t>
  </si>
  <si>
    <t>V01985</t>
  </si>
  <si>
    <t>V01986</t>
  </si>
  <si>
    <t>V01987</t>
  </si>
  <si>
    <t>V01988</t>
  </si>
  <si>
    <t>V01989</t>
  </si>
  <si>
    <t>V01990</t>
  </si>
  <si>
    <t>V01991</t>
  </si>
  <si>
    <t>V01992</t>
  </si>
  <si>
    <t>V01993</t>
  </si>
  <si>
    <t>V01994</t>
  </si>
  <si>
    <t>V01995</t>
  </si>
  <si>
    <t>V01996</t>
  </si>
  <si>
    <t>V01997</t>
  </si>
  <si>
    <t>V01998</t>
  </si>
  <si>
    <t>V01999</t>
  </si>
  <si>
    <t>V02000</t>
  </si>
  <si>
    <t>CA</t>
  </si>
  <si>
    <t>Cout Total</t>
  </si>
  <si>
    <t>Marge</t>
  </si>
  <si>
    <t>Taux de marge</t>
  </si>
  <si>
    <t>chiffre d'affaire total</t>
  </si>
  <si>
    <t>marge total</t>
  </si>
  <si>
    <t xml:space="preserve">taux de marge </t>
  </si>
  <si>
    <t>Quatite totale vendue</t>
  </si>
  <si>
    <t xml:space="preserve">nombre total des clients </t>
  </si>
  <si>
    <t>panier  moyen</t>
  </si>
  <si>
    <t>performances</t>
  </si>
  <si>
    <t>Valeurs</t>
  </si>
  <si>
    <t>Mois</t>
  </si>
  <si>
    <t xml:space="preserve"> évolution du chiffre d'affaires au cours de l'année </t>
  </si>
  <si>
    <t>juin</t>
  </si>
  <si>
    <t>décembre</t>
  </si>
  <si>
    <t>juillet</t>
  </si>
  <si>
    <t>avril</t>
  </si>
  <si>
    <t>novembre</t>
  </si>
  <si>
    <t>mars</t>
  </si>
  <si>
    <t>février</t>
  </si>
  <si>
    <t>août</t>
  </si>
  <si>
    <t>mai</t>
  </si>
  <si>
    <t>octobre</t>
  </si>
  <si>
    <t>janvier</t>
  </si>
  <si>
    <t>septembre</t>
  </si>
  <si>
    <t>Étiquettes de lignes</t>
  </si>
  <si>
    <t>Total général</t>
  </si>
  <si>
    <t>Somme de CA</t>
  </si>
  <si>
    <t>Moyenne de Taux de marge</t>
  </si>
  <si>
    <t>Somme de Marge</t>
  </si>
  <si>
    <t>Somme de Quantité</t>
  </si>
  <si>
    <t>Activite</t>
  </si>
  <si>
    <t>CA moyen</t>
  </si>
  <si>
    <t>Classement des produits</t>
  </si>
  <si>
    <t>produits</t>
  </si>
  <si>
    <t>produit</t>
  </si>
  <si>
    <t xml:space="preserve">Les régions qui présentent une faible performance </t>
  </si>
  <si>
    <t xml:space="preserve">La ville la plus performante </t>
  </si>
  <si>
    <t xml:space="preserve">La région génère la meilleure marge </t>
  </si>
  <si>
    <t xml:space="preserve">La région qui génère le plus de chiffre d'affaires </t>
  </si>
  <si>
    <t xml:space="preserve"> </t>
  </si>
  <si>
    <t>Le mois qui réalisé le plus de bénéfice</t>
  </si>
  <si>
    <t>Le mois qui réalisé le plus faible chiffre d'affaires</t>
  </si>
  <si>
    <t>Le mois qui généré la meilleure marge</t>
  </si>
  <si>
    <t>produits qui génèrent les plus des CA et Marge par catégorie</t>
  </si>
  <si>
    <t xml:space="preserve">top 10 des produits ayant un chiffre d'affaire important mais une faible rentabilité </t>
  </si>
  <si>
    <t xml:space="preserve">Le commercial ayant réalisé le plus de chiffre d'affaires </t>
  </si>
  <si>
    <t xml:space="preserve">le commercial ayant généré le plus de marge </t>
  </si>
  <si>
    <t>le commercial ayant vendu le plus de produits</t>
  </si>
  <si>
    <t>les commerciaux avec leurs performances globales</t>
  </si>
  <si>
    <t>Le canal de vente qui génère le plus de chiffre d'affaires</t>
  </si>
  <si>
    <t>Le canal le plus rentable</t>
  </si>
  <si>
    <t>la répartition des ventes entre Boutique, En ligne et Livraison</t>
  </si>
  <si>
    <t xml:space="preserve">Le canal qui possède le meilleur panier moyen </t>
  </si>
  <si>
    <t>commandes realisées</t>
  </si>
  <si>
    <t>Nombre des Ventes</t>
  </si>
  <si>
    <t>Panier moyen</t>
  </si>
  <si>
    <t>mode de paiement</t>
  </si>
  <si>
    <t>Le mode de paiement le plus utilisé est:</t>
  </si>
  <si>
    <t>la proportion des ventes réalisée par Mobile Money est:</t>
  </si>
  <si>
    <t>utilisation</t>
  </si>
  <si>
    <t>Commerciaux</t>
  </si>
  <si>
    <t>janv</t>
  </si>
  <si>
    <t>févr</t>
  </si>
  <si>
    <t>avr</t>
  </si>
  <si>
    <t>juil</t>
  </si>
  <si>
    <t>sept</t>
  </si>
  <si>
    <t>oct</t>
  </si>
  <si>
    <t>nov</t>
  </si>
  <si>
    <t>déc</t>
  </si>
  <si>
    <t>Nombre de ID_Vente</t>
  </si>
  <si>
    <t>evolution ca et benefice</t>
  </si>
  <si>
    <t>top 10 produit</t>
  </si>
  <si>
    <t>commerciaux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</si>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</sst>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FCFA&quot;"/>
    <numFmt numFmtId="165" formatCode="#,##0\ [$XAF]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2" xfId="0" applyFont="1" applyFill="1" applyBorder="1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left" indent="1"/>
    </xf>
    <xf numFmtId="9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2" fillId="2" borderId="3" xfId="0" applyFont="1" applyFill="1" applyBorder="1" applyAlignment="1">
      <alignment horizontal="left"/>
    </xf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8" fillId="3" borderId="0" xfId="0" applyFont="1" applyFill="1"/>
    <xf numFmtId="9" fontId="7" fillId="3" borderId="0" xfId="1" applyFont="1" applyFill="1"/>
    <xf numFmtId="165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2">
    <cellStyle name="Normal" xfId="0" builtinId="0"/>
    <cellStyle name="Pourcentage" xfId="1" builtinId="5"/>
  </cellStyles>
  <dxfs count="21">
    <dxf>
      <numFmt numFmtId="13" formatCode="0%"/>
    </dxf>
    <dxf>
      <numFmt numFmtId="13" formatCode="0%"/>
    </dxf>
    <dxf>
      <numFmt numFmtId="14" formatCode="0.00%"/>
    </dxf>
    <dxf>
      <font>
        <color theme="6"/>
      </font>
      <fill>
        <patternFill patternType="none">
          <bgColor auto="1"/>
        </patternFill>
      </fill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1" defaultTableStyle="TableStyleMedium9" defaultPivotStyle="PivotStyleLight16">
    <tableStyle name="Invisible" pivot="0" table="0" count="0" xr9:uid="{A2B412CD-2EFE-424D-B5E4-83EE4BA18FD3}"/>
  </tableStyles>
  <colors>
    <mruColors>
      <color rgb="FFABC3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35870516185478"/>
          <c:y val="0.26328484981044037"/>
          <c:w val="0.65858530183727038"/>
          <c:h val="0.42246318168562264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janvier</c:v>
              </c:pt>
              <c:pt idx="1">
                <c:v>février</c:v>
              </c:pt>
              <c:pt idx="2">
                <c:v>mars</c:v>
              </c:pt>
              <c:pt idx="3">
                <c:v>avril</c:v>
              </c:pt>
              <c:pt idx="4">
                <c:v>mai</c:v>
              </c:pt>
              <c:pt idx="5">
                <c:v>juin</c:v>
              </c:pt>
              <c:pt idx="6">
                <c:v>juillet</c:v>
              </c:pt>
              <c:pt idx="7">
                <c:v>août</c:v>
              </c:pt>
              <c:pt idx="8">
                <c:v>septembre</c:v>
              </c:pt>
              <c:pt idx="9">
                <c:v>octobre</c:v>
              </c:pt>
              <c:pt idx="10">
                <c:v>novembre</c:v>
              </c:pt>
              <c:pt idx="11">
                <c:v>décembre</c:v>
              </c:pt>
            </c:strLit>
          </c:cat>
          <c:val>
            <c:numLit>
              <c:formatCode>General</c:formatCode>
              <c:ptCount val="12"/>
              <c:pt idx="0">
                <c:v>85577000</c:v>
              </c:pt>
              <c:pt idx="1">
                <c:v>79849700</c:v>
              </c:pt>
              <c:pt idx="2">
                <c:v>95791200</c:v>
              </c:pt>
              <c:pt idx="3">
                <c:v>100791800</c:v>
              </c:pt>
              <c:pt idx="4">
                <c:v>100508000</c:v>
              </c:pt>
              <c:pt idx="5">
                <c:v>107495200</c:v>
              </c:pt>
              <c:pt idx="6">
                <c:v>94696900</c:v>
              </c:pt>
              <c:pt idx="7">
                <c:v>110838600</c:v>
              </c:pt>
              <c:pt idx="8">
                <c:v>105433000</c:v>
              </c:pt>
              <c:pt idx="9">
                <c:v>107080700</c:v>
              </c:pt>
              <c:pt idx="10">
                <c:v>69855900</c:v>
              </c:pt>
              <c:pt idx="11">
                <c:v>105949400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1F1-49CD-9876-350B373F4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086495"/>
        <c:axId val="1999083167"/>
      </c:lineChart>
      <c:catAx>
        <c:axId val="199908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9083167"/>
        <c:crosses val="autoZero"/>
        <c:auto val="1"/>
        <c:lblAlgn val="ctr"/>
        <c:lblOffset val="100"/>
        <c:noMultiLvlLbl val="0"/>
      </c:catAx>
      <c:valAx>
        <c:axId val="19990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908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[Projet_Data_Analyst_Ventes_2026.xlsx]TDC!Tableau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2"/>
                </a:solidFill>
              </a:rPr>
              <a:t>Évolution du chiffre d'affaire</a:t>
            </a:r>
            <a:r>
              <a:rPr lang="fr-FR" b="1" baseline="0">
                <a:solidFill>
                  <a:schemeClr val="tx2"/>
                </a:solidFill>
              </a:rPr>
              <a:t> et bénéfice</a:t>
            </a:r>
          </a:p>
        </c:rich>
      </c:tx>
      <c:layout>
        <c:manualLayout>
          <c:xMode val="edge"/>
          <c:yMode val="edge"/>
          <c:x val="5.4382826475849737E-2"/>
          <c:y val="3.9528041046131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TDC!$C$3</c:f>
              <c:strCache>
                <c:ptCount val="1"/>
                <c:pt idx="0">
                  <c:v>Somme de 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TDC!$B$4:$B$16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TDC!$C$4:$C$16</c:f>
              <c:numCache>
                <c:formatCode>General</c:formatCode>
                <c:ptCount val="12"/>
                <c:pt idx="0">
                  <c:v>85577000</c:v>
                </c:pt>
                <c:pt idx="1">
                  <c:v>79849700</c:v>
                </c:pt>
                <c:pt idx="2">
                  <c:v>95791200</c:v>
                </c:pt>
                <c:pt idx="3">
                  <c:v>100791800</c:v>
                </c:pt>
                <c:pt idx="4">
                  <c:v>100508000</c:v>
                </c:pt>
                <c:pt idx="5">
                  <c:v>107495200</c:v>
                </c:pt>
                <c:pt idx="6">
                  <c:v>94696900</c:v>
                </c:pt>
                <c:pt idx="7">
                  <c:v>110838600</c:v>
                </c:pt>
                <c:pt idx="8">
                  <c:v>105433000</c:v>
                </c:pt>
                <c:pt idx="9">
                  <c:v>107080700</c:v>
                </c:pt>
                <c:pt idx="10">
                  <c:v>69855900</c:v>
                </c:pt>
                <c:pt idx="11">
                  <c:v>105949400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4-46E8-B8EC-5F80F8F9EB5D}"/>
            </c:ext>
          </c:extLst>
        </c:ser>
        <c:ser>
          <c:idx val="1"/>
          <c:order val="1"/>
          <c:tx>
            <c:strRef>
              <c:f>TDC!$D$3</c:f>
              <c:strCache>
                <c:ptCount val="1"/>
                <c:pt idx="0">
                  <c:v>Somme de Marge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TDC!$B$4:$B$16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TDC!$D$4:$D$16</c:f>
              <c:numCache>
                <c:formatCode>General</c:formatCode>
                <c:ptCount val="12"/>
                <c:pt idx="0">
                  <c:v>18426600</c:v>
                </c:pt>
                <c:pt idx="1">
                  <c:v>20112100</c:v>
                </c:pt>
                <c:pt idx="2">
                  <c:v>23604500</c:v>
                </c:pt>
                <c:pt idx="3">
                  <c:v>23955900</c:v>
                </c:pt>
                <c:pt idx="4">
                  <c:v>24344900</c:v>
                </c:pt>
                <c:pt idx="5">
                  <c:v>25610400</c:v>
                </c:pt>
                <c:pt idx="6">
                  <c:v>23643400</c:v>
                </c:pt>
                <c:pt idx="7">
                  <c:v>26295800</c:v>
                </c:pt>
                <c:pt idx="8">
                  <c:v>26212100</c:v>
                </c:pt>
                <c:pt idx="9">
                  <c:v>25362400</c:v>
                </c:pt>
                <c:pt idx="10">
                  <c:v>17366400</c:v>
                </c:pt>
                <c:pt idx="11">
                  <c:v>26189500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4-46E8-B8EC-5F80F8F9E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6256879"/>
        <c:axId val="1596254383"/>
      </c:barChart>
      <c:catAx>
        <c:axId val="15962568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6254383"/>
        <c:crosses val="autoZero"/>
        <c:auto val="1"/>
        <c:lblAlgn val="ctr"/>
        <c:lblOffset val="100"/>
        <c:noMultiLvlLbl val="0"/>
      </c:catAx>
      <c:valAx>
        <c:axId val="159625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625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688547792285463"/>
          <c:y val="0.47324012476279798"/>
          <c:w val="0.27311457204573675"/>
          <c:h val="0.15413604944114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[Projet_Data_Analyst_Ventes_2026.xlsx]TDC!Tableau croisé dynamique3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solidFill>
            <a:srgbClr val="92D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16415849631699264"/>
          <c:y val="0.20599843296785034"/>
          <c:w val="0.47636804673609345"/>
          <c:h val="0.420384968293279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TDC!$G$4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791A-464D-8A7E-1F58EA001DF5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91A-464D-8A7E-1F58EA001DF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91A-464D-8A7E-1F58EA001DF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791A-464D-8A7E-1F58EA001DF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91A-464D-8A7E-1F58EA001DF5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791A-464D-8A7E-1F58EA001DF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791A-464D-8A7E-1F58EA001DF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91A-464D-8A7E-1F58EA001DF5}"/>
              </c:ext>
            </c:extLst>
          </c:dPt>
          <c:cat>
            <c:strRef>
              <c:f>TDC!$F$5:$F$15</c:f>
              <c:strCache>
                <c:ptCount val="10"/>
                <c:pt idx="0">
                  <c:v>Ordinateur portable</c:v>
                </c:pt>
                <c:pt idx="1">
                  <c:v>Tablette</c:v>
                </c:pt>
                <c:pt idx="2">
                  <c:v>Smartphone</c:v>
                </c:pt>
                <c:pt idx="3">
                  <c:v>Table de réunion</c:v>
                </c:pt>
                <c:pt idx="4">
                  <c:v>Armoire</c:v>
                </c:pt>
                <c:pt idx="5">
                  <c:v>Imprimante</c:v>
                </c:pt>
                <c:pt idx="6">
                  <c:v>Bureau</c:v>
                </c:pt>
                <c:pt idx="7">
                  <c:v>Disque SSD</c:v>
                </c:pt>
                <c:pt idx="8">
                  <c:v>Chaise de bureau</c:v>
                </c:pt>
                <c:pt idx="9">
                  <c:v>Sac ordinateur</c:v>
                </c:pt>
              </c:strCache>
            </c:strRef>
          </c:cat>
          <c:val>
            <c:numRef>
              <c:f>TDC!$G$5:$G$15</c:f>
              <c:numCache>
                <c:formatCode>General</c:formatCode>
                <c:ptCount val="10"/>
                <c:pt idx="0">
                  <c:v>396742500</c:v>
                </c:pt>
                <c:pt idx="1">
                  <c:v>160656000</c:v>
                </c:pt>
                <c:pt idx="2">
                  <c:v>154719000</c:v>
                </c:pt>
                <c:pt idx="3">
                  <c:v>110308000</c:v>
                </c:pt>
                <c:pt idx="4">
                  <c:v>83909000</c:v>
                </c:pt>
                <c:pt idx="5">
                  <c:v>74361000</c:v>
                </c:pt>
                <c:pt idx="6">
                  <c:v>46120400</c:v>
                </c:pt>
                <c:pt idx="7">
                  <c:v>41718600</c:v>
                </c:pt>
                <c:pt idx="8">
                  <c:v>31528200</c:v>
                </c:pt>
                <c:pt idx="9">
                  <c:v>13539000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A-464D-8A7E-1F58EA001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8789087"/>
        <c:axId val="1598796991"/>
      </c:barChart>
      <c:catAx>
        <c:axId val="159878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8796991"/>
        <c:crosses val="autoZero"/>
        <c:auto val="1"/>
        <c:lblAlgn val="ctr"/>
        <c:lblOffset val="100"/>
        <c:noMultiLvlLbl val="0"/>
      </c:catAx>
      <c:valAx>
        <c:axId val="159879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878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[Projet_Data_Analyst_Ventes_2026.xlsx]TDC!Tableau croisé dynamique4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Top</a:t>
            </a:r>
            <a:r>
              <a:rPr lang="en-US" b="1" baseline="0">
                <a:solidFill>
                  <a:schemeClr val="tx2"/>
                </a:solidFill>
              </a:rPr>
              <a:t> 5 Commerciaux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45366604603752"/>
          <c:y val="0.18252137840970883"/>
          <c:w val="0.67678756800049933"/>
          <c:h val="0.718498395355446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TDC!$B$22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TDC!$A$23:$A$28</c:f>
              <c:strCache>
                <c:ptCount val="5"/>
                <c:pt idx="0">
                  <c:v>Moussa</c:v>
                </c:pt>
                <c:pt idx="1">
                  <c:v>Fatimé</c:v>
                </c:pt>
                <c:pt idx="2">
                  <c:v>Hawa</c:v>
                </c:pt>
                <c:pt idx="3">
                  <c:v>Mahamat</c:v>
                </c:pt>
                <c:pt idx="4">
                  <c:v>Issa</c:v>
                </c:pt>
              </c:strCache>
            </c:strRef>
          </c:cat>
          <c:val>
            <c:numRef>
              <c:f>TDC!$B$23:$B$28</c:f>
              <c:numCache>
                <c:formatCode>General</c:formatCode>
                <c:ptCount val="5"/>
                <c:pt idx="0">
                  <c:v>158237000</c:v>
                </c:pt>
                <c:pt idx="1">
                  <c:v>153929700</c:v>
                </c:pt>
                <c:pt idx="2">
                  <c:v>150074400</c:v>
                </c:pt>
                <c:pt idx="3">
                  <c:v>145763900</c:v>
                </c:pt>
                <c:pt idx="4">
                  <c:v>145417000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6-450E-B1F3-DBF7844C7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460495"/>
        <c:axId val="457456335"/>
      </c:barChart>
      <c:catAx>
        <c:axId val="457460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456335"/>
        <c:crosses val="autoZero"/>
        <c:auto val="1"/>
        <c:lblAlgn val="ctr"/>
        <c:lblOffset val="100"/>
        <c:noMultiLvlLbl val="0"/>
      </c:catAx>
      <c:valAx>
        <c:axId val="45745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46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132771060521196"/>
          <c:y val="0.51879143014099982"/>
          <c:w val="0.18719434652258427"/>
          <c:h val="0.102897061647781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[Projet_Data_Analyst_Ventes_2026.xlsx]TDC!Tableau croisé dynamique5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CA</a:t>
            </a:r>
            <a:r>
              <a:rPr lang="en-US" b="1" baseline="0">
                <a:solidFill>
                  <a:schemeClr val="tx2"/>
                </a:solidFill>
              </a:rPr>
              <a:t> par </a:t>
            </a:r>
            <a:r>
              <a:rPr lang="fr-FR" b="1" baseline="0">
                <a:solidFill>
                  <a:schemeClr val="tx2"/>
                </a:solidFill>
              </a:rPr>
              <a:t>région </a:t>
            </a:r>
            <a:endParaRPr lang="en-US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97289206036745"/>
          <c:y val="0.15426076757180621"/>
          <c:w val="0.64504416643351048"/>
          <c:h val="0.724711106317189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TDC!$E$20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TDC!$D$21:$D$29</c:f>
              <c:strCache>
                <c:ptCount val="8"/>
                <c:pt idx="0">
                  <c:v>N'Djamena</c:v>
                </c:pt>
                <c:pt idx="1">
                  <c:v>Mayo-Kebbi</c:v>
                </c:pt>
                <c:pt idx="2">
                  <c:v>Chari-Baguirmi</c:v>
                </c:pt>
                <c:pt idx="3">
                  <c:v>Ouaddaï</c:v>
                </c:pt>
                <c:pt idx="4">
                  <c:v>Batha</c:v>
                </c:pt>
                <c:pt idx="5">
                  <c:v>Lac</c:v>
                </c:pt>
                <c:pt idx="6">
                  <c:v>Logone Oriental</c:v>
                </c:pt>
                <c:pt idx="7">
                  <c:v>Kanem</c:v>
                </c:pt>
              </c:strCache>
            </c:strRef>
          </c:cat>
          <c:val>
            <c:numRef>
              <c:f>TDC!$E$21:$E$29</c:f>
              <c:numCache>
                <c:formatCode>General</c:formatCode>
                <c:ptCount val="8"/>
                <c:pt idx="0">
                  <c:v>396175400</c:v>
                </c:pt>
                <c:pt idx="1">
                  <c:v>147962600</c:v>
                </c:pt>
                <c:pt idx="2">
                  <c:v>129755100</c:v>
                </c:pt>
                <c:pt idx="3">
                  <c:v>116982800</c:v>
                </c:pt>
                <c:pt idx="4">
                  <c:v>102498800</c:v>
                </c:pt>
                <c:pt idx="5">
                  <c:v>100514000</c:v>
                </c:pt>
                <c:pt idx="6">
                  <c:v>98907500</c:v>
                </c:pt>
                <c:pt idx="7">
                  <c:v>71071200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1-437B-9F16-BD8365E68F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91141471"/>
        <c:axId val="291146463"/>
      </c:barChart>
      <c:catAx>
        <c:axId val="291141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1146463"/>
        <c:crosses val="autoZero"/>
        <c:auto val="1"/>
        <c:lblAlgn val="ctr"/>
        <c:lblOffset val="100"/>
        <c:noMultiLvlLbl val="0"/>
      </c:catAx>
      <c:valAx>
        <c:axId val="29114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114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[Projet_Data_Analyst_Ventes_2026.xlsx]TDC!Tableau croisé dynamique8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Mode</a:t>
            </a:r>
            <a:r>
              <a:rPr lang="en-US" b="1" baseline="0">
                <a:solidFill>
                  <a:schemeClr val="tx2"/>
                </a:solidFill>
              </a:rPr>
              <a:t> de paiement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TDC!$H$20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73-4478-970F-C0DBE884CC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73-4478-970F-C0DBE884CC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73-4478-970F-C0DBE884CC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73-4478-970F-C0DBE884CC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TDC!$G$21:$G$25</c:f>
              <c:strCache>
                <c:ptCount val="4"/>
                <c:pt idx="0">
                  <c:v>Carte bancaire</c:v>
                </c:pt>
                <c:pt idx="1">
                  <c:v>Espèces</c:v>
                </c:pt>
                <c:pt idx="2">
                  <c:v>Mobile Money</c:v>
                </c:pt>
                <c:pt idx="3">
                  <c:v>Virement</c:v>
                </c:pt>
              </c:strCache>
            </c:strRef>
          </c:cat>
          <c:val>
            <c:numRef>
              <c:f>TDC!$H$21:$H$25</c:f>
              <c:numCache>
                <c:formatCode>General</c:formatCode>
                <c:ptCount val="4"/>
                <c:pt idx="0">
                  <c:v>317</c:v>
                </c:pt>
                <c:pt idx="1">
                  <c:v>574</c:v>
                </c:pt>
                <c:pt idx="2">
                  <c:v>792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73-4478-970F-C0DBE884CC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369384994276605"/>
          <c:y val="0.35041599030890364"/>
          <c:w val="0.27730861285511116"/>
          <c:h val="0.431312922945334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[Projet_Data_Analyst_Ventes_2026.xlsx]TDC!Tableau croisé dynamique9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2"/>
                </a:solidFill>
              </a:rPr>
              <a:t>Chiffre</a:t>
            </a:r>
            <a:r>
              <a:rPr lang="fr-FR" b="1" baseline="0">
                <a:solidFill>
                  <a:schemeClr val="tx2"/>
                </a:solidFill>
              </a:rPr>
              <a:t> d'affaire par catégorie </a:t>
            </a:r>
            <a:endParaRPr lang="fr-FR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36425900370701092"/>
          <c:y val="5.6657283336219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1454753722794959E-2"/>
              <c:y val="-1.063817659945133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3.8946162657502864E-2"/>
              <c:y val="5.802708814131926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89036919052059"/>
          <c:y val="0.14736813213704178"/>
          <c:w val="0.68864974494648334"/>
          <c:h val="0.74680622960490894"/>
        </c:manualLayout>
      </c:layout>
      <c:lineChart>
        <c:grouping val="standard"/>
        <c:varyColors val="0"/>
        <c:ser>
          <c:idx val="0"/>
          <c:order val="0"/>
          <c:tx>
            <c:strRef>
              <c:f>TDC!$B$36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AE69-4CB9-996F-2CF20720799F}"/>
              </c:ext>
            </c:extLst>
          </c:dPt>
          <c:dLbls>
            <c:dLbl>
              <c:idx val="3"/>
              <c:layout>
                <c:manualLayout>
                  <c:x val="1.1454753722794959E-2"/>
                  <c:y val="-1.063817659945133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69-4CB9-996F-2CF2072079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TDC!$A$37:$A$41</c:f>
              <c:strCache>
                <c:ptCount val="4"/>
                <c:pt idx="0">
                  <c:v>Accessoires</c:v>
                </c:pt>
                <c:pt idx="1">
                  <c:v>Bureautique</c:v>
                </c:pt>
                <c:pt idx="2">
                  <c:v>Informatique</c:v>
                </c:pt>
                <c:pt idx="3">
                  <c:v>Mobilier</c:v>
                </c:pt>
              </c:strCache>
            </c:strRef>
          </c:cat>
          <c:val>
            <c:numRef>
              <c:f>TDC!$B$37:$B$41</c:f>
              <c:numCache>
                <c:formatCode>General</c:formatCode>
                <c:ptCount val="4"/>
                <c:pt idx="0">
                  <c:v>36271000</c:v>
                </c:pt>
                <c:pt idx="1">
                  <c:v>27533700</c:v>
                </c:pt>
                <c:pt idx="2">
                  <c:v>828197100</c:v>
                </c:pt>
                <c:pt idx="3">
                  <c:v>271865600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9-4CB2-8F3A-6FB39EC7C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154543"/>
        <c:axId val="1928155375"/>
      </c:lineChart>
      <c:catAx>
        <c:axId val="192815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8155375"/>
        <c:crosses val="autoZero"/>
        <c:auto val="1"/>
        <c:lblAlgn val="ctr"/>
        <c:lblOffset val="100"/>
        <c:noMultiLvlLbl val="0"/>
      </c:catAx>
      <c:valAx>
        <c:axId val="192815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815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49912341383127"/>
          <c:y val="0.28815726806409403"/>
          <c:w val="0.25214256154203968"/>
          <c:h val="0.312863156857485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752475</xdr:colOff>
      <xdr:row>0</xdr:row>
      <xdr:rowOff>0</xdr:rowOff>
    </xdr:from>
    <xdr:to>
      <xdr:col>13</xdr:col>
      <xdr:colOff>752475</xdr:colOff>
      <xdr:row>14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64C0F36-1C6D-4E6C-85AA-217A131C2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49389</xdr:colOff>
      <xdr:row>0</xdr:row>
      <xdr:rowOff>14112</xdr:rowOff>
    </xdr:from>
    <xdr:to>
      <xdr:col>17</xdr:col>
      <xdr:colOff>335139</xdr:colOff>
      <xdr:row>36</xdr:row>
      <xdr:rowOff>108656</xdr:rowOff>
    </xdr:to>
    <xdr:grpSp>
      <xdr:nvGrpSpPr>
        <xdr:cNvPr id="63" name="Groupe 62">
          <a:extLst>
            <a:ext uri="{FF2B5EF4-FFF2-40B4-BE49-F238E27FC236}">
              <a16:creationId xmlns:a16="http://schemas.microsoft.com/office/drawing/2014/main" id="{5B467BFF-6322-4CC8-9C9C-82EB0B57D98E}"/>
            </a:ext>
          </a:extLst>
        </xdr:cNvPr>
        <xdr:cNvGrpSpPr/>
      </xdr:nvGrpSpPr>
      <xdr:grpSpPr>
        <a:xfrm>
          <a:off x="49389" y="14112"/>
          <a:ext cx="12703528" cy="7622822"/>
          <a:chOff x="35278" y="0"/>
          <a:chExt cx="12703528" cy="7509933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A17170BA-49BF-436D-9E25-DAFAA0D922C6}"/>
              </a:ext>
            </a:extLst>
          </xdr:cNvPr>
          <xdr:cNvSpPr/>
        </xdr:nvSpPr>
        <xdr:spPr>
          <a:xfrm>
            <a:off x="35278" y="0"/>
            <a:ext cx="12703528" cy="7509933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1100"/>
              <a:t>**</a:t>
            </a:r>
          </a:p>
        </xdr:txBody>
      </xdr:sp>
      <xdr:sp macro="" textlink="">
        <xdr:nvSpPr>
          <xdr:cNvPr id="11" name="Rectangle : coins arrondis 10">
            <a:extLst>
              <a:ext uri="{FF2B5EF4-FFF2-40B4-BE49-F238E27FC236}">
                <a16:creationId xmlns:a16="http://schemas.microsoft.com/office/drawing/2014/main" id="{EF8CD85B-6BBF-4166-8347-262AD4B2A79B}"/>
              </a:ext>
            </a:extLst>
          </xdr:cNvPr>
          <xdr:cNvSpPr/>
        </xdr:nvSpPr>
        <xdr:spPr>
          <a:xfrm>
            <a:off x="236361" y="36532"/>
            <a:ext cx="12216694" cy="550333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fr-FR" sz="1400" b="1">
                <a:solidFill>
                  <a:srgbClr val="7030A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DASHBOARD</a:t>
            </a:r>
            <a:r>
              <a:rPr lang="fr-FR" sz="1400" b="1" baseline="0">
                <a:solidFill>
                  <a:srgbClr val="7030A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</a:t>
            </a:r>
            <a:r>
              <a:rPr lang="fr-FR" sz="1400" b="1">
                <a:solidFill>
                  <a:srgbClr val="7030A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PERFORMANCE</a:t>
            </a:r>
            <a:r>
              <a:rPr lang="fr-FR" sz="1400" b="1" baseline="0">
                <a:solidFill>
                  <a:srgbClr val="7030A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COMMERCIALE 2026</a:t>
            </a:r>
            <a:endParaRPr lang="fr-FR" sz="1400" b="1">
              <a:solidFill>
                <a:srgbClr val="7030A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33" name="Groupe 32">
            <a:extLst>
              <a:ext uri="{FF2B5EF4-FFF2-40B4-BE49-F238E27FC236}">
                <a16:creationId xmlns:a16="http://schemas.microsoft.com/office/drawing/2014/main" id="{9060B6F2-2299-4B4E-A900-6A7AB58F9DD4}"/>
              </a:ext>
            </a:extLst>
          </xdr:cNvPr>
          <xdr:cNvGrpSpPr/>
        </xdr:nvGrpSpPr>
        <xdr:grpSpPr>
          <a:xfrm>
            <a:off x="218722" y="1627011"/>
            <a:ext cx="12262555" cy="687211"/>
            <a:chOff x="533400" y="1187450"/>
            <a:chExt cx="10782300" cy="812800"/>
          </a:xfrm>
        </xdr:grpSpPr>
        <xdr:sp macro="" textlink="">
          <xdr:nvSpPr>
            <xdr:cNvPr id="12" name="Rectangle : coins arrondis 11">
              <a:extLst>
                <a:ext uri="{FF2B5EF4-FFF2-40B4-BE49-F238E27FC236}">
                  <a16:creationId xmlns:a16="http://schemas.microsoft.com/office/drawing/2014/main" id="{3E49CBBF-ADE0-4C9F-9F11-3802A3BE3B25}"/>
                </a:ext>
              </a:extLst>
            </xdr:cNvPr>
            <xdr:cNvSpPr/>
          </xdr:nvSpPr>
          <xdr:spPr>
            <a:xfrm>
              <a:off x="533400" y="1187450"/>
              <a:ext cx="10782300" cy="812800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/>
            </a:p>
          </xdr:txBody>
        </xdr:sp>
        <xdr:grpSp>
          <xdr:nvGrpSpPr>
            <xdr:cNvPr id="26" name="Groupe 25">
              <a:extLst>
                <a:ext uri="{FF2B5EF4-FFF2-40B4-BE49-F238E27FC236}">
                  <a16:creationId xmlns:a16="http://schemas.microsoft.com/office/drawing/2014/main" id="{F8585E31-FF80-4BED-B963-48B443F6B890}"/>
                </a:ext>
              </a:extLst>
            </xdr:cNvPr>
            <xdr:cNvGrpSpPr/>
          </xdr:nvGrpSpPr>
          <xdr:grpSpPr>
            <a:xfrm>
              <a:off x="2197100" y="1308100"/>
              <a:ext cx="1555750" cy="565150"/>
              <a:chOff x="2108200" y="603250"/>
              <a:chExt cx="1555750" cy="565150"/>
            </a:xfrm>
          </xdr:grpSpPr>
          <xdr:sp macro="" textlink="'A performance Globale'!B3">
            <xdr:nvSpPr>
              <xdr:cNvPr id="5" name="Rectangle : coins arrondis 4">
                <a:extLst>
                  <a:ext uri="{FF2B5EF4-FFF2-40B4-BE49-F238E27FC236}">
                    <a16:creationId xmlns:a16="http://schemas.microsoft.com/office/drawing/2014/main" id="{278F4A67-274D-4163-B51A-38FE63995948}"/>
                  </a:ext>
                </a:extLst>
              </xdr:cNvPr>
              <xdr:cNvSpPr/>
            </xdr:nvSpPr>
            <xdr:spPr>
              <a:xfrm>
                <a:off x="2108200" y="622300"/>
                <a:ext cx="1555750" cy="546100"/>
              </a:xfrm>
              <a:prstGeom prst="roundRect">
                <a:avLst/>
              </a:prstGeom>
              <a:ln>
                <a:noFill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b"/>
              <a:lstStyle/>
              <a:p>
                <a:pPr algn="l"/>
                <a:fld id="{D960B2C7-79A1-4472-8A84-0E1EFEAF898E}" type="TxLink">
                  <a:rPr lang="en-US" sz="1100" b="1" i="0" u="none" strike="noStrike">
                    <a:solidFill>
                      <a:srgbClr val="7030A0"/>
                    </a:solidFill>
                    <a:latin typeface="Calibri"/>
                    <a:ea typeface="Calibri"/>
                    <a:cs typeface="Calibri"/>
                  </a:rPr>
                  <a:pPr algn="l"/>
                  <a:t>281 124 000 XAF</a:t>
                </a:fld>
                <a:endParaRPr lang="fr-FR" sz="1100" b="1">
                  <a:solidFill>
                    <a:srgbClr val="7030A0"/>
                  </a:solidFill>
                </a:endParaRPr>
              </a:p>
            </xdr:txBody>
          </xdr:sp>
          <xdr:sp macro="" textlink="">
            <xdr:nvSpPr>
              <xdr:cNvPr id="19" name="ZoneTexte 18">
                <a:extLst>
                  <a:ext uri="{FF2B5EF4-FFF2-40B4-BE49-F238E27FC236}">
                    <a16:creationId xmlns:a16="http://schemas.microsoft.com/office/drawing/2014/main" id="{F85CA4FE-44C8-42BE-B210-57DEB93F1F43}"/>
                  </a:ext>
                </a:extLst>
              </xdr:cNvPr>
              <xdr:cNvSpPr txBox="1"/>
            </xdr:nvSpPr>
            <xdr:spPr>
              <a:xfrm>
                <a:off x="2184400" y="603250"/>
                <a:ext cx="768350" cy="2667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fr-FR" sz="1100" b="1">
                    <a:solidFill>
                      <a:schemeClr val="tx2"/>
                    </a:solidFill>
                  </a:rPr>
                  <a:t>BÉNÉFICE</a:t>
                </a:r>
                <a:r>
                  <a:rPr lang="fr-FR" sz="1100"/>
                  <a:t> </a:t>
                </a:r>
              </a:p>
            </xdr:txBody>
          </xdr:sp>
        </xdr:grpSp>
        <xdr:grpSp>
          <xdr:nvGrpSpPr>
            <xdr:cNvPr id="27" name="Groupe 26">
              <a:extLst>
                <a:ext uri="{FF2B5EF4-FFF2-40B4-BE49-F238E27FC236}">
                  <a16:creationId xmlns:a16="http://schemas.microsoft.com/office/drawing/2014/main" id="{F3FD7FDC-8451-4EEF-80EC-4AF5248FBEC0}"/>
                </a:ext>
              </a:extLst>
            </xdr:cNvPr>
            <xdr:cNvGrpSpPr/>
          </xdr:nvGrpSpPr>
          <xdr:grpSpPr>
            <a:xfrm>
              <a:off x="3556000" y="1314450"/>
              <a:ext cx="1549400" cy="546100"/>
              <a:chOff x="3714750" y="622300"/>
              <a:chExt cx="1549400" cy="546100"/>
            </a:xfrm>
          </xdr:grpSpPr>
          <xdr:sp macro="" textlink="'A performance Globale'!B4">
            <xdr:nvSpPr>
              <xdr:cNvPr id="6" name="Rectangle : coins arrondis 5">
                <a:extLst>
                  <a:ext uri="{FF2B5EF4-FFF2-40B4-BE49-F238E27FC236}">
                    <a16:creationId xmlns:a16="http://schemas.microsoft.com/office/drawing/2014/main" id="{FCC81712-9B1D-4037-A553-590A9D2D1E67}"/>
                  </a:ext>
                </a:extLst>
              </xdr:cNvPr>
              <xdr:cNvSpPr/>
            </xdr:nvSpPr>
            <xdr:spPr>
              <a:xfrm>
                <a:off x="3714750" y="622300"/>
                <a:ext cx="1549400" cy="546100"/>
              </a:xfrm>
              <a:prstGeom prst="roundRect">
                <a:avLst/>
              </a:prstGeom>
              <a:ln>
                <a:noFill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b"/>
              <a:lstStyle/>
              <a:p>
                <a:pPr algn="ctr"/>
                <a:fld id="{053C9EA2-D971-4493-AE4F-390ACA2D9FC2}" type="TxLink">
                  <a:rPr lang="en-US" sz="1100" b="1" i="0" u="none" strike="noStrike">
                    <a:solidFill>
                      <a:srgbClr val="7030A0"/>
                    </a:solidFill>
                    <a:latin typeface="Calibri"/>
                    <a:ea typeface="Calibri"/>
                    <a:cs typeface="Calibri"/>
                  </a:rPr>
                  <a:pPr algn="ctr"/>
                  <a:t>594 XAF</a:t>
                </a:fld>
                <a:endParaRPr lang="fr-FR" sz="1100" b="1">
                  <a:solidFill>
                    <a:srgbClr val="7030A0"/>
                  </a:solidFill>
                </a:endParaRPr>
              </a:p>
            </xdr:txBody>
          </xdr:sp>
          <xdr:sp macro="" textlink="">
            <xdr:nvSpPr>
              <xdr:cNvPr id="20" name="ZoneTexte 19">
                <a:extLst>
                  <a:ext uri="{FF2B5EF4-FFF2-40B4-BE49-F238E27FC236}">
                    <a16:creationId xmlns:a16="http://schemas.microsoft.com/office/drawing/2014/main" id="{1F923A03-DFFD-45BF-8B84-476A09283378}"/>
                  </a:ext>
                </a:extLst>
              </xdr:cNvPr>
              <xdr:cNvSpPr txBox="1"/>
            </xdr:nvSpPr>
            <xdr:spPr>
              <a:xfrm>
                <a:off x="3746500" y="635000"/>
                <a:ext cx="1371600" cy="2159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fr-FR" sz="1100" b="1">
                    <a:solidFill>
                      <a:schemeClr val="tx2"/>
                    </a:solidFill>
                  </a:rPr>
                  <a:t>TAUX</a:t>
                </a:r>
                <a:r>
                  <a:rPr lang="fr-FR" sz="1100" b="1" baseline="0">
                    <a:solidFill>
                      <a:schemeClr val="tx2"/>
                    </a:solidFill>
                  </a:rPr>
                  <a:t> DE MARGE</a:t>
                </a:r>
              </a:p>
            </xdr:txBody>
          </xdr:sp>
        </xdr:grpSp>
        <xdr:grpSp>
          <xdr:nvGrpSpPr>
            <xdr:cNvPr id="32" name="Groupe 31">
              <a:extLst>
                <a:ext uri="{FF2B5EF4-FFF2-40B4-BE49-F238E27FC236}">
                  <a16:creationId xmlns:a16="http://schemas.microsoft.com/office/drawing/2014/main" id="{8F6D2FF4-E5E3-4E55-89B6-EF729FCDF24F}"/>
                </a:ext>
              </a:extLst>
            </xdr:cNvPr>
            <xdr:cNvGrpSpPr/>
          </xdr:nvGrpSpPr>
          <xdr:grpSpPr>
            <a:xfrm>
              <a:off x="5207000" y="1295400"/>
              <a:ext cx="1498600" cy="558800"/>
              <a:chOff x="5480050" y="1282700"/>
              <a:chExt cx="1498600" cy="558800"/>
            </a:xfrm>
          </xdr:grpSpPr>
          <xdr:sp macro="" textlink="'A performance Globale'!B5">
            <xdr:nvSpPr>
              <xdr:cNvPr id="7" name="Rectangle : coins arrondis 6">
                <a:extLst>
                  <a:ext uri="{FF2B5EF4-FFF2-40B4-BE49-F238E27FC236}">
                    <a16:creationId xmlns:a16="http://schemas.microsoft.com/office/drawing/2014/main" id="{9C2394FB-4EC0-4780-805D-07AA5BF0F9DF}"/>
                  </a:ext>
                </a:extLst>
              </xdr:cNvPr>
              <xdr:cNvSpPr/>
            </xdr:nvSpPr>
            <xdr:spPr>
              <a:xfrm>
                <a:off x="5480050" y="1282700"/>
                <a:ext cx="1498600" cy="558800"/>
              </a:xfrm>
              <a:prstGeom prst="roundRect">
                <a:avLst/>
              </a:prstGeom>
              <a:ln>
                <a:noFill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b"/>
              <a:lstStyle/>
              <a:p>
                <a:pPr algn="ctr"/>
                <a:fld id="{9208B62B-18F9-45D8-865D-A95441FAE817}" type="TxLink">
                  <a:rPr lang="en-US" sz="1100" b="1" i="0" u="none" strike="noStrike">
                    <a:solidFill>
                      <a:srgbClr val="7030A0"/>
                    </a:solidFill>
                    <a:latin typeface="Calibri"/>
                    <a:ea typeface="Calibri"/>
                    <a:cs typeface="Calibri"/>
                  </a:rPr>
                  <a:pPr algn="ctr"/>
                  <a:t>1991</a:t>
                </a:fld>
                <a:endParaRPr lang="fr-FR" sz="1100" b="1">
                  <a:solidFill>
                    <a:srgbClr val="7030A0"/>
                  </a:solidFill>
                </a:endParaRPr>
              </a:p>
            </xdr:txBody>
          </xdr:sp>
          <xdr:sp macro="" textlink="">
            <xdr:nvSpPr>
              <xdr:cNvPr id="21" name="ZoneTexte 20">
                <a:extLst>
                  <a:ext uri="{FF2B5EF4-FFF2-40B4-BE49-F238E27FC236}">
                    <a16:creationId xmlns:a16="http://schemas.microsoft.com/office/drawing/2014/main" id="{E61DC6E2-BC1E-45C3-AFF8-F6223B6C5CE4}"/>
                  </a:ext>
                </a:extLst>
              </xdr:cNvPr>
              <xdr:cNvSpPr txBox="1"/>
            </xdr:nvSpPr>
            <xdr:spPr>
              <a:xfrm>
                <a:off x="5499100" y="1301750"/>
                <a:ext cx="1365250" cy="2794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fr-FR" sz="1100" b="1">
                    <a:solidFill>
                      <a:schemeClr val="tx2"/>
                    </a:solidFill>
                  </a:rPr>
                  <a:t>NOMBRE</a:t>
                </a:r>
                <a:r>
                  <a:rPr lang="fr-FR" sz="1100" b="1" baseline="0">
                    <a:solidFill>
                      <a:schemeClr val="tx2"/>
                    </a:solidFill>
                  </a:rPr>
                  <a:t> DE VENTE</a:t>
                </a:r>
                <a:endParaRPr lang="fr-FR" sz="1100" b="1">
                  <a:solidFill>
                    <a:schemeClr val="tx2"/>
                  </a:solidFill>
                </a:endParaRPr>
              </a:p>
            </xdr:txBody>
          </xdr:sp>
        </xdr:grpSp>
        <xdr:grpSp>
          <xdr:nvGrpSpPr>
            <xdr:cNvPr id="29" name="Groupe 28">
              <a:extLst>
                <a:ext uri="{FF2B5EF4-FFF2-40B4-BE49-F238E27FC236}">
                  <a16:creationId xmlns:a16="http://schemas.microsoft.com/office/drawing/2014/main" id="{0F701FDD-AD6E-4BBE-A861-FAF266AA2836}"/>
                </a:ext>
              </a:extLst>
            </xdr:cNvPr>
            <xdr:cNvGrpSpPr/>
          </xdr:nvGrpSpPr>
          <xdr:grpSpPr>
            <a:xfrm>
              <a:off x="6940244" y="1328278"/>
              <a:ext cx="1562100" cy="571500"/>
              <a:chOff x="6787844" y="633596"/>
              <a:chExt cx="1562100" cy="539750"/>
            </a:xfrm>
          </xdr:grpSpPr>
          <xdr:sp macro="" textlink="'A performance Globale'!B7">
            <xdr:nvSpPr>
              <xdr:cNvPr id="8" name="Rectangle : coins arrondis 7">
                <a:extLst>
                  <a:ext uri="{FF2B5EF4-FFF2-40B4-BE49-F238E27FC236}">
                    <a16:creationId xmlns:a16="http://schemas.microsoft.com/office/drawing/2014/main" id="{E8D1DD5C-A347-41C9-B838-EEA13953C805}"/>
                  </a:ext>
                </a:extLst>
              </xdr:cNvPr>
              <xdr:cNvSpPr/>
            </xdr:nvSpPr>
            <xdr:spPr>
              <a:xfrm>
                <a:off x="6787844" y="633596"/>
                <a:ext cx="1562100" cy="539750"/>
              </a:xfrm>
              <a:prstGeom prst="roundRect">
                <a:avLst/>
              </a:prstGeom>
              <a:ln>
                <a:noFill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b"/>
              <a:lstStyle/>
              <a:p>
                <a:pPr algn="ctr"/>
                <a:fld id="{F6419AA4-EE54-496B-8840-F097EFDCD9A0}" type="TxLink">
                  <a:rPr lang="en-US" sz="1100" b="1" i="0" u="none" strike="noStrike">
                    <a:solidFill>
                      <a:srgbClr val="7030A0"/>
                    </a:solidFill>
                    <a:latin typeface="Calibri"/>
                    <a:ea typeface="Calibri"/>
                    <a:cs typeface="Calibri"/>
                  </a:rPr>
                  <a:pPr algn="ctr"/>
                  <a:t>490</a:t>
                </a:fld>
                <a:endParaRPr lang="fr-FR" sz="1100" b="1">
                  <a:solidFill>
                    <a:srgbClr val="7030A0"/>
                  </a:solidFill>
                </a:endParaRPr>
              </a:p>
            </xdr:txBody>
          </xdr:sp>
          <xdr:sp macro="" textlink="">
            <xdr:nvSpPr>
              <xdr:cNvPr id="22" name="ZoneTexte 21">
                <a:extLst>
                  <a:ext uri="{FF2B5EF4-FFF2-40B4-BE49-F238E27FC236}">
                    <a16:creationId xmlns:a16="http://schemas.microsoft.com/office/drawing/2014/main" id="{91A64F0D-34B5-48FD-81CD-297DA5DC7141}"/>
                  </a:ext>
                </a:extLst>
              </xdr:cNvPr>
              <xdr:cNvSpPr txBox="1"/>
            </xdr:nvSpPr>
            <xdr:spPr>
              <a:xfrm>
                <a:off x="6832600" y="635000"/>
                <a:ext cx="1435100" cy="22225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fr-FR" sz="1100" b="1">
                    <a:solidFill>
                      <a:schemeClr val="tx2"/>
                    </a:solidFill>
                  </a:rPr>
                  <a:t>NOMBRE</a:t>
                </a:r>
                <a:r>
                  <a:rPr lang="fr-FR" sz="1100" b="1" baseline="0">
                    <a:solidFill>
                      <a:schemeClr val="tx2"/>
                    </a:solidFill>
                  </a:rPr>
                  <a:t> DE CLIENTS</a:t>
                </a:r>
              </a:p>
            </xdr:txBody>
          </xdr:sp>
        </xdr:grpSp>
        <xdr:grpSp>
          <xdr:nvGrpSpPr>
            <xdr:cNvPr id="30" name="Groupe 29">
              <a:extLst>
                <a:ext uri="{FF2B5EF4-FFF2-40B4-BE49-F238E27FC236}">
                  <a16:creationId xmlns:a16="http://schemas.microsoft.com/office/drawing/2014/main" id="{45E5BD62-2AA1-415F-97C5-1970A36BB1D2}"/>
                </a:ext>
              </a:extLst>
            </xdr:cNvPr>
            <xdr:cNvGrpSpPr/>
          </xdr:nvGrpSpPr>
          <xdr:grpSpPr>
            <a:xfrm>
              <a:off x="8648700" y="1289049"/>
              <a:ext cx="1174750" cy="612449"/>
              <a:chOff x="8388350" y="577849"/>
              <a:chExt cx="1530350" cy="612449"/>
            </a:xfrm>
          </xdr:grpSpPr>
          <xdr:sp macro="" textlink="'A performance Globale'!B6">
            <xdr:nvSpPr>
              <xdr:cNvPr id="9" name="Rectangle : coins arrondis 8">
                <a:extLst>
                  <a:ext uri="{FF2B5EF4-FFF2-40B4-BE49-F238E27FC236}">
                    <a16:creationId xmlns:a16="http://schemas.microsoft.com/office/drawing/2014/main" id="{CB3F13E8-FFB9-4823-9DDD-A8C689F1C54F}"/>
                  </a:ext>
                </a:extLst>
              </xdr:cNvPr>
              <xdr:cNvSpPr/>
            </xdr:nvSpPr>
            <xdr:spPr>
              <a:xfrm>
                <a:off x="8388350" y="577849"/>
                <a:ext cx="1530350" cy="612449"/>
              </a:xfrm>
              <a:prstGeom prst="roundRect">
                <a:avLst/>
              </a:prstGeom>
              <a:ln>
                <a:noFill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b"/>
              <a:lstStyle/>
              <a:p>
                <a:pPr algn="ctr"/>
                <a:fld id="{A6D439ED-6387-48D0-8258-D5686AE02C03}" type="TxLink">
                  <a:rPr lang="en-US" sz="1100" b="1" i="0" u="none" strike="noStrike">
                    <a:solidFill>
                      <a:srgbClr val="7030A0"/>
                    </a:solidFill>
                    <a:latin typeface="Calibri"/>
                    <a:ea typeface="Calibri"/>
                    <a:cs typeface="Calibri"/>
                  </a:rPr>
                  <a:pPr algn="ctr"/>
                  <a:t>10929</a:t>
                </a:fld>
                <a:endParaRPr lang="en-US" sz="1100" b="1">
                  <a:solidFill>
                    <a:srgbClr val="7030A0"/>
                  </a:solidFill>
                </a:endParaRPr>
              </a:p>
            </xdr:txBody>
          </xdr:sp>
          <xdr:sp macro="" textlink="">
            <xdr:nvSpPr>
              <xdr:cNvPr id="23" name="ZoneTexte 22">
                <a:extLst>
                  <a:ext uri="{FF2B5EF4-FFF2-40B4-BE49-F238E27FC236}">
                    <a16:creationId xmlns:a16="http://schemas.microsoft.com/office/drawing/2014/main" id="{53C03F3A-7F96-4C8C-ACC0-BB5D4AE09AFB}"/>
                  </a:ext>
                </a:extLst>
              </xdr:cNvPr>
              <xdr:cNvSpPr txBox="1"/>
            </xdr:nvSpPr>
            <xdr:spPr>
              <a:xfrm>
                <a:off x="8483600" y="634999"/>
                <a:ext cx="1174751" cy="25904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fr-FR" sz="1100" b="1">
                    <a:solidFill>
                      <a:schemeClr val="tx2"/>
                    </a:solidFill>
                  </a:rPr>
                  <a:t>QUANTITÉ </a:t>
                </a:r>
              </a:p>
            </xdr:txBody>
          </xdr:sp>
        </xdr:grpSp>
        <xdr:grpSp>
          <xdr:nvGrpSpPr>
            <xdr:cNvPr id="31" name="Groupe 30">
              <a:extLst>
                <a:ext uri="{FF2B5EF4-FFF2-40B4-BE49-F238E27FC236}">
                  <a16:creationId xmlns:a16="http://schemas.microsoft.com/office/drawing/2014/main" id="{3E2FAA9C-E412-4813-99EF-04CB74306E29}"/>
                </a:ext>
              </a:extLst>
            </xdr:cNvPr>
            <xdr:cNvGrpSpPr/>
          </xdr:nvGrpSpPr>
          <xdr:grpSpPr>
            <a:xfrm>
              <a:off x="9772650" y="1263650"/>
              <a:ext cx="1447800" cy="546100"/>
              <a:chOff x="9975850" y="584200"/>
              <a:chExt cx="1447800" cy="546100"/>
            </a:xfrm>
          </xdr:grpSpPr>
          <xdr:sp macro="" textlink="'A performance Globale'!B8">
            <xdr:nvSpPr>
              <xdr:cNvPr id="10" name="Rectangle : coins arrondis 9">
                <a:extLst>
                  <a:ext uri="{FF2B5EF4-FFF2-40B4-BE49-F238E27FC236}">
                    <a16:creationId xmlns:a16="http://schemas.microsoft.com/office/drawing/2014/main" id="{386E3E0F-2863-4204-BB0C-2A159A811AD2}"/>
                  </a:ext>
                </a:extLst>
              </xdr:cNvPr>
              <xdr:cNvSpPr/>
            </xdr:nvSpPr>
            <xdr:spPr>
              <a:xfrm>
                <a:off x="9975850" y="584200"/>
                <a:ext cx="1447800" cy="546100"/>
              </a:xfrm>
              <a:prstGeom prst="roundRect">
                <a:avLst/>
              </a:prstGeom>
              <a:ln>
                <a:noFill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b"/>
              <a:lstStyle/>
              <a:p>
                <a:pPr algn="r"/>
                <a:fld id="{37E7CD4E-7122-478B-83C4-CD2F1E3DEFBD}" type="TxLink">
                  <a:rPr lang="en-US" sz="1100" b="1" i="0" u="none" strike="noStrike">
                    <a:solidFill>
                      <a:srgbClr val="7030A0"/>
                    </a:solidFill>
                    <a:latin typeface="Calibri"/>
                    <a:ea typeface="Calibri"/>
                    <a:cs typeface="Calibri"/>
                  </a:rPr>
                  <a:pPr algn="r"/>
                  <a:t>584 564 XAF</a:t>
                </a:fld>
                <a:endParaRPr lang="fr-FR" sz="1100" b="1">
                  <a:solidFill>
                    <a:srgbClr val="7030A0"/>
                  </a:solidFill>
                </a:endParaRPr>
              </a:p>
            </xdr:txBody>
          </xdr:sp>
          <xdr:sp macro="" textlink="">
            <xdr:nvSpPr>
              <xdr:cNvPr id="24" name="ZoneTexte 23">
                <a:extLst>
                  <a:ext uri="{FF2B5EF4-FFF2-40B4-BE49-F238E27FC236}">
                    <a16:creationId xmlns:a16="http://schemas.microsoft.com/office/drawing/2014/main" id="{93612CD6-4E7F-4667-94CD-C7CA6F9D2669}"/>
                  </a:ext>
                </a:extLst>
              </xdr:cNvPr>
              <xdr:cNvSpPr txBox="1"/>
            </xdr:nvSpPr>
            <xdr:spPr>
              <a:xfrm>
                <a:off x="10026212" y="597265"/>
                <a:ext cx="1238250" cy="2794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fr-FR" sz="1100" b="1">
                    <a:solidFill>
                      <a:schemeClr val="tx2"/>
                    </a:solidFill>
                  </a:rPr>
                  <a:t>PANIER</a:t>
                </a:r>
                <a:r>
                  <a:rPr lang="fr-FR" sz="1100" b="1" baseline="0">
                    <a:solidFill>
                      <a:schemeClr val="tx2"/>
                    </a:solidFill>
                  </a:rPr>
                  <a:t> MOYEN</a:t>
                </a:r>
                <a:endParaRPr lang="fr-FR" sz="1100" b="1">
                  <a:solidFill>
                    <a:schemeClr val="tx2"/>
                  </a:solidFill>
                </a:endParaRPr>
              </a:p>
              <a:p>
                <a:endParaRPr lang="fr-FR" sz="1100"/>
              </a:p>
            </xdr:txBody>
          </xdr:sp>
        </xdr:grpSp>
        <xdr:grpSp>
          <xdr:nvGrpSpPr>
            <xdr:cNvPr id="25" name="Groupe 24">
              <a:extLst>
                <a:ext uri="{FF2B5EF4-FFF2-40B4-BE49-F238E27FC236}">
                  <a16:creationId xmlns:a16="http://schemas.microsoft.com/office/drawing/2014/main" id="{E64A56C7-E7AB-4E7E-B780-CF049AECBB13}"/>
                </a:ext>
              </a:extLst>
            </xdr:cNvPr>
            <xdr:cNvGrpSpPr/>
          </xdr:nvGrpSpPr>
          <xdr:grpSpPr>
            <a:xfrm>
              <a:off x="628650" y="1301750"/>
              <a:ext cx="1485900" cy="546100"/>
              <a:chOff x="596900" y="571500"/>
              <a:chExt cx="1485900" cy="546100"/>
            </a:xfrm>
          </xdr:grpSpPr>
          <xdr:sp macro="" textlink="'A performance Globale'!B2">
            <xdr:nvSpPr>
              <xdr:cNvPr id="4" name="Rectangle : coins arrondis 3">
                <a:extLst>
                  <a:ext uri="{FF2B5EF4-FFF2-40B4-BE49-F238E27FC236}">
                    <a16:creationId xmlns:a16="http://schemas.microsoft.com/office/drawing/2014/main" id="{4494EEB8-9DE6-4927-A19E-87B3790ADE49}"/>
                  </a:ext>
                </a:extLst>
              </xdr:cNvPr>
              <xdr:cNvSpPr/>
            </xdr:nvSpPr>
            <xdr:spPr>
              <a:xfrm>
                <a:off x="596900" y="571500"/>
                <a:ext cx="1485900" cy="546100"/>
              </a:xfrm>
              <a:prstGeom prst="roundRect">
                <a:avLst/>
              </a:prstGeom>
              <a:ln>
                <a:noFill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b"/>
              <a:lstStyle/>
              <a:p>
                <a:pPr algn="ctr"/>
                <a:fld id="{4EBED9AA-0E27-4C67-B1E0-B631A7A17D1D}" type="TxLink">
                  <a:rPr lang="en-US" sz="1100" b="1" i="0" u="none" strike="noStrike">
                    <a:solidFill>
                      <a:srgbClr val="7030A0"/>
                    </a:solidFill>
                    <a:latin typeface="Calibri"/>
                    <a:ea typeface="Calibri"/>
                    <a:cs typeface="Calibri"/>
                  </a:rPr>
                  <a:pPr algn="ctr"/>
                  <a:t>1 163 867 400 XAF</a:t>
                </a:fld>
                <a:endParaRPr lang="en-US" sz="1100" b="1">
                  <a:solidFill>
                    <a:srgbClr val="7030A0"/>
                  </a:solidFill>
                </a:endParaRPr>
              </a:p>
            </xdr:txBody>
          </xdr:sp>
          <xdr:sp macro="" textlink="">
            <xdr:nvSpPr>
              <xdr:cNvPr id="18" name="ZoneTexte 17">
                <a:extLst>
                  <a:ext uri="{FF2B5EF4-FFF2-40B4-BE49-F238E27FC236}">
                    <a16:creationId xmlns:a16="http://schemas.microsoft.com/office/drawing/2014/main" id="{8937FF5C-99BB-4B66-A5C7-6BD50824CE69}"/>
                  </a:ext>
                </a:extLst>
              </xdr:cNvPr>
              <xdr:cNvSpPr txBox="1"/>
            </xdr:nvSpPr>
            <xdr:spPr>
              <a:xfrm>
                <a:off x="660400" y="609600"/>
                <a:ext cx="1377950" cy="2667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fr-FR" sz="1100" b="1">
                    <a:solidFill>
                      <a:schemeClr val="tx2"/>
                    </a:solidFill>
                  </a:rPr>
                  <a:t>CHIFFRE</a:t>
                </a:r>
                <a:r>
                  <a:rPr lang="fr-FR" sz="1100" b="1" baseline="0">
                    <a:solidFill>
                      <a:schemeClr val="tx2"/>
                    </a:solidFill>
                  </a:rPr>
                  <a:t> D'AFFAIRE</a:t>
                </a:r>
                <a:endParaRPr lang="fr-FR" sz="1100" b="1">
                  <a:solidFill>
                    <a:schemeClr val="tx2"/>
                  </a:solidFill>
                </a:endParaRPr>
              </a:p>
            </xdr:txBody>
          </xdr:sp>
        </xdr:grpSp>
      </xdr:grpSp>
      <xdr:graphicFrame macro="">
        <xdr:nvGraphicFramePr>
          <xdr:cNvPr id="41" name="Graphique 40">
            <a:extLst>
              <a:ext uri="{FF2B5EF4-FFF2-40B4-BE49-F238E27FC236}">
                <a16:creationId xmlns:a16="http://schemas.microsoft.com/office/drawing/2014/main" id="{09094FB3-D8C3-41D7-9631-7D06B30DCADB}"/>
              </a:ext>
            </a:extLst>
          </xdr:cNvPr>
          <xdr:cNvGraphicFramePr>
            <a:graphicFrameLocks/>
          </xdr:cNvGraphicFramePr>
        </xdr:nvGraphicFramePr>
        <xdr:xfrm>
          <a:off x="225778" y="2299406"/>
          <a:ext cx="3549650" cy="27389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2" name="Graphique 41">
            <a:extLst>
              <a:ext uri="{FF2B5EF4-FFF2-40B4-BE49-F238E27FC236}">
                <a16:creationId xmlns:a16="http://schemas.microsoft.com/office/drawing/2014/main" id="{3736C07D-89FA-42CA-9CF1-8D1D703132F2}"/>
              </a:ext>
            </a:extLst>
          </xdr:cNvPr>
          <xdr:cNvGraphicFramePr>
            <a:graphicFrameLocks/>
          </xdr:cNvGraphicFramePr>
        </xdr:nvGraphicFramePr>
        <xdr:xfrm>
          <a:off x="7217834" y="5003095"/>
          <a:ext cx="5291666" cy="21300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3" name="Graphique 42">
            <a:extLst>
              <a:ext uri="{FF2B5EF4-FFF2-40B4-BE49-F238E27FC236}">
                <a16:creationId xmlns:a16="http://schemas.microsoft.com/office/drawing/2014/main" id="{250F0369-BF93-4B11-9313-2CE896293182}"/>
              </a:ext>
            </a:extLst>
          </xdr:cNvPr>
          <xdr:cNvGraphicFramePr>
            <a:graphicFrameLocks/>
          </xdr:cNvGraphicFramePr>
        </xdr:nvGraphicFramePr>
        <xdr:xfrm>
          <a:off x="7687028" y="2329039"/>
          <a:ext cx="4806950" cy="27199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46" name="Graphique 45">
            <a:extLst>
              <a:ext uri="{FF2B5EF4-FFF2-40B4-BE49-F238E27FC236}">
                <a16:creationId xmlns:a16="http://schemas.microsoft.com/office/drawing/2014/main" id="{DE5624A5-E8F5-4580-A539-B20DEB1CD92A}"/>
              </a:ext>
            </a:extLst>
          </xdr:cNvPr>
          <xdr:cNvGraphicFramePr>
            <a:graphicFrameLocks/>
          </xdr:cNvGraphicFramePr>
        </xdr:nvGraphicFramePr>
        <xdr:xfrm>
          <a:off x="2333978" y="5023556"/>
          <a:ext cx="4876800" cy="21194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47" name="Graphique 46">
            <a:extLst>
              <a:ext uri="{FF2B5EF4-FFF2-40B4-BE49-F238E27FC236}">
                <a16:creationId xmlns:a16="http://schemas.microsoft.com/office/drawing/2014/main" id="{AD0030BE-68AA-4E99-B880-8F8DDA9F51BF}"/>
              </a:ext>
            </a:extLst>
          </xdr:cNvPr>
          <xdr:cNvGraphicFramePr>
            <a:graphicFrameLocks/>
          </xdr:cNvGraphicFramePr>
        </xdr:nvGraphicFramePr>
        <xdr:xfrm>
          <a:off x="209550" y="5017912"/>
          <a:ext cx="2435578" cy="21223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48" name="Graphique 47">
            <a:extLst>
              <a:ext uri="{FF2B5EF4-FFF2-40B4-BE49-F238E27FC236}">
                <a16:creationId xmlns:a16="http://schemas.microsoft.com/office/drawing/2014/main" id="{9C257A42-7662-4D35-800B-38ACDAB3454E}"/>
              </a:ext>
            </a:extLst>
          </xdr:cNvPr>
          <xdr:cNvGraphicFramePr>
            <a:graphicFrameLocks/>
          </xdr:cNvGraphicFramePr>
        </xdr:nvGraphicFramePr>
        <xdr:xfrm>
          <a:off x="3761317" y="2316835"/>
          <a:ext cx="3936293" cy="26994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0" name="Région 1">
                <a:extLst>
                  <a:ext uri="{FF2B5EF4-FFF2-40B4-BE49-F238E27FC236}">
                    <a16:creationId xmlns:a16="http://schemas.microsoft.com/office/drawing/2014/main" id="{3C181413-5C3D-4477-9A7F-4E2EC32CFF10}"/>
                  </a:ext>
                </a:extLst>
              </xdr:cNvPr>
              <xdr:cNvGraphicFramePr/>
            </xdr:nvGraphicFramePr>
            <xdr:xfrm>
              <a:off x="5009444" y="613831"/>
              <a:ext cx="3746500" cy="945446"/>
            </xdr:xfrm>
            <a:graphic>
              <a:graphicData uri="http://schemas.microsoft.com/office/drawing/2010/slicer">
                <sle:slicer xmlns:sle="http://schemas.microsoft.com/office/drawing/2010/slicer" name="Région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023555" y="637170"/>
                <a:ext cx="3746500" cy="95965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2" name="Mode_Paiement 1">
                <a:extLst>
                  <a:ext uri="{FF2B5EF4-FFF2-40B4-BE49-F238E27FC236}">
                    <a16:creationId xmlns:a16="http://schemas.microsoft.com/office/drawing/2014/main" id="{255523FF-A32B-41E7-94E2-81D45C9BBEA6}"/>
                  </a:ext>
                </a:extLst>
              </xdr:cNvPr>
              <xdr:cNvGraphicFramePr/>
            </xdr:nvGraphicFramePr>
            <xdr:xfrm>
              <a:off x="8967611" y="635001"/>
              <a:ext cx="3457222" cy="931332"/>
            </xdr:xfrm>
            <a:graphic>
              <a:graphicData uri="http://schemas.microsoft.com/office/drawing/2010/slicer">
                <sle:slicer xmlns:sle="http://schemas.microsoft.com/office/drawing/2010/slicer" name="Mode_Paiement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981722" y="658658"/>
                <a:ext cx="3457222" cy="94533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8" name="Periode">
                <a:extLst>
                  <a:ext uri="{FF2B5EF4-FFF2-40B4-BE49-F238E27FC236}">
                    <a16:creationId xmlns:a16="http://schemas.microsoft.com/office/drawing/2014/main" id="{7EF3A395-79B8-40ED-969F-876722F4755A}"/>
                  </a:ext>
                </a:extLst>
              </xdr:cNvPr>
              <xdr:cNvGraphicFramePr/>
            </xdr:nvGraphicFramePr>
            <xdr:xfrm>
              <a:off x="239887" y="599724"/>
              <a:ext cx="4628447" cy="994831"/>
            </xdr:xfrm>
            <a:graphic>
              <a:graphicData uri="http://schemas.microsoft.com/office/drawing/2010/slicer">
                <sle:slicer xmlns:sle="http://schemas.microsoft.com/office/drawing/2010/slicer" name="Period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3998" y="622851"/>
                <a:ext cx="4628447" cy="100978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xdr:pic>
        <xdr:nvPicPr>
          <xdr:cNvPr id="62" name="Image 61">
            <a:extLst>
              <a:ext uri="{FF2B5EF4-FFF2-40B4-BE49-F238E27FC236}">
                <a16:creationId xmlns:a16="http://schemas.microsoft.com/office/drawing/2014/main" id="{33F4BB70-ABED-434C-919F-7C6F0FED5C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9856" y="63501"/>
            <a:ext cx="451555" cy="45155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29</xdr:row>
      <xdr:rowOff>88900</xdr:rowOff>
    </xdr:from>
    <xdr:to>
      <xdr:col>5</xdr:col>
      <xdr:colOff>1130300</xdr:colOff>
      <xdr:row>38</xdr:row>
      <xdr:rowOff>50799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Région">
              <a:extLst>
                <a:ext uri="{FF2B5EF4-FFF2-40B4-BE49-F238E27FC236}">
                  <a16:creationId xmlns:a16="http://schemas.microsoft.com/office/drawing/2014/main" id="{E6C8F759-4260-4888-880F-2A55EAAEC8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6750" y="5429250"/>
              <a:ext cx="2857500" cy="1619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82550</xdr:colOff>
      <xdr:row>18</xdr:row>
      <xdr:rowOff>50801</xdr:rowOff>
    </xdr:from>
    <xdr:to>
      <xdr:col>10</xdr:col>
      <xdr:colOff>412750</xdr:colOff>
      <xdr:row>26</xdr:row>
      <xdr:rowOff>57151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Mode_Paiement">
              <a:extLst>
                <a:ext uri="{FF2B5EF4-FFF2-40B4-BE49-F238E27FC236}">
                  <a16:creationId xmlns:a16="http://schemas.microsoft.com/office/drawing/2014/main" id="{BBBA6E60-3A75-4D88-A4AB-00A8C9DE8E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_Paie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0950" y="3365501"/>
              <a:ext cx="1854200" cy="1479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40</xdr:row>
      <xdr:rowOff>158751</xdr:rowOff>
    </xdr:from>
    <xdr:to>
      <xdr:col>1</xdr:col>
      <xdr:colOff>660400</xdr:colOff>
      <xdr:row>48</xdr:row>
      <xdr:rowOff>101601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Catégorie">
              <a:extLst>
                <a:ext uri="{FF2B5EF4-FFF2-40B4-BE49-F238E27FC236}">
                  <a16:creationId xmlns:a16="http://schemas.microsoft.com/office/drawing/2014/main" id="{4423EFA2-19E3-4560-8B0F-01A02C8AD1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égori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7524751"/>
              <a:ext cx="1930400" cy="141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</xdr:row>
      <xdr:rowOff>152400</xdr:rowOff>
    </xdr:from>
    <xdr:to>
      <xdr:col>0</xdr:col>
      <xdr:colOff>1073150</xdr:colOff>
      <xdr:row>16</xdr:row>
      <xdr:rowOff>98425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Mois2">
              <a:extLst>
                <a:ext uri="{FF2B5EF4-FFF2-40B4-BE49-F238E27FC236}">
                  <a16:creationId xmlns:a16="http://schemas.microsoft.com/office/drawing/2014/main" id="{6B5DCC2E-98F8-435E-84B9-3DD69AE9E0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20700"/>
              <a:ext cx="10731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SATEUR" refreshedDate="46262.031642708331" createdVersion="7" refreshedVersion="7" minRefreshableVersion="3" recordCount="1991" xr:uid="{BE665641-DB8F-40D1-9679-69349E90A593}">
  <cacheSource type="worksheet">
    <worksheetSource name="Tableau1_2"/>
  </cacheSource>
  <cacheFields count="21">
    <cacheField name="ID_Vente" numFmtId="0">
      <sharedItems/>
    </cacheField>
    <cacheField name="Date" numFmtId="14">
      <sharedItems containsSemiMixedTypes="0" containsNonDate="0" containsDate="1" containsString="0" minDate="2026-01-01T00:00:00" maxDate="2027-01-01T00:00:00" count="365">
        <d v="2026-06-20T00:00:00"/>
        <d v="2026-12-02T00:00:00"/>
        <d v="2026-07-11T00:00:00"/>
        <d v="2026-04-20T00:00:00"/>
        <d v="2026-11-25T00:00:00"/>
        <d v="2026-03-10T00:00:00"/>
        <d v="2026-07-30T00:00:00"/>
        <d v="2026-12-28T00:00:00"/>
        <d v="2026-11-21T00:00:00"/>
        <d v="2026-02-03T00:00:00"/>
        <d v="2026-12-10T00:00:00"/>
        <d v="2026-02-19T00:00:00"/>
        <d v="2026-08-28T00:00:00"/>
        <d v="2026-07-08T00:00:00"/>
        <d v="2026-06-22T00:00:00"/>
        <d v="2026-11-04T00:00:00"/>
        <d v="2026-02-11T00:00:00"/>
        <d v="2026-02-16T00:00:00"/>
        <d v="2026-05-14T00:00:00"/>
        <d v="2026-12-16T00:00:00"/>
        <d v="2026-11-07T00:00:00"/>
        <d v="2026-10-10T00:00:00"/>
        <d v="2026-11-17T00:00:00"/>
        <d v="2026-08-03T00:00:00"/>
        <d v="2026-12-23T00:00:00"/>
        <d v="2026-04-18T00:00:00"/>
        <d v="2026-01-10T00:00:00"/>
        <d v="2026-08-16T00:00:00"/>
        <d v="2026-10-14T00:00:00"/>
        <d v="2026-12-31T00:00:00"/>
        <d v="2026-06-11T00:00:00"/>
        <d v="2026-06-23T00:00:00"/>
        <d v="2026-12-07T00:00:00"/>
        <d v="2026-01-19T00:00:00"/>
        <d v="2026-03-03T00:00:00"/>
        <d v="2026-06-19T00:00:00"/>
        <d v="2026-07-13T00:00:00"/>
        <d v="2026-08-20T00:00:00"/>
        <d v="2026-07-28T00:00:00"/>
        <d v="2026-04-03T00:00:00"/>
        <d v="2026-04-12T00:00:00"/>
        <d v="2026-08-21T00:00:00"/>
        <d v="2026-11-12T00:00:00"/>
        <d v="2026-05-11T00:00:00"/>
        <d v="2026-01-20T00:00:00"/>
        <d v="2026-01-03T00:00:00"/>
        <d v="2026-01-13T00:00:00"/>
        <d v="2026-06-30T00:00:00"/>
        <d v="2026-05-30T00:00:00"/>
        <d v="2026-09-02T00:00:00"/>
        <d v="2026-07-17T00:00:00"/>
        <d v="2026-06-16T00:00:00"/>
        <d v="2026-05-01T00:00:00"/>
        <d v="2026-11-29T00:00:00"/>
        <d v="2026-05-25T00:00:00"/>
        <d v="2026-04-06T00:00:00"/>
        <d v="2026-02-26T00:00:00"/>
        <d v="2026-08-08T00:00:00"/>
        <d v="2026-10-30T00:00:00"/>
        <d v="2026-07-09T00:00:00"/>
        <d v="2026-11-14T00:00:00"/>
        <d v="2026-08-05T00:00:00"/>
        <d v="2026-07-14T00:00:00"/>
        <d v="2026-09-18T00:00:00"/>
        <d v="2026-01-28T00:00:00"/>
        <d v="2026-01-06T00:00:00"/>
        <d v="2026-03-25T00:00:00"/>
        <d v="2026-08-11T00:00:00"/>
        <d v="2026-05-20T00:00:00"/>
        <d v="2026-09-15T00:00:00"/>
        <d v="2026-09-20T00:00:00"/>
        <d v="2026-04-15T00:00:00"/>
        <d v="2026-07-10T00:00:00"/>
        <d v="2026-01-27T00:00:00"/>
        <d v="2026-08-19T00:00:00"/>
        <d v="2026-08-10T00:00:00"/>
        <d v="2026-09-16T00:00:00"/>
        <d v="2026-01-23T00:00:00"/>
        <d v="2026-04-14T00:00:00"/>
        <d v="2026-11-26T00:00:00"/>
        <d v="2026-10-21T00:00:00"/>
        <d v="2026-05-08T00:00:00"/>
        <d v="2026-09-11T00:00:00"/>
        <d v="2026-04-21T00:00:00"/>
        <d v="2026-08-13T00:00:00"/>
        <d v="2026-07-02T00:00:00"/>
        <d v="2026-09-30T00:00:00"/>
        <d v="2026-12-26T00:00:00"/>
        <d v="2026-08-09T00:00:00"/>
        <d v="2026-10-16T00:00:00"/>
        <d v="2026-08-22T00:00:00"/>
        <d v="2026-04-05T00:00:00"/>
        <d v="2026-08-26T00:00:00"/>
        <d v="2026-04-23T00:00:00"/>
        <d v="2026-03-12T00:00:00"/>
        <d v="2026-09-13T00:00:00"/>
        <d v="2026-11-03T00:00:00"/>
        <d v="2026-10-04T00:00:00"/>
        <d v="2026-10-27T00:00:00"/>
        <d v="2026-02-02T00:00:00"/>
        <d v="2026-12-25T00:00:00"/>
        <d v="2026-02-20T00:00:00"/>
        <d v="2026-05-13T00:00:00"/>
        <d v="2026-02-21T00:00:00"/>
        <d v="2026-08-02T00:00:00"/>
        <d v="2026-11-01T00:00:00"/>
        <d v="2026-05-23T00:00:00"/>
        <d v="2026-02-08T00:00:00"/>
        <d v="2026-09-29T00:00:00"/>
        <d v="2026-02-04T00:00:00"/>
        <d v="2026-07-24T00:00:00"/>
        <d v="2026-06-27T00:00:00"/>
        <d v="2026-11-11T00:00:00"/>
        <d v="2026-09-07T00:00:00"/>
        <d v="2026-08-23T00:00:00"/>
        <d v="2026-10-09T00:00:00"/>
        <d v="2026-11-05T00:00:00"/>
        <d v="2026-12-06T00:00:00"/>
        <d v="2026-08-25T00:00:00"/>
        <d v="2026-05-19T00:00:00"/>
        <d v="2026-04-04T00:00:00"/>
        <d v="2026-09-19T00:00:00"/>
        <d v="2026-04-26T00:00:00"/>
        <d v="2026-09-06T00:00:00"/>
        <d v="2026-03-20T00:00:00"/>
        <d v="2026-08-24T00:00:00"/>
        <d v="2026-11-15T00:00:00"/>
        <d v="2026-08-29T00:00:00"/>
        <d v="2026-02-09T00:00:00"/>
        <d v="2026-06-13T00:00:00"/>
        <d v="2026-01-25T00:00:00"/>
        <d v="2026-12-08T00:00:00"/>
        <d v="2026-02-14T00:00:00"/>
        <d v="2026-05-22T00:00:00"/>
        <d v="2026-04-10T00:00:00"/>
        <d v="2026-02-17T00:00:00"/>
        <d v="2026-08-06T00:00:00"/>
        <d v="2026-06-09T00:00:00"/>
        <d v="2026-02-05T00:00:00"/>
        <d v="2026-10-20T00:00:00"/>
        <d v="2026-04-09T00:00:00"/>
        <d v="2026-11-24T00:00:00"/>
        <d v="2026-04-08T00:00:00"/>
        <d v="2026-05-29T00:00:00"/>
        <d v="2026-09-09T00:00:00"/>
        <d v="2026-08-17T00:00:00"/>
        <d v="2026-10-07T00:00:00"/>
        <d v="2026-07-05T00:00:00"/>
        <d v="2026-06-29T00:00:00"/>
        <d v="2026-10-02T00:00:00"/>
        <d v="2026-06-06T00:00:00"/>
        <d v="2026-03-09T00:00:00"/>
        <d v="2026-05-17T00:00:00"/>
        <d v="2026-09-12T00:00:00"/>
        <d v="2026-06-12T00:00:00"/>
        <d v="2026-09-26T00:00:00"/>
        <d v="2026-05-24T00:00:00"/>
        <d v="2026-05-09T00:00:00"/>
        <d v="2026-06-28T00:00:00"/>
        <d v="2026-12-19T00:00:00"/>
        <d v="2026-09-08T00:00:00"/>
        <d v="2026-11-09T00:00:00"/>
        <d v="2026-11-22T00:00:00"/>
        <d v="2026-01-31T00:00:00"/>
        <d v="2026-08-27T00:00:00"/>
        <d v="2026-03-16T00:00:00"/>
        <d v="2026-12-20T00:00:00"/>
        <d v="2026-04-24T00:00:00"/>
        <d v="2026-02-28T00:00:00"/>
        <d v="2026-10-01T00:00:00"/>
        <d v="2026-08-14T00:00:00"/>
        <d v="2026-01-07T00:00:00"/>
        <d v="2026-12-11T00:00:00"/>
        <d v="2026-07-22T00:00:00"/>
        <d v="2026-03-01T00:00:00"/>
        <d v="2026-03-26T00:00:00"/>
        <d v="2026-10-28T00:00:00"/>
        <d v="2026-12-15T00:00:00"/>
        <d v="2026-04-17T00:00:00"/>
        <d v="2026-08-15T00:00:00"/>
        <d v="2026-07-26T00:00:00"/>
        <d v="2026-09-10T00:00:00"/>
        <d v="2026-03-30T00:00:00"/>
        <d v="2026-08-07T00:00:00"/>
        <d v="2026-12-09T00:00:00"/>
        <d v="2026-03-15T00:00:00"/>
        <d v="2026-11-27T00:00:00"/>
        <d v="2026-05-28T00:00:00"/>
        <d v="2026-10-29T00:00:00"/>
        <d v="2026-02-07T00:00:00"/>
        <d v="2026-03-24T00:00:00"/>
        <d v="2026-02-12T00:00:00"/>
        <d v="2026-02-15T00:00:00"/>
        <d v="2026-05-26T00:00:00"/>
        <d v="2026-01-04T00:00:00"/>
        <d v="2026-07-18T00:00:00"/>
        <d v="2026-09-21T00:00:00"/>
        <d v="2026-03-29T00:00:00"/>
        <d v="2026-01-11T00:00:00"/>
        <d v="2026-07-25T00:00:00"/>
        <d v="2026-07-21T00:00:00"/>
        <d v="2026-07-12T00:00:00"/>
        <d v="2026-09-23T00:00:00"/>
        <d v="2026-05-31T00:00:00"/>
        <d v="2026-04-30T00:00:00"/>
        <d v="2026-11-28T00:00:00"/>
        <d v="2026-09-27T00:00:00"/>
        <d v="2026-11-10T00:00:00"/>
        <d v="2026-12-12T00:00:00"/>
        <d v="2026-03-02T00:00:00"/>
        <d v="2026-05-21T00:00:00"/>
        <d v="2026-03-06T00:00:00"/>
        <d v="2026-02-24T00:00:00"/>
        <d v="2026-06-17T00:00:00"/>
        <d v="2026-04-16T00:00:00"/>
        <d v="2026-06-03T00:00:00"/>
        <d v="2026-03-21T00:00:00"/>
        <d v="2026-12-17T00:00:00"/>
        <d v="2026-05-07T00:00:00"/>
        <d v="2026-05-27T00:00:00"/>
        <d v="2026-12-04T00:00:00"/>
        <d v="2026-09-01T00:00:00"/>
        <d v="2026-01-22T00:00:00"/>
        <d v="2026-10-11T00:00:00"/>
        <d v="2026-01-17T00:00:00"/>
        <d v="2026-06-05T00:00:00"/>
        <d v="2026-02-01T00:00:00"/>
        <d v="2026-04-22T00:00:00"/>
        <d v="2026-01-21T00:00:00"/>
        <d v="2026-08-30T00:00:00"/>
        <d v="2026-12-24T00:00:00"/>
        <d v="2026-01-26T00:00:00"/>
        <d v="2026-03-23T00:00:00"/>
        <d v="2026-10-12T00:00:00"/>
        <d v="2026-09-17T00:00:00"/>
        <d v="2026-11-13T00:00:00"/>
        <d v="2026-05-03T00:00:00"/>
        <d v="2026-11-06T00:00:00"/>
        <d v="2026-03-19T00:00:00"/>
        <d v="2026-07-27T00:00:00"/>
        <d v="2026-10-17T00:00:00"/>
        <d v="2026-07-29T00:00:00"/>
        <d v="2026-09-28T00:00:00"/>
        <d v="2026-01-15T00:00:00"/>
        <d v="2026-01-05T00:00:00"/>
        <d v="2026-12-27T00:00:00"/>
        <d v="2026-08-12T00:00:00"/>
        <d v="2026-06-21T00:00:00"/>
        <d v="2026-07-03T00:00:00"/>
        <d v="2026-03-31T00:00:00"/>
        <d v="2026-11-02T00:00:00"/>
        <d v="2026-06-18T00:00:00"/>
        <d v="2026-10-06T00:00:00"/>
        <d v="2026-11-23T00:00:00"/>
        <d v="2026-05-15T00:00:00"/>
        <d v="2026-03-04T00:00:00"/>
        <d v="2026-01-08T00:00:00"/>
        <d v="2026-03-28T00:00:00"/>
        <d v="2026-09-05T00:00:00"/>
        <d v="2026-03-08T00:00:00"/>
        <d v="2026-09-22T00:00:00"/>
        <d v="2026-08-31T00:00:00"/>
        <d v="2026-02-06T00:00:00"/>
        <d v="2026-01-30T00:00:00"/>
        <d v="2026-06-25T00:00:00"/>
        <d v="2026-01-24T00:00:00"/>
        <d v="2026-05-06T00:00:00"/>
        <d v="2026-12-21T00:00:00"/>
        <d v="2026-12-14T00:00:00"/>
        <d v="2026-11-16T00:00:00"/>
        <d v="2026-07-07T00:00:00"/>
        <d v="2026-03-13T00:00:00"/>
        <d v="2026-03-05T00:00:00"/>
        <d v="2026-10-31T00:00:00"/>
        <d v="2026-01-09T00:00:00"/>
        <d v="2026-09-14T00:00:00"/>
        <d v="2026-07-16T00:00:00"/>
        <d v="2026-07-23T00:00:00"/>
        <d v="2026-12-22T00:00:00"/>
        <d v="2026-04-07T00:00:00"/>
        <d v="2026-10-23T00:00:00"/>
        <d v="2026-07-31T00:00:00"/>
        <d v="2026-03-14T00:00:00"/>
        <d v="2026-07-19T00:00:00"/>
        <d v="2026-06-15T00:00:00"/>
        <d v="2026-12-29T00:00:00"/>
        <d v="2026-10-24T00:00:00"/>
        <d v="2026-08-04T00:00:00"/>
        <d v="2026-08-01T00:00:00"/>
        <d v="2026-10-03T00:00:00"/>
        <d v="2026-09-25T00:00:00"/>
        <d v="2026-02-13T00:00:00"/>
        <d v="2026-05-05T00:00:00"/>
        <d v="2026-11-20T00:00:00"/>
        <d v="2026-10-15T00:00:00"/>
        <d v="2026-02-22T00:00:00"/>
        <d v="2026-07-06T00:00:00"/>
        <d v="2026-04-01T00:00:00"/>
        <d v="2026-01-01T00:00:00"/>
        <d v="2026-12-30T00:00:00"/>
        <d v="2026-05-12T00:00:00"/>
        <d v="2026-06-01T00:00:00"/>
        <d v="2026-02-25T00:00:00"/>
        <d v="2026-04-29T00:00:00"/>
        <d v="2026-05-10T00:00:00"/>
        <d v="2026-09-03T00:00:00"/>
        <d v="2026-09-24T00:00:00"/>
        <d v="2026-12-01T00:00:00"/>
        <d v="2026-04-25T00:00:00"/>
        <d v="2026-04-13T00:00:00"/>
        <d v="2026-11-30T00:00:00"/>
        <d v="2026-01-14T00:00:00"/>
        <d v="2026-11-18T00:00:00"/>
        <d v="2026-12-13T00:00:00"/>
        <d v="2026-05-02T00:00:00"/>
        <d v="2026-03-11T00:00:00"/>
        <d v="2026-01-29T00:00:00"/>
        <d v="2026-10-08T00:00:00"/>
        <d v="2026-12-05T00:00:00"/>
        <d v="2026-04-27T00:00:00"/>
        <d v="2026-04-02T00:00:00"/>
        <d v="2026-04-28T00:00:00"/>
        <d v="2026-01-02T00:00:00"/>
        <d v="2026-06-24T00:00:00"/>
        <d v="2026-06-26T00:00:00"/>
        <d v="2026-10-05T00:00:00"/>
        <d v="2026-07-01T00:00:00"/>
        <d v="2026-05-16T00:00:00"/>
        <d v="2026-07-15T00:00:00"/>
        <d v="2026-10-25T00:00:00"/>
        <d v="2026-03-27T00:00:00"/>
        <d v="2026-01-12T00:00:00"/>
        <d v="2026-10-26T00:00:00"/>
        <d v="2026-06-08T00:00:00"/>
        <d v="2026-02-18T00:00:00"/>
        <d v="2026-07-20T00:00:00"/>
        <d v="2026-05-04T00:00:00"/>
        <d v="2026-11-19T00:00:00"/>
        <d v="2026-09-04T00:00:00"/>
        <d v="2026-06-02T00:00:00"/>
        <d v="2026-07-04T00:00:00"/>
        <d v="2026-06-14T00:00:00"/>
        <d v="2026-10-13T00:00:00"/>
        <d v="2026-02-23T00:00:00"/>
        <d v="2026-03-18T00:00:00"/>
        <d v="2026-10-22T00:00:00"/>
        <d v="2026-02-27T00:00:00"/>
        <d v="2026-03-17T00:00:00"/>
        <d v="2026-02-10T00:00:00"/>
        <d v="2026-11-08T00:00:00"/>
        <d v="2026-06-10T00:00:00"/>
        <d v="2026-01-18T00:00:00"/>
        <d v="2026-03-22T00:00:00"/>
        <d v="2026-08-18T00:00:00"/>
        <d v="2026-10-18T00:00:00"/>
        <d v="2026-04-11T00:00:00"/>
        <d v="2026-12-18T00:00:00"/>
        <d v="2026-10-19T00:00:00"/>
        <d v="2026-03-07T00:00:00"/>
        <d v="2026-04-19T00:00:00"/>
        <d v="2026-06-07T00:00:00"/>
        <d v="2026-05-18T00:00:00"/>
        <d v="2026-12-03T00:00:00"/>
        <d v="2026-01-16T00:00:00"/>
        <d v="2026-06-04T00:00:00"/>
      </sharedItems>
      <fieldGroup par="20" base="1">
        <rangePr groupBy="days" startDate="2026-01-01T00:00:00" endDate="2027-01-01T00:00:00"/>
        <groupItems count="368">
          <s v="&lt;01/01/2026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1/01/2027"/>
        </groupItems>
      </fieldGroup>
    </cacheField>
    <cacheField name="ID_Client" numFmtId="0">
      <sharedItems/>
    </cacheField>
    <cacheField name="Client" numFmtId="0">
      <sharedItems/>
    </cacheField>
    <cacheField name="Région" numFmtId="0">
      <sharedItems count="8">
        <s v="N'Djamena"/>
        <s v="Ouaddaï"/>
        <s v="Logone Oriental"/>
        <s v="Kanem"/>
        <s v="Batha"/>
        <s v="Chari-Baguirmi"/>
        <s v="Mayo-Kebbi"/>
        <s v="Lac"/>
      </sharedItems>
    </cacheField>
    <cacheField name="Ville" numFmtId="0">
      <sharedItems/>
    </cacheField>
    <cacheField name="Catégorie" numFmtId="0">
      <sharedItems count="4">
        <s v="Mobilier"/>
        <s v="Accessoires"/>
        <s v="Informatique"/>
        <s v="Bureautique"/>
      </sharedItems>
    </cacheField>
    <cacheField name="Produit" numFmtId="0">
      <sharedItems count="19">
        <s v="Chaise de bureau"/>
        <s v="Câble HDMI"/>
        <s v="Disque SSD"/>
        <s v="Clavier"/>
        <s v="Clé USB"/>
        <s v="Table de réunion"/>
        <s v="Chargeur universel"/>
        <s v="Multiprise"/>
        <s v="Ramette papier"/>
        <s v="Smartphone"/>
        <s v="Ordinateur portable"/>
        <s v="Bureau"/>
        <s v="Sac ordinateur"/>
        <s v="Tablette"/>
        <s v="Imprimante"/>
        <s v="Souris"/>
        <s v="Armoire"/>
        <s v="Cartouche imprimante"/>
        <s v="Casque audio"/>
      </sharedItems>
    </cacheField>
    <cacheField name="Quantité" numFmtId="0">
      <sharedItems containsSemiMixedTypes="0" containsString="0" containsNumber="1" containsInteger="1" minValue="1" maxValue="10"/>
    </cacheField>
    <cacheField name="Prix_Unitaire" numFmtId="0">
      <sharedItems containsSemiMixedTypes="0" containsString="0" containsNumber="1" containsInteger="1" minValue="5700" maxValue="472500"/>
    </cacheField>
    <cacheField name="Coût_Unitaire" numFmtId="0">
      <sharedItems containsSemiMixedTypes="0" containsString="0" containsNumber="1" containsInteger="1" minValue="3900" maxValue="381100"/>
    </cacheField>
    <cacheField name="Commercial" numFmtId="0">
      <sharedItems count="8">
        <s v="Hawa"/>
        <s v="Issa"/>
        <s v="Adam"/>
        <s v="Mahamat"/>
        <s v="Moussa"/>
        <s v="Saleh"/>
        <s v="Fatimé"/>
        <s v="Amina"/>
      </sharedItems>
    </cacheField>
    <cacheField name="Mode_Paiement" numFmtId="0">
      <sharedItems count="4">
        <s v="Virement"/>
        <s v="Carte bancaire"/>
        <s v="Mobile Money"/>
        <s v="Espèces"/>
      </sharedItems>
    </cacheField>
    <cacheField name="Canal" numFmtId="0">
      <sharedItems count="3">
        <s v="Boutique"/>
        <s v="En ligne"/>
        <s v="Livraison"/>
      </sharedItems>
    </cacheField>
    <cacheField name="Statut" numFmtId="0">
      <sharedItems/>
    </cacheField>
    <cacheField name="CA" numFmtId="0">
      <sharedItems containsSemiMixedTypes="0" containsString="0" containsNumber="1" containsInteger="1" minValue="5700" maxValue="4725000" count="428">
        <n v="65000"/>
        <n v="21000"/>
        <n v="55000"/>
        <n v="142000"/>
        <n v="9000"/>
        <n v="30000"/>
        <n v="2200000"/>
        <n v="45600"/>
        <n v="100000"/>
        <n v="22800"/>
        <n v="567000"/>
        <n v="520000"/>
        <n v="3150000"/>
        <n v="550000"/>
        <n v="260000"/>
        <n v="267600"/>
        <n v="61800"/>
        <n v="15800"/>
        <n v="178400"/>
        <n v="440000"/>
        <n v="114000"/>
        <n v="91200"/>
        <n v="12000"/>
        <n v="1280000"/>
        <n v="360000"/>
        <n v="270000"/>
        <n v="27000"/>
        <n v="96000"/>
        <n v="190000"/>
        <n v="32000"/>
        <n v="1120000"/>
        <n v="160000"/>
        <n v="162000"/>
        <n v="2079000"/>
        <n v="85200"/>
        <n v="255000"/>
        <n v="48000"/>
        <n v="84000"/>
        <n v="17100"/>
        <n v="1134000"/>
        <n v="285000"/>
        <n v="570000"/>
        <n v="902000"/>
        <n v="340000"/>
        <n v="798400"/>
        <n v="56700"/>
        <n v="898200"/>
        <n v="16800"/>
        <n v="495000"/>
        <n v="136800"/>
        <n v="598800"/>
        <n v="798000"/>
        <n v="262000"/>
        <n v="425000"/>
        <n v="840000"/>
        <n v="304000"/>
        <n v="33600"/>
        <n v="199600"/>
        <n v="37800"/>
        <n v="90200"/>
        <n v="2310000"/>
        <n v="80000"/>
        <n v="315000"/>
        <n v="3847500"/>
        <n v="680000"/>
        <n v="105000"/>
        <n v="556200"/>
        <n v="60200"/>
        <n v="1045000"/>
        <n v="60000"/>
        <n v="47400"/>
        <n v="94800"/>
        <n v="1320000"/>
        <n v="924000"/>
        <n v="63000"/>
        <n v="173400"/>
        <n v="280000"/>
        <n v="54000"/>
        <n v="520200"/>
        <n v="945000"/>
        <n v="1100000"/>
        <n v="75000"/>
        <n v="1672000"/>
        <n v="1620000"/>
        <n v="152000"/>
        <n v="2700000"/>
        <n v="998000"/>
        <n v="140000"/>
        <n v="180000"/>
        <n v="380000"/>
        <n v="7400"/>
        <n v="8600"/>
        <n v="1064000"/>
        <n v="66600"/>
        <n v="1260000"/>
        <n v="120000"/>
        <n v="183400"/>
        <n v="104400"/>
        <n v="960000"/>
        <n v="1417500"/>
        <n v="631400"/>
        <n v="900000"/>
        <n v="3600000"/>
        <n v="475000"/>
        <n v="931000"/>
        <n v="1470000"/>
        <n v="171000"/>
        <n v="56000"/>
        <n v="294000"/>
        <n v="1368000"/>
        <n v="104800"/>
        <n v="684000"/>
        <n v="220000"/>
        <n v="1350000"/>
        <n v="560000"/>
        <n v="235800"/>
        <n v="665000"/>
        <n v="1176000"/>
        <n v="390000"/>
        <n v="81000"/>
        <n v="113600"/>
        <n v="170000"/>
        <n v="760000"/>
        <n v="85000"/>
        <n v="108000"/>
        <n v="42000"/>
        <n v="1890000"/>
        <n v="15000"/>
        <n v="45000"/>
        <n v="220500"/>
        <n v="238000"/>
        <n v="721600"/>
        <n v="1600000"/>
        <n v="89200"/>
        <n v="756000"/>
        <n v="342000"/>
        <n v="578000"/>
        <n v="2362500"/>
        <n v="16000"/>
        <n v="1800000"/>
        <n v="19800"/>
        <n v="1008000"/>
        <n v="700000"/>
        <n v="480000"/>
        <n v="672000"/>
        <n v="150000"/>
        <n v="980000"/>
        <n v="157500"/>
        <n v="175000"/>
        <n v="320000"/>
        <n v="588000"/>
        <n v="20000"/>
        <n v="4725000"/>
        <n v="477400"/>
        <n v="209000"/>
        <n v="640000"/>
        <n v="2090000"/>
        <n v="1440000"/>
        <n v="532000"/>
        <n v="57000"/>
        <n v="68200"/>
        <n v="52200"/>
        <n v="189000"/>
        <n v="100800"/>
        <n v="200000"/>
        <n v="855000"/>
        <n v="70000"/>
        <n v="950000"/>
        <n v="1512000"/>
        <n v="720000"/>
        <n v="1680000"/>
        <n v="17200"/>
        <n v="2250000"/>
        <n v="504000"/>
        <n v="47500"/>
        <n v="28500"/>
        <n v="123600"/>
        <n v="130000"/>
        <n v="126000"/>
        <n v="231000"/>
        <n v="1216000"/>
        <n v="209600"/>
        <n v="50000"/>
        <n v="185400"/>
        <n v="78600"/>
        <n v="90000"/>
        <n v="180400"/>
        <n v="378000"/>
        <n v="156600"/>
        <n v="399200"/>
        <n v="608000"/>
        <n v="24000"/>
        <n v="541200"/>
        <n v="36000"/>
        <n v="330000"/>
        <n v="31500"/>
        <n v="72000"/>
        <n v="168000"/>
        <n v="208800"/>
        <n v="595000"/>
        <n v="2137500"/>
        <n v="513000"/>
        <n v="1026000"/>
        <n v="360800"/>
        <n v="39900"/>
        <n v="4050000"/>
        <n v="385000"/>
        <n v="28200"/>
        <n v="127800"/>
        <n v="313200"/>
        <n v="144000"/>
        <n v="37000"/>
        <n v="135000"/>
        <n v="18000"/>
        <n v="165000"/>
        <n v="51300"/>
        <n v="231200"/>
        <n v="323200"/>
        <n v="472500"/>
        <n v="800000"/>
        <n v="75600"/>
        <n v="8000"/>
        <n v="25200"/>
        <n v="119000"/>
        <n v="627000"/>
        <n v="2835000"/>
        <n v="60800"/>
        <n v="808000"/>
        <n v="51800"/>
        <n v="23800"/>
        <n v="119700"/>
        <n v="1760000"/>
        <n v="115600"/>
        <n v="462400"/>
        <n v="499000"/>
        <n v="522000"/>
        <n v="147000"/>
        <n v="68400"/>
        <n v="126400"/>
        <n v="42600"/>
        <n v="1344000"/>
        <n v="35000"/>
        <n v="67200"/>
        <n v="1080000"/>
        <n v="113400"/>
        <n v="299400"/>
        <n v="34200"/>
        <n v="346800"/>
        <n v="727200"/>
        <n v="1980000"/>
        <n v="1848000"/>
        <n v="1540000"/>
        <n v="133000"/>
        <n v="270600"/>
        <n v="540000"/>
        <n v="309000"/>
        <n v="34400"/>
        <n v="1282500"/>
        <n v="136400"/>
        <n v="53200"/>
        <n v="7600"/>
        <n v="4500000"/>
        <n v="6600"/>
        <n v="535200"/>
        <n v="10000"/>
        <n v="1710000"/>
        <n v="289000"/>
        <n v="912000"/>
        <n v="256500"/>
        <n v="1881000"/>
        <n v="510000"/>
        <n v="161600"/>
        <n v="33000"/>
        <n v="59400"/>
        <n v="545600"/>
        <n v="427500"/>
        <n v="94500"/>
        <n v="1254000"/>
        <n v="125000"/>
        <n v="85500"/>
        <n v="94000"/>
        <n v="272800"/>
        <n v="6000"/>
        <n v="300000"/>
        <n v="370800"/>
        <n v="494400"/>
        <n v="214200"/>
        <n v="432600"/>
        <n v="341000"/>
        <n v="10500"/>
        <n v="29600"/>
        <n v="420000"/>
        <n v="698600"/>
        <n v="585000"/>
        <n v="40000"/>
        <n v="12600"/>
        <n v="228000"/>
        <n v="50400"/>
        <n v="11400"/>
        <n v="190400"/>
        <n v="66000"/>
        <n v="199500"/>
        <n v="142200"/>
        <n v="68800"/>
        <n v="4275000"/>
        <n v="64000"/>
        <n v="418000"/>
        <n v="99800"/>
        <n v="399000"/>
        <n v="7000"/>
        <n v="56400"/>
        <n v="18900"/>
        <n v="157200"/>
        <n v="65800"/>
        <n v="195000"/>
        <n v="250000"/>
        <n v="880000"/>
        <n v="450000"/>
        <n v="13200"/>
        <n v="26200"/>
        <n v="110000"/>
        <n v="811800"/>
        <n v="79000"/>
        <n v="1520000"/>
        <n v="9500"/>
        <n v="210000"/>
        <n v="88200"/>
        <n v="404000"/>
        <n v="850000"/>
        <n v="417600"/>
        <n v="25000"/>
        <n v="565600"/>
        <n v="275000"/>
        <n v="456000"/>
        <n v="52500"/>
        <n v="95000"/>
        <n v="462000"/>
        <n v="1617000"/>
        <n v="28400"/>
        <n v="242400"/>
        <n v="892000"/>
        <n v="1400000"/>
        <n v="38000"/>
        <n v="266000"/>
        <n v="1197000"/>
        <n v="44100"/>
        <n v="58800"/>
        <n v="47600"/>
        <n v="836000"/>
        <n v="3420000"/>
        <n v="158000"/>
        <n v="95200"/>
        <n v="2992500"/>
        <n v="1155000"/>
        <n v="84600"/>
        <n v="52400"/>
        <n v="37600"/>
        <n v="80800"/>
        <n v="735000"/>
        <n v="765000"/>
        <n v="76000"/>
        <n v="650000"/>
        <n v="79800"/>
        <n v="74000"/>
        <n v="446000"/>
        <n v="47000"/>
        <n v="624400"/>
        <n v="882000"/>
        <n v="22200"/>
        <n v="77400"/>
        <n v="365400"/>
        <n v="240000"/>
        <n v="63200"/>
        <n v="1539000"/>
        <n v="18800"/>
        <n v="693000"/>
        <n v="49000"/>
        <n v="455000"/>
        <n v="225000"/>
        <n v="325000"/>
        <n v="56800"/>
        <n v="142500"/>
        <n v="484800"/>
        <n v="66500"/>
        <n v="4252500"/>
        <n v="131000"/>
        <n v="5700"/>
        <n v="8400"/>
        <n v="9400"/>
        <n v="469800"/>
        <n v="451000"/>
        <n v="14200"/>
        <n v="44400"/>
        <n v="51600"/>
        <n v="1323000"/>
        <n v="166600"/>
        <n v="102600"/>
        <n v="2565000"/>
        <n v="15200"/>
        <n v="71000"/>
        <n v="682000"/>
        <n v="3307500"/>
        <n v="110600"/>
        <n v="802800"/>
        <n v="25800"/>
        <n v="52800"/>
        <n v="28000"/>
        <n v="618000"/>
        <n v="153900"/>
        <n v="660000"/>
        <n v="1029000"/>
        <n v="613800"/>
        <n v="151200"/>
        <n v="39600"/>
        <n v="142800"/>
        <n v="75200"/>
        <n v="46200"/>
        <n v="86000"/>
        <n v="247200"/>
        <n v="356800"/>
        <n v="261000"/>
        <n v="404600"/>
        <n v="99400"/>
        <n v="204600"/>
        <n v="31600"/>
        <n v="14800"/>
        <n v="57800"/>
        <n v="1330000"/>
      </sharedItems>
    </cacheField>
    <cacheField name="Cout Total" numFmtId="0">
      <sharedItems containsSemiMixedTypes="0" containsString="0" containsNumber="1" containsInteger="1" minValue="3900" maxValue="3811000"/>
    </cacheField>
    <cacheField name="Marge" numFmtId="0">
      <sharedItems containsSemiMixedTypes="0" containsString="0" containsNumber="1" containsInteger="1" minValue="1600" maxValue="1136000"/>
    </cacheField>
    <cacheField name="Taux de marge" numFmtId="10">
      <sharedItems containsSemiMixedTypes="0" containsString="0" containsNumber="1" minValue="0.10853801169590643" maxValue="0.47297297297297297"/>
    </cacheField>
    <cacheField name="Mois" numFmtId="0">
      <sharedItems count="12">
        <s v="juin"/>
        <s v="décembre"/>
        <s v="juillet"/>
        <s v="avril"/>
        <s v="novembre"/>
        <s v="mars"/>
        <s v="février"/>
        <s v="août"/>
        <s v="mai"/>
        <s v="octobre"/>
        <s v="janvier"/>
        <s v="septembre"/>
      </sharedItems>
    </cacheField>
    <cacheField name="Mois2" numFmtId="0" databaseField="0">
      <fieldGroup base="1">
        <rangePr groupBy="months" startDate="2026-01-01T00:00:00" endDate="2027-01-01T00:00:00"/>
        <groupItems count="14">
          <s v="&lt;01/01/2026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7"/>
        </groupItems>
      </fieldGroup>
    </cacheField>
  </cacheFields>
  <extLst>
    <ext xmlns:x14="http://schemas.microsoft.com/office/spreadsheetml/2009/9/main" uri="{725AE2AE-9491-48be-B2B4-4EB974FC3084}">
      <x14:pivotCacheDefinition pivotCacheId="4435626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1">
  <r>
    <s v="V00001"/>
    <x v="0"/>
    <s v="CL0178"/>
    <s v="Client 416"/>
    <x v="0"/>
    <s v="N'Djamena"/>
    <x v="0"/>
    <x v="0"/>
    <n v="1"/>
    <n v="65000"/>
    <n v="45000"/>
    <x v="0"/>
    <x v="0"/>
    <x v="0"/>
    <s v="Livrée"/>
    <x v="0"/>
    <n v="45000"/>
    <n v="20000"/>
    <n v="0.30769230769230771"/>
    <x v="0"/>
  </r>
  <r>
    <s v="V00002"/>
    <x v="1"/>
    <s v="CL0377"/>
    <s v="Client 060"/>
    <x v="0"/>
    <s v="N'Djamena"/>
    <x v="1"/>
    <x v="1"/>
    <n v="3"/>
    <n v="7000"/>
    <n v="4000"/>
    <x v="1"/>
    <x v="1"/>
    <x v="0"/>
    <s v="Livrée"/>
    <x v="1"/>
    <n v="12000"/>
    <n v="9000"/>
    <n v="0.42857142857142855"/>
    <x v="1"/>
  </r>
  <r>
    <s v="V00003"/>
    <x v="2"/>
    <s v="CL0332"/>
    <s v="Client 416"/>
    <x v="0"/>
    <s v="N'Djamena"/>
    <x v="2"/>
    <x v="2"/>
    <n v="1"/>
    <n v="55000"/>
    <n v="37800"/>
    <x v="2"/>
    <x v="2"/>
    <x v="0"/>
    <s v="Livrée"/>
    <x v="2"/>
    <n v="37800"/>
    <n v="17200"/>
    <n v="0.31272727272727274"/>
    <x v="2"/>
  </r>
  <r>
    <s v="V00004"/>
    <x v="3"/>
    <s v="CL0438"/>
    <s v="Client 479"/>
    <x v="1"/>
    <s v="Abéché"/>
    <x v="3"/>
    <x v="3"/>
    <n v="10"/>
    <n v="14200"/>
    <n v="9800"/>
    <x v="0"/>
    <x v="2"/>
    <x v="0"/>
    <s v="Annulée"/>
    <x v="3"/>
    <n v="98000"/>
    <n v="44000"/>
    <n v="0.30985915492957744"/>
    <x v="3"/>
  </r>
  <r>
    <s v="V00005"/>
    <x v="4"/>
    <s v="CL0348"/>
    <s v="Client 206"/>
    <x v="1"/>
    <s v="Abéché"/>
    <x v="3"/>
    <x v="4"/>
    <n v="1"/>
    <n v="9000"/>
    <n v="5800"/>
    <x v="3"/>
    <x v="3"/>
    <x v="1"/>
    <s v="Livrée"/>
    <x v="4"/>
    <n v="5800"/>
    <n v="3200"/>
    <n v="0.35555555555555557"/>
    <x v="4"/>
  </r>
  <r>
    <s v="V00006"/>
    <x v="5"/>
    <s v="CL0275"/>
    <s v="Client 226"/>
    <x v="2"/>
    <s v="Doba"/>
    <x v="3"/>
    <x v="3"/>
    <n v="2"/>
    <n v="15000"/>
    <n v="9800"/>
    <x v="1"/>
    <x v="2"/>
    <x v="0"/>
    <s v="Livrée"/>
    <x v="5"/>
    <n v="19600"/>
    <n v="10400"/>
    <n v="0.34666666666666668"/>
    <x v="5"/>
  </r>
  <r>
    <s v="V00007"/>
    <x v="6"/>
    <s v="CL0001"/>
    <s v="Client 020"/>
    <x v="2"/>
    <s v="Doba"/>
    <x v="0"/>
    <x v="5"/>
    <n v="10"/>
    <n v="220000"/>
    <n v="164800"/>
    <x v="0"/>
    <x v="2"/>
    <x v="0"/>
    <s v="Livrée"/>
    <x v="6"/>
    <n v="1648000"/>
    <n v="552000"/>
    <n v="0.25090909090909091"/>
    <x v="2"/>
  </r>
  <r>
    <s v="V00008"/>
    <x v="7"/>
    <s v="CL0180"/>
    <s v="Client 351"/>
    <x v="0"/>
    <s v="N'Djamena"/>
    <x v="1"/>
    <x v="6"/>
    <n v="4"/>
    <n v="11400"/>
    <n v="7300"/>
    <x v="4"/>
    <x v="2"/>
    <x v="1"/>
    <s v="Livrée"/>
    <x v="7"/>
    <n v="29200"/>
    <n v="16400"/>
    <n v="0.35964912280701755"/>
    <x v="1"/>
  </r>
  <r>
    <s v="V00009"/>
    <x v="8"/>
    <s v="CL0081"/>
    <s v="Client 053"/>
    <x v="3"/>
    <s v="Mao"/>
    <x v="1"/>
    <x v="7"/>
    <n v="10"/>
    <n v="10000"/>
    <n v="6000"/>
    <x v="5"/>
    <x v="3"/>
    <x v="0"/>
    <s v="Livrée"/>
    <x v="8"/>
    <n v="60000"/>
    <n v="40000"/>
    <n v="0.4"/>
    <x v="4"/>
  </r>
  <r>
    <s v="V00010"/>
    <x v="9"/>
    <s v="CL0303"/>
    <s v="Client 467"/>
    <x v="4"/>
    <s v="Ati"/>
    <x v="3"/>
    <x v="8"/>
    <n v="4"/>
    <n v="5700"/>
    <n v="4300"/>
    <x v="6"/>
    <x v="2"/>
    <x v="1"/>
    <s v="Annulée"/>
    <x v="9"/>
    <n v="17200"/>
    <n v="5600"/>
    <n v="0.24561403508771928"/>
    <x v="6"/>
  </r>
  <r>
    <s v="V00011"/>
    <x v="10"/>
    <s v="CL0320"/>
    <s v="Client 039"/>
    <x v="5"/>
    <s v="Massaguet"/>
    <x v="2"/>
    <x v="9"/>
    <n v="3"/>
    <n v="189000"/>
    <n v="135000"/>
    <x v="4"/>
    <x v="2"/>
    <x v="2"/>
    <s v="Livrée"/>
    <x v="10"/>
    <n v="405000"/>
    <n v="162000"/>
    <n v="0.2857142857142857"/>
    <x v="1"/>
  </r>
  <r>
    <s v="V00012"/>
    <x v="11"/>
    <s v="CL0202"/>
    <s v="Client 073"/>
    <x v="1"/>
    <s v="Abéché"/>
    <x v="0"/>
    <x v="0"/>
    <n v="8"/>
    <n v="65000"/>
    <n v="43600"/>
    <x v="0"/>
    <x v="3"/>
    <x v="1"/>
    <s v="En cours"/>
    <x v="11"/>
    <n v="348800"/>
    <n v="171200"/>
    <n v="0.32923076923076922"/>
    <x v="6"/>
  </r>
  <r>
    <s v="V00013"/>
    <x v="12"/>
    <s v="CL0335"/>
    <s v="Client 410"/>
    <x v="1"/>
    <s v="Abéché"/>
    <x v="2"/>
    <x v="10"/>
    <n v="7"/>
    <n v="450000"/>
    <n v="370000"/>
    <x v="7"/>
    <x v="3"/>
    <x v="0"/>
    <s v="Livrée"/>
    <x v="12"/>
    <n v="2590000"/>
    <n v="560000"/>
    <n v="0.17777777777777778"/>
    <x v="7"/>
  </r>
  <r>
    <s v="V00014"/>
    <x v="13"/>
    <s v="CL0441"/>
    <s v="Client 372"/>
    <x v="2"/>
    <s v="Doba"/>
    <x v="2"/>
    <x v="2"/>
    <n v="10"/>
    <n v="55000"/>
    <n v="40200"/>
    <x v="3"/>
    <x v="2"/>
    <x v="0"/>
    <s v="Livrée"/>
    <x v="13"/>
    <n v="402000"/>
    <n v="148000"/>
    <n v="0.2690909090909091"/>
    <x v="2"/>
  </r>
  <r>
    <s v="V00015"/>
    <x v="14"/>
    <s v="CL0480"/>
    <s v="Client 463"/>
    <x v="4"/>
    <s v="Ati"/>
    <x v="0"/>
    <x v="0"/>
    <n v="4"/>
    <n v="65000"/>
    <n v="43600"/>
    <x v="4"/>
    <x v="1"/>
    <x v="2"/>
    <s v="Livrée"/>
    <x v="14"/>
    <n v="174400"/>
    <n v="85600"/>
    <n v="0.32923076923076922"/>
    <x v="0"/>
  </r>
  <r>
    <s v="V00016"/>
    <x v="15"/>
    <s v="CL0345"/>
    <s v="Client 303"/>
    <x v="1"/>
    <s v="Abéché"/>
    <x v="0"/>
    <x v="5"/>
    <n v="10"/>
    <n v="220000"/>
    <n v="164800"/>
    <x v="1"/>
    <x v="2"/>
    <x v="0"/>
    <s v="Livrée"/>
    <x v="6"/>
    <n v="1648000"/>
    <n v="552000"/>
    <n v="0.25090909090909091"/>
    <x v="4"/>
  </r>
  <r>
    <s v="V00017"/>
    <x v="16"/>
    <s v="CL0051"/>
    <s v="Client 382"/>
    <x v="5"/>
    <s v="Massaguet"/>
    <x v="2"/>
    <x v="10"/>
    <n v="7"/>
    <n v="450000"/>
    <n v="370000"/>
    <x v="3"/>
    <x v="0"/>
    <x v="0"/>
    <s v="Livrée"/>
    <x v="12"/>
    <n v="2590000"/>
    <n v="560000"/>
    <n v="0.17777777777777778"/>
    <x v="6"/>
  </r>
  <r>
    <s v="V00018"/>
    <x v="17"/>
    <s v="CL0212"/>
    <s v="Client 065"/>
    <x v="0"/>
    <s v="N'Djamena"/>
    <x v="0"/>
    <x v="11"/>
    <n v="3"/>
    <n v="89200"/>
    <n v="60100"/>
    <x v="7"/>
    <x v="1"/>
    <x v="1"/>
    <s v="Livrée"/>
    <x v="15"/>
    <n v="180300"/>
    <n v="87300"/>
    <n v="0.32623318385650224"/>
    <x v="6"/>
  </r>
  <r>
    <s v="V00019"/>
    <x v="18"/>
    <s v="CL0483"/>
    <s v="Client 288"/>
    <x v="0"/>
    <s v="N'Djamena"/>
    <x v="0"/>
    <x v="0"/>
    <n v="1"/>
    <n v="61800"/>
    <n v="45000"/>
    <x v="2"/>
    <x v="3"/>
    <x v="1"/>
    <s v="Livrée"/>
    <x v="16"/>
    <n v="45000"/>
    <n v="16800"/>
    <n v="0.27184466019417475"/>
    <x v="8"/>
  </r>
  <r>
    <s v="V00020"/>
    <x v="19"/>
    <s v="CL0037"/>
    <s v="Client 434"/>
    <x v="0"/>
    <s v="N'Djamena"/>
    <x v="3"/>
    <x v="3"/>
    <n v="1"/>
    <n v="15800"/>
    <n v="9500"/>
    <x v="0"/>
    <x v="3"/>
    <x v="2"/>
    <s v="Livrée"/>
    <x v="17"/>
    <n v="9500"/>
    <n v="6300"/>
    <n v="0.39873417721518989"/>
    <x v="1"/>
  </r>
  <r>
    <s v="V00021"/>
    <x v="20"/>
    <s v="CL0138"/>
    <s v="Client 404"/>
    <x v="4"/>
    <s v="Ati"/>
    <x v="0"/>
    <x v="11"/>
    <n v="2"/>
    <n v="89200"/>
    <n v="63900"/>
    <x v="4"/>
    <x v="1"/>
    <x v="0"/>
    <s v="Livrée"/>
    <x v="18"/>
    <n v="127800"/>
    <n v="50600"/>
    <n v="0.28363228699551568"/>
    <x v="4"/>
  </r>
  <r>
    <s v="V00023"/>
    <x v="21"/>
    <s v="CL0104"/>
    <s v="Client 437"/>
    <x v="0"/>
    <s v="N'Djamena"/>
    <x v="2"/>
    <x v="2"/>
    <n v="8"/>
    <n v="55000"/>
    <n v="37800"/>
    <x v="4"/>
    <x v="1"/>
    <x v="1"/>
    <s v="Livrée"/>
    <x v="19"/>
    <n v="302400"/>
    <n v="137600"/>
    <n v="0.31272727272727274"/>
    <x v="9"/>
  </r>
  <r>
    <s v="V00024"/>
    <x v="22"/>
    <s v="CL0276"/>
    <s v="Client 120"/>
    <x v="0"/>
    <s v="N'Djamena"/>
    <x v="1"/>
    <x v="12"/>
    <n v="4"/>
    <n v="28500"/>
    <n v="18400"/>
    <x v="3"/>
    <x v="2"/>
    <x v="0"/>
    <s v="Livrée"/>
    <x v="20"/>
    <n v="73600"/>
    <n v="40400"/>
    <n v="0.35438596491228069"/>
    <x v="4"/>
  </r>
  <r>
    <s v="V00025"/>
    <x v="23"/>
    <s v="CL0214"/>
    <s v="Client 311"/>
    <x v="0"/>
    <s v="N'Djamena"/>
    <x v="1"/>
    <x v="6"/>
    <n v="8"/>
    <n v="11400"/>
    <n v="7300"/>
    <x v="6"/>
    <x v="2"/>
    <x v="1"/>
    <s v="Livrée"/>
    <x v="21"/>
    <n v="58400"/>
    <n v="32800"/>
    <n v="0.35964912280701755"/>
    <x v="7"/>
  </r>
  <r>
    <s v="V00026"/>
    <x v="24"/>
    <s v="CL0444"/>
    <s v="Client 323"/>
    <x v="0"/>
    <s v="N'Djamena"/>
    <x v="3"/>
    <x v="8"/>
    <n v="2"/>
    <n v="6000"/>
    <n v="4100"/>
    <x v="2"/>
    <x v="3"/>
    <x v="2"/>
    <s v="Livrée"/>
    <x v="22"/>
    <n v="8200"/>
    <n v="3800"/>
    <n v="0.31666666666666665"/>
    <x v="1"/>
  </r>
  <r>
    <s v="V00027"/>
    <x v="25"/>
    <s v="CL0183"/>
    <s v="Client 198"/>
    <x v="2"/>
    <s v="Doba"/>
    <x v="2"/>
    <x v="13"/>
    <n v="8"/>
    <n v="160000"/>
    <n v="123600"/>
    <x v="6"/>
    <x v="1"/>
    <x v="2"/>
    <s v="Annulée"/>
    <x v="23"/>
    <n v="988800"/>
    <n v="291200"/>
    <n v="0.22750000000000001"/>
    <x v="3"/>
  </r>
  <r>
    <s v="V00028"/>
    <x v="26"/>
    <s v="CL0039"/>
    <s v="Client 418"/>
    <x v="2"/>
    <s v="Doba"/>
    <x v="2"/>
    <x v="9"/>
    <n v="2"/>
    <n v="180000"/>
    <n v="131000"/>
    <x v="2"/>
    <x v="3"/>
    <x v="2"/>
    <s v="Livrée"/>
    <x v="24"/>
    <n v="262000"/>
    <n v="98000"/>
    <n v="0.2722222222222222"/>
    <x v="10"/>
  </r>
  <r>
    <s v="V00029"/>
    <x v="27"/>
    <s v="CL0178"/>
    <s v="Client 026"/>
    <x v="0"/>
    <s v="N'Djamena"/>
    <x v="1"/>
    <x v="12"/>
    <n v="9"/>
    <n v="30000"/>
    <n v="18400"/>
    <x v="5"/>
    <x v="0"/>
    <x v="1"/>
    <s v="Annulée"/>
    <x v="25"/>
    <n v="165600"/>
    <n v="104400"/>
    <n v="0.38666666666666666"/>
    <x v="7"/>
  </r>
  <r>
    <s v="V00030"/>
    <x v="28"/>
    <s v="CL0101"/>
    <s v="Client 389"/>
    <x v="2"/>
    <s v="Doba"/>
    <x v="3"/>
    <x v="4"/>
    <n v="3"/>
    <n v="9000"/>
    <n v="6000"/>
    <x v="1"/>
    <x v="3"/>
    <x v="2"/>
    <s v="Livrée"/>
    <x v="26"/>
    <n v="18000"/>
    <n v="9000"/>
    <n v="0.33333333333333331"/>
    <x v="9"/>
  </r>
  <r>
    <s v="V00031"/>
    <x v="29"/>
    <s v="CL0216"/>
    <s v="Client 282"/>
    <x v="0"/>
    <s v="N'Djamena"/>
    <x v="1"/>
    <x v="6"/>
    <n v="8"/>
    <n v="12000"/>
    <n v="7300"/>
    <x v="1"/>
    <x v="3"/>
    <x v="0"/>
    <s v="Livrée"/>
    <x v="27"/>
    <n v="58400"/>
    <n v="37600"/>
    <n v="0.39166666666666666"/>
    <x v="1"/>
  </r>
  <r>
    <s v="V00032"/>
    <x v="30"/>
    <s v="CL0071"/>
    <s v="Client 445"/>
    <x v="6"/>
    <s v="Moundou"/>
    <x v="2"/>
    <x v="14"/>
    <n v="2"/>
    <n v="95000"/>
    <n v="72100"/>
    <x v="5"/>
    <x v="1"/>
    <x v="2"/>
    <s v="Livrée"/>
    <x v="28"/>
    <n v="144200"/>
    <n v="45800"/>
    <n v="0.24105263157894738"/>
    <x v="0"/>
  </r>
  <r>
    <s v="V00033"/>
    <x v="31"/>
    <s v="CL0122"/>
    <s v="Client 216"/>
    <x v="3"/>
    <s v="Mao"/>
    <x v="3"/>
    <x v="15"/>
    <n v="4"/>
    <n v="8000"/>
    <n v="5200"/>
    <x v="7"/>
    <x v="2"/>
    <x v="0"/>
    <s v="Livrée"/>
    <x v="29"/>
    <n v="20800"/>
    <n v="11200"/>
    <n v="0.35"/>
    <x v="0"/>
  </r>
  <r>
    <s v="V00034"/>
    <x v="32"/>
    <s v="CL0435"/>
    <s v="Client 005"/>
    <x v="2"/>
    <s v="Doba"/>
    <x v="0"/>
    <x v="16"/>
    <n v="8"/>
    <n v="140000"/>
    <n v="100000"/>
    <x v="4"/>
    <x v="3"/>
    <x v="0"/>
    <s v="Livrée"/>
    <x v="30"/>
    <n v="800000"/>
    <n v="320000"/>
    <n v="0.2857142857142857"/>
    <x v="1"/>
  </r>
  <r>
    <s v="V00035"/>
    <x v="33"/>
    <s v="CL0421"/>
    <s v="Client 482"/>
    <x v="6"/>
    <s v="Pala"/>
    <x v="3"/>
    <x v="8"/>
    <n v="4"/>
    <n v="5700"/>
    <n v="4300"/>
    <x v="1"/>
    <x v="0"/>
    <x v="2"/>
    <s v="Livrée"/>
    <x v="9"/>
    <n v="17200"/>
    <n v="5600"/>
    <n v="0.24561403508771928"/>
    <x v="10"/>
  </r>
  <r>
    <s v="V00036"/>
    <x v="17"/>
    <s v="CL0370"/>
    <s v="Client 414"/>
    <x v="6"/>
    <s v="Pala"/>
    <x v="2"/>
    <x v="13"/>
    <n v="1"/>
    <n v="160000"/>
    <n v="123600"/>
    <x v="3"/>
    <x v="1"/>
    <x v="1"/>
    <s v="Livrée"/>
    <x v="31"/>
    <n v="123600"/>
    <n v="36400"/>
    <n v="0.22750000000000001"/>
    <x v="6"/>
  </r>
  <r>
    <s v="V00037"/>
    <x v="34"/>
    <s v="CL0203"/>
    <s v="Client 155"/>
    <x v="0"/>
    <s v="N'Djamena"/>
    <x v="3"/>
    <x v="17"/>
    <n v="9"/>
    <n v="18000"/>
    <n v="12900"/>
    <x v="0"/>
    <x v="2"/>
    <x v="1"/>
    <s v="Livrée"/>
    <x v="32"/>
    <n v="116100"/>
    <n v="45900"/>
    <n v="0.28333333333333333"/>
    <x v="5"/>
  </r>
  <r>
    <s v="V00038"/>
    <x v="35"/>
    <s v="CL0469"/>
    <s v="Client 196"/>
    <x v="6"/>
    <s v="Pala"/>
    <x v="0"/>
    <x v="5"/>
    <n v="9"/>
    <n v="231000"/>
    <n v="164800"/>
    <x v="5"/>
    <x v="0"/>
    <x v="0"/>
    <s v="Livrée"/>
    <x v="33"/>
    <n v="1483200"/>
    <n v="595800"/>
    <n v="0.2865800865800866"/>
    <x v="0"/>
  </r>
  <r>
    <s v="V00039"/>
    <x v="36"/>
    <s v="CL0081"/>
    <s v="Client 311"/>
    <x v="3"/>
    <s v="Mao"/>
    <x v="3"/>
    <x v="3"/>
    <n v="6"/>
    <n v="14200"/>
    <n v="9500"/>
    <x v="0"/>
    <x v="3"/>
    <x v="1"/>
    <s v="Livrée"/>
    <x v="34"/>
    <n v="57000"/>
    <n v="28200"/>
    <n v="0.33098591549295775"/>
    <x v="2"/>
  </r>
  <r>
    <s v="V00040"/>
    <x v="37"/>
    <s v="CL0171"/>
    <s v="Client 144"/>
    <x v="6"/>
    <s v="Moundou"/>
    <x v="0"/>
    <x v="11"/>
    <n v="3"/>
    <n v="85000"/>
    <n v="62000"/>
    <x v="3"/>
    <x v="2"/>
    <x v="0"/>
    <s v="En cours"/>
    <x v="35"/>
    <n v="186000"/>
    <n v="69000"/>
    <n v="0.27058823529411763"/>
    <x v="7"/>
  </r>
  <r>
    <s v="V00041"/>
    <x v="38"/>
    <s v="CL0218"/>
    <s v="Client 047"/>
    <x v="3"/>
    <s v="Mao"/>
    <x v="1"/>
    <x v="6"/>
    <n v="4"/>
    <n v="12000"/>
    <n v="7700"/>
    <x v="3"/>
    <x v="3"/>
    <x v="0"/>
    <s v="Livrée"/>
    <x v="36"/>
    <n v="30800"/>
    <n v="17200"/>
    <n v="0.35833333333333334"/>
    <x v="2"/>
  </r>
  <r>
    <s v="V00042"/>
    <x v="39"/>
    <s v="CL0122"/>
    <s v="Client 446"/>
    <x v="7"/>
    <s v="Bol"/>
    <x v="3"/>
    <x v="15"/>
    <n v="10"/>
    <n v="8400"/>
    <n v="4800"/>
    <x v="7"/>
    <x v="3"/>
    <x v="1"/>
    <s v="Livrée"/>
    <x v="37"/>
    <n v="48000"/>
    <n v="36000"/>
    <n v="0.42857142857142855"/>
    <x v="3"/>
  </r>
  <r>
    <s v="V00043"/>
    <x v="17"/>
    <s v="CL0221"/>
    <s v="Client 153"/>
    <x v="2"/>
    <s v="Doba"/>
    <x v="3"/>
    <x v="17"/>
    <n v="1"/>
    <n v="17100"/>
    <n v="12500"/>
    <x v="1"/>
    <x v="0"/>
    <x v="1"/>
    <s v="Livrée"/>
    <x v="38"/>
    <n v="12500"/>
    <n v="4600"/>
    <n v="0.26900584795321636"/>
    <x v="6"/>
  </r>
  <r>
    <s v="V00044"/>
    <x v="40"/>
    <s v="CL0033"/>
    <s v="Client 320"/>
    <x v="3"/>
    <s v="Mao"/>
    <x v="2"/>
    <x v="9"/>
    <n v="6"/>
    <n v="189000"/>
    <n v="135000"/>
    <x v="3"/>
    <x v="3"/>
    <x v="2"/>
    <s v="Livrée"/>
    <x v="39"/>
    <n v="810000"/>
    <n v="324000"/>
    <n v="0.2857142857142857"/>
    <x v="3"/>
  </r>
  <r>
    <s v="V00045"/>
    <x v="41"/>
    <s v="CL0459"/>
    <s v="Client 017"/>
    <x v="1"/>
    <s v="Abéché"/>
    <x v="2"/>
    <x v="14"/>
    <n v="3"/>
    <n v="95000"/>
    <n v="70000"/>
    <x v="1"/>
    <x v="2"/>
    <x v="0"/>
    <s v="Livrée"/>
    <x v="40"/>
    <n v="210000"/>
    <n v="75000"/>
    <n v="0.26315789473684209"/>
    <x v="7"/>
  </r>
  <r>
    <s v="V00046"/>
    <x v="42"/>
    <s v="CL0063"/>
    <s v="Client 454"/>
    <x v="0"/>
    <s v="N'Djamena"/>
    <x v="0"/>
    <x v="11"/>
    <n v="3"/>
    <n v="85000"/>
    <n v="63900"/>
    <x v="6"/>
    <x v="2"/>
    <x v="0"/>
    <s v="En cours"/>
    <x v="35"/>
    <n v="191700"/>
    <n v="63300"/>
    <n v="0.24823529411764705"/>
    <x v="4"/>
  </r>
  <r>
    <s v="V00047"/>
    <x v="43"/>
    <s v="CL0052"/>
    <s v="Client 226"/>
    <x v="1"/>
    <s v="Abéché"/>
    <x v="2"/>
    <x v="14"/>
    <n v="6"/>
    <n v="95000"/>
    <n v="67900"/>
    <x v="0"/>
    <x v="1"/>
    <x v="0"/>
    <s v="Livrée"/>
    <x v="41"/>
    <n v="407400"/>
    <n v="162600"/>
    <n v="0.28526315789473683"/>
    <x v="8"/>
  </r>
  <r>
    <s v="V00048"/>
    <x v="44"/>
    <s v="CL0334"/>
    <s v="Client 302"/>
    <x v="0"/>
    <s v="N'Djamena"/>
    <x v="2"/>
    <x v="14"/>
    <n v="10"/>
    <n v="90200"/>
    <n v="72100"/>
    <x v="4"/>
    <x v="3"/>
    <x v="2"/>
    <s v="Livrée"/>
    <x v="42"/>
    <n v="721000"/>
    <n v="181000"/>
    <n v="0.20066518847006651"/>
    <x v="10"/>
  </r>
  <r>
    <s v="V00049"/>
    <x v="45"/>
    <s v="CL0112"/>
    <s v="Client 206"/>
    <x v="0"/>
    <s v="N'Djamena"/>
    <x v="0"/>
    <x v="11"/>
    <n v="4"/>
    <n v="85000"/>
    <n v="62000"/>
    <x v="6"/>
    <x v="2"/>
    <x v="2"/>
    <s v="Livrée"/>
    <x v="43"/>
    <n v="248000"/>
    <n v="92000"/>
    <n v="0.27058823529411763"/>
    <x v="10"/>
  </r>
  <r>
    <s v="V00050"/>
    <x v="46"/>
    <s v="CL0497"/>
    <s v="Client 305"/>
    <x v="0"/>
    <s v="N'Djamena"/>
    <x v="2"/>
    <x v="14"/>
    <n v="8"/>
    <n v="99800"/>
    <n v="67900"/>
    <x v="2"/>
    <x v="0"/>
    <x v="0"/>
    <s v="Livrée"/>
    <x v="44"/>
    <n v="543200"/>
    <n v="255200"/>
    <n v="0.31963927855711421"/>
    <x v="10"/>
  </r>
  <r>
    <s v="V00051"/>
    <x v="47"/>
    <s v="CL0497"/>
    <s v="Client 366"/>
    <x v="4"/>
    <s v="Ati"/>
    <x v="2"/>
    <x v="14"/>
    <n v="2"/>
    <n v="95000"/>
    <n v="72100"/>
    <x v="1"/>
    <x v="3"/>
    <x v="2"/>
    <s v="Livrée"/>
    <x v="28"/>
    <n v="144200"/>
    <n v="45800"/>
    <n v="0.24105263157894738"/>
    <x v="0"/>
  </r>
  <r>
    <s v="V00052"/>
    <x v="48"/>
    <s v="CL0169"/>
    <s v="Client 209"/>
    <x v="5"/>
    <s v="Massaguet"/>
    <x v="3"/>
    <x v="17"/>
    <n v="3"/>
    <n v="18900"/>
    <n v="12100"/>
    <x v="7"/>
    <x v="3"/>
    <x v="0"/>
    <s v="Livrée"/>
    <x v="45"/>
    <n v="36300"/>
    <n v="20400"/>
    <n v="0.35978835978835977"/>
    <x v="8"/>
  </r>
  <r>
    <s v="V00053"/>
    <x v="49"/>
    <s v="CL0385"/>
    <s v="Client 414"/>
    <x v="4"/>
    <s v="Ati"/>
    <x v="2"/>
    <x v="14"/>
    <n v="9"/>
    <n v="99800"/>
    <n v="67900"/>
    <x v="7"/>
    <x v="0"/>
    <x v="0"/>
    <s v="En cours"/>
    <x v="46"/>
    <n v="611100"/>
    <n v="287100"/>
    <n v="0.31963927855711421"/>
    <x v="11"/>
  </r>
  <r>
    <s v="V00054"/>
    <x v="16"/>
    <s v="CL0408"/>
    <s v="Client 038"/>
    <x v="0"/>
    <s v="N'Djamena"/>
    <x v="3"/>
    <x v="15"/>
    <n v="2"/>
    <n v="8400"/>
    <n v="5000"/>
    <x v="2"/>
    <x v="3"/>
    <x v="1"/>
    <s v="En cours"/>
    <x v="47"/>
    <n v="10000"/>
    <n v="6800"/>
    <n v="0.40476190476190477"/>
    <x v="6"/>
  </r>
  <r>
    <s v="V00055"/>
    <x v="50"/>
    <s v="CL0457"/>
    <s v="Client 350"/>
    <x v="0"/>
    <s v="N'Djamena"/>
    <x v="3"/>
    <x v="15"/>
    <n v="6"/>
    <n v="7600"/>
    <n v="5200"/>
    <x v="5"/>
    <x v="1"/>
    <x v="1"/>
    <s v="Livrée"/>
    <x v="7"/>
    <n v="31200"/>
    <n v="14400"/>
    <n v="0.31578947368421051"/>
    <x v="2"/>
  </r>
  <r>
    <s v="V00056"/>
    <x v="51"/>
    <s v="CL0292"/>
    <s v="Client 448"/>
    <x v="0"/>
    <s v="N'Djamena"/>
    <x v="2"/>
    <x v="2"/>
    <n v="9"/>
    <n v="55000"/>
    <n v="37800"/>
    <x v="5"/>
    <x v="3"/>
    <x v="0"/>
    <s v="Livrée"/>
    <x v="48"/>
    <n v="340200"/>
    <n v="154800"/>
    <n v="0.31272727272727274"/>
    <x v="0"/>
  </r>
  <r>
    <s v="V00057"/>
    <x v="52"/>
    <s v="CL0158"/>
    <s v="Client 247"/>
    <x v="0"/>
    <s v="N'Djamena"/>
    <x v="3"/>
    <x v="17"/>
    <n v="8"/>
    <n v="17100"/>
    <n v="12500"/>
    <x v="7"/>
    <x v="3"/>
    <x v="1"/>
    <s v="Annulée"/>
    <x v="49"/>
    <n v="100000"/>
    <n v="36800"/>
    <n v="0.26900584795321636"/>
    <x v="8"/>
  </r>
  <r>
    <s v="V00058"/>
    <x v="53"/>
    <s v="CL0220"/>
    <s v="Client 359"/>
    <x v="2"/>
    <s v="Doba"/>
    <x v="3"/>
    <x v="15"/>
    <n v="6"/>
    <n v="8000"/>
    <n v="4800"/>
    <x v="0"/>
    <x v="0"/>
    <x v="1"/>
    <s v="Livrée"/>
    <x v="36"/>
    <n v="28800"/>
    <n v="19200"/>
    <n v="0.4"/>
    <x v="4"/>
  </r>
  <r>
    <s v="V00059"/>
    <x v="54"/>
    <s v="CL0322"/>
    <s v="Client 468"/>
    <x v="4"/>
    <s v="Ati"/>
    <x v="1"/>
    <x v="7"/>
    <n v="10"/>
    <n v="10000"/>
    <n v="6000"/>
    <x v="2"/>
    <x v="0"/>
    <x v="0"/>
    <s v="Annulée"/>
    <x v="8"/>
    <n v="60000"/>
    <n v="40000"/>
    <n v="0.4"/>
    <x v="8"/>
  </r>
  <r>
    <s v="V00060"/>
    <x v="55"/>
    <s v="CL0020"/>
    <s v="Client 363"/>
    <x v="3"/>
    <s v="Mao"/>
    <x v="2"/>
    <x v="14"/>
    <n v="6"/>
    <n v="99800"/>
    <n v="67900"/>
    <x v="3"/>
    <x v="2"/>
    <x v="2"/>
    <s v="En cours"/>
    <x v="50"/>
    <n v="407400"/>
    <n v="191400"/>
    <n v="0.31963927855711421"/>
    <x v="3"/>
  </r>
  <r>
    <s v="V00061"/>
    <x v="56"/>
    <s v="CL0149"/>
    <s v="Client 174"/>
    <x v="0"/>
    <s v="N'Djamena"/>
    <x v="0"/>
    <x v="16"/>
    <n v="6"/>
    <n v="133000"/>
    <n v="97000"/>
    <x v="5"/>
    <x v="0"/>
    <x v="2"/>
    <s v="Livrée"/>
    <x v="51"/>
    <n v="582000"/>
    <n v="216000"/>
    <n v="0.27067669172932329"/>
    <x v="6"/>
  </r>
  <r>
    <s v="V00062"/>
    <x v="57"/>
    <s v="CL0299"/>
    <s v="Client 177"/>
    <x v="6"/>
    <s v="Pala"/>
    <x v="1"/>
    <x v="18"/>
    <n v="10"/>
    <n v="26200"/>
    <n v="15500"/>
    <x v="7"/>
    <x v="2"/>
    <x v="1"/>
    <s v="Annulée"/>
    <x v="52"/>
    <n v="155000"/>
    <n v="107000"/>
    <n v="0.40839694656488551"/>
    <x v="7"/>
  </r>
  <r>
    <s v="V00063"/>
    <x v="58"/>
    <s v="CL0039"/>
    <s v="Client 489"/>
    <x v="6"/>
    <s v="Pala"/>
    <x v="0"/>
    <x v="11"/>
    <n v="5"/>
    <n v="85000"/>
    <n v="62000"/>
    <x v="0"/>
    <x v="2"/>
    <x v="2"/>
    <s v="Livrée"/>
    <x v="53"/>
    <n v="310000"/>
    <n v="115000"/>
    <n v="0.27058823529411763"/>
    <x v="9"/>
  </r>
  <r>
    <s v="V00064"/>
    <x v="59"/>
    <s v="CL0268"/>
    <s v="Client 116"/>
    <x v="5"/>
    <s v="Massaguet"/>
    <x v="0"/>
    <x v="16"/>
    <n v="6"/>
    <n v="140000"/>
    <n v="97000"/>
    <x v="3"/>
    <x v="3"/>
    <x v="0"/>
    <s v="Livrée"/>
    <x v="54"/>
    <n v="582000"/>
    <n v="258000"/>
    <n v="0.30714285714285716"/>
    <x v="2"/>
  </r>
  <r>
    <s v="V00065"/>
    <x v="60"/>
    <s v="CL0096"/>
    <s v="Client 204"/>
    <x v="4"/>
    <s v="Ati"/>
    <x v="2"/>
    <x v="13"/>
    <n v="2"/>
    <n v="152000"/>
    <n v="120000"/>
    <x v="2"/>
    <x v="3"/>
    <x v="2"/>
    <s v="Livrée"/>
    <x v="55"/>
    <n v="240000"/>
    <n v="64000"/>
    <n v="0.21052631578947367"/>
    <x v="4"/>
  </r>
  <r>
    <s v="V00066"/>
    <x v="61"/>
    <s v="CL0105"/>
    <s v="Client 494"/>
    <x v="6"/>
    <s v="Pala"/>
    <x v="3"/>
    <x v="15"/>
    <n v="4"/>
    <n v="8400"/>
    <n v="4800"/>
    <x v="7"/>
    <x v="3"/>
    <x v="1"/>
    <s v="Livrée"/>
    <x v="56"/>
    <n v="19200"/>
    <n v="14400"/>
    <n v="0.42857142857142855"/>
    <x v="7"/>
  </r>
  <r>
    <s v="V00067"/>
    <x v="62"/>
    <s v="CL0254"/>
    <s v="Client 424"/>
    <x v="5"/>
    <s v="Massaguet"/>
    <x v="2"/>
    <x v="14"/>
    <n v="2"/>
    <n v="99800"/>
    <n v="70000"/>
    <x v="6"/>
    <x v="1"/>
    <x v="1"/>
    <s v="Annulée"/>
    <x v="57"/>
    <n v="140000"/>
    <n v="59600"/>
    <n v="0.29859719438877758"/>
    <x v="2"/>
  </r>
  <r>
    <s v="V00068"/>
    <x v="37"/>
    <s v="CL0047"/>
    <s v="Client 305"/>
    <x v="0"/>
    <s v="N'Djamena"/>
    <x v="3"/>
    <x v="17"/>
    <n v="2"/>
    <n v="18900"/>
    <n v="12900"/>
    <x v="0"/>
    <x v="2"/>
    <x v="2"/>
    <s v="Livrée"/>
    <x v="58"/>
    <n v="25800"/>
    <n v="12000"/>
    <n v="0.31746031746031744"/>
    <x v="7"/>
  </r>
  <r>
    <s v="V00069"/>
    <x v="63"/>
    <s v="CL0338"/>
    <s v="Client 407"/>
    <x v="6"/>
    <s v="Pala"/>
    <x v="2"/>
    <x v="14"/>
    <n v="1"/>
    <n v="90200"/>
    <n v="72100"/>
    <x v="0"/>
    <x v="2"/>
    <x v="1"/>
    <s v="Livrée"/>
    <x v="59"/>
    <n v="72100"/>
    <n v="18100"/>
    <n v="0.20066518847006651"/>
    <x v="11"/>
  </r>
  <r>
    <s v="V00070"/>
    <x v="64"/>
    <s v="CL0327"/>
    <s v="Client 137"/>
    <x v="0"/>
    <s v="N'Djamena"/>
    <x v="0"/>
    <x v="5"/>
    <n v="10"/>
    <n v="231000"/>
    <n v="160000"/>
    <x v="2"/>
    <x v="0"/>
    <x v="1"/>
    <s v="Annulée"/>
    <x v="60"/>
    <n v="1600000"/>
    <n v="710000"/>
    <n v="0.30735930735930733"/>
    <x v="10"/>
  </r>
  <r>
    <s v="V00071"/>
    <x v="65"/>
    <s v="CL0225"/>
    <s v="Client 171"/>
    <x v="5"/>
    <s v="Massaguet"/>
    <x v="0"/>
    <x v="16"/>
    <n v="8"/>
    <n v="140000"/>
    <n v="97000"/>
    <x v="2"/>
    <x v="2"/>
    <x v="0"/>
    <s v="Livrée"/>
    <x v="30"/>
    <n v="776000"/>
    <n v="344000"/>
    <n v="0.30714285714285716"/>
    <x v="10"/>
  </r>
  <r>
    <s v="V00072"/>
    <x v="40"/>
    <s v="CL0493"/>
    <s v="Client 395"/>
    <x v="0"/>
    <s v="N'Djamena"/>
    <x v="3"/>
    <x v="15"/>
    <n v="10"/>
    <n v="8000"/>
    <n v="5000"/>
    <x v="6"/>
    <x v="1"/>
    <x v="2"/>
    <s v="Livrée"/>
    <x v="61"/>
    <n v="50000"/>
    <n v="30000"/>
    <n v="0.375"/>
    <x v="3"/>
  </r>
  <r>
    <s v="V00073"/>
    <x v="66"/>
    <s v="CL0459"/>
    <s v="Client 010"/>
    <x v="6"/>
    <s v="Moundou"/>
    <x v="1"/>
    <x v="12"/>
    <n v="10"/>
    <n v="31500"/>
    <n v="19600"/>
    <x v="5"/>
    <x v="0"/>
    <x v="1"/>
    <s v="Livrée"/>
    <x v="62"/>
    <n v="196000"/>
    <n v="119000"/>
    <n v="0.37777777777777777"/>
    <x v="5"/>
  </r>
  <r>
    <s v="V00074"/>
    <x v="7"/>
    <s v="CL0126"/>
    <s v="Client 254"/>
    <x v="2"/>
    <s v="Doba"/>
    <x v="2"/>
    <x v="10"/>
    <n v="9"/>
    <n v="427500"/>
    <n v="370000"/>
    <x v="5"/>
    <x v="0"/>
    <x v="0"/>
    <s v="Annulée"/>
    <x v="63"/>
    <n v="3330000"/>
    <n v="517500"/>
    <n v="0.13450292397660818"/>
    <x v="1"/>
  </r>
  <r>
    <s v="V00075"/>
    <x v="38"/>
    <s v="CL0005"/>
    <s v="Client 231"/>
    <x v="3"/>
    <s v="Mao"/>
    <x v="0"/>
    <x v="11"/>
    <n v="8"/>
    <n v="85000"/>
    <n v="60100"/>
    <x v="3"/>
    <x v="2"/>
    <x v="0"/>
    <s v="Livrée"/>
    <x v="64"/>
    <n v="480800"/>
    <n v="199200"/>
    <n v="0.29294117647058826"/>
    <x v="2"/>
  </r>
  <r>
    <s v="V00076"/>
    <x v="21"/>
    <s v="CL0271"/>
    <s v="Client 388"/>
    <x v="0"/>
    <s v="N'Djamena"/>
    <x v="3"/>
    <x v="3"/>
    <n v="7"/>
    <n v="15000"/>
    <n v="9500"/>
    <x v="0"/>
    <x v="1"/>
    <x v="0"/>
    <s v="Livrée"/>
    <x v="65"/>
    <n v="66500"/>
    <n v="38500"/>
    <n v="0.36666666666666664"/>
    <x v="9"/>
  </r>
  <r>
    <s v="V00077"/>
    <x v="67"/>
    <s v="CL0214"/>
    <s v="Client 144"/>
    <x v="5"/>
    <s v="Massaguet"/>
    <x v="2"/>
    <x v="13"/>
    <n v="5"/>
    <n v="168000"/>
    <n v="120000"/>
    <x v="4"/>
    <x v="1"/>
    <x v="1"/>
    <s v="Livrée"/>
    <x v="54"/>
    <n v="600000"/>
    <n v="240000"/>
    <n v="0.2857142857142857"/>
    <x v="7"/>
  </r>
  <r>
    <s v="V00078"/>
    <x v="68"/>
    <s v="CL0475"/>
    <s v="Client 420"/>
    <x v="4"/>
    <s v="Ati"/>
    <x v="0"/>
    <x v="0"/>
    <n v="9"/>
    <n v="61800"/>
    <n v="46400"/>
    <x v="6"/>
    <x v="3"/>
    <x v="0"/>
    <s v="Livrée"/>
    <x v="66"/>
    <n v="417600"/>
    <n v="138600"/>
    <n v="0.24919093851132687"/>
    <x v="8"/>
  </r>
  <r>
    <s v="V00079"/>
    <x v="68"/>
    <s v="CL0491"/>
    <s v="Client 051"/>
    <x v="1"/>
    <s v="Abéché"/>
    <x v="3"/>
    <x v="4"/>
    <n v="7"/>
    <n v="8600"/>
    <n v="6000"/>
    <x v="2"/>
    <x v="0"/>
    <x v="0"/>
    <s v="Livrée"/>
    <x v="67"/>
    <n v="42000"/>
    <n v="18200"/>
    <n v="0.30232558139534882"/>
    <x v="8"/>
  </r>
  <r>
    <s v="V00080"/>
    <x v="69"/>
    <s v="CL0433"/>
    <s v="Client 274"/>
    <x v="3"/>
    <s v="Mao"/>
    <x v="0"/>
    <x v="5"/>
    <n v="5"/>
    <n v="209000"/>
    <n v="164800"/>
    <x v="4"/>
    <x v="0"/>
    <x v="2"/>
    <s v="En cours"/>
    <x v="68"/>
    <n v="824000"/>
    <n v="221000"/>
    <n v="0.21148325358851675"/>
    <x v="11"/>
  </r>
  <r>
    <s v="V00081"/>
    <x v="70"/>
    <s v="CL0264"/>
    <s v="Client 369"/>
    <x v="3"/>
    <s v="Mao"/>
    <x v="1"/>
    <x v="6"/>
    <n v="1"/>
    <n v="12000"/>
    <n v="7300"/>
    <x v="1"/>
    <x v="2"/>
    <x v="1"/>
    <s v="Livrée"/>
    <x v="22"/>
    <n v="7300"/>
    <n v="4700"/>
    <n v="0.39166666666666666"/>
    <x v="11"/>
  </r>
  <r>
    <s v="V00082"/>
    <x v="71"/>
    <s v="CL0496"/>
    <s v="Client 337"/>
    <x v="0"/>
    <s v="N'Djamena"/>
    <x v="3"/>
    <x v="8"/>
    <n v="10"/>
    <n v="6000"/>
    <n v="4200"/>
    <x v="3"/>
    <x v="1"/>
    <x v="0"/>
    <s v="Livrée"/>
    <x v="69"/>
    <n v="42000"/>
    <n v="18000"/>
    <n v="0.3"/>
    <x v="3"/>
  </r>
  <r>
    <s v="V00083"/>
    <x v="72"/>
    <s v="CL0060"/>
    <s v="Client 154"/>
    <x v="0"/>
    <s v="N'Djamena"/>
    <x v="3"/>
    <x v="3"/>
    <n v="3"/>
    <n v="15800"/>
    <n v="9800"/>
    <x v="1"/>
    <x v="0"/>
    <x v="1"/>
    <s v="Livrée"/>
    <x v="70"/>
    <n v="29400"/>
    <n v="18000"/>
    <n v="0.379746835443038"/>
    <x v="2"/>
  </r>
  <r>
    <s v="V00084"/>
    <x v="73"/>
    <s v="CL0393"/>
    <s v="Client 230"/>
    <x v="7"/>
    <s v="Bol"/>
    <x v="2"/>
    <x v="14"/>
    <n v="10"/>
    <n v="90200"/>
    <n v="72100"/>
    <x v="0"/>
    <x v="0"/>
    <x v="1"/>
    <s v="Annulée"/>
    <x v="42"/>
    <n v="721000"/>
    <n v="181000"/>
    <n v="0.20066518847006651"/>
    <x v="10"/>
  </r>
  <r>
    <s v="V00085"/>
    <x v="74"/>
    <s v="CL0258"/>
    <s v="Client 037"/>
    <x v="5"/>
    <s v="Massaguet"/>
    <x v="3"/>
    <x v="3"/>
    <n v="6"/>
    <n v="15800"/>
    <n v="9500"/>
    <x v="7"/>
    <x v="0"/>
    <x v="0"/>
    <s v="Livrée"/>
    <x v="71"/>
    <n v="57000"/>
    <n v="37800"/>
    <n v="0.39873417721518989"/>
    <x v="7"/>
  </r>
  <r>
    <s v="V00086"/>
    <x v="75"/>
    <s v="CL0137"/>
    <s v="Client 226"/>
    <x v="5"/>
    <s v="Massaguet"/>
    <x v="0"/>
    <x v="5"/>
    <n v="6"/>
    <n v="220000"/>
    <n v="155200"/>
    <x v="1"/>
    <x v="1"/>
    <x v="1"/>
    <s v="En cours"/>
    <x v="72"/>
    <n v="931200"/>
    <n v="388800"/>
    <n v="0.29454545454545455"/>
    <x v="7"/>
  </r>
  <r>
    <s v="V00087"/>
    <x v="76"/>
    <s v="CL0277"/>
    <s v="Client 422"/>
    <x v="5"/>
    <s v="Massaguet"/>
    <x v="0"/>
    <x v="5"/>
    <n v="4"/>
    <n v="231000"/>
    <n v="164800"/>
    <x v="3"/>
    <x v="1"/>
    <x v="2"/>
    <s v="Annulée"/>
    <x v="73"/>
    <n v="659200"/>
    <n v="264800"/>
    <n v="0.2865800865800866"/>
    <x v="11"/>
  </r>
  <r>
    <s v="V00088"/>
    <x v="77"/>
    <s v="CL0239"/>
    <s v="Client 282"/>
    <x v="0"/>
    <s v="N'Djamena"/>
    <x v="3"/>
    <x v="4"/>
    <n v="7"/>
    <n v="9000"/>
    <n v="5800"/>
    <x v="7"/>
    <x v="0"/>
    <x v="1"/>
    <s v="Livrée"/>
    <x v="74"/>
    <n v="40600"/>
    <n v="22400"/>
    <n v="0.35555555555555557"/>
    <x v="10"/>
  </r>
  <r>
    <s v="V00089"/>
    <x v="78"/>
    <s v="CL0348"/>
    <s v="Client 234"/>
    <x v="3"/>
    <s v="Mao"/>
    <x v="2"/>
    <x v="2"/>
    <n v="3"/>
    <n v="57800"/>
    <n v="37800"/>
    <x v="0"/>
    <x v="2"/>
    <x v="0"/>
    <s v="Livrée"/>
    <x v="75"/>
    <n v="113400"/>
    <n v="60000"/>
    <n v="0.34602076124567471"/>
    <x v="3"/>
  </r>
  <r>
    <s v="V00090"/>
    <x v="79"/>
    <s v="CL0157"/>
    <s v="Client 299"/>
    <x v="3"/>
    <s v="Mao"/>
    <x v="1"/>
    <x v="7"/>
    <n v="10"/>
    <n v="10500"/>
    <n v="6200"/>
    <x v="0"/>
    <x v="0"/>
    <x v="0"/>
    <s v="Livrée"/>
    <x v="65"/>
    <n v="62000"/>
    <n v="43000"/>
    <n v="0.40952380952380951"/>
    <x v="4"/>
  </r>
  <r>
    <s v="V00091"/>
    <x v="80"/>
    <s v="CL0471"/>
    <s v="Client 136"/>
    <x v="0"/>
    <s v="N'Djamena"/>
    <x v="0"/>
    <x v="16"/>
    <n v="2"/>
    <n v="140000"/>
    <n v="103000"/>
    <x v="7"/>
    <x v="1"/>
    <x v="0"/>
    <s v="En cours"/>
    <x v="76"/>
    <n v="206000"/>
    <n v="74000"/>
    <n v="0.26428571428571429"/>
    <x v="9"/>
  </r>
  <r>
    <s v="V00092"/>
    <x v="81"/>
    <s v="CL0444"/>
    <s v="Client 342"/>
    <x v="0"/>
    <s v="N'Djamena"/>
    <x v="3"/>
    <x v="4"/>
    <n v="6"/>
    <n v="9000"/>
    <n v="6000"/>
    <x v="3"/>
    <x v="0"/>
    <x v="1"/>
    <s v="Livrée"/>
    <x v="77"/>
    <n v="36000"/>
    <n v="18000"/>
    <n v="0.33333333333333331"/>
    <x v="8"/>
  </r>
  <r>
    <s v="V00093"/>
    <x v="77"/>
    <s v="CL0004"/>
    <s v="Client 481"/>
    <x v="0"/>
    <s v="N'Djamena"/>
    <x v="2"/>
    <x v="2"/>
    <n v="9"/>
    <n v="57800"/>
    <n v="37800"/>
    <x v="4"/>
    <x v="2"/>
    <x v="1"/>
    <s v="Livrée"/>
    <x v="78"/>
    <n v="340200"/>
    <n v="180000"/>
    <n v="0.34602076124567471"/>
    <x v="10"/>
  </r>
  <r>
    <s v="V00094"/>
    <x v="82"/>
    <s v="CL0242"/>
    <s v="Client 217"/>
    <x v="0"/>
    <s v="N'Djamena"/>
    <x v="2"/>
    <x v="10"/>
    <n v="2"/>
    <n v="472500"/>
    <n v="358900"/>
    <x v="6"/>
    <x v="1"/>
    <x v="0"/>
    <s v="Livrée"/>
    <x v="79"/>
    <n v="717800"/>
    <n v="227200"/>
    <n v="0.24042328042328043"/>
    <x v="11"/>
  </r>
  <r>
    <s v="V00095"/>
    <x v="83"/>
    <s v="CL0288"/>
    <s v="Client 389"/>
    <x v="5"/>
    <s v="Massaguet"/>
    <x v="3"/>
    <x v="15"/>
    <n v="10"/>
    <n v="8000"/>
    <n v="5200"/>
    <x v="5"/>
    <x v="1"/>
    <x v="0"/>
    <s v="Livrée"/>
    <x v="61"/>
    <n v="52000"/>
    <n v="28000"/>
    <n v="0.35"/>
    <x v="3"/>
  </r>
  <r>
    <s v="V00096"/>
    <x v="16"/>
    <s v="CL0374"/>
    <s v="Client 187"/>
    <x v="1"/>
    <s v="Abéché"/>
    <x v="3"/>
    <x v="17"/>
    <n v="3"/>
    <n v="18000"/>
    <n v="12100"/>
    <x v="7"/>
    <x v="1"/>
    <x v="0"/>
    <s v="Livrée"/>
    <x v="77"/>
    <n v="36300"/>
    <n v="17700"/>
    <n v="0.32777777777777778"/>
    <x v="6"/>
  </r>
  <r>
    <s v="V00097"/>
    <x v="84"/>
    <s v="CL0047"/>
    <s v="Client 006"/>
    <x v="2"/>
    <s v="Doba"/>
    <x v="0"/>
    <x v="5"/>
    <n v="5"/>
    <n v="220000"/>
    <n v="164800"/>
    <x v="1"/>
    <x v="2"/>
    <x v="0"/>
    <s v="En cours"/>
    <x v="80"/>
    <n v="824000"/>
    <n v="276000"/>
    <n v="0.25090909090909091"/>
    <x v="7"/>
  </r>
  <r>
    <s v="V00098"/>
    <x v="51"/>
    <s v="CL0432"/>
    <s v="Client 102"/>
    <x v="0"/>
    <s v="N'Djamena"/>
    <x v="3"/>
    <x v="8"/>
    <n v="2"/>
    <n v="6000"/>
    <n v="4300"/>
    <x v="0"/>
    <x v="3"/>
    <x v="0"/>
    <s v="Livrée"/>
    <x v="22"/>
    <n v="8600"/>
    <n v="3400"/>
    <n v="0.28333333333333333"/>
    <x v="0"/>
  </r>
  <r>
    <s v="V00099"/>
    <x v="47"/>
    <s v="CL0028"/>
    <s v="Client 191"/>
    <x v="6"/>
    <s v="Pala"/>
    <x v="3"/>
    <x v="3"/>
    <n v="5"/>
    <n v="15000"/>
    <n v="9500"/>
    <x v="6"/>
    <x v="1"/>
    <x v="1"/>
    <s v="Annulée"/>
    <x v="81"/>
    <n v="47500"/>
    <n v="27500"/>
    <n v="0.36666666666666664"/>
    <x v="0"/>
  </r>
  <r>
    <s v="V00100"/>
    <x v="85"/>
    <s v="CL0295"/>
    <s v="Client 478"/>
    <x v="4"/>
    <s v="Ati"/>
    <x v="0"/>
    <x v="5"/>
    <n v="8"/>
    <n v="209000"/>
    <n v="160000"/>
    <x v="5"/>
    <x v="2"/>
    <x v="0"/>
    <s v="Annulée"/>
    <x v="82"/>
    <n v="1280000"/>
    <n v="392000"/>
    <n v="0.23444976076555024"/>
    <x v="2"/>
  </r>
  <r>
    <s v="V00101"/>
    <x v="86"/>
    <s v="CL0210"/>
    <s v="Client 066"/>
    <x v="0"/>
    <s v="N'Djamena"/>
    <x v="1"/>
    <x v="6"/>
    <n v="4"/>
    <n v="12000"/>
    <n v="7700"/>
    <x v="4"/>
    <x v="1"/>
    <x v="0"/>
    <s v="Livrée"/>
    <x v="36"/>
    <n v="30800"/>
    <n v="17200"/>
    <n v="0.35833333333333334"/>
    <x v="11"/>
  </r>
  <r>
    <s v="V00102"/>
    <x v="71"/>
    <s v="CL0345"/>
    <s v="Client 394"/>
    <x v="0"/>
    <s v="N'Djamena"/>
    <x v="2"/>
    <x v="9"/>
    <n v="9"/>
    <n v="180000"/>
    <n v="135000"/>
    <x v="2"/>
    <x v="2"/>
    <x v="2"/>
    <s v="Annulée"/>
    <x v="83"/>
    <n v="1215000"/>
    <n v="405000"/>
    <n v="0.25"/>
    <x v="3"/>
  </r>
  <r>
    <s v="V00104"/>
    <x v="59"/>
    <s v="CL0099"/>
    <s v="Client 367"/>
    <x v="5"/>
    <s v="Massaguet"/>
    <x v="2"/>
    <x v="13"/>
    <n v="8"/>
    <n v="160000"/>
    <n v="120000"/>
    <x v="1"/>
    <x v="2"/>
    <x v="1"/>
    <s v="Annulée"/>
    <x v="23"/>
    <n v="960000"/>
    <n v="320000"/>
    <n v="0.25"/>
    <x v="2"/>
  </r>
  <r>
    <s v="V00105"/>
    <x v="87"/>
    <s v="CL0040"/>
    <s v="Client 177"/>
    <x v="4"/>
    <s v="Ati"/>
    <x v="2"/>
    <x v="13"/>
    <n v="1"/>
    <n v="152000"/>
    <n v="116400"/>
    <x v="0"/>
    <x v="0"/>
    <x v="0"/>
    <s v="Livrée"/>
    <x v="84"/>
    <n v="116400"/>
    <n v="35600"/>
    <n v="0.23421052631578948"/>
    <x v="1"/>
  </r>
  <r>
    <s v="V00106"/>
    <x v="88"/>
    <s v="CL0430"/>
    <s v="Client 045"/>
    <x v="0"/>
    <s v="N'Djamena"/>
    <x v="2"/>
    <x v="10"/>
    <n v="6"/>
    <n v="450000"/>
    <n v="370000"/>
    <x v="4"/>
    <x v="0"/>
    <x v="0"/>
    <s v="Livrée"/>
    <x v="85"/>
    <n v="2220000"/>
    <n v="480000"/>
    <n v="0.17777777777777778"/>
    <x v="7"/>
  </r>
  <r>
    <s v="V00107"/>
    <x v="4"/>
    <s v="CL0318"/>
    <s v="Client 491"/>
    <x v="3"/>
    <s v="Mao"/>
    <x v="3"/>
    <x v="3"/>
    <n v="1"/>
    <n v="15800"/>
    <n v="9200"/>
    <x v="6"/>
    <x v="2"/>
    <x v="0"/>
    <s v="Annulée"/>
    <x v="17"/>
    <n v="9200"/>
    <n v="6600"/>
    <n v="0.41772151898734178"/>
    <x v="4"/>
  </r>
  <r>
    <s v="V00108"/>
    <x v="89"/>
    <s v="CL0010"/>
    <s v="Client 096"/>
    <x v="6"/>
    <s v="Pala"/>
    <x v="2"/>
    <x v="14"/>
    <n v="10"/>
    <n v="99800"/>
    <n v="70000"/>
    <x v="1"/>
    <x v="2"/>
    <x v="2"/>
    <s v="Livrée"/>
    <x v="86"/>
    <n v="700000"/>
    <n v="298000"/>
    <n v="0.29859719438877758"/>
    <x v="9"/>
  </r>
  <r>
    <s v="V00109"/>
    <x v="79"/>
    <s v="CL0280"/>
    <s v="Client 432"/>
    <x v="0"/>
    <s v="N'Djamena"/>
    <x v="0"/>
    <x v="16"/>
    <n v="1"/>
    <n v="140000"/>
    <n v="103000"/>
    <x v="2"/>
    <x v="3"/>
    <x v="1"/>
    <s v="Livrée"/>
    <x v="87"/>
    <n v="103000"/>
    <n v="37000"/>
    <n v="0.26428571428571429"/>
    <x v="4"/>
  </r>
  <r>
    <s v="V00110"/>
    <x v="90"/>
    <s v="CL0463"/>
    <s v="Client 423"/>
    <x v="5"/>
    <s v="Massaguet"/>
    <x v="1"/>
    <x v="12"/>
    <n v="6"/>
    <n v="30000"/>
    <n v="18400"/>
    <x v="0"/>
    <x v="1"/>
    <x v="0"/>
    <s v="Livrée"/>
    <x v="88"/>
    <n v="110400"/>
    <n v="69600"/>
    <n v="0.38666666666666666"/>
    <x v="7"/>
  </r>
  <r>
    <s v="V00111"/>
    <x v="91"/>
    <s v="CL0402"/>
    <s v="Client 126"/>
    <x v="3"/>
    <s v="Mao"/>
    <x v="2"/>
    <x v="14"/>
    <n v="4"/>
    <n v="95000"/>
    <n v="70000"/>
    <x v="2"/>
    <x v="1"/>
    <x v="1"/>
    <s v="Livrée"/>
    <x v="89"/>
    <n v="280000"/>
    <n v="100000"/>
    <n v="0.26315789473684209"/>
    <x v="3"/>
  </r>
  <r>
    <s v="V00112"/>
    <x v="56"/>
    <s v="CL0005"/>
    <s v="Client 330"/>
    <x v="0"/>
    <s v="N'Djamena"/>
    <x v="1"/>
    <x v="1"/>
    <n v="1"/>
    <n v="7400"/>
    <n v="4000"/>
    <x v="4"/>
    <x v="2"/>
    <x v="0"/>
    <s v="Annulée"/>
    <x v="90"/>
    <n v="4000"/>
    <n v="3400"/>
    <n v="0.45945945945945948"/>
    <x v="6"/>
  </r>
  <r>
    <s v="V00113"/>
    <x v="92"/>
    <s v="CL0403"/>
    <s v="Client 475"/>
    <x v="6"/>
    <s v="Moundou"/>
    <x v="3"/>
    <x v="4"/>
    <n v="1"/>
    <n v="8600"/>
    <n v="6000"/>
    <x v="1"/>
    <x v="1"/>
    <x v="0"/>
    <s v="Livrée"/>
    <x v="91"/>
    <n v="6000"/>
    <n v="2600"/>
    <n v="0.30232558139534882"/>
    <x v="7"/>
  </r>
  <r>
    <s v="V00114"/>
    <x v="93"/>
    <s v="CL0325"/>
    <s v="Client 495"/>
    <x v="0"/>
    <s v="N'Djamena"/>
    <x v="2"/>
    <x v="13"/>
    <n v="7"/>
    <n v="152000"/>
    <n v="116400"/>
    <x v="4"/>
    <x v="3"/>
    <x v="1"/>
    <s v="Livrée"/>
    <x v="92"/>
    <n v="814800"/>
    <n v="249200"/>
    <n v="0.23421052631578948"/>
    <x v="3"/>
  </r>
  <r>
    <s v="V00115"/>
    <x v="86"/>
    <s v="CL0392"/>
    <s v="Client 074"/>
    <x v="4"/>
    <s v="Ati"/>
    <x v="1"/>
    <x v="1"/>
    <n v="9"/>
    <n v="7400"/>
    <n v="3900"/>
    <x v="6"/>
    <x v="3"/>
    <x v="2"/>
    <s v="Livrée"/>
    <x v="93"/>
    <n v="35100"/>
    <n v="31500"/>
    <n v="0.47297297297297297"/>
    <x v="11"/>
  </r>
  <r>
    <s v="V00116"/>
    <x v="94"/>
    <s v="CL0454"/>
    <s v="Client 281"/>
    <x v="1"/>
    <s v="Abéché"/>
    <x v="0"/>
    <x v="16"/>
    <n v="9"/>
    <n v="140000"/>
    <n v="100000"/>
    <x v="0"/>
    <x v="0"/>
    <x v="2"/>
    <s v="Livrée"/>
    <x v="94"/>
    <n v="900000"/>
    <n v="360000"/>
    <n v="0.2857142857142857"/>
    <x v="5"/>
  </r>
  <r>
    <s v="V00117"/>
    <x v="23"/>
    <s v="CL0177"/>
    <s v="Client 258"/>
    <x v="6"/>
    <s v="Moundou"/>
    <x v="1"/>
    <x v="12"/>
    <n v="4"/>
    <n v="30000"/>
    <n v="19000"/>
    <x v="4"/>
    <x v="2"/>
    <x v="0"/>
    <s v="Livrée"/>
    <x v="95"/>
    <n v="76000"/>
    <n v="44000"/>
    <n v="0.36666666666666664"/>
    <x v="7"/>
  </r>
  <r>
    <s v="V00118"/>
    <x v="95"/>
    <s v="CL0344"/>
    <s v="Client 265"/>
    <x v="7"/>
    <s v="Bol"/>
    <x v="1"/>
    <x v="18"/>
    <n v="7"/>
    <n v="26200"/>
    <n v="15500"/>
    <x v="0"/>
    <x v="2"/>
    <x v="0"/>
    <s v="Livrée"/>
    <x v="96"/>
    <n v="108500"/>
    <n v="74900"/>
    <n v="0.40839694656488551"/>
    <x v="11"/>
  </r>
  <r>
    <s v="V00119"/>
    <x v="96"/>
    <s v="CL0409"/>
    <s v="Client 411"/>
    <x v="1"/>
    <s v="Abéché"/>
    <x v="2"/>
    <x v="2"/>
    <n v="2"/>
    <n v="52200"/>
    <n v="40200"/>
    <x v="3"/>
    <x v="3"/>
    <x v="0"/>
    <s v="Livrée"/>
    <x v="97"/>
    <n v="80400"/>
    <n v="24000"/>
    <n v="0.22988505747126436"/>
    <x v="4"/>
  </r>
  <r>
    <s v="V00120"/>
    <x v="24"/>
    <s v="CL0275"/>
    <s v="Client 083"/>
    <x v="0"/>
    <s v="N'Djamena"/>
    <x v="2"/>
    <x v="13"/>
    <n v="6"/>
    <n v="160000"/>
    <n v="120000"/>
    <x v="2"/>
    <x v="3"/>
    <x v="1"/>
    <s v="Livrée"/>
    <x v="98"/>
    <n v="720000"/>
    <n v="240000"/>
    <n v="0.25"/>
    <x v="1"/>
  </r>
  <r>
    <s v="V00121"/>
    <x v="97"/>
    <s v="CL0185"/>
    <s v="Client 384"/>
    <x v="0"/>
    <s v="N'Djamena"/>
    <x v="2"/>
    <x v="10"/>
    <n v="3"/>
    <n v="472500"/>
    <n v="358900"/>
    <x v="6"/>
    <x v="3"/>
    <x v="0"/>
    <s v="Livrée"/>
    <x v="99"/>
    <n v="1076700"/>
    <n v="340800"/>
    <n v="0.24042328042328043"/>
    <x v="9"/>
  </r>
  <r>
    <s v="V00122"/>
    <x v="98"/>
    <s v="CL0269"/>
    <s v="Client 016"/>
    <x v="7"/>
    <s v="Bol"/>
    <x v="2"/>
    <x v="14"/>
    <n v="7"/>
    <n v="90200"/>
    <n v="70000"/>
    <x v="0"/>
    <x v="2"/>
    <x v="2"/>
    <s v="En cours"/>
    <x v="100"/>
    <n v="490000"/>
    <n v="141400"/>
    <n v="0.22394678492239467"/>
    <x v="9"/>
  </r>
  <r>
    <s v="V00123"/>
    <x v="11"/>
    <s v="CL0103"/>
    <s v="Client 321"/>
    <x v="1"/>
    <s v="Abéché"/>
    <x v="2"/>
    <x v="9"/>
    <n v="5"/>
    <n v="180000"/>
    <n v="139000"/>
    <x v="5"/>
    <x v="0"/>
    <x v="1"/>
    <s v="Livrée"/>
    <x v="101"/>
    <n v="695000"/>
    <n v="205000"/>
    <n v="0.22777777777777777"/>
    <x v="6"/>
  </r>
  <r>
    <s v="V00124"/>
    <x v="56"/>
    <s v="CL0252"/>
    <s v="Client 453"/>
    <x v="4"/>
    <s v="Ati"/>
    <x v="2"/>
    <x v="10"/>
    <n v="8"/>
    <n v="450000"/>
    <n v="358900"/>
    <x v="4"/>
    <x v="2"/>
    <x v="0"/>
    <s v="Annulée"/>
    <x v="102"/>
    <n v="2871200"/>
    <n v="728800"/>
    <n v="0.20244444444444445"/>
    <x v="6"/>
  </r>
  <r>
    <s v="V00125"/>
    <x v="99"/>
    <s v="CL0463"/>
    <s v="Client 315"/>
    <x v="0"/>
    <s v="N'Djamena"/>
    <x v="2"/>
    <x v="14"/>
    <n v="5"/>
    <n v="95000"/>
    <n v="70000"/>
    <x v="4"/>
    <x v="2"/>
    <x v="2"/>
    <s v="Annulée"/>
    <x v="103"/>
    <n v="350000"/>
    <n v="125000"/>
    <n v="0.26315789473684209"/>
    <x v="6"/>
  </r>
  <r>
    <s v="V00126"/>
    <x v="100"/>
    <s v="CL0293"/>
    <s v="Client 318"/>
    <x v="1"/>
    <s v="Abéché"/>
    <x v="0"/>
    <x v="16"/>
    <n v="7"/>
    <n v="133000"/>
    <n v="97000"/>
    <x v="4"/>
    <x v="2"/>
    <x v="0"/>
    <s v="Livrée"/>
    <x v="104"/>
    <n v="679000"/>
    <n v="252000"/>
    <n v="0.27067669172932329"/>
    <x v="1"/>
  </r>
  <r>
    <s v="V00127"/>
    <x v="101"/>
    <s v="CL0350"/>
    <s v="Client 060"/>
    <x v="7"/>
    <s v="Bol"/>
    <x v="1"/>
    <x v="7"/>
    <n v="10"/>
    <n v="10000"/>
    <n v="6200"/>
    <x v="6"/>
    <x v="2"/>
    <x v="0"/>
    <s v="Livrée"/>
    <x v="8"/>
    <n v="62000"/>
    <n v="38000"/>
    <n v="0.38"/>
    <x v="6"/>
  </r>
  <r>
    <s v="V00128"/>
    <x v="102"/>
    <s v="CL0348"/>
    <s v="Client 040"/>
    <x v="6"/>
    <s v="Pala"/>
    <x v="0"/>
    <x v="16"/>
    <n v="10"/>
    <n v="147000"/>
    <n v="103000"/>
    <x v="0"/>
    <x v="2"/>
    <x v="0"/>
    <s v="Livrée"/>
    <x v="105"/>
    <n v="1030000"/>
    <n v="440000"/>
    <n v="0.29931972789115646"/>
    <x v="8"/>
  </r>
  <r>
    <s v="V00129"/>
    <x v="103"/>
    <s v="CL0174"/>
    <s v="Client 085"/>
    <x v="0"/>
    <s v="N'Djamena"/>
    <x v="2"/>
    <x v="9"/>
    <n v="1"/>
    <n v="171000"/>
    <n v="131000"/>
    <x v="4"/>
    <x v="2"/>
    <x v="2"/>
    <s v="Livrée"/>
    <x v="106"/>
    <n v="131000"/>
    <n v="40000"/>
    <n v="0.23391812865497075"/>
    <x v="6"/>
  </r>
  <r>
    <s v="V00130"/>
    <x v="104"/>
    <s v="CL0364"/>
    <s v="Client 195"/>
    <x v="1"/>
    <s v="Abéché"/>
    <x v="3"/>
    <x v="15"/>
    <n v="7"/>
    <n v="8000"/>
    <n v="5200"/>
    <x v="4"/>
    <x v="3"/>
    <x v="1"/>
    <s v="Livrée"/>
    <x v="107"/>
    <n v="36400"/>
    <n v="19600"/>
    <n v="0.35"/>
    <x v="7"/>
  </r>
  <r>
    <s v="V00131"/>
    <x v="105"/>
    <s v="CL0066"/>
    <s v="Client 202"/>
    <x v="0"/>
    <s v="N'Djamena"/>
    <x v="2"/>
    <x v="14"/>
    <n v="2"/>
    <n v="95000"/>
    <n v="72100"/>
    <x v="7"/>
    <x v="2"/>
    <x v="0"/>
    <s v="Annulée"/>
    <x v="28"/>
    <n v="144200"/>
    <n v="45800"/>
    <n v="0.24105263157894738"/>
    <x v="4"/>
  </r>
  <r>
    <s v="V00132"/>
    <x v="106"/>
    <s v="CL0180"/>
    <s v="Client 190"/>
    <x v="3"/>
    <s v="Mao"/>
    <x v="0"/>
    <x v="16"/>
    <n v="2"/>
    <n v="147000"/>
    <n v="100000"/>
    <x v="0"/>
    <x v="3"/>
    <x v="0"/>
    <s v="En cours"/>
    <x v="108"/>
    <n v="200000"/>
    <n v="94000"/>
    <n v="0.31972789115646261"/>
    <x v="8"/>
  </r>
  <r>
    <s v="V00133"/>
    <x v="107"/>
    <s v="CL0210"/>
    <s v="Client 149"/>
    <x v="6"/>
    <s v="Pala"/>
    <x v="2"/>
    <x v="13"/>
    <n v="9"/>
    <n v="152000"/>
    <n v="123600"/>
    <x v="6"/>
    <x v="0"/>
    <x v="1"/>
    <s v="Livrée"/>
    <x v="109"/>
    <n v="1112400"/>
    <n v="255600"/>
    <n v="0.18684210526315789"/>
    <x v="6"/>
  </r>
  <r>
    <s v="V00134"/>
    <x v="108"/>
    <s v="CL0340"/>
    <s v="Client 411"/>
    <x v="4"/>
    <s v="Ati"/>
    <x v="2"/>
    <x v="2"/>
    <n v="8"/>
    <n v="55000"/>
    <n v="40200"/>
    <x v="5"/>
    <x v="0"/>
    <x v="1"/>
    <s v="Livrée"/>
    <x v="19"/>
    <n v="321600"/>
    <n v="118400"/>
    <n v="0.2690909090909091"/>
    <x v="11"/>
  </r>
  <r>
    <s v="V00135"/>
    <x v="109"/>
    <s v="CL0443"/>
    <s v="Client 170"/>
    <x v="0"/>
    <s v="N'Djamena"/>
    <x v="2"/>
    <x v="10"/>
    <n v="8"/>
    <n v="450000"/>
    <n v="381100"/>
    <x v="3"/>
    <x v="2"/>
    <x v="2"/>
    <s v="En cours"/>
    <x v="102"/>
    <n v="3048800"/>
    <n v="551200"/>
    <n v="0.15311111111111111"/>
    <x v="6"/>
  </r>
  <r>
    <s v="V00136"/>
    <x v="110"/>
    <s v="CL0067"/>
    <s v="Client 185"/>
    <x v="0"/>
    <s v="N'Djamena"/>
    <x v="3"/>
    <x v="15"/>
    <n v="4"/>
    <n v="8000"/>
    <n v="4800"/>
    <x v="0"/>
    <x v="3"/>
    <x v="1"/>
    <s v="Annulée"/>
    <x v="29"/>
    <n v="19200"/>
    <n v="12800"/>
    <n v="0.4"/>
    <x v="2"/>
  </r>
  <r>
    <s v="V00137"/>
    <x v="106"/>
    <s v="CL0257"/>
    <s v="Client 082"/>
    <x v="0"/>
    <s v="N'Djamena"/>
    <x v="0"/>
    <x v="16"/>
    <n v="6"/>
    <n v="133000"/>
    <n v="100000"/>
    <x v="7"/>
    <x v="2"/>
    <x v="1"/>
    <s v="En cours"/>
    <x v="51"/>
    <n v="600000"/>
    <n v="198000"/>
    <n v="0.24812030075187969"/>
    <x v="8"/>
  </r>
  <r>
    <s v="V00138"/>
    <x v="111"/>
    <s v="CL0449"/>
    <s v="Client 433"/>
    <x v="3"/>
    <s v="Mao"/>
    <x v="1"/>
    <x v="18"/>
    <n v="4"/>
    <n v="26200"/>
    <n v="16500"/>
    <x v="6"/>
    <x v="3"/>
    <x v="0"/>
    <s v="Livrée"/>
    <x v="110"/>
    <n v="66000"/>
    <n v="38800"/>
    <n v="0.37022900763358779"/>
    <x v="0"/>
  </r>
  <r>
    <s v="V00139"/>
    <x v="112"/>
    <s v="CL0065"/>
    <s v="Client 138"/>
    <x v="1"/>
    <s v="Abéché"/>
    <x v="2"/>
    <x v="9"/>
    <n v="5"/>
    <n v="180000"/>
    <n v="135000"/>
    <x v="0"/>
    <x v="2"/>
    <x v="0"/>
    <s v="Livrée"/>
    <x v="101"/>
    <n v="675000"/>
    <n v="225000"/>
    <n v="0.25"/>
    <x v="4"/>
  </r>
  <r>
    <s v="V00140"/>
    <x v="113"/>
    <s v="CL0209"/>
    <s v="Client 290"/>
    <x v="2"/>
    <s v="Doba"/>
    <x v="1"/>
    <x v="6"/>
    <n v="5"/>
    <n v="12000"/>
    <n v="7300"/>
    <x v="2"/>
    <x v="2"/>
    <x v="2"/>
    <s v="Livrée"/>
    <x v="69"/>
    <n v="36500"/>
    <n v="23500"/>
    <n v="0.39166666666666666"/>
    <x v="11"/>
  </r>
  <r>
    <s v="V00141"/>
    <x v="27"/>
    <s v="CL0067"/>
    <s v="Client 216"/>
    <x v="3"/>
    <s v="Mao"/>
    <x v="2"/>
    <x v="14"/>
    <n v="1"/>
    <n v="90200"/>
    <n v="67900"/>
    <x v="6"/>
    <x v="0"/>
    <x v="1"/>
    <s v="Livrée"/>
    <x v="59"/>
    <n v="67900"/>
    <n v="22300"/>
    <n v="0.24722838137472283"/>
    <x v="7"/>
  </r>
  <r>
    <s v="V00142"/>
    <x v="114"/>
    <s v="CL0322"/>
    <s v="Client 200"/>
    <x v="0"/>
    <s v="N'Djamena"/>
    <x v="2"/>
    <x v="10"/>
    <n v="2"/>
    <n v="472500"/>
    <n v="358900"/>
    <x v="0"/>
    <x v="2"/>
    <x v="1"/>
    <s v="Livrée"/>
    <x v="79"/>
    <n v="717800"/>
    <n v="227200"/>
    <n v="0.24042328042328043"/>
    <x v="7"/>
  </r>
  <r>
    <s v="V00143"/>
    <x v="69"/>
    <s v="CL0168"/>
    <s v="Client 253"/>
    <x v="4"/>
    <s v="Ati"/>
    <x v="2"/>
    <x v="9"/>
    <n v="4"/>
    <n v="171000"/>
    <n v="131000"/>
    <x v="3"/>
    <x v="2"/>
    <x v="0"/>
    <s v="Livrée"/>
    <x v="111"/>
    <n v="524000"/>
    <n v="160000"/>
    <n v="0.23391812865497075"/>
    <x v="11"/>
  </r>
  <r>
    <s v="V00144"/>
    <x v="115"/>
    <s v="CL0480"/>
    <s v="Client 156"/>
    <x v="1"/>
    <s v="Abéché"/>
    <x v="2"/>
    <x v="2"/>
    <n v="9"/>
    <n v="55000"/>
    <n v="40200"/>
    <x v="0"/>
    <x v="0"/>
    <x v="2"/>
    <s v="Annulée"/>
    <x v="48"/>
    <n v="361800"/>
    <n v="133200"/>
    <n v="0.2690909090909091"/>
    <x v="9"/>
  </r>
  <r>
    <s v="V00145"/>
    <x v="43"/>
    <s v="CL0466"/>
    <s v="Client 329"/>
    <x v="5"/>
    <s v="Massaguet"/>
    <x v="1"/>
    <x v="6"/>
    <n v="2"/>
    <n v="11400"/>
    <n v="7700"/>
    <x v="3"/>
    <x v="0"/>
    <x v="2"/>
    <s v="Livrée"/>
    <x v="9"/>
    <n v="15400"/>
    <n v="7400"/>
    <n v="0.32456140350877194"/>
    <x v="8"/>
  </r>
  <r>
    <s v="V00146"/>
    <x v="116"/>
    <s v="CL0439"/>
    <s v="Client 266"/>
    <x v="0"/>
    <s v="N'Djamena"/>
    <x v="0"/>
    <x v="5"/>
    <n v="5"/>
    <n v="209000"/>
    <n v="155200"/>
    <x v="4"/>
    <x v="0"/>
    <x v="0"/>
    <s v="Annulée"/>
    <x v="68"/>
    <n v="776000"/>
    <n v="269000"/>
    <n v="0.25741626794258371"/>
    <x v="4"/>
  </r>
  <r>
    <s v="V00147"/>
    <x v="117"/>
    <s v="CL0076"/>
    <s v="Client 167"/>
    <x v="0"/>
    <s v="N'Djamena"/>
    <x v="0"/>
    <x v="5"/>
    <n v="1"/>
    <n v="220000"/>
    <n v="155200"/>
    <x v="5"/>
    <x v="2"/>
    <x v="0"/>
    <s v="Annulée"/>
    <x v="112"/>
    <n v="155200"/>
    <n v="64800"/>
    <n v="0.29454545454545455"/>
    <x v="1"/>
  </r>
  <r>
    <s v="V00148"/>
    <x v="118"/>
    <s v="CL0300"/>
    <s v="Client 397"/>
    <x v="7"/>
    <s v="Bol"/>
    <x v="1"/>
    <x v="6"/>
    <n v="8"/>
    <n v="11400"/>
    <n v="7500"/>
    <x v="1"/>
    <x v="2"/>
    <x v="0"/>
    <s v="Livrée"/>
    <x v="21"/>
    <n v="60000"/>
    <n v="31200"/>
    <n v="0.34210526315789475"/>
    <x v="7"/>
  </r>
  <r>
    <s v="V00149"/>
    <x v="119"/>
    <s v="CL0343"/>
    <s v="Client 395"/>
    <x v="0"/>
    <s v="N'Djamena"/>
    <x v="2"/>
    <x v="13"/>
    <n v="7"/>
    <n v="160000"/>
    <n v="116400"/>
    <x v="1"/>
    <x v="2"/>
    <x v="0"/>
    <s v="Livrée"/>
    <x v="30"/>
    <n v="814800"/>
    <n v="305200"/>
    <n v="0.27250000000000002"/>
    <x v="8"/>
  </r>
  <r>
    <s v="V00150"/>
    <x v="120"/>
    <s v="CL0116"/>
    <s v="Client 438"/>
    <x v="0"/>
    <s v="N'Djamena"/>
    <x v="2"/>
    <x v="10"/>
    <n v="3"/>
    <n v="450000"/>
    <n v="358900"/>
    <x v="3"/>
    <x v="1"/>
    <x v="0"/>
    <s v="Livrée"/>
    <x v="113"/>
    <n v="1076700"/>
    <n v="273300"/>
    <n v="0.20244444444444445"/>
    <x v="3"/>
  </r>
  <r>
    <s v="V00151"/>
    <x v="121"/>
    <s v="CL0032"/>
    <s v="Client 370"/>
    <x v="3"/>
    <s v="Mao"/>
    <x v="0"/>
    <x v="16"/>
    <n v="4"/>
    <n v="140000"/>
    <n v="97000"/>
    <x v="0"/>
    <x v="2"/>
    <x v="2"/>
    <s v="Livrée"/>
    <x v="114"/>
    <n v="388000"/>
    <n v="172000"/>
    <n v="0.30714285714285716"/>
    <x v="11"/>
  </r>
  <r>
    <s v="V00152"/>
    <x v="122"/>
    <s v="CL0379"/>
    <s v="Client 470"/>
    <x v="0"/>
    <s v="N'Djamena"/>
    <x v="1"/>
    <x v="18"/>
    <n v="9"/>
    <n v="26200"/>
    <n v="15500"/>
    <x v="7"/>
    <x v="2"/>
    <x v="0"/>
    <s v="En cours"/>
    <x v="115"/>
    <n v="139500"/>
    <n v="96300"/>
    <n v="0.40839694656488551"/>
    <x v="3"/>
  </r>
  <r>
    <s v="V00153"/>
    <x v="71"/>
    <s v="CL0207"/>
    <s v="Client 407"/>
    <x v="1"/>
    <s v="Abéché"/>
    <x v="0"/>
    <x v="16"/>
    <n v="5"/>
    <n v="133000"/>
    <n v="100000"/>
    <x v="4"/>
    <x v="0"/>
    <x v="0"/>
    <s v="Livrée"/>
    <x v="116"/>
    <n v="500000"/>
    <n v="165000"/>
    <n v="0.24812030075187969"/>
    <x v="3"/>
  </r>
  <r>
    <s v="V00154"/>
    <x v="123"/>
    <s v="CL0316"/>
    <s v="Client 456"/>
    <x v="7"/>
    <s v="Bol"/>
    <x v="2"/>
    <x v="13"/>
    <n v="7"/>
    <n v="168000"/>
    <n v="116400"/>
    <x v="2"/>
    <x v="2"/>
    <x v="0"/>
    <s v="Livrée"/>
    <x v="117"/>
    <n v="814800"/>
    <n v="361200"/>
    <n v="0.30714285714285716"/>
    <x v="11"/>
  </r>
  <r>
    <s v="V00155"/>
    <x v="124"/>
    <s v="CL0287"/>
    <s v="Client 487"/>
    <x v="7"/>
    <s v="Bol"/>
    <x v="0"/>
    <x v="0"/>
    <n v="6"/>
    <n v="65000"/>
    <n v="46400"/>
    <x v="0"/>
    <x v="2"/>
    <x v="2"/>
    <s v="Livrée"/>
    <x v="118"/>
    <n v="278400"/>
    <n v="111600"/>
    <n v="0.28615384615384615"/>
    <x v="5"/>
  </r>
  <r>
    <s v="V00156"/>
    <x v="77"/>
    <s v="CL0141"/>
    <s v="Client 078"/>
    <x v="0"/>
    <s v="N'Djamena"/>
    <x v="3"/>
    <x v="4"/>
    <n v="9"/>
    <n v="9000"/>
    <n v="5600"/>
    <x v="6"/>
    <x v="2"/>
    <x v="0"/>
    <s v="En cours"/>
    <x v="119"/>
    <n v="50400"/>
    <n v="30600"/>
    <n v="0.37777777777777777"/>
    <x v="10"/>
  </r>
  <r>
    <s v="V00157"/>
    <x v="125"/>
    <s v="CL0229"/>
    <s v="Client 163"/>
    <x v="0"/>
    <s v="N'Djamena"/>
    <x v="3"/>
    <x v="3"/>
    <n v="8"/>
    <n v="14200"/>
    <n v="9200"/>
    <x v="3"/>
    <x v="0"/>
    <x v="0"/>
    <s v="Livrée"/>
    <x v="120"/>
    <n v="73600"/>
    <n v="40000"/>
    <n v="0.352112676056338"/>
    <x v="7"/>
  </r>
  <r>
    <s v="V00158"/>
    <x v="126"/>
    <s v="CL0483"/>
    <s v="Client 010"/>
    <x v="2"/>
    <s v="Doba"/>
    <x v="0"/>
    <x v="11"/>
    <n v="2"/>
    <n v="85000"/>
    <n v="62000"/>
    <x v="4"/>
    <x v="0"/>
    <x v="2"/>
    <s v="Annulée"/>
    <x v="121"/>
    <n v="124000"/>
    <n v="46000"/>
    <n v="0.27058823529411763"/>
    <x v="4"/>
  </r>
  <r>
    <s v="V00159"/>
    <x v="127"/>
    <s v="CL0042"/>
    <s v="Client 023"/>
    <x v="0"/>
    <s v="N'Djamena"/>
    <x v="1"/>
    <x v="12"/>
    <n v="6"/>
    <n v="28500"/>
    <n v="19600"/>
    <x v="2"/>
    <x v="2"/>
    <x v="0"/>
    <s v="Livrée"/>
    <x v="106"/>
    <n v="117600"/>
    <n v="53400"/>
    <n v="0.31228070175438599"/>
    <x v="7"/>
  </r>
  <r>
    <s v="V00160"/>
    <x v="128"/>
    <s v="CL0451"/>
    <s v="Client 011"/>
    <x v="0"/>
    <s v="N'Djamena"/>
    <x v="2"/>
    <x v="13"/>
    <n v="5"/>
    <n v="152000"/>
    <n v="120000"/>
    <x v="4"/>
    <x v="2"/>
    <x v="2"/>
    <s v="Livrée"/>
    <x v="122"/>
    <n v="600000"/>
    <n v="160000"/>
    <n v="0.21052631578947367"/>
    <x v="6"/>
  </r>
  <r>
    <s v="V00161"/>
    <x v="129"/>
    <s v="CL0216"/>
    <s v="Client 409"/>
    <x v="5"/>
    <s v="Massaguet"/>
    <x v="0"/>
    <x v="11"/>
    <n v="1"/>
    <n v="85000"/>
    <n v="63900"/>
    <x v="7"/>
    <x v="3"/>
    <x v="2"/>
    <s v="Livrée"/>
    <x v="123"/>
    <n v="63900"/>
    <n v="21100"/>
    <n v="0.24823529411764705"/>
    <x v="0"/>
  </r>
  <r>
    <s v="V00162"/>
    <x v="130"/>
    <s v="CL0045"/>
    <s v="Client 440"/>
    <x v="7"/>
    <s v="Bol"/>
    <x v="3"/>
    <x v="17"/>
    <n v="6"/>
    <n v="18000"/>
    <n v="12900"/>
    <x v="4"/>
    <x v="2"/>
    <x v="1"/>
    <s v="Livrée"/>
    <x v="124"/>
    <n v="77400"/>
    <n v="30600"/>
    <n v="0.28333333333333333"/>
    <x v="10"/>
  </r>
  <r>
    <s v="V00163"/>
    <x v="10"/>
    <s v="CL0295"/>
    <s v="Client 181"/>
    <x v="0"/>
    <s v="N'Djamena"/>
    <x v="2"/>
    <x v="14"/>
    <n v="4"/>
    <n v="95000"/>
    <n v="72100"/>
    <x v="6"/>
    <x v="3"/>
    <x v="0"/>
    <s v="Livrée"/>
    <x v="89"/>
    <n v="288400"/>
    <n v="91600"/>
    <n v="0.24105263157894738"/>
    <x v="1"/>
  </r>
  <r>
    <s v="V00164"/>
    <x v="58"/>
    <s v="CL0034"/>
    <s v="Client 084"/>
    <x v="2"/>
    <s v="Doba"/>
    <x v="1"/>
    <x v="7"/>
    <n v="4"/>
    <n v="10500"/>
    <n v="6000"/>
    <x v="6"/>
    <x v="3"/>
    <x v="2"/>
    <s v="Livrée"/>
    <x v="125"/>
    <n v="24000"/>
    <n v="18000"/>
    <n v="0.42857142857142855"/>
    <x v="9"/>
  </r>
  <r>
    <s v="V00165"/>
    <x v="67"/>
    <s v="CL0068"/>
    <s v="Client 230"/>
    <x v="6"/>
    <s v="Pala"/>
    <x v="2"/>
    <x v="9"/>
    <n v="10"/>
    <n v="189000"/>
    <n v="135000"/>
    <x v="6"/>
    <x v="2"/>
    <x v="2"/>
    <s v="En cours"/>
    <x v="126"/>
    <n v="1350000"/>
    <n v="540000"/>
    <n v="0.2857142857142857"/>
    <x v="7"/>
  </r>
  <r>
    <s v="V00166"/>
    <x v="131"/>
    <s v="CL0258"/>
    <s v="Client 185"/>
    <x v="0"/>
    <s v="N'Djamena"/>
    <x v="3"/>
    <x v="3"/>
    <n v="1"/>
    <n v="15000"/>
    <n v="9500"/>
    <x v="2"/>
    <x v="3"/>
    <x v="1"/>
    <s v="Livrée"/>
    <x v="127"/>
    <n v="9500"/>
    <n v="5500"/>
    <n v="0.36666666666666664"/>
    <x v="1"/>
  </r>
  <r>
    <s v="V00167"/>
    <x v="0"/>
    <s v="CL0336"/>
    <s v="Client 075"/>
    <x v="7"/>
    <s v="Bol"/>
    <x v="0"/>
    <x v="5"/>
    <n v="1"/>
    <n v="220000"/>
    <n v="164800"/>
    <x v="4"/>
    <x v="3"/>
    <x v="0"/>
    <s v="Annulée"/>
    <x v="112"/>
    <n v="164800"/>
    <n v="55200"/>
    <n v="0.25090909090909091"/>
    <x v="0"/>
  </r>
  <r>
    <s v="V00168"/>
    <x v="128"/>
    <s v="CL0111"/>
    <s v="Client 146"/>
    <x v="7"/>
    <s v="Bol"/>
    <x v="3"/>
    <x v="3"/>
    <n v="3"/>
    <n v="15000"/>
    <n v="9200"/>
    <x v="7"/>
    <x v="3"/>
    <x v="0"/>
    <s v="Livrée"/>
    <x v="128"/>
    <n v="27600"/>
    <n v="17400"/>
    <n v="0.38666666666666666"/>
    <x v="6"/>
  </r>
  <r>
    <s v="V00169"/>
    <x v="132"/>
    <s v="CL0047"/>
    <s v="Client 341"/>
    <x v="0"/>
    <s v="N'Djamena"/>
    <x v="1"/>
    <x v="12"/>
    <n v="7"/>
    <n v="31500"/>
    <n v="19600"/>
    <x v="5"/>
    <x v="2"/>
    <x v="2"/>
    <s v="Annulée"/>
    <x v="129"/>
    <n v="137200"/>
    <n v="83300"/>
    <n v="0.37777777777777777"/>
    <x v="6"/>
  </r>
  <r>
    <s v="V00170"/>
    <x v="108"/>
    <s v="CL0282"/>
    <s v="Client 445"/>
    <x v="6"/>
    <s v="Moundou"/>
    <x v="1"/>
    <x v="18"/>
    <n v="10"/>
    <n v="23800"/>
    <n v="15500"/>
    <x v="3"/>
    <x v="3"/>
    <x v="1"/>
    <s v="Livrée"/>
    <x v="130"/>
    <n v="155000"/>
    <n v="83000"/>
    <n v="0.34873949579831931"/>
    <x v="11"/>
  </r>
  <r>
    <s v="V00171"/>
    <x v="133"/>
    <s v="CL0359"/>
    <s v="Client 249"/>
    <x v="0"/>
    <s v="N'Djamena"/>
    <x v="2"/>
    <x v="14"/>
    <n v="8"/>
    <n v="90200"/>
    <n v="67900"/>
    <x v="7"/>
    <x v="2"/>
    <x v="2"/>
    <s v="Annulée"/>
    <x v="131"/>
    <n v="543200"/>
    <n v="178400"/>
    <n v="0.24722838137472283"/>
    <x v="8"/>
  </r>
  <r>
    <s v="V00172"/>
    <x v="134"/>
    <s v="CL0141"/>
    <s v="Client 116"/>
    <x v="0"/>
    <s v="N'Djamena"/>
    <x v="2"/>
    <x v="13"/>
    <n v="10"/>
    <n v="160000"/>
    <n v="120000"/>
    <x v="4"/>
    <x v="2"/>
    <x v="0"/>
    <s v="Livrée"/>
    <x v="132"/>
    <n v="1200000"/>
    <n v="400000"/>
    <n v="0.25"/>
    <x v="3"/>
  </r>
  <r>
    <s v="V00173"/>
    <x v="135"/>
    <s v="CL0318"/>
    <s v="Client 401"/>
    <x v="0"/>
    <s v="N'Djamena"/>
    <x v="0"/>
    <x v="16"/>
    <n v="8"/>
    <n v="133000"/>
    <n v="97000"/>
    <x v="2"/>
    <x v="1"/>
    <x v="0"/>
    <s v="Livrée"/>
    <x v="92"/>
    <n v="776000"/>
    <n v="288000"/>
    <n v="0.27067669172932329"/>
    <x v="6"/>
  </r>
  <r>
    <s v="V00174"/>
    <x v="136"/>
    <s v="CL0006"/>
    <s v="Client 452"/>
    <x v="6"/>
    <s v="Moundou"/>
    <x v="0"/>
    <x v="11"/>
    <n v="1"/>
    <n v="89200"/>
    <n v="63900"/>
    <x v="5"/>
    <x v="2"/>
    <x v="1"/>
    <s v="Livrée"/>
    <x v="133"/>
    <n v="63900"/>
    <n v="25300"/>
    <n v="0.28363228699551568"/>
    <x v="7"/>
  </r>
  <r>
    <s v="V00175"/>
    <x v="137"/>
    <s v="CL0498"/>
    <s v="Client 336"/>
    <x v="1"/>
    <s v="Abéché"/>
    <x v="2"/>
    <x v="9"/>
    <n v="4"/>
    <n v="189000"/>
    <n v="131000"/>
    <x v="0"/>
    <x v="2"/>
    <x v="2"/>
    <s v="Annulée"/>
    <x v="134"/>
    <n v="524000"/>
    <n v="232000"/>
    <n v="0.30687830687830686"/>
    <x v="0"/>
  </r>
  <r>
    <s v="V00176"/>
    <x v="138"/>
    <s v="CL0449"/>
    <s v="Client 414"/>
    <x v="0"/>
    <s v="N'Djamena"/>
    <x v="0"/>
    <x v="16"/>
    <n v="4"/>
    <n v="140000"/>
    <n v="97000"/>
    <x v="7"/>
    <x v="2"/>
    <x v="0"/>
    <s v="Livrée"/>
    <x v="114"/>
    <n v="388000"/>
    <n v="172000"/>
    <n v="0.30714285714285716"/>
    <x v="6"/>
  </r>
  <r>
    <s v="V00177"/>
    <x v="49"/>
    <s v="CL0158"/>
    <s v="Client 159"/>
    <x v="7"/>
    <s v="Bol"/>
    <x v="0"/>
    <x v="16"/>
    <n v="8"/>
    <n v="140000"/>
    <n v="97000"/>
    <x v="3"/>
    <x v="1"/>
    <x v="0"/>
    <s v="Livrée"/>
    <x v="30"/>
    <n v="776000"/>
    <n v="344000"/>
    <n v="0.30714285714285716"/>
    <x v="11"/>
  </r>
  <r>
    <s v="V00178"/>
    <x v="98"/>
    <s v="CL0349"/>
    <s v="Client 439"/>
    <x v="5"/>
    <s v="Massaguet"/>
    <x v="2"/>
    <x v="13"/>
    <n v="8"/>
    <n v="160000"/>
    <n v="120000"/>
    <x v="7"/>
    <x v="1"/>
    <x v="2"/>
    <s v="Livrée"/>
    <x v="23"/>
    <n v="960000"/>
    <n v="320000"/>
    <n v="0.25"/>
    <x v="9"/>
  </r>
  <r>
    <s v="V00179"/>
    <x v="139"/>
    <s v="CL0134"/>
    <s v="Client 448"/>
    <x v="6"/>
    <s v="Moundou"/>
    <x v="1"/>
    <x v="7"/>
    <n v="6"/>
    <n v="10000"/>
    <n v="6400"/>
    <x v="0"/>
    <x v="0"/>
    <x v="1"/>
    <s v="Livrée"/>
    <x v="69"/>
    <n v="38400"/>
    <n v="21600"/>
    <n v="0.36"/>
    <x v="9"/>
  </r>
  <r>
    <s v="V00181"/>
    <x v="140"/>
    <s v="CL0097"/>
    <s v="Client 149"/>
    <x v="0"/>
    <s v="N'Djamena"/>
    <x v="2"/>
    <x v="9"/>
    <n v="2"/>
    <n v="171000"/>
    <n v="131000"/>
    <x v="3"/>
    <x v="1"/>
    <x v="1"/>
    <s v="Livrée"/>
    <x v="135"/>
    <n v="262000"/>
    <n v="80000"/>
    <n v="0.23391812865497075"/>
    <x v="3"/>
  </r>
  <r>
    <s v="V00182"/>
    <x v="56"/>
    <s v="CL0027"/>
    <s v="Client 054"/>
    <x v="7"/>
    <s v="Bol"/>
    <x v="3"/>
    <x v="15"/>
    <n v="7"/>
    <n v="8000"/>
    <n v="5000"/>
    <x v="2"/>
    <x v="1"/>
    <x v="0"/>
    <s v="Livrée"/>
    <x v="107"/>
    <n v="35000"/>
    <n v="21000"/>
    <n v="0.375"/>
    <x v="6"/>
  </r>
  <r>
    <s v="V00183"/>
    <x v="141"/>
    <s v="CL0271"/>
    <s v="Client 499"/>
    <x v="6"/>
    <s v="Pala"/>
    <x v="2"/>
    <x v="2"/>
    <n v="10"/>
    <n v="57800"/>
    <n v="40200"/>
    <x v="1"/>
    <x v="3"/>
    <x v="0"/>
    <s v="Annulée"/>
    <x v="136"/>
    <n v="402000"/>
    <n v="176000"/>
    <n v="0.30449826989619377"/>
    <x v="4"/>
  </r>
  <r>
    <s v="V00184"/>
    <x v="142"/>
    <s v="CL0428"/>
    <s v="Client 273"/>
    <x v="0"/>
    <s v="N'Djamena"/>
    <x v="2"/>
    <x v="10"/>
    <n v="6"/>
    <n v="450000"/>
    <n v="381100"/>
    <x v="7"/>
    <x v="2"/>
    <x v="1"/>
    <s v="Livrée"/>
    <x v="85"/>
    <n v="2286600"/>
    <n v="413400"/>
    <n v="0.15311111111111111"/>
    <x v="3"/>
  </r>
  <r>
    <s v="V00185"/>
    <x v="143"/>
    <s v="CL0229"/>
    <s v="Client 312"/>
    <x v="0"/>
    <s v="N'Djamena"/>
    <x v="2"/>
    <x v="10"/>
    <n v="5"/>
    <n v="472500"/>
    <n v="358900"/>
    <x v="2"/>
    <x v="3"/>
    <x v="1"/>
    <s v="Livrée"/>
    <x v="137"/>
    <n v="1794500"/>
    <n v="568000"/>
    <n v="0.24042328042328043"/>
    <x v="8"/>
  </r>
  <r>
    <s v="V00186"/>
    <x v="55"/>
    <s v="CL0428"/>
    <s v="Client 407"/>
    <x v="0"/>
    <s v="N'Djamena"/>
    <x v="3"/>
    <x v="15"/>
    <n v="2"/>
    <n v="8000"/>
    <n v="4800"/>
    <x v="0"/>
    <x v="0"/>
    <x v="0"/>
    <s v="Livrée"/>
    <x v="138"/>
    <n v="9600"/>
    <n v="6400"/>
    <n v="0.4"/>
    <x v="3"/>
  </r>
  <r>
    <s v="V00187"/>
    <x v="144"/>
    <s v="CL0306"/>
    <s v="Client 099"/>
    <x v="2"/>
    <s v="Doba"/>
    <x v="0"/>
    <x v="0"/>
    <n v="8"/>
    <n v="65000"/>
    <n v="43600"/>
    <x v="2"/>
    <x v="2"/>
    <x v="0"/>
    <s v="Livrée"/>
    <x v="11"/>
    <n v="348800"/>
    <n v="171200"/>
    <n v="0.32923076923076922"/>
    <x v="11"/>
  </r>
  <r>
    <s v="V00188"/>
    <x v="145"/>
    <s v="CL0437"/>
    <s v="Client 017"/>
    <x v="3"/>
    <s v="Mao"/>
    <x v="2"/>
    <x v="9"/>
    <n v="10"/>
    <n v="180000"/>
    <n v="135000"/>
    <x v="1"/>
    <x v="3"/>
    <x v="0"/>
    <s v="Livrée"/>
    <x v="139"/>
    <n v="1350000"/>
    <n v="450000"/>
    <n v="0.25"/>
    <x v="7"/>
  </r>
  <r>
    <s v="V00189"/>
    <x v="146"/>
    <s v="CL0342"/>
    <s v="Client 128"/>
    <x v="0"/>
    <s v="N'Djamena"/>
    <x v="1"/>
    <x v="1"/>
    <n v="3"/>
    <n v="6600"/>
    <n v="4000"/>
    <x v="1"/>
    <x v="0"/>
    <x v="0"/>
    <s v="Livrée"/>
    <x v="140"/>
    <n v="12000"/>
    <n v="7800"/>
    <n v="0.39393939393939392"/>
    <x v="9"/>
  </r>
  <r>
    <s v="V00190"/>
    <x v="51"/>
    <s v="CL0160"/>
    <s v="Client 404"/>
    <x v="2"/>
    <s v="Doba"/>
    <x v="2"/>
    <x v="13"/>
    <n v="6"/>
    <n v="168000"/>
    <n v="123600"/>
    <x v="2"/>
    <x v="3"/>
    <x v="0"/>
    <s v="Annulée"/>
    <x v="141"/>
    <n v="741600"/>
    <n v="266400"/>
    <n v="0.26428571428571429"/>
    <x v="0"/>
  </r>
  <r>
    <s v="V00191"/>
    <x v="147"/>
    <s v="CL0302"/>
    <s v="Client 287"/>
    <x v="4"/>
    <s v="Ati"/>
    <x v="0"/>
    <x v="16"/>
    <n v="5"/>
    <n v="140000"/>
    <n v="97000"/>
    <x v="6"/>
    <x v="3"/>
    <x v="0"/>
    <s v="Livrée"/>
    <x v="142"/>
    <n v="485000"/>
    <n v="215000"/>
    <n v="0.30714285714285716"/>
    <x v="2"/>
  </r>
  <r>
    <s v="V00192"/>
    <x v="148"/>
    <s v="CL0186"/>
    <s v="Client 193"/>
    <x v="0"/>
    <s v="N'Djamena"/>
    <x v="2"/>
    <x v="13"/>
    <n v="3"/>
    <n v="160000"/>
    <n v="123600"/>
    <x v="6"/>
    <x v="2"/>
    <x v="0"/>
    <s v="Livrée"/>
    <x v="143"/>
    <n v="370800"/>
    <n v="109200"/>
    <n v="0.22750000000000001"/>
    <x v="0"/>
  </r>
  <r>
    <s v="V00193"/>
    <x v="149"/>
    <s v="CL0404"/>
    <s v="Client 479"/>
    <x v="6"/>
    <s v="Pala"/>
    <x v="1"/>
    <x v="12"/>
    <n v="6"/>
    <n v="30000"/>
    <n v="19000"/>
    <x v="2"/>
    <x v="1"/>
    <x v="1"/>
    <s v="Livrée"/>
    <x v="88"/>
    <n v="114000"/>
    <n v="66000"/>
    <n v="0.36666666666666664"/>
    <x v="9"/>
  </r>
  <r>
    <s v="V00194"/>
    <x v="99"/>
    <s v="CL0206"/>
    <s v="Client 080"/>
    <x v="5"/>
    <s v="Massaguet"/>
    <x v="2"/>
    <x v="2"/>
    <n v="10"/>
    <n v="57800"/>
    <n v="37800"/>
    <x v="5"/>
    <x v="2"/>
    <x v="0"/>
    <s v="En cours"/>
    <x v="136"/>
    <n v="378000"/>
    <n v="200000"/>
    <n v="0.34602076124567471"/>
    <x v="6"/>
  </r>
  <r>
    <s v="V00195"/>
    <x v="150"/>
    <s v="CL0453"/>
    <s v="Client 481"/>
    <x v="2"/>
    <s v="Doba"/>
    <x v="2"/>
    <x v="14"/>
    <n v="8"/>
    <n v="90200"/>
    <n v="70000"/>
    <x v="0"/>
    <x v="3"/>
    <x v="0"/>
    <s v="En cours"/>
    <x v="131"/>
    <n v="560000"/>
    <n v="161600"/>
    <n v="0.22394678492239467"/>
    <x v="0"/>
  </r>
  <r>
    <s v="V00196"/>
    <x v="151"/>
    <s v="CL0241"/>
    <s v="Client 167"/>
    <x v="0"/>
    <s v="N'Djamena"/>
    <x v="2"/>
    <x v="13"/>
    <n v="4"/>
    <n v="168000"/>
    <n v="116400"/>
    <x v="7"/>
    <x v="3"/>
    <x v="0"/>
    <s v="Livrée"/>
    <x v="144"/>
    <n v="465600"/>
    <n v="206400"/>
    <n v="0.30714285714285716"/>
    <x v="5"/>
  </r>
  <r>
    <s v="V00197"/>
    <x v="24"/>
    <s v="CL0118"/>
    <s v="Client 012"/>
    <x v="0"/>
    <s v="N'Djamena"/>
    <x v="3"/>
    <x v="3"/>
    <n v="10"/>
    <n v="15000"/>
    <n v="9500"/>
    <x v="7"/>
    <x v="3"/>
    <x v="1"/>
    <s v="Livrée"/>
    <x v="145"/>
    <n v="95000"/>
    <n v="55000"/>
    <n v="0.36666666666666664"/>
    <x v="1"/>
  </r>
  <r>
    <s v="V00198"/>
    <x v="110"/>
    <s v="CL0199"/>
    <s v="Client 445"/>
    <x v="0"/>
    <s v="N'Djamena"/>
    <x v="0"/>
    <x v="16"/>
    <n v="7"/>
    <n v="140000"/>
    <n v="103000"/>
    <x v="7"/>
    <x v="2"/>
    <x v="0"/>
    <s v="Livrée"/>
    <x v="146"/>
    <n v="721000"/>
    <n v="259000"/>
    <n v="0.26428571428571429"/>
    <x v="2"/>
  </r>
  <r>
    <s v="V00199"/>
    <x v="28"/>
    <s v="CL0297"/>
    <s v="Client 446"/>
    <x v="7"/>
    <s v="Bol"/>
    <x v="1"/>
    <x v="12"/>
    <n v="5"/>
    <n v="31500"/>
    <n v="19600"/>
    <x v="3"/>
    <x v="1"/>
    <x v="1"/>
    <s v="Livrée"/>
    <x v="147"/>
    <n v="98000"/>
    <n v="59500"/>
    <n v="0.37777777777777777"/>
    <x v="9"/>
  </r>
  <r>
    <s v="V00200"/>
    <x v="152"/>
    <s v="CL0205"/>
    <s v="Client 388"/>
    <x v="5"/>
    <s v="Massaguet"/>
    <x v="1"/>
    <x v="18"/>
    <n v="7"/>
    <n v="25000"/>
    <n v="16500"/>
    <x v="1"/>
    <x v="3"/>
    <x v="0"/>
    <s v="Annulée"/>
    <x v="148"/>
    <n v="115500"/>
    <n v="59500"/>
    <n v="0.34"/>
    <x v="8"/>
  </r>
  <r>
    <s v="V00201"/>
    <x v="153"/>
    <s v="CL0401"/>
    <s v="Client 339"/>
    <x v="4"/>
    <s v="Ati"/>
    <x v="1"/>
    <x v="6"/>
    <n v="10"/>
    <n v="12000"/>
    <n v="7500"/>
    <x v="7"/>
    <x v="0"/>
    <x v="0"/>
    <s v="Livrée"/>
    <x v="95"/>
    <n v="75000"/>
    <n v="45000"/>
    <n v="0.375"/>
    <x v="11"/>
  </r>
  <r>
    <s v="V00202"/>
    <x v="154"/>
    <s v="CL0012"/>
    <s v="Client 426"/>
    <x v="4"/>
    <s v="Ati"/>
    <x v="2"/>
    <x v="13"/>
    <n v="2"/>
    <n v="160000"/>
    <n v="123600"/>
    <x v="1"/>
    <x v="2"/>
    <x v="0"/>
    <s v="Livrée"/>
    <x v="149"/>
    <n v="247200"/>
    <n v="72800"/>
    <n v="0.22750000000000001"/>
    <x v="0"/>
  </r>
  <r>
    <s v="V00203"/>
    <x v="155"/>
    <s v="CL0093"/>
    <s v="Client 022"/>
    <x v="0"/>
    <s v="N'Djamena"/>
    <x v="2"/>
    <x v="14"/>
    <n v="2"/>
    <n v="95000"/>
    <n v="70000"/>
    <x v="7"/>
    <x v="2"/>
    <x v="1"/>
    <s v="Livrée"/>
    <x v="28"/>
    <n v="140000"/>
    <n v="50000"/>
    <n v="0.26315789473684209"/>
    <x v="11"/>
  </r>
  <r>
    <s v="V00204"/>
    <x v="156"/>
    <s v="CL0312"/>
    <s v="Client 027"/>
    <x v="1"/>
    <s v="Abéché"/>
    <x v="2"/>
    <x v="10"/>
    <n v="7"/>
    <n v="450000"/>
    <n v="370000"/>
    <x v="2"/>
    <x v="1"/>
    <x v="2"/>
    <s v="Livrée"/>
    <x v="12"/>
    <n v="2590000"/>
    <n v="560000"/>
    <n v="0.17777777777777778"/>
    <x v="8"/>
  </r>
  <r>
    <s v="V00205"/>
    <x v="37"/>
    <s v="CL0070"/>
    <s v="Client 246"/>
    <x v="0"/>
    <s v="N'Djamena"/>
    <x v="0"/>
    <x v="16"/>
    <n v="4"/>
    <n v="147000"/>
    <n v="97000"/>
    <x v="1"/>
    <x v="2"/>
    <x v="0"/>
    <s v="Livrée"/>
    <x v="150"/>
    <n v="388000"/>
    <n v="200000"/>
    <n v="0.3401360544217687"/>
    <x v="7"/>
  </r>
  <r>
    <s v="V00206"/>
    <x v="157"/>
    <s v="CL0130"/>
    <s v="Client 323"/>
    <x v="2"/>
    <s v="Doba"/>
    <x v="0"/>
    <x v="16"/>
    <n v="2"/>
    <n v="140000"/>
    <n v="97000"/>
    <x v="6"/>
    <x v="2"/>
    <x v="0"/>
    <s v="Annulée"/>
    <x v="76"/>
    <n v="194000"/>
    <n v="86000"/>
    <n v="0.30714285714285716"/>
    <x v="8"/>
  </r>
  <r>
    <s v="V00207"/>
    <x v="158"/>
    <s v="CL0363"/>
    <s v="Client 261"/>
    <x v="7"/>
    <s v="Bol"/>
    <x v="1"/>
    <x v="7"/>
    <n v="2"/>
    <n v="10000"/>
    <n v="6000"/>
    <x v="5"/>
    <x v="1"/>
    <x v="0"/>
    <s v="En cours"/>
    <x v="151"/>
    <n v="12000"/>
    <n v="8000"/>
    <n v="0.4"/>
    <x v="0"/>
  </r>
  <r>
    <s v="V00208"/>
    <x v="159"/>
    <s v="CL0282"/>
    <s v="Client 374"/>
    <x v="6"/>
    <s v="Moundou"/>
    <x v="2"/>
    <x v="10"/>
    <n v="10"/>
    <n v="472500"/>
    <n v="370000"/>
    <x v="1"/>
    <x v="3"/>
    <x v="1"/>
    <s v="Livrée"/>
    <x v="152"/>
    <n v="3700000"/>
    <n v="1025000"/>
    <n v="0.21693121693121692"/>
    <x v="1"/>
  </r>
  <r>
    <s v="V00209"/>
    <x v="160"/>
    <s v="CL0280"/>
    <s v="Client 024"/>
    <x v="0"/>
    <s v="N'Djamena"/>
    <x v="0"/>
    <x v="0"/>
    <n v="7"/>
    <n v="68200"/>
    <n v="43600"/>
    <x v="3"/>
    <x v="2"/>
    <x v="0"/>
    <s v="En cours"/>
    <x v="153"/>
    <n v="305200"/>
    <n v="172200"/>
    <n v="0.36070381231671556"/>
    <x v="11"/>
  </r>
  <r>
    <s v="V00210"/>
    <x v="161"/>
    <s v="CL0241"/>
    <s v="Client 064"/>
    <x v="6"/>
    <s v="Pala"/>
    <x v="0"/>
    <x v="5"/>
    <n v="1"/>
    <n v="209000"/>
    <n v="160000"/>
    <x v="0"/>
    <x v="0"/>
    <x v="1"/>
    <s v="Livrée"/>
    <x v="154"/>
    <n v="160000"/>
    <n v="49000"/>
    <n v="0.23444976076555024"/>
    <x v="4"/>
  </r>
  <r>
    <s v="V00211"/>
    <x v="84"/>
    <s v="CL0193"/>
    <s v="Client 244"/>
    <x v="5"/>
    <s v="Massaguet"/>
    <x v="2"/>
    <x v="13"/>
    <n v="4"/>
    <n v="160000"/>
    <n v="123600"/>
    <x v="1"/>
    <x v="2"/>
    <x v="0"/>
    <s v="Livrée"/>
    <x v="155"/>
    <n v="494400"/>
    <n v="145600"/>
    <n v="0.22750000000000001"/>
    <x v="7"/>
  </r>
  <r>
    <s v="V00212"/>
    <x v="162"/>
    <s v="CL0445"/>
    <s v="Client 297"/>
    <x v="0"/>
    <s v="N'Djamena"/>
    <x v="0"/>
    <x v="5"/>
    <n v="10"/>
    <n v="209000"/>
    <n v="164800"/>
    <x v="7"/>
    <x v="3"/>
    <x v="0"/>
    <s v="Livrée"/>
    <x v="156"/>
    <n v="1648000"/>
    <n v="442000"/>
    <n v="0.21148325358851675"/>
    <x v="4"/>
  </r>
  <r>
    <s v="V00213"/>
    <x v="163"/>
    <s v="CL0363"/>
    <s v="Client 351"/>
    <x v="7"/>
    <s v="Bol"/>
    <x v="3"/>
    <x v="4"/>
    <n v="7"/>
    <n v="8600"/>
    <n v="5600"/>
    <x v="6"/>
    <x v="2"/>
    <x v="0"/>
    <s v="Livrée"/>
    <x v="67"/>
    <n v="39200"/>
    <n v="21000"/>
    <n v="0.34883720930232559"/>
    <x v="10"/>
  </r>
  <r>
    <s v="V00214"/>
    <x v="152"/>
    <s v="CL0290"/>
    <s v="Client 008"/>
    <x v="0"/>
    <s v="N'Djamena"/>
    <x v="2"/>
    <x v="13"/>
    <n v="9"/>
    <n v="160000"/>
    <n v="123600"/>
    <x v="3"/>
    <x v="2"/>
    <x v="0"/>
    <s v="Livrée"/>
    <x v="157"/>
    <n v="1112400"/>
    <n v="327600"/>
    <n v="0.22750000000000001"/>
    <x v="8"/>
  </r>
  <r>
    <s v="V00215"/>
    <x v="154"/>
    <s v="CL0114"/>
    <s v="Client 210"/>
    <x v="3"/>
    <s v="Mao"/>
    <x v="0"/>
    <x v="16"/>
    <n v="4"/>
    <n v="133000"/>
    <n v="100000"/>
    <x v="0"/>
    <x v="3"/>
    <x v="1"/>
    <s v="Livrée"/>
    <x v="158"/>
    <n v="400000"/>
    <n v="132000"/>
    <n v="0.24812030075187969"/>
    <x v="0"/>
  </r>
  <r>
    <s v="V00216"/>
    <x v="164"/>
    <s v="CL0454"/>
    <s v="Client 423"/>
    <x v="0"/>
    <s v="N'Djamena"/>
    <x v="1"/>
    <x v="6"/>
    <n v="5"/>
    <n v="11400"/>
    <n v="7500"/>
    <x v="0"/>
    <x v="2"/>
    <x v="0"/>
    <s v="Livrée"/>
    <x v="159"/>
    <n v="37500"/>
    <n v="19500"/>
    <n v="0.34210526315789475"/>
    <x v="7"/>
  </r>
  <r>
    <s v="V00217"/>
    <x v="165"/>
    <s v="CL0487"/>
    <s v="Client 242"/>
    <x v="0"/>
    <s v="N'Djamena"/>
    <x v="0"/>
    <x v="0"/>
    <n v="1"/>
    <n v="68200"/>
    <n v="43600"/>
    <x v="4"/>
    <x v="3"/>
    <x v="0"/>
    <s v="Livrée"/>
    <x v="160"/>
    <n v="43600"/>
    <n v="24600"/>
    <n v="0.36070381231671556"/>
    <x v="5"/>
  </r>
  <r>
    <s v="V00218"/>
    <x v="83"/>
    <s v="CL0321"/>
    <s v="Client 096"/>
    <x v="1"/>
    <s v="Abéché"/>
    <x v="2"/>
    <x v="2"/>
    <n v="1"/>
    <n v="52200"/>
    <n v="40200"/>
    <x v="4"/>
    <x v="2"/>
    <x v="0"/>
    <s v="Livrée"/>
    <x v="161"/>
    <n v="40200"/>
    <n v="12000"/>
    <n v="0.22988505747126436"/>
    <x v="3"/>
  </r>
  <r>
    <s v="V00219"/>
    <x v="166"/>
    <s v="CL0355"/>
    <s v="Client 027"/>
    <x v="5"/>
    <s v="Massaguet"/>
    <x v="1"/>
    <x v="12"/>
    <n v="6"/>
    <n v="31500"/>
    <n v="19600"/>
    <x v="7"/>
    <x v="0"/>
    <x v="0"/>
    <s v="Livrée"/>
    <x v="162"/>
    <n v="117600"/>
    <n v="71400"/>
    <n v="0.37777777777777777"/>
    <x v="1"/>
  </r>
  <r>
    <s v="V00220"/>
    <x v="167"/>
    <s v="CL0082"/>
    <s v="Client 193"/>
    <x v="5"/>
    <s v="Massaguet"/>
    <x v="1"/>
    <x v="6"/>
    <n v="8"/>
    <n v="12600"/>
    <n v="7300"/>
    <x v="7"/>
    <x v="3"/>
    <x v="1"/>
    <s v="Livrée"/>
    <x v="163"/>
    <n v="58400"/>
    <n v="42400"/>
    <n v="0.42063492063492064"/>
    <x v="3"/>
  </r>
  <r>
    <s v="V00221"/>
    <x v="93"/>
    <s v="CL0321"/>
    <s v="Client 420"/>
    <x v="2"/>
    <s v="Doba"/>
    <x v="3"/>
    <x v="3"/>
    <n v="2"/>
    <n v="15000"/>
    <n v="9800"/>
    <x v="3"/>
    <x v="3"/>
    <x v="2"/>
    <s v="Livrée"/>
    <x v="5"/>
    <n v="19600"/>
    <n v="10400"/>
    <n v="0.34666666666666668"/>
    <x v="3"/>
  </r>
  <r>
    <s v="V00222"/>
    <x v="159"/>
    <s v="CL0460"/>
    <s v="Client 300"/>
    <x v="5"/>
    <s v="Massaguet"/>
    <x v="2"/>
    <x v="9"/>
    <n v="10"/>
    <n v="189000"/>
    <n v="131000"/>
    <x v="6"/>
    <x v="1"/>
    <x v="1"/>
    <s v="En cours"/>
    <x v="126"/>
    <n v="1310000"/>
    <n v="580000"/>
    <n v="0.30687830687830686"/>
    <x v="1"/>
  </r>
  <r>
    <s v="V00223"/>
    <x v="168"/>
    <s v="CL0214"/>
    <s v="Client 291"/>
    <x v="0"/>
    <s v="N'Djamena"/>
    <x v="0"/>
    <x v="16"/>
    <n v="8"/>
    <n v="140000"/>
    <n v="103000"/>
    <x v="7"/>
    <x v="3"/>
    <x v="1"/>
    <s v="Livrée"/>
    <x v="30"/>
    <n v="824000"/>
    <n v="296000"/>
    <n v="0.26428571428571429"/>
    <x v="6"/>
  </r>
  <r>
    <s v="V00224"/>
    <x v="120"/>
    <s v="CL0079"/>
    <s v="Client 077"/>
    <x v="7"/>
    <s v="Bol"/>
    <x v="1"/>
    <x v="18"/>
    <n v="8"/>
    <n v="25000"/>
    <n v="16000"/>
    <x v="4"/>
    <x v="3"/>
    <x v="0"/>
    <s v="En cours"/>
    <x v="164"/>
    <n v="128000"/>
    <n v="72000"/>
    <n v="0.36"/>
    <x v="3"/>
  </r>
  <r>
    <s v="V00225"/>
    <x v="169"/>
    <s v="CL0280"/>
    <s v="Client 169"/>
    <x v="4"/>
    <s v="Ati"/>
    <x v="2"/>
    <x v="14"/>
    <n v="9"/>
    <n v="95000"/>
    <n v="70000"/>
    <x v="0"/>
    <x v="3"/>
    <x v="0"/>
    <s v="Livrée"/>
    <x v="165"/>
    <n v="630000"/>
    <n v="225000"/>
    <n v="0.26315789473684209"/>
    <x v="9"/>
  </r>
  <r>
    <s v="V00226"/>
    <x v="170"/>
    <s v="CL0116"/>
    <s v="Client 238"/>
    <x v="4"/>
    <s v="Ati"/>
    <x v="2"/>
    <x v="2"/>
    <n v="9"/>
    <n v="57800"/>
    <n v="39000"/>
    <x v="3"/>
    <x v="3"/>
    <x v="1"/>
    <s v="Livrée"/>
    <x v="78"/>
    <n v="351000"/>
    <n v="169200"/>
    <n v="0.32525951557093424"/>
    <x v="7"/>
  </r>
  <r>
    <s v="V00227"/>
    <x v="42"/>
    <s v="CL0059"/>
    <s v="Client 093"/>
    <x v="4"/>
    <s v="Ati"/>
    <x v="3"/>
    <x v="15"/>
    <n v="2"/>
    <n v="8400"/>
    <n v="4800"/>
    <x v="1"/>
    <x v="2"/>
    <x v="1"/>
    <s v="Livrée"/>
    <x v="47"/>
    <n v="9600"/>
    <n v="7200"/>
    <n v="0.42857142857142855"/>
    <x v="4"/>
  </r>
  <r>
    <s v="V00228"/>
    <x v="171"/>
    <s v="CL0497"/>
    <s v="Client 180"/>
    <x v="0"/>
    <s v="N'Djamena"/>
    <x v="0"/>
    <x v="5"/>
    <n v="5"/>
    <n v="220000"/>
    <n v="155200"/>
    <x v="4"/>
    <x v="3"/>
    <x v="2"/>
    <s v="Livrée"/>
    <x v="80"/>
    <n v="776000"/>
    <n v="324000"/>
    <n v="0.29454545454545455"/>
    <x v="10"/>
  </r>
  <r>
    <s v="V00229"/>
    <x v="172"/>
    <s v="CL0118"/>
    <s v="Client 124"/>
    <x v="3"/>
    <s v="Mao"/>
    <x v="2"/>
    <x v="10"/>
    <n v="7"/>
    <n v="450000"/>
    <n v="370000"/>
    <x v="3"/>
    <x v="3"/>
    <x v="0"/>
    <s v="Livrée"/>
    <x v="12"/>
    <n v="2590000"/>
    <n v="560000"/>
    <n v="0.17777777777777778"/>
    <x v="1"/>
  </r>
  <r>
    <s v="V00230"/>
    <x v="67"/>
    <s v="CL0260"/>
    <s v="Client 435"/>
    <x v="0"/>
    <s v="N'Djamena"/>
    <x v="1"/>
    <x v="1"/>
    <n v="10"/>
    <n v="7000"/>
    <n v="4000"/>
    <x v="5"/>
    <x v="2"/>
    <x v="0"/>
    <s v="Livrée"/>
    <x v="166"/>
    <n v="40000"/>
    <n v="30000"/>
    <n v="0.42857142857142855"/>
    <x v="7"/>
  </r>
  <r>
    <s v="V00231"/>
    <x v="173"/>
    <s v="CL0264"/>
    <s v="Client 437"/>
    <x v="0"/>
    <s v="N'Djamena"/>
    <x v="2"/>
    <x v="14"/>
    <n v="10"/>
    <n v="95000"/>
    <n v="72100"/>
    <x v="4"/>
    <x v="3"/>
    <x v="1"/>
    <s v="Annulée"/>
    <x v="167"/>
    <n v="721000"/>
    <n v="229000"/>
    <n v="0.24105263157894738"/>
    <x v="2"/>
  </r>
  <r>
    <s v="V00232"/>
    <x v="147"/>
    <s v="CL0493"/>
    <s v="Client 416"/>
    <x v="1"/>
    <s v="Abéché"/>
    <x v="0"/>
    <x v="16"/>
    <n v="5"/>
    <n v="133000"/>
    <n v="103000"/>
    <x v="3"/>
    <x v="3"/>
    <x v="1"/>
    <s v="Livrée"/>
    <x v="116"/>
    <n v="515000"/>
    <n v="150000"/>
    <n v="0.22556390977443608"/>
    <x v="2"/>
  </r>
  <r>
    <s v="V00233"/>
    <x v="174"/>
    <s v="CL0262"/>
    <s v="Client 287"/>
    <x v="6"/>
    <s v="Pala"/>
    <x v="2"/>
    <x v="13"/>
    <n v="9"/>
    <n v="168000"/>
    <n v="116400"/>
    <x v="4"/>
    <x v="2"/>
    <x v="2"/>
    <s v="En cours"/>
    <x v="168"/>
    <n v="1047600"/>
    <n v="464400"/>
    <n v="0.30714285714285716"/>
    <x v="5"/>
  </r>
  <r>
    <s v="V00234"/>
    <x v="92"/>
    <s v="CL0025"/>
    <s v="Client 440"/>
    <x v="4"/>
    <s v="Ati"/>
    <x v="3"/>
    <x v="3"/>
    <n v="8"/>
    <n v="15000"/>
    <n v="9200"/>
    <x v="5"/>
    <x v="3"/>
    <x v="0"/>
    <s v="Livrée"/>
    <x v="95"/>
    <n v="73600"/>
    <n v="46400"/>
    <n v="0.38666666666666666"/>
    <x v="7"/>
  </r>
  <r>
    <s v="V00235"/>
    <x v="175"/>
    <s v="CL0436"/>
    <s v="Client 406"/>
    <x v="5"/>
    <s v="Massaguet"/>
    <x v="2"/>
    <x v="9"/>
    <n v="4"/>
    <n v="180000"/>
    <n v="139000"/>
    <x v="5"/>
    <x v="0"/>
    <x v="0"/>
    <s v="Livrée"/>
    <x v="169"/>
    <n v="556000"/>
    <n v="164000"/>
    <n v="0.22777777777777777"/>
    <x v="5"/>
  </r>
  <r>
    <s v="V00236"/>
    <x v="113"/>
    <s v="CL0470"/>
    <s v="Client 319"/>
    <x v="0"/>
    <s v="N'Djamena"/>
    <x v="2"/>
    <x v="13"/>
    <n v="10"/>
    <n v="168000"/>
    <n v="123600"/>
    <x v="4"/>
    <x v="0"/>
    <x v="0"/>
    <s v="Livrée"/>
    <x v="170"/>
    <n v="1236000"/>
    <n v="444000"/>
    <n v="0.26428571428571429"/>
    <x v="11"/>
  </r>
  <r>
    <s v="V00237"/>
    <x v="121"/>
    <s v="CL0268"/>
    <s v="Client 124"/>
    <x v="0"/>
    <s v="N'Djamena"/>
    <x v="3"/>
    <x v="4"/>
    <n v="2"/>
    <n v="8600"/>
    <n v="5600"/>
    <x v="1"/>
    <x v="2"/>
    <x v="2"/>
    <s v="Annulée"/>
    <x v="171"/>
    <n v="11200"/>
    <n v="6000"/>
    <n v="0.34883720930232559"/>
    <x v="11"/>
  </r>
  <r>
    <s v="V00238"/>
    <x v="55"/>
    <s v="CL0031"/>
    <s v="Client 286"/>
    <x v="0"/>
    <s v="N'Djamena"/>
    <x v="1"/>
    <x v="1"/>
    <n v="9"/>
    <n v="7000"/>
    <n v="4000"/>
    <x v="1"/>
    <x v="3"/>
    <x v="0"/>
    <s v="Livrée"/>
    <x v="74"/>
    <n v="36000"/>
    <n v="27000"/>
    <n v="0.42857142857142855"/>
    <x v="3"/>
  </r>
  <r>
    <s v="V00239"/>
    <x v="5"/>
    <s v="CL0034"/>
    <s v="Client 412"/>
    <x v="0"/>
    <s v="N'Djamena"/>
    <x v="1"/>
    <x v="18"/>
    <n v="10"/>
    <n v="26200"/>
    <n v="16000"/>
    <x v="2"/>
    <x v="3"/>
    <x v="1"/>
    <s v="Livrée"/>
    <x v="52"/>
    <n v="160000"/>
    <n v="102000"/>
    <n v="0.38931297709923662"/>
    <x v="5"/>
  </r>
  <r>
    <s v="V00240"/>
    <x v="151"/>
    <s v="CL0107"/>
    <s v="Client 129"/>
    <x v="1"/>
    <s v="Abéché"/>
    <x v="1"/>
    <x v="6"/>
    <n v="1"/>
    <n v="12000"/>
    <n v="7300"/>
    <x v="7"/>
    <x v="3"/>
    <x v="1"/>
    <s v="Livrée"/>
    <x v="22"/>
    <n v="7300"/>
    <n v="4700"/>
    <n v="0.39166666666666666"/>
    <x v="5"/>
  </r>
  <r>
    <s v="V00241"/>
    <x v="176"/>
    <s v="CL0235"/>
    <s v="Client 457"/>
    <x v="3"/>
    <s v="Mao"/>
    <x v="2"/>
    <x v="10"/>
    <n v="5"/>
    <n v="450000"/>
    <n v="381100"/>
    <x v="2"/>
    <x v="2"/>
    <x v="1"/>
    <s v="Livrée"/>
    <x v="172"/>
    <n v="1905500"/>
    <n v="344500"/>
    <n v="0.15311111111111111"/>
    <x v="9"/>
  </r>
  <r>
    <s v="V00242"/>
    <x v="4"/>
    <s v="CL0010"/>
    <s v="Client 317"/>
    <x v="0"/>
    <s v="N'Djamena"/>
    <x v="2"/>
    <x v="13"/>
    <n v="3"/>
    <n v="168000"/>
    <n v="120000"/>
    <x v="6"/>
    <x v="3"/>
    <x v="1"/>
    <s v="Livrée"/>
    <x v="173"/>
    <n v="360000"/>
    <n v="144000"/>
    <n v="0.2857142857142857"/>
    <x v="4"/>
  </r>
  <r>
    <s v="V00243"/>
    <x v="177"/>
    <s v="CL0140"/>
    <s v="Client 420"/>
    <x v="5"/>
    <s v="Massaguet"/>
    <x v="1"/>
    <x v="7"/>
    <n v="5"/>
    <n v="9500"/>
    <n v="6200"/>
    <x v="5"/>
    <x v="1"/>
    <x v="2"/>
    <s v="Annulée"/>
    <x v="174"/>
    <n v="31000"/>
    <n v="16500"/>
    <n v="0.3473684210526316"/>
    <x v="1"/>
  </r>
  <r>
    <s v="V00244"/>
    <x v="166"/>
    <s v="CL0060"/>
    <s v="Client 399"/>
    <x v="0"/>
    <s v="N'Djamena"/>
    <x v="3"/>
    <x v="8"/>
    <n v="5"/>
    <n v="5700"/>
    <n v="4100"/>
    <x v="4"/>
    <x v="2"/>
    <x v="0"/>
    <s v="Livrée"/>
    <x v="175"/>
    <n v="20500"/>
    <n v="8000"/>
    <n v="0.2807017543859649"/>
    <x v="1"/>
  </r>
  <r>
    <s v="V00245"/>
    <x v="178"/>
    <s v="CL0363"/>
    <s v="Client 071"/>
    <x v="3"/>
    <s v="Mao"/>
    <x v="0"/>
    <x v="0"/>
    <n v="2"/>
    <n v="61800"/>
    <n v="45000"/>
    <x v="5"/>
    <x v="3"/>
    <x v="1"/>
    <s v="En cours"/>
    <x v="176"/>
    <n v="90000"/>
    <n v="33600"/>
    <n v="0.27184466019417475"/>
    <x v="3"/>
  </r>
  <r>
    <s v="V00246"/>
    <x v="26"/>
    <s v="CL0459"/>
    <s v="Client 106"/>
    <x v="6"/>
    <s v="Moundou"/>
    <x v="2"/>
    <x v="14"/>
    <n v="1"/>
    <n v="90200"/>
    <n v="67900"/>
    <x v="3"/>
    <x v="3"/>
    <x v="2"/>
    <s v="Annulée"/>
    <x v="59"/>
    <n v="67900"/>
    <n v="22300"/>
    <n v="0.24722838137472283"/>
    <x v="10"/>
  </r>
  <r>
    <s v="V00247"/>
    <x v="26"/>
    <s v="CL0031"/>
    <s v="Client 122"/>
    <x v="6"/>
    <s v="Pala"/>
    <x v="2"/>
    <x v="9"/>
    <n v="6"/>
    <n v="189000"/>
    <n v="131000"/>
    <x v="1"/>
    <x v="3"/>
    <x v="0"/>
    <s v="Livrée"/>
    <x v="39"/>
    <n v="786000"/>
    <n v="348000"/>
    <n v="0.30687830687830686"/>
    <x v="10"/>
  </r>
  <r>
    <s v="V00248"/>
    <x v="136"/>
    <s v="CL0170"/>
    <s v="Client 490"/>
    <x v="0"/>
    <s v="N'Djamena"/>
    <x v="2"/>
    <x v="2"/>
    <n v="10"/>
    <n v="55000"/>
    <n v="40200"/>
    <x v="2"/>
    <x v="0"/>
    <x v="2"/>
    <s v="Livrée"/>
    <x v="13"/>
    <n v="402000"/>
    <n v="148000"/>
    <n v="0.2690909090909091"/>
    <x v="7"/>
  </r>
  <r>
    <s v="V00249"/>
    <x v="179"/>
    <s v="CL0312"/>
    <s v="Client 307"/>
    <x v="1"/>
    <s v="Abéché"/>
    <x v="0"/>
    <x v="0"/>
    <n v="2"/>
    <n v="65000"/>
    <n v="46400"/>
    <x v="2"/>
    <x v="1"/>
    <x v="1"/>
    <s v="Livrée"/>
    <x v="177"/>
    <n v="92800"/>
    <n v="37200"/>
    <n v="0.28615384615384615"/>
    <x v="7"/>
  </r>
  <r>
    <s v="V00250"/>
    <x v="48"/>
    <s v="CL0037"/>
    <s v="Client 291"/>
    <x v="6"/>
    <s v="Moundou"/>
    <x v="2"/>
    <x v="13"/>
    <n v="3"/>
    <n v="160000"/>
    <n v="120000"/>
    <x v="7"/>
    <x v="3"/>
    <x v="1"/>
    <s v="Annulée"/>
    <x v="143"/>
    <n v="360000"/>
    <n v="120000"/>
    <n v="0.25"/>
    <x v="8"/>
  </r>
  <r>
    <s v="V00251"/>
    <x v="4"/>
    <s v="CL0312"/>
    <s v="Client 445"/>
    <x v="0"/>
    <s v="N'Djamena"/>
    <x v="3"/>
    <x v="15"/>
    <n v="10"/>
    <n v="8000"/>
    <n v="5200"/>
    <x v="4"/>
    <x v="2"/>
    <x v="2"/>
    <s v="Livrée"/>
    <x v="61"/>
    <n v="52000"/>
    <n v="28000"/>
    <n v="0.35"/>
    <x v="4"/>
  </r>
  <r>
    <s v="V00252"/>
    <x v="180"/>
    <s v="CL0471"/>
    <s v="Client 089"/>
    <x v="0"/>
    <s v="N'Djamena"/>
    <x v="1"/>
    <x v="18"/>
    <n v="6"/>
    <n v="25000"/>
    <n v="16000"/>
    <x v="5"/>
    <x v="0"/>
    <x v="0"/>
    <s v="Livrée"/>
    <x v="145"/>
    <n v="96000"/>
    <n v="54000"/>
    <n v="0.36"/>
    <x v="2"/>
  </r>
  <r>
    <s v="V00253"/>
    <x v="181"/>
    <s v="CL0338"/>
    <s v="Client 281"/>
    <x v="7"/>
    <s v="Bol"/>
    <x v="3"/>
    <x v="3"/>
    <n v="1"/>
    <n v="15800"/>
    <n v="9800"/>
    <x v="3"/>
    <x v="1"/>
    <x v="2"/>
    <s v="Livrée"/>
    <x v="17"/>
    <n v="9800"/>
    <n v="6000"/>
    <n v="0.379746835443038"/>
    <x v="11"/>
  </r>
  <r>
    <s v="V00254"/>
    <x v="182"/>
    <s v="CL0187"/>
    <s v="Client 239"/>
    <x v="0"/>
    <s v="N'Djamena"/>
    <x v="0"/>
    <x v="16"/>
    <n v="4"/>
    <n v="140000"/>
    <n v="103000"/>
    <x v="0"/>
    <x v="1"/>
    <x v="2"/>
    <s v="Livrée"/>
    <x v="114"/>
    <n v="412000"/>
    <n v="148000"/>
    <n v="0.26428571428571429"/>
    <x v="5"/>
  </r>
  <r>
    <s v="V00255"/>
    <x v="183"/>
    <s v="CL0195"/>
    <s v="Client 132"/>
    <x v="0"/>
    <s v="N'Djamena"/>
    <x v="1"/>
    <x v="12"/>
    <n v="4"/>
    <n v="31500"/>
    <n v="19000"/>
    <x v="7"/>
    <x v="2"/>
    <x v="0"/>
    <s v="Livrée"/>
    <x v="178"/>
    <n v="76000"/>
    <n v="50000"/>
    <n v="0.3968253968253968"/>
    <x v="7"/>
  </r>
  <r>
    <s v="V00257"/>
    <x v="184"/>
    <s v="CL0192"/>
    <s v="Client 029"/>
    <x v="3"/>
    <s v="Mao"/>
    <x v="0"/>
    <x v="5"/>
    <n v="1"/>
    <n v="231000"/>
    <n v="155200"/>
    <x v="0"/>
    <x v="2"/>
    <x v="0"/>
    <s v="Annulée"/>
    <x v="179"/>
    <n v="155200"/>
    <n v="75800"/>
    <n v="0.32813852813852812"/>
    <x v="1"/>
  </r>
  <r>
    <s v="V00258"/>
    <x v="185"/>
    <s v="CL0342"/>
    <s v="Client 425"/>
    <x v="0"/>
    <s v="N'Djamena"/>
    <x v="2"/>
    <x v="13"/>
    <n v="8"/>
    <n v="152000"/>
    <n v="120000"/>
    <x v="4"/>
    <x v="0"/>
    <x v="1"/>
    <s v="Livrée"/>
    <x v="180"/>
    <n v="960000"/>
    <n v="256000"/>
    <n v="0.21052631578947367"/>
    <x v="5"/>
  </r>
  <r>
    <s v="V00259"/>
    <x v="186"/>
    <s v="CL0487"/>
    <s v="Client 311"/>
    <x v="0"/>
    <s v="N'Djamena"/>
    <x v="3"/>
    <x v="15"/>
    <n v="3"/>
    <n v="7600"/>
    <n v="4800"/>
    <x v="4"/>
    <x v="2"/>
    <x v="2"/>
    <s v="Livrée"/>
    <x v="9"/>
    <n v="14400"/>
    <n v="8400"/>
    <n v="0.36842105263157893"/>
    <x v="4"/>
  </r>
  <r>
    <s v="V00260"/>
    <x v="187"/>
    <s v="CL0114"/>
    <s v="Client 127"/>
    <x v="1"/>
    <s v="Abéché"/>
    <x v="2"/>
    <x v="10"/>
    <n v="4"/>
    <n v="472500"/>
    <n v="358900"/>
    <x v="2"/>
    <x v="2"/>
    <x v="1"/>
    <s v="Livrée"/>
    <x v="126"/>
    <n v="1435600"/>
    <n v="454400"/>
    <n v="0.24042328042328043"/>
    <x v="8"/>
  </r>
  <r>
    <s v="V00261"/>
    <x v="14"/>
    <s v="CL0269"/>
    <s v="Client 292"/>
    <x v="5"/>
    <s v="Massaguet"/>
    <x v="1"/>
    <x v="18"/>
    <n v="8"/>
    <n v="26200"/>
    <n v="16500"/>
    <x v="0"/>
    <x v="1"/>
    <x v="1"/>
    <s v="Annulée"/>
    <x v="181"/>
    <n v="132000"/>
    <n v="77600"/>
    <n v="0.37022900763358779"/>
    <x v="0"/>
  </r>
  <r>
    <s v="V00262"/>
    <x v="182"/>
    <s v="CL0310"/>
    <s v="Client 317"/>
    <x v="0"/>
    <s v="N'Djamena"/>
    <x v="1"/>
    <x v="18"/>
    <n v="2"/>
    <n v="25000"/>
    <n v="15500"/>
    <x v="3"/>
    <x v="2"/>
    <x v="0"/>
    <s v="Livrée"/>
    <x v="182"/>
    <n v="31000"/>
    <n v="19000"/>
    <n v="0.38"/>
    <x v="5"/>
  </r>
  <r>
    <s v="V00263"/>
    <x v="96"/>
    <s v="CL0330"/>
    <s v="Client 383"/>
    <x v="7"/>
    <s v="Bol"/>
    <x v="0"/>
    <x v="0"/>
    <n v="3"/>
    <n v="61800"/>
    <n v="45000"/>
    <x v="0"/>
    <x v="1"/>
    <x v="2"/>
    <s v="En cours"/>
    <x v="183"/>
    <n v="135000"/>
    <n v="50400"/>
    <n v="0.27184466019417475"/>
    <x v="4"/>
  </r>
  <r>
    <s v="V00264"/>
    <x v="12"/>
    <s v="CL0351"/>
    <s v="Client 125"/>
    <x v="1"/>
    <s v="Abéché"/>
    <x v="0"/>
    <x v="0"/>
    <n v="2"/>
    <n v="65000"/>
    <n v="46400"/>
    <x v="0"/>
    <x v="2"/>
    <x v="0"/>
    <s v="En cours"/>
    <x v="177"/>
    <n v="92800"/>
    <n v="37200"/>
    <n v="0.28615384615384615"/>
    <x v="7"/>
  </r>
  <r>
    <s v="V00265"/>
    <x v="2"/>
    <s v="CL0463"/>
    <s v="Client 078"/>
    <x v="1"/>
    <s v="Abéché"/>
    <x v="1"/>
    <x v="6"/>
    <n v="3"/>
    <n v="12600"/>
    <n v="7700"/>
    <x v="6"/>
    <x v="2"/>
    <x v="2"/>
    <s v="Livrée"/>
    <x v="58"/>
    <n v="23100"/>
    <n v="14700"/>
    <n v="0.3888888888888889"/>
    <x v="2"/>
  </r>
  <r>
    <s v="V00266"/>
    <x v="176"/>
    <s v="CL0324"/>
    <s v="Client 383"/>
    <x v="2"/>
    <s v="Doba"/>
    <x v="1"/>
    <x v="18"/>
    <n v="3"/>
    <n v="26200"/>
    <n v="16500"/>
    <x v="4"/>
    <x v="2"/>
    <x v="2"/>
    <s v="Annulée"/>
    <x v="184"/>
    <n v="49500"/>
    <n v="29100"/>
    <n v="0.37022900763358779"/>
    <x v="9"/>
  </r>
  <r>
    <s v="V00267"/>
    <x v="155"/>
    <s v="CL0104"/>
    <s v="Client 172"/>
    <x v="6"/>
    <s v="Pala"/>
    <x v="3"/>
    <x v="4"/>
    <n v="10"/>
    <n v="9000"/>
    <n v="6000"/>
    <x v="5"/>
    <x v="2"/>
    <x v="0"/>
    <s v="Livrée"/>
    <x v="185"/>
    <n v="60000"/>
    <n v="30000"/>
    <n v="0.33333333333333331"/>
    <x v="11"/>
  </r>
  <r>
    <s v="V00268"/>
    <x v="179"/>
    <s v="CL0196"/>
    <s v="Client 167"/>
    <x v="1"/>
    <s v="Abéché"/>
    <x v="2"/>
    <x v="14"/>
    <n v="2"/>
    <n v="90200"/>
    <n v="70000"/>
    <x v="0"/>
    <x v="3"/>
    <x v="1"/>
    <s v="Livrée"/>
    <x v="186"/>
    <n v="140000"/>
    <n v="40400"/>
    <n v="0.22394678492239467"/>
    <x v="7"/>
  </r>
  <r>
    <s v="V00269"/>
    <x v="188"/>
    <s v="CL0087"/>
    <s v="Client 076"/>
    <x v="3"/>
    <s v="Mao"/>
    <x v="2"/>
    <x v="9"/>
    <n v="5"/>
    <n v="180000"/>
    <n v="135000"/>
    <x v="2"/>
    <x v="2"/>
    <x v="1"/>
    <s v="Livrée"/>
    <x v="101"/>
    <n v="675000"/>
    <n v="225000"/>
    <n v="0.25"/>
    <x v="9"/>
  </r>
  <r>
    <s v="V00270"/>
    <x v="189"/>
    <s v="CL0099"/>
    <s v="Client 231"/>
    <x v="5"/>
    <s v="Massaguet"/>
    <x v="3"/>
    <x v="3"/>
    <n v="6"/>
    <n v="15000"/>
    <n v="9200"/>
    <x v="4"/>
    <x v="1"/>
    <x v="1"/>
    <s v="Livrée"/>
    <x v="185"/>
    <n v="55200"/>
    <n v="34800"/>
    <n v="0.38666666666666666"/>
    <x v="6"/>
  </r>
  <r>
    <s v="V00271"/>
    <x v="117"/>
    <s v="CL0293"/>
    <s v="Client 384"/>
    <x v="6"/>
    <s v="Moundou"/>
    <x v="2"/>
    <x v="14"/>
    <n v="6"/>
    <n v="95000"/>
    <n v="67900"/>
    <x v="1"/>
    <x v="2"/>
    <x v="1"/>
    <s v="Livrée"/>
    <x v="41"/>
    <n v="407400"/>
    <n v="162600"/>
    <n v="0.28526315789473683"/>
    <x v="1"/>
  </r>
  <r>
    <s v="V00272"/>
    <x v="170"/>
    <s v="CL0180"/>
    <s v="Client 091"/>
    <x v="7"/>
    <s v="Bol"/>
    <x v="2"/>
    <x v="13"/>
    <n v="3"/>
    <n v="160000"/>
    <n v="116400"/>
    <x v="4"/>
    <x v="3"/>
    <x v="1"/>
    <s v="Livrée"/>
    <x v="143"/>
    <n v="349200"/>
    <n v="130800"/>
    <n v="0.27250000000000002"/>
    <x v="7"/>
  </r>
  <r>
    <s v="V00273"/>
    <x v="171"/>
    <s v="CL0416"/>
    <s v="Client 135"/>
    <x v="0"/>
    <s v="N'Djamena"/>
    <x v="2"/>
    <x v="14"/>
    <n v="5"/>
    <n v="95000"/>
    <n v="70000"/>
    <x v="5"/>
    <x v="3"/>
    <x v="1"/>
    <s v="Livrée"/>
    <x v="103"/>
    <n v="350000"/>
    <n v="125000"/>
    <n v="0.26315789473684209"/>
    <x v="10"/>
  </r>
  <r>
    <s v="V00274"/>
    <x v="58"/>
    <s v="CL0265"/>
    <s v="Client 302"/>
    <x v="7"/>
    <s v="Bol"/>
    <x v="1"/>
    <x v="1"/>
    <n v="8"/>
    <n v="7000"/>
    <n v="4000"/>
    <x v="7"/>
    <x v="2"/>
    <x v="1"/>
    <s v="Livrée"/>
    <x v="107"/>
    <n v="32000"/>
    <n v="24000"/>
    <n v="0.42857142857142855"/>
    <x v="9"/>
  </r>
  <r>
    <s v="V00275"/>
    <x v="2"/>
    <s v="CL0232"/>
    <s v="Client 060"/>
    <x v="2"/>
    <s v="Doba"/>
    <x v="3"/>
    <x v="3"/>
    <n v="3"/>
    <n v="15800"/>
    <n v="9200"/>
    <x v="0"/>
    <x v="3"/>
    <x v="0"/>
    <s v="Annulée"/>
    <x v="70"/>
    <n v="27600"/>
    <n v="19800"/>
    <n v="0.41772151898734178"/>
    <x v="2"/>
  </r>
  <r>
    <s v="V00276"/>
    <x v="187"/>
    <s v="CL0338"/>
    <s v="Client 434"/>
    <x v="0"/>
    <s v="N'Djamena"/>
    <x v="3"/>
    <x v="8"/>
    <n v="10"/>
    <n v="6000"/>
    <n v="4200"/>
    <x v="2"/>
    <x v="0"/>
    <x v="0"/>
    <s v="Livrée"/>
    <x v="69"/>
    <n v="42000"/>
    <n v="18000"/>
    <n v="0.3"/>
    <x v="8"/>
  </r>
  <r>
    <s v="V00277"/>
    <x v="31"/>
    <s v="CL0434"/>
    <s v="Client 275"/>
    <x v="0"/>
    <s v="N'Djamena"/>
    <x v="2"/>
    <x v="9"/>
    <n v="2"/>
    <n v="189000"/>
    <n v="131000"/>
    <x v="0"/>
    <x v="2"/>
    <x v="0"/>
    <s v="Livrée"/>
    <x v="187"/>
    <n v="262000"/>
    <n v="116000"/>
    <n v="0.30687830687830686"/>
    <x v="0"/>
  </r>
  <r>
    <s v="V00278"/>
    <x v="190"/>
    <s v="CL0489"/>
    <s v="Client 287"/>
    <x v="1"/>
    <s v="Abéché"/>
    <x v="2"/>
    <x v="13"/>
    <n v="10"/>
    <n v="168000"/>
    <n v="123600"/>
    <x v="7"/>
    <x v="2"/>
    <x v="0"/>
    <s v="Annulée"/>
    <x v="170"/>
    <n v="1236000"/>
    <n v="444000"/>
    <n v="0.26428571428571429"/>
    <x v="5"/>
  </r>
  <r>
    <s v="V00279"/>
    <x v="191"/>
    <s v="CL0082"/>
    <s v="Client 050"/>
    <x v="6"/>
    <s v="Moundou"/>
    <x v="0"/>
    <x v="16"/>
    <n v="4"/>
    <n v="140000"/>
    <n v="100000"/>
    <x v="1"/>
    <x v="0"/>
    <x v="0"/>
    <s v="Livrée"/>
    <x v="114"/>
    <n v="400000"/>
    <n v="160000"/>
    <n v="0.2857142857142857"/>
    <x v="6"/>
  </r>
  <r>
    <s v="V00280"/>
    <x v="192"/>
    <s v="CL0082"/>
    <s v="Client 098"/>
    <x v="0"/>
    <s v="N'Djamena"/>
    <x v="2"/>
    <x v="2"/>
    <n v="3"/>
    <n v="52200"/>
    <n v="40200"/>
    <x v="4"/>
    <x v="2"/>
    <x v="1"/>
    <s v="Livrée"/>
    <x v="188"/>
    <n v="120600"/>
    <n v="36000"/>
    <n v="0.22988505747126436"/>
    <x v="6"/>
  </r>
  <r>
    <s v="V00281"/>
    <x v="59"/>
    <s v="CL0396"/>
    <s v="Client 033"/>
    <x v="0"/>
    <s v="N'Djamena"/>
    <x v="1"/>
    <x v="6"/>
    <n v="8"/>
    <n v="12600"/>
    <n v="7500"/>
    <x v="4"/>
    <x v="2"/>
    <x v="2"/>
    <s v="Livrée"/>
    <x v="163"/>
    <n v="60000"/>
    <n v="40800"/>
    <n v="0.40476190476190477"/>
    <x v="2"/>
  </r>
  <r>
    <s v="V00282"/>
    <x v="193"/>
    <s v="CL0036"/>
    <s v="Client 065"/>
    <x v="3"/>
    <s v="Mao"/>
    <x v="2"/>
    <x v="9"/>
    <n v="10"/>
    <n v="180000"/>
    <n v="139000"/>
    <x v="1"/>
    <x v="2"/>
    <x v="0"/>
    <s v="Livrée"/>
    <x v="139"/>
    <n v="1390000"/>
    <n v="410000"/>
    <n v="0.22777777777777777"/>
    <x v="8"/>
  </r>
  <r>
    <s v="V00283"/>
    <x v="194"/>
    <s v="CL0356"/>
    <s v="Client 348"/>
    <x v="4"/>
    <s v="Ati"/>
    <x v="2"/>
    <x v="14"/>
    <n v="4"/>
    <n v="99800"/>
    <n v="70000"/>
    <x v="1"/>
    <x v="1"/>
    <x v="0"/>
    <s v="Livrée"/>
    <x v="189"/>
    <n v="280000"/>
    <n v="119200"/>
    <n v="0.29859719438877758"/>
    <x v="10"/>
  </r>
  <r>
    <s v="V00284"/>
    <x v="178"/>
    <s v="CL0044"/>
    <s v="Client 085"/>
    <x v="1"/>
    <s v="Abéché"/>
    <x v="2"/>
    <x v="10"/>
    <n v="8"/>
    <n v="450000"/>
    <n v="358900"/>
    <x v="4"/>
    <x v="0"/>
    <x v="2"/>
    <s v="Livrée"/>
    <x v="102"/>
    <n v="2871200"/>
    <n v="728800"/>
    <n v="0.20244444444444445"/>
    <x v="3"/>
  </r>
  <r>
    <s v="V00285"/>
    <x v="195"/>
    <s v="CL0145"/>
    <s v="Client 027"/>
    <x v="0"/>
    <s v="N'Djamena"/>
    <x v="2"/>
    <x v="13"/>
    <n v="4"/>
    <n v="152000"/>
    <n v="116400"/>
    <x v="4"/>
    <x v="3"/>
    <x v="1"/>
    <s v="Livrée"/>
    <x v="190"/>
    <n v="465600"/>
    <n v="142400"/>
    <n v="0.23421052631578948"/>
    <x v="2"/>
  </r>
  <r>
    <s v="V00286"/>
    <x v="196"/>
    <s v="CL0151"/>
    <s v="Client 019"/>
    <x v="0"/>
    <s v="N'Djamena"/>
    <x v="3"/>
    <x v="8"/>
    <n v="4"/>
    <n v="6000"/>
    <n v="4100"/>
    <x v="7"/>
    <x v="0"/>
    <x v="0"/>
    <s v="Livrée"/>
    <x v="191"/>
    <n v="16400"/>
    <n v="7600"/>
    <n v="0.31666666666666665"/>
    <x v="11"/>
  </r>
  <r>
    <s v="V00287"/>
    <x v="58"/>
    <s v="CL0336"/>
    <s v="Client 494"/>
    <x v="0"/>
    <s v="N'Djamena"/>
    <x v="2"/>
    <x v="14"/>
    <n v="6"/>
    <n v="90200"/>
    <n v="67900"/>
    <x v="5"/>
    <x v="2"/>
    <x v="1"/>
    <s v="Livrée"/>
    <x v="192"/>
    <n v="407400"/>
    <n v="133800"/>
    <n v="0.24722838137472283"/>
    <x v="9"/>
  </r>
  <r>
    <s v="V00288"/>
    <x v="113"/>
    <s v="CL0425"/>
    <s v="Client 304"/>
    <x v="0"/>
    <s v="N'Djamena"/>
    <x v="3"/>
    <x v="4"/>
    <n v="4"/>
    <n v="9000"/>
    <n v="6000"/>
    <x v="4"/>
    <x v="2"/>
    <x v="0"/>
    <s v="Livrée"/>
    <x v="193"/>
    <n v="24000"/>
    <n v="12000"/>
    <n v="0.33333333333333331"/>
    <x v="11"/>
  </r>
  <r>
    <s v="V00289"/>
    <x v="197"/>
    <s v="CL0325"/>
    <s v="Client 024"/>
    <x v="6"/>
    <s v="Pala"/>
    <x v="2"/>
    <x v="13"/>
    <n v="2"/>
    <n v="152000"/>
    <n v="123600"/>
    <x v="2"/>
    <x v="3"/>
    <x v="0"/>
    <s v="Livrée"/>
    <x v="55"/>
    <n v="247200"/>
    <n v="56800"/>
    <n v="0.18684210526315789"/>
    <x v="5"/>
  </r>
  <r>
    <s v="V00290"/>
    <x v="101"/>
    <s v="CL0005"/>
    <s v="Client 215"/>
    <x v="0"/>
    <s v="N'Djamena"/>
    <x v="0"/>
    <x v="11"/>
    <n v="4"/>
    <n v="85000"/>
    <n v="60100"/>
    <x v="2"/>
    <x v="2"/>
    <x v="0"/>
    <s v="Livrée"/>
    <x v="43"/>
    <n v="240400"/>
    <n v="99600"/>
    <n v="0.29294117647058826"/>
    <x v="6"/>
  </r>
  <r>
    <s v="V00291"/>
    <x v="43"/>
    <s v="CL0488"/>
    <s v="Client 392"/>
    <x v="6"/>
    <s v="Moundou"/>
    <x v="2"/>
    <x v="2"/>
    <n v="6"/>
    <n v="55000"/>
    <n v="39000"/>
    <x v="6"/>
    <x v="2"/>
    <x v="0"/>
    <s v="Livrée"/>
    <x v="194"/>
    <n v="234000"/>
    <n v="96000"/>
    <n v="0.29090909090909089"/>
    <x v="8"/>
  </r>
  <r>
    <s v="V00292"/>
    <x v="35"/>
    <s v="CL0353"/>
    <s v="Client 103"/>
    <x v="7"/>
    <s v="Bol"/>
    <x v="2"/>
    <x v="9"/>
    <n v="10"/>
    <n v="189000"/>
    <n v="135000"/>
    <x v="1"/>
    <x v="2"/>
    <x v="0"/>
    <s v="Livrée"/>
    <x v="126"/>
    <n v="1350000"/>
    <n v="540000"/>
    <n v="0.2857142857142857"/>
    <x v="0"/>
  </r>
  <r>
    <s v="V00293"/>
    <x v="198"/>
    <s v="CL0128"/>
    <s v="Client 301"/>
    <x v="6"/>
    <s v="Moundou"/>
    <x v="3"/>
    <x v="8"/>
    <n v="5"/>
    <n v="6300"/>
    <n v="4300"/>
    <x v="4"/>
    <x v="2"/>
    <x v="1"/>
    <s v="Livrée"/>
    <x v="195"/>
    <n v="21500"/>
    <n v="10000"/>
    <n v="0.31746031746031744"/>
    <x v="10"/>
  </r>
  <r>
    <s v="V00294"/>
    <x v="199"/>
    <s v="CL0356"/>
    <s v="Client 278"/>
    <x v="1"/>
    <s v="Abéché"/>
    <x v="3"/>
    <x v="17"/>
    <n v="7"/>
    <n v="18000"/>
    <n v="12900"/>
    <x v="1"/>
    <x v="3"/>
    <x v="0"/>
    <s v="Livrée"/>
    <x v="178"/>
    <n v="90300"/>
    <n v="35700"/>
    <n v="0.28333333333333333"/>
    <x v="2"/>
  </r>
  <r>
    <s v="V00295"/>
    <x v="157"/>
    <s v="CL0201"/>
    <s v="Client 174"/>
    <x v="1"/>
    <s v="Abéché"/>
    <x v="2"/>
    <x v="14"/>
    <n v="3"/>
    <n v="95000"/>
    <n v="72100"/>
    <x v="5"/>
    <x v="3"/>
    <x v="1"/>
    <s v="Livrée"/>
    <x v="40"/>
    <n v="216300"/>
    <n v="68700"/>
    <n v="0.24105263157894738"/>
    <x v="8"/>
  </r>
  <r>
    <s v="V00296"/>
    <x v="131"/>
    <s v="CL0215"/>
    <s v="Client 039"/>
    <x v="1"/>
    <s v="Abéché"/>
    <x v="2"/>
    <x v="9"/>
    <n v="10"/>
    <n v="189000"/>
    <n v="131000"/>
    <x v="2"/>
    <x v="0"/>
    <x v="0"/>
    <s v="Livrée"/>
    <x v="126"/>
    <n v="1310000"/>
    <n v="580000"/>
    <n v="0.30687830687830686"/>
    <x v="1"/>
  </r>
  <r>
    <s v="V00297"/>
    <x v="134"/>
    <s v="CL0317"/>
    <s v="Client 497"/>
    <x v="0"/>
    <s v="N'Djamena"/>
    <x v="1"/>
    <x v="6"/>
    <n v="6"/>
    <n v="12000"/>
    <n v="7700"/>
    <x v="5"/>
    <x v="2"/>
    <x v="0"/>
    <s v="Livrée"/>
    <x v="196"/>
    <n v="46200"/>
    <n v="25800"/>
    <n v="0.35833333333333334"/>
    <x v="3"/>
  </r>
  <r>
    <s v="V00298"/>
    <x v="200"/>
    <s v="CL0439"/>
    <s v="Client 338"/>
    <x v="0"/>
    <s v="N'Djamena"/>
    <x v="2"/>
    <x v="14"/>
    <n v="9"/>
    <n v="99800"/>
    <n v="72100"/>
    <x v="5"/>
    <x v="2"/>
    <x v="1"/>
    <s v="Livrée"/>
    <x v="46"/>
    <n v="648900"/>
    <n v="249300"/>
    <n v="0.27755511022044088"/>
    <x v="2"/>
  </r>
  <r>
    <s v="V00299"/>
    <x v="201"/>
    <s v="CL0474"/>
    <s v="Client 060"/>
    <x v="5"/>
    <s v="Massaguet"/>
    <x v="2"/>
    <x v="13"/>
    <n v="1"/>
    <n v="168000"/>
    <n v="120000"/>
    <x v="2"/>
    <x v="1"/>
    <x v="0"/>
    <s v="Livrée"/>
    <x v="197"/>
    <n v="120000"/>
    <n v="48000"/>
    <n v="0.2857142857142857"/>
    <x v="2"/>
  </r>
  <r>
    <s v="V00300"/>
    <x v="173"/>
    <s v="CL0048"/>
    <s v="Client 113"/>
    <x v="2"/>
    <s v="Doba"/>
    <x v="2"/>
    <x v="9"/>
    <n v="4"/>
    <n v="180000"/>
    <n v="139000"/>
    <x v="6"/>
    <x v="0"/>
    <x v="2"/>
    <s v="Livrée"/>
    <x v="169"/>
    <n v="556000"/>
    <n v="164000"/>
    <n v="0.22777777777777777"/>
    <x v="2"/>
  </r>
  <r>
    <s v="V00301"/>
    <x v="202"/>
    <s v="CL0329"/>
    <s v="Client 422"/>
    <x v="0"/>
    <s v="N'Djamena"/>
    <x v="2"/>
    <x v="2"/>
    <n v="6"/>
    <n v="55000"/>
    <n v="39000"/>
    <x v="0"/>
    <x v="2"/>
    <x v="1"/>
    <s v="Livrée"/>
    <x v="194"/>
    <n v="234000"/>
    <n v="96000"/>
    <n v="0.29090909090909089"/>
    <x v="11"/>
  </r>
  <r>
    <s v="V00302"/>
    <x v="203"/>
    <s v="CL0083"/>
    <s v="Client 178"/>
    <x v="6"/>
    <s v="Moundou"/>
    <x v="2"/>
    <x v="2"/>
    <n v="4"/>
    <n v="52200"/>
    <n v="40200"/>
    <x v="0"/>
    <x v="3"/>
    <x v="2"/>
    <s v="Livrée"/>
    <x v="198"/>
    <n v="160800"/>
    <n v="48000"/>
    <n v="0.22988505747126436"/>
    <x v="8"/>
  </r>
  <r>
    <s v="V00303"/>
    <x v="204"/>
    <s v="CL0221"/>
    <s v="Client 169"/>
    <x v="0"/>
    <s v="N'Djamena"/>
    <x v="2"/>
    <x v="10"/>
    <n v="2"/>
    <n v="450000"/>
    <n v="358900"/>
    <x v="5"/>
    <x v="2"/>
    <x v="0"/>
    <s v="Livrée"/>
    <x v="101"/>
    <n v="717800"/>
    <n v="182200"/>
    <n v="0.20244444444444445"/>
    <x v="3"/>
  </r>
  <r>
    <s v="V00304"/>
    <x v="201"/>
    <s v="CL0016"/>
    <s v="Client 098"/>
    <x v="0"/>
    <s v="N'Djamena"/>
    <x v="0"/>
    <x v="11"/>
    <n v="7"/>
    <n v="85000"/>
    <n v="60100"/>
    <x v="0"/>
    <x v="0"/>
    <x v="1"/>
    <s v="Livrée"/>
    <x v="199"/>
    <n v="420700"/>
    <n v="174300"/>
    <n v="0.29294117647058826"/>
    <x v="2"/>
  </r>
  <r>
    <s v="V00305"/>
    <x v="205"/>
    <s v="CL0159"/>
    <s v="Client 224"/>
    <x v="6"/>
    <s v="Moundou"/>
    <x v="3"/>
    <x v="17"/>
    <n v="2"/>
    <n v="18900"/>
    <n v="12100"/>
    <x v="2"/>
    <x v="1"/>
    <x v="1"/>
    <s v="Livrée"/>
    <x v="58"/>
    <n v="24200"/>
    <n v="13600"/>
    <n v="0.35978835978835977"/>
    <x v="4"/>
  </r>
  <r>
    <s v="V00306"/>
    <x v="122"/>
    <s v="CL0431"/>
    <s v="Client 165"/>
    <x v="2"/>
    <s v="Doba"/>
    <x v="1"/>
    <x v="7"/>
    <n v="3"/>
    <n v="10000"/>
    <n v="6000"/>
    <x v="3"/>
    <x v="0"/>
    <x v="2"/>
    <s v="Livrée"/>
    <x v="5"/>
    <n v="18000"/>
    <n v="12000"/>
    <n v="0.4"/>
    <x v="3"/>
  </r>
  <r>
    <s v="V00307"/>
    <x v="178"/>
    <s v="CL0031"/>
    <s v="Client 377"/>
    <x v="1"/>
    <s v="Abéché"/>
    <x v="3"/>
    <x v="4"/>
    <n v="8"/>
    <n v="9000"/>
    <n v="6000"/>
    <x v="1"/>
    <x v="3"/>
    <x v="2"/>
    <s v="Annulée"/>
    <x v="196"/>
    <n v="48000"/>
    <n v="24000"/>
    <n v="0.33333333333333331"/>
    <x v="3"/>
  </r>
  <r>
    <s v="V00308"/>
    <x v="160"/>
    <s v="CL0205"/>
    <s v="Client 484"/>
    <x v="1"/>
    <s v="Abéché"/>
    <x v="1"/>
    <x v="6"/>
    <n v="4"/>
    <n v="11400"/>
    <n v="7500"/>
    <x v="4"/>
    <x v="2"/>
    <x v="0"/>
    <s v="Livrée"/>
    <x v="7"/>
    <n v="30000"/>
    <n v="15600"/>
    <n v="0.34210526315789475"/>
    <x v="11"/>
  </r>
  <r>
    <s v="V00309"/>
    <x v="206"/>
    <s v="CL0164"/>
    <s v="Client 395"/>
    <x v="6"/>
    <s v="Moundou"/>
    <x v="0"/>
    <x v="16"/>
    <n v="6"/>
    <n v="133000"/>
    <n v="103000"/>
    <x v="0"/>
    <x v="1"/>
    <x v="0"/>
    <s v="En cours"/>
    <x v="51"/>
    <n v="618000"/>
    <n v="180000"/>
    <n v="0.22556390977443608"/>
    <x v="11"/>
  </r>
  <r>
    <s v="V00310"/>
    <x v="62"/>
    <s v="CL0015"/>
    <s v="Client 226"/>
    <x v="4"/>
    <s v="Ati"/>
    <x v="2"/>
    <x v="10"/>
    <n v="5"/>
    <n v="427500"/>
    <n v="370000"/>
    <x v="7"/>
    <x v="2"/>
    <x v="1"/>
    <s v="Annulée"/>
    <x v="200"/>
    <n v="1850000"/>
    <n v="287500"/>
    <n v="0.13450292397660818"/>
    <x v="2"/>
  </r>
  <r>
    <s v="V00311"/>
    <x v="207"/>
    <s v="CL0042"/>
    <s v="Client 282"/>
    <x v="7"/>
    <s v="Bol"/>
    <x v="2"/>
    <x v="9"/>
    <n v="3"/>
    <n v="171000"/>
    <n v="139000"/>
    <x v="3"/>
    <x v="3"/>
    <x v="2"/>
    <s v="Livrée"/>
    <x v="201"/>
    <n v="417000"/>
    <n v="96000"/>
    <n v="0.1871345029239766"/>
    <x v="4"/>
  </r>
  <r>
    <s v="V00312"/>
    <x v="172"/>
    <s v="CL0414"/>
    <s v="Client 276"/>
    <x v="0"/>
    <s v="N'Djamena"/>
    <x v="3"/>
    <x v="15"/>
    <n v="7"/>
    <n v="8000"/>
    <n v="5000"/>
    <x v="4"/>
    <x v="2"/>
    <x v="1"/>
    <s v="Livrée"/>
    <x v="107"/>
    <n v="35000"/>
    <n v="21000"/>
    <n v="0.375"/>
    <x v="1"/>
  </r>
  <r>
    <s v="V00313"/>
    <x v="31"/>
    <s v="CL0158"/>
    <s v="Client 362"/>
    <x v="4"/>
    <s v="Ati"/>
    <x v="2"/>
    <x v="9"/>
    <n v="6"/>
    <n v="171000"/>
    <n v="135000"/>
    <x v="5"/>
    <x v="2"/>
    <x v="1"/>
    <s v="Livrée"/>
    <x v="202"/>
    <n v="810000"/>
    <n v="216000"/>
    <n v="0.21052631578947367"/>
    <x v="0"/>
  </r>
  <r>
    <s v="V00314"/>
    <x v="152"/>
    <s v="CL0383"/>
    <s v="Client 405"/>
    <x v="1"/>
    <s v="Abéché"/>
    <x v="2"/>
    <x v="13"/>
    <n v="10"/>
    <n v="168000"/>
    <n v="116400"/>
    <x v="6"/>
    <x v="2"/>
    <x v="0"/>
    <s v="Livrée"/>
    <x v="170"/>
    <n v="1164000"/>
    <n v="516000"/>
    <n v="0.30714285714285716"/>
    <x v="8"/>
  </r>
  <r>
    <s v="V00315"/>
    <x v="208"/>
    <s v="CL0101"/>
    <s v="Client 494"/>
    <x v="0"/>
    <s v="N'Djamena"/>
    <x v="1"/>
    <x v="6"/>
    <n v="5"/>
    <n v="12000"/>
    <n v="7500"/>
    <x v="6"/>
    <x v="3"/>
    <x v="0"/>
    <s v="Livrée"/>
    <x v="69"/>
    <n v="37500"/>
    <n v="22500"/>
    <n v="0.375"/>
    <x v="1"/>
  </r>
  <r>
    <s v="V00316"/>
    <x v="209"/>
    <s v="CL0015"/>
    <s v="Client 200"/>
    <x v="1"/>
    <s v="Abéché"/>
    <x v="2"/>
    <x v="10"/>
    <n v="3"/>
    <n v="472500"/>
    <n v="370000"/>
    <x v="5"/>
    <x v="3"/>
    <x v="0"/>
    <s v="Livrée"/>
    <x v="99"/>
    <n v="1110000"/>
    <n v="307500"/>
    <n v="0.21693121693121692"/>
    <x v="5"/>
  </r>
  <r>
    <s v="V00317"/>
    <x v="210"/>
    <s v="CL0013"/>
    <s v="Client 409"/>
    <x v="3"/>
    <s v="Mao"/>
    <x v="1"/>
    <x v="12"/>
    <n v="2"/>
    <n v="30000"/>
    <n v="18400"/>
    <x v="2"/>
    <x v="2"/>
    <x v="0"/>
    <s v="Livrée"/>
    <x v="69"/>
    <n v="36800"/>
    <n v="23200"/>
    <n v="0.38666666666666666"/>
    <x v="8"/>
  </r>
  <r>
    <s v="V00318"/>
    <x v="70"/>
    <s v="CL0257"/>
    <s v="Client 497"/>
    <x v="6"/>
    <s v="Moundou"/>
    <x v="2"/>
    <x v="14"/>
    <n v="4"/>
    <n v="90200"/>
    <n v="67900"/>
    <x v="0"/>
    <x v="3"/>
    <x v="0"/>
    <s v="Livrée"/>
    <x v="203"/>
    <n v="271600"/>
    <n v="89200"/>
    <n v="0.24722838137472283"/>
    <x v="11"/>
  </r>
  <r>
    <s v="V00319"/>
    <x v="14"/>
    <s v="CL0345"/>
    <s v="Client 413"/>
    <x v="0"/>
    <s v="N'Djamena"/>
    <x v="3"/>
    <x v="8"/>
    <n v="7"/>
    <n v="5700"/>
    <n v="4100"/>
    <x v="7"/>
    <x v="3"/>
    <x v="0"/>
    <s v="Livrée"/>
    <x v="204"/>
    <n v="28700"/>
    <n v="11200"/>
    <n v="0.2807017543859649"/>
    <x v="0"/>
  </r>
  <r>
    <s v="V00320"/>
    <x v="194"/>
    <s v="CL0217"/>
    <s v="Client 345"/>
    <x v="0"/>
    <s v="N'Djamena"/>
    <x v="1"/>
    <x v="7"/>
    <n v="10"/>
    <n v="10500"/>
    <n v="6200"/>
    <x v="6"/>
    <x v="2"/>
    <x v="0"/>
    <s v="Livrée"/>
    <x v="65"/>
    <n v="62000"/>
    <n v="43000"/>
    <n v="0.40952380952380951"/>
    <x v="10"/>
  </r>
  <r>
    <s v="V00321"/>
    <x v="211"/>
    <s v="CL0418"/>
    <s v="Client 421"/>
    <x v="5"/>
    <s v="Massaguet"/>
    <x v="2"/>
    <x v="10"/>
    <n v="9"/>
    <n v="450000"/>
    <n v="358900"/>
    <x v="6"/>
    <x v="3"/>
    <x v="0"/>
    <s v="Livrée"/>
    <x v="205"/>
    <n v="3230100"/>
    <n v="819900"/>
    <n v="0.20244444444444445"/>
    <x v="5"/>
  </r>
  <r>
    <s v="V00322"/>
    <x v="169"/>
    <s v="CL0046"/>
    <s v="Client 387"/>
    <x v="6"/>
    <s v="Moundou"/>
    <x v="2"/>
    <x v="2"/>
    <n v="7"/>
    <n v="55000"/>
    <n v="40200"/>
    <x v="1"/>
    <x v="2"/>
    <x v="2"/>
    <s v="Annulée"/>
    <x v="206"/>
    <n v="281400"/>
    <n v="103600"/>
    <n v="0.2690909090909091"/>
    <x v="9"/>
  </r>
  <r>
    <s v="V00323"/>
    <x v="115"/>
    <s v="CL0227"/>
    <s v="Client 340"/>
    <x v="6"/>
    <s v="Moundou"/>
    <x v="3"/>
    <x v="4"/>
    <n v="3"/>
    <n v="9400"/>
    <n v="6000"/>
    <x v="7"/>
    <x v="1"/>
    <x v="2"/>
    <s v="Livrée"/>
    <x v="207"/>
    <n v="18000"/>
    <n v="10200"/>
    <n v="0.36170212765957449"/>
    <x v="9"/>
  </r>
  <r>
    <s v="V00324"/>
    <x v="87"/>
    <s v="CL0392"/>
    <s v="Client 428"/>
    <x v="0"/>
    <s v="N'Djamena"/>
    <x v="2"/>
    <x v="10"/>
    <n v="8"/>
    <n v="450000"/>
    <n v="358900"/>
    <x v="0"/>
    <x v="3"/>
    <x v="2"/>
    <s v="En cours"/>
    <x v="102"/>
    <n v="2871200"/>
    <n v="728800"/>
    <n v="0.20244444444444445"/>
    <x v="1"/>
  </r>
  <r>
    <s v="V00325"/>
    <x v="123"/>
    <s v="CL0415"/>
    <s v="Client 482"/>
    <x v="6"/>
    <s v="Moundou"/>
    <x v="2"/>
    <x v="13"/>
    <n v="6"/>
    <n v="160000"/>
    <n v="123600"/>
    <x v="1"/>
    <x v="2"/>
    <x v="0"/>
    <s v="Livrée"/>
    <x v="98"/>
    <n v="741600"/>
    <n v="218400"/>
    <n v="0.22750000000000001"/>
    <x v="11"/>
  </r>
  <r>
    <s v="V00326"/>
    <x v="144"/>
    <s v="CL0438"/>
    <s v="Client 163"/>
    <x v="0"/>
    <s v="N'Djamena"/>
    <x v="2"/>
    <x v="14"/>
    <n v="10"/>
    <n v="99800"/>
    <n v="72100"/>
    <x v="7"/>
    <x v="1"/>
    <x v="0"/>
    <s v="Annulée"/>
    <x v="86"/>
    <n v="721000"/>
    <n v="277000"/>
    <n v="0.27755511022044088"/>
    <x v="11"/>
  </r>
  <r>
    <s v="V00327"/>
    <x v="212"/>
    <s v="CL0480"/>
    <s v="Client 395"/>
    <x v="0"/>
    <s v="N'Djamena"/>
    <x v="3"/>
    <x v="4"/>
    <n v="7"/>
    <n v="9000"/>
    <n v="5600"/>
    <x v="0"/>
    <x v="2"/>
    <x v="0"/>
    <s v="Livrée"/>
    <x v="74"/>
    <n v="39200"/>
    <n v="23800"/>
    <n v="0.37777777777777777"/>
    <x v="6"/>
  </r>
  <r>
    <s v="V00328"/>
    <x v="97"/>
    <s v="CL0371"/>
    <s v="Client 178"/>
    <x v="4"/>
    <s v="Ati"/>
    <x v="1"/>
    <x v="7"/>
    <n v="2"/>
    <n v="10500"/>
    <n v="6000"/>
    <x v="3"/>
    <x v="0"/>
    <x v="0"/>
    <s v="Livrée"/>
    <x v="1"/>
    <n v="12000"/>
    <n v="9000"/>
    <n v="0.42857142857142855"/>
    <x v="9"/>
  </r>
  <r>
    <s v="V00329"/>
    <x v="113"/>
    <s v="CL0064"/>
    <s v="Client 207"/>
    <x v="1"/>
    <s v="Abéché"/>
    <x v="3"/>
    <x v="8"/>
    <n v="4"/>
    <n v="6000"/>
    <n v="4100"/>
    <x v="0"/>
    <x v="1"/>
    <x v="0"/>
    <s v="Livrée"/>
    <x v="191"/>
    <n v="16400"/>
    <n v="7600"/>
    <n v="0.31666666666666665"/>
    <x v="11"/>
  </r>
  <r>
    <s v="V00330"/>
    <x v="213"/>
    <s v="CL0203"/>
    <s v="Client 172"/>
    <x v="0"/>
    <s v="N'Djamena"/>
    <x v="3"/>
    <x v="3"/>
    <n v="9"/>
    <n v="14200"/>
    <n v="9800"/>
    <x v="3"/>
    <x v="1"/>
    <x v="0"/>
    <s v="Livrée"/>
    <x v="208"/>
    <n v="88200"/>
    <n v="39600"/>
    <n v="0.30985915492957744"/>
    <x v="0"/>
  </r>
  <r>
    <s v="V00331"/>
    <x v="1"/>
    <s v="CL0464"/>
    <s v="Client 346"/>
    <x v="0"/>
    <s v="N'Djamena"/>
    <x v="0"/>
    <x v="11"/>
    <n v="7"/>
    <n v="85000"/>
    <n v="63900"/>
    <x v="1"/>
    <x v="1"/>
    <x v="1"/>
    <s v="En cours"/>
    <x v="199"/>
    <n v="447300"/>
    <n v="147700"/>
    <n v="0.24823529411764705"/>
    <x v="1"/>
  </r>
  <r>
    <s v="V00332"/>
    <x v="214"/>
    <s v="CL0290"/>
    <s v="Client 096"/>
    <x v="0"/>
    <s v="N'Djamena"/>
    <x v="3"/>
    <x v="4"/>
    <n v="1"/>
    <n v="9000"/>
    <n v="6000"/>
    <x v="2"/>
    <x v="0"/>
    <x v="0"/>
    <s v="Livrée"/>
    <x v="4"/>
    <n v="6000"/>
    <n v="3000"/>
    <n v="0.33333333333333331"/>
    <x v="3"/>
  </r>
  <r>
    <s v="V00333"/>
    <x v="187"/>
    <s v="CL0094"/>
    <s v="Client 204"/>
    <x v="0"/>
    <s v="N'Djamena"/>
    <x v="2"/>
    <x v="2"/>
    <n v="6"/>
    <n v="52200"/>
    <n v="37800"/>
    <x v="1"/>
    <x v="3"/>
    <x v="0"/>
    <s v="Livrée"/>
    <x v="209"/>
    <n v="226800"/>
    <n v="86400"/>
    <n v="0.27586206896551724"/>
    <x v="8"/>
  </r>
  <r>
    <s v="V00334"/>
    <x v="215"/>
    <s v="CL0149"/>
    <s v="Client 208"/>
    <x v="3"/>
    <s v="Mao"/>
    <x v="3"/>
    <x v="17"/>
    <n v="8"/>
    <n v="18000"/>
    <n v="12500"/>
    <x v="5"/>
    <x v="3"/>
    <x v="2"/>
    <s v="Livrée"/>
    <x v="210"/>
    <n v="100000"/>
    <n v="44000"/>
    <n v="0.30555555555555558"/>
    <x v="0"/>
  </r>
  <r>
    <s v="V00335"/>
    <x v="27"/>
    <s v="CL0431"/>
    <s v="Client 495"/>
    <x v="7"/>
    <s v="Bol"/>
    <x v="1"/>
    <x v="1"/>
    <n v="5"/>
    <n v="7400"/>
    <n v="3900"/>
    <x v="3"/>
    <x v="3"/>
    <x v="2"/>
    <s v="Livrée"/>
    <x v="211"/>
    <n v="19500"/>
    <n v="17500"/>
    <n v="0.47297297297297297"/>
    <x v="7"/>
  </r>
  <r>
    <s v="V00336"/>
    <x v="21"/>
    <s v="CL0372"/>
    <s v="Client 338"/>
    <x v="7"/>
    <s v="Bol"/>
    <x v="2"/>
    <x v="14"/>
    <n v="9"/>
    <n v="99800"/>
    <n v="67900"/>
    <x v="5"/>
    <x v="0"/>
    <x v="2"/>
    <s v="Livrée"/>
    <x v="46"/>
    <n v="611100"/>
    <n v="287100"/>
    <n v="0.31963927855711421"/>
    <x v="9"/>
  </r>
  <r>
    <s v="V00337"/>
    <x v="65"/>
    <s v="CL0165"/>
    <s v="Client 114"/>
    <x v="0"/>
    <s v="N'Djamena"/>
    <x v="3"/>
    <x v="3"/>
    <n v="9"/>
    <n v="15000"/>
    <n v="9800"/>
    <x v="2"/>
    <x v="0"/>
    <x v="0"/>
    <s v="En cours"/>
    <x v="212"/>
    <n v="88200"/>
    <n v="46800"/>
    <n v="0.34666666666666668"/>
    <x v="10"/>
  </r>
  <r>
    <s v="V00338"/>
    <x v="216"/>
    <s v="CL0099"/>
    <s v="Client 139"/>
    <x v="2"/>
    <s v="Doba"/>
    <x v="3"/>
    <x v="8"/>
    <n v="3"/>
    <n v="6000"/>
    <n v="4100"/>
    <x v="5"/>
    <x v="1"/>
    <x v="1"/>
    <s v="Livrée"/>
    <x v="213"/>
    <n v="12300"/>
    <n v="5700"/>
    <n v="0.31666666666666665"/>
    <x v="5"/>
  </r>
  <r>
    <s v="V00339"/>
    <x v="108"/>
    <s v="CL0198"/>
    <s v="Client 331"/>
    <x v="0"/>
    <s v="N'Djamena"/>
    <x v="3"/>
    <x v="15"/>
    <n v="10"/>
    <n v="8000"/>
    <n v="5000"/>
    <x v="5"/>
    <x v="2"/>
    <x v="0"/>
    <s v="Livrée"/>
    <x v="61"/>
    <n v="50000"/>
    <n v="30000"/>
    <n v="0.375"/>
    <x v="11"/>
  </r>
  <r>
    <s v="V00340"/>
    <x v="217"/>
    <s v="CL0227"/>
    <s v="Client 013"/>
    <x v="0"/>
    <s v="N'Djamena"/>
    <x v="2"/>
    <x v="2"/>
    <n v="3"/>
    <n v="55000"/>
    <n v="37800"/>
    <x v="2"/>
    <x v="2"/>
    <x v="0"/>
    <s v="Livrée"/>
    <x v="214"/>
    <n v="113400"/>
    <n v="51600"/>
    <n v="0.31272727272727274"/>
    <x v="1"/>
  </r>
  <r>
    <s v="V00341"/>
    <x v="39"/>
    <s v="CL0213"/>
    <s v="Client 245"/>
    <x v="2"/>
    <s v="Doba"/>
    <x v="1"/>
    <x v="6"/>
    <n v="8"/>
    <n v="12000"/>
    <n v="7300"/>
    <x v="4"/>
    <x v="0"/>
    <x v="0"/>
    <s v="Livrée"/>
    <x v="27"/>
    <n v="58400"/>
    <n v="37600"/>
    <n v="0.39166666666666666"/>
    <x v="3"/>
  </r>
  <r>
    <s v="V00342"/>
    <x v="204"/>
    <s v="CL0270"/>
    <s v="Client 198"/>
    <x v="7"/>
    <s v="Bol"/>
    <x v="3"/>
    <x v="17"/>
    <n v="3"/>
    <n v="17100"/>
    <n v="12500"/>
    <x v="1"/>
    <x v="2"/>
    <x v="0"/>
    <s v="Livrée"/>
    <x v="215"/>
    <n v="37500"/>
    <n v="13800"/>
    <n v="0.26900584795321636"/>
    <x v="3"/>
  </r>
  <r>
    <s v="V00343"/>
    <x v="218"/>
    <s v="CL0438"/>
    <s v="Client 426"/>
    <x v="6"/>
    <s v="Pala"/>
    <x v="1"/>
    <x v="6"/>
    <n v="9"/>
    <n v="12000"/>
    <n v="7500"/>
    <x v="2"/>
    <x v="2"/>
    <x v="1"/>
    <s v="Livrée"/>
    <x v="124"/>
    <n v="67500"/>
    <n v="40500"/>
    <n v="0.375"/>
    <x v="8"/>
  </r>
  <r>
    <s v="V00344"/>
    <x v="219"/>
    <s v="CL0003"/>
    <s v="Client 329"/>
    <x v="0"/>
    <s v="N'Djamena"/>
    <x v="0"/>
    <x v="0"/>
    <n v="6"/>
    <n v="65000"/>
    <n v="46400"/>
    <x v="1"/>
    <x v="2"/>
    <x v="1"/>
    <s v="Annulée"/>
    <x v="118"/>
    <n v="278400"/>
    <n v="111600"/>
    <n v="0.28615384615384615"/>
    <x v="8"/>
  </r>
  <r>
    <s v="V00345"/>
    <x v="220"/>
    <s v="CL0221"/>
    <s v="Client 267"/>
    <x v="7"/>
    <s v="Bol"/>
    <x v="2"/>
    <x v="2"/>
    <n v="4"/>
    <n v="57800"/>
    <n v="40200"/>
    <x v="4"/>
    <x v="0"/>
    <x v="1"/>
    <s v="Livrée"/>
    <x v="216"/>
    <n v="160800"/>
    <n v="70400"/>
    <n v="0.30449826989619377"/>
    <x v="1"/>
  </r>
  <r>
    <s v="V00346"/>
    <x v="82"/>
    <s v="CL0404"/>
    <s v="Client 133"/>
    <x v="4"/>
    <s v="Ati"/>
    <x v="0"/>
    <x v="11"/>
    <n v="4"/>
    <n v="80800"/>
    <n v="63900"/>
    <x v="4"/>
    <x v="2"/>
    <x v="0"/>
    <s v="Livrée"/>
    <x v="217"/>
    <n v="255600"/>
    <n v="67600"/>
    <n v="0.20915841584158415"/>
    <x v="11"/>
  </r>
  <r>
    <s v="V00347"/>
    <x v="68"/>
    <s v="CL0351"/>
    <s v="Client 266"/>
    <x v="6"/>
    <s v="Pala"/>
    <x v="2"/>
    <x v="10"/>
    <n v="4"/>
    <n v="450000"/>
    <n v="370000"/>
    <x v="6"/>
    <x v="2"/>
    <x v="1"/>
    <s v="En cours"/>
    <x v="139"/>
    <n v="1480000"/>
    <n v="320000"/>
    <n v="0.17777777777777778"/>
    <x v="8"/>
  </r>
  <r>
    <s v="V00348"/>
    <x v="90"/>
    <s v="CL0455"/>
    <s v="Client 438"/>
    <x v="1"/>
    <s v="Abéché"/>
    <x v="3"/>
    <x v="4"/>
    <n v="5"/>
    <n v="9000"/>
    <n v="5600"/>
    <x v="5"/>
    <x v="3"/>
    <x v="1"/>
    <s v="Livrée"/>
    <x v="128"/>
    <n v="28000"/>
    <n v="17000"/>
    <n v="0.37777777777777777"/>
    <x v="7"/>
  </r>
  <r>
    <s v="V00349"/>
    <x v="221"/>
    <s v="CL0173"/>
    <s v="Client 315"/>
    <x v="1"/>
    <s v="Abéché"/>
    <x v="1"/>
    <x v="18"/>
    <n v="2"/>
    <n v="25000"/>
    <n v="16000"/>
    <x v="5"/>
    <x v="2"/>
    <x v="0"/>
    <s v="Livrée"/>
    <x v="182"/>
    <n v="32000"/>
    <n v="18000"/>
    <n v="0.36"/>
    <x v="11"/>
  </r>
  <r>
    <s v="V00350"/>
    <x v="140"/>
    <s v="CL0094"/>
    <s v="Client 410"/>
    <x v="3"/>
    <s v="Mao"/>
    <x v="2"/>
    <x v="2"/>
    <n v="6"/>
    <n v="55000"/>
    <n v="37800"/>
    <x v="1"/>
    <x v="2"/>
    <x v="0"/>
    <s v="Livrée"/>
    <x v="194"/>
    <n v="226800"/>
    <n v="103200"/>
    <n v="0.31272727272727274"/>
    <x v="3"/>
  </r>
  <r>
    <s v="V00351"/>
    <x v="152"/>
    <s v="CL0313"/>
    <s v="Client 489"/>
    <x v="1"/>
    <s v="Abéché"/>
    <x v="3"/>
    <x v="8"/>
    <n v="9"/>
    <n v="6300"/>
    <n v="4200"/>
    <x v="7"/>
    <x v="3"/>
    <x v="1"/>
    <s v="Livrée"/>
    <x v="45"/>
    <n v="37800"/>
    <n v="18900"/>
    <n v="0.33333333333333331"/>
    <x v="8"/>
  </r>
  <r>
    <s v="V00352"/>
    <x v="178"/>
    <s v="CL0396"/>
    <s v="Client 275"/>
    <x v="0"/>
    <s v="N'Djamena"/>
    <x v="2"/>
    <x v="2"/>
    <n v="4"/>
    <n v="57800"/>
    <n v="37800"/>
    <x v="5"/>
    <x v="2"/>
    <x v="2"/>
    <s v="Annulée"/>
    <x v="216"/>
    <n v="151200"/>
    <n v="80000"/>
    <n v="0.34602076124567471"/>
    <x v="3"/>
  </r>
  <r>
    <s v="V00353"/>
    <x v="222"/>
    <s v="CL0475"/>
    <s v="Client 016"/>
    <x v="3"/>
    <s v="Mao"/>
    <x v="2"/>
    <x v="10"/>
    <n v="1"/>
    <n v="472500"/>
    <n v="381100"/>
    <x v="3"/>
    <x v="2"/>
    <x v="0"/>
    <s v="Livrée"/>
    <x v="218"/>
    <n v="381100"/>
    <n v="91400"/>
    <n v="0.19343915343915344"/>
    <x v="10"/>
  </r>
  <r>
    <s v="V00354"/>
    <x v="58"/>
    <s v="CL0360"/>
    <s v="Client 304"/>
    <x v="0"/>
    <s v="N'Djamena"/>
    <x v="2"/>
    <x v="9"/>
    <n v="9"/>
    <n v="180000"/>
    <n v="139000"/>
    <x v="3"/>
    <x v="0"/>
    <x v="0"/>
    <s v="Livrée"/>
    <x v="83"/>
    <n v="1251000"/>
    <n v="369000"/>
    <n v="0.22777777777777777"/>
    <x v="9"/>
  </r>
  <r>
    <s v="V00355"/>
    <x v="153"/>
    <s v="CL0265"/>
    <s v="Client 099"/>
    <x v="0"/>
    <s v="N'Djamena"/>
    <x v="2"/>
    <x v="10"/>
    <n v="4"/>
    <n v="472500"/>
    <n v="381100"/>
    <x v="3"/>
    <x v="3"/>
    <x v="1"/>
    <s v="Livrée"/>
    <x v="126"/>
    <n v="1524400"/>
    <n v="365600"/>
    <n v="0.19343915343915344"/>
    <x v="11"/>
  </r>
  <r>
    <s v="V00356"/>
    <x v="223"/>
    <s v="CL0221"/>
    <s v="Client 362"/>
    <x v="4"/>
    <s v="Ati"/>
    <x v="2"/>
    <x v="13"/>
    <n v="5"/>
    <n v="160000"/>
    <n v="120000"/>
    <x v="3"/>
    <x v="2"/>
    <x v="1"/>
    <s v="Livrée"/>
    <x v="219"/>
    <n v="600000"/>
    <n v="200000"/>
    <n v="0.25"/>
    <x v="9"/>
  </r>
  <r>
    <s v="V00357"/>
    <x v="142"/>
    <s v="CL0204"/>
    <s v="Client 378"/>
    <x v="0"/>
    <s v="N'Djamena"/>
    <x v="0"/>
    <x v="0"/>
    <n v="6"/>
    <n v="65000"/>
    <n v="43600"/>
    <x v="4"/>
    <x v="0"/>
    <x v="0"/>
    <s v="Annulée"/>
    <x v="118"/>
    <n v="261600"/>
    <n v="128400"/>
    <n v="0.32923076923076922"/>
    <x v="3"/>
  </r>
  <r>
    <s v="V00358"/>
    <x v="224"/>
    <s v="CL0296"/>
    <s v="Client 494"/>
    <x v="7"/>
    <s v="Bol"/>
    <x v="3"/>
    <x v="15"/>
    <n v="9"/>
    <n v="8400"/>
    <n v="5200"/>
    <x v="3"/>
    <x v="3"/>
    <x v="0"/>
    <s v="Livrée"/>
    <x v="220"/>
    <n v="46800"/>
    <n v="28800"/>
    <n v="0.38095238095238093"/>
    <x v="10"/>
  </r>
  <r>
    <s v="V00359"/>
    <x v="28"/>
    <s v="CL0188"/>
    <s v="Client 315"/>
    <x v="6"/>
    <s v="Moundou"/>
    <x v="0"/>
    <x v="11"/>
    <n v="7"/>
    <n v="85000"/>
    <n v="60100"/>
    <x v="1"/>
    <x v="3"/>
    <x v="0"/>
    <s v="Livrée"/>
    <x v="199"/>
    <n v="420700"/>
    <n v="174300"/>
    <n v="0.29294117647058826"/>
    <x v="9"/>
  </r>
  <r>
    <s v="V00360"/>
    <x v="225"/>
    <s v="CL0375"/>
    <s v="Client 424"/>
    <x v="2"/>
    <s v="Doba"/>
    <x v="3"/>
    <x v="8"/>
    <n v="5"/>
    <n v="5700"/>
    <n v="4200"/>
    <x v="0"/>
    <x v="3"/>
    <x v="1"/>
    <s v="Livrée"/>
    <x v="175"/>
    <n v="21000"/>
    <n v="7500"/>
    <n v="0.26315789473684209"/>
    <x v="0"/>
  </r>
  <r>
    <s v="V00361"/>
    <x v="105"/>
    <s v="CL0121"/>
    <s v="Client 196"/>
    <x v="2"/>
    <s v="Doba"/>
    <x v="3"/>
    <x v="15"/>
    <n v="1"/>
    <n v="8000"/>
    <n v="5200"/>
    <x v="2"/>
    <x v="1"/>
    <x v="1"/>
    <s v="En cours"/>
    <x v="221"/>
    <n v="5200"/>
    <n v="2800"/>
    <n v="0.35"/>
    <x v="4"/>
  </r>
  <r>
    <s v="V00362"/>
    <x v="226"/>
    <s v="CL0184"/>
    <s v="Client 310"/>
    <x v="0"/>
    <s v="N'Djamena"/>
    <x v="2"/>
    <x v="13"/>
    <n v="2"/>
    <n v="160000"/>
    <n v="120000"/>
    <x v="7"/>
    <x v="3"/>
    <x v="1"/>
    <s v="Annulée"/>
    <x v="149"/>
    <n v="240000"/>
    <n v="80000"/>
    <n v="0.25"/>
    <x v="6"/>
  </r>
  <r>
    <s v="V00363"/>
    <x v="227"/>
    <s v="CL0098"/>
    <s v="Client 309"/>
    <x v="0"/>
    <s v="N'Djamena"/>
    <x v="3"/>
    <x v="8"/>
    <n v="9"/>
    <n v="6000"/>
    <n v="4300"/>
    <x v="6"/>
    <x v="2"/>
    <x v="1"/>
    <s v="Livrée"/>
    <x v="77"/>
    <n v="38700"/>
    <n v="15300"/>
    <n v="0.28333333333333333"/>
    <x v="3"/>
  </r>
  <r>
    <s v="V00364"/>
    <x v="128"/>
    <s v="CL0369"/>
    <s v="Client 231"/>
    <x v="0"/>
    <s v="N'Djamena"/>
    <x v="3"/>
    <x v="3"/>
    <n v="9"/>
    <n v="14200"/>
    <n v="9800"/>
    <x v="5"/>
    <x v="0"/>
    <x v="2"/>
    <s v="Livrée"/>
    <x v="208"/>
    <n v="88200"/>
    <n v="39600"/>
    <n v="0.30985915492957744"/>
    <x v="6"/>
  </r>
  <r>
    <s v="V00365"/>
    <x v="89"/>
    <s v="CL0493"/>
    <s v="Client 071"/>
    <x v="0"/>
    <s v="N'Djamena"/>
    <x v="2"/>
    <x v="13"/>
    <n v="4"/>
    <n v="160000"/>
    <n v="116400"/>
    <x v="6"/>
    <x v="2"/>
    <x v="0"/>
    <s v="Livrée"/>
    <x v="155"/>
    <n v="465600"/>
    <n v="174400"/>
    <n v="0.27250000000000002"/>
    <x v="9"/>
  </r>
  <r>
    <s v="V00366"/>
    <x v="228"/>
    <s v="CL0196"/>
    <s v="Client 422"/>
    <x v="0"/>
    <s v="N'Djamena"/>
    <x v="1"/>
    <x v="6"/>
    <n v="2"/>
    <n v="12600"/>
    <n v="7300"/>
    <x v="0"/>
    <x v="3"/>
    <x v="2"/>
    <s v="Annulée"/>
    <x v="222"/>
    <n v="14600"/>
    <n v="10600"/>
    <n v="0.42063492063492064"/>
    <x v="10"/>
  </r>
  <r>
    <s v="V00367"/>
    <x v="131"/>
    <s v="CL0207"/>
    <s v="Client 418"/>
    <x v="0"/>
    <s v="N'Djamena"/>
    <x v="1"/>
    <x v="6"/>
    <n v="4"/>
    <n v="11400"/>
    <n v="7700"/>
    <x v="6"/>
    <x v="2"/>
    <x v="0"/>
    <s v="Livrée"/>
    <x v="7"/>
    <n v="30800"/>
    <n v="14800"/>
    <n v="0.32456140350877194"/>
    <x v="1"/>
  </r>
  <r>
    <s v="V00368"/>
    <x v="229"/>
    <s v="CL0262"/>
    <s v="Client 402"/>
    <x v="0"/>
    <s v="N'Djamena"/>
    <x v="2"/>
    <x v="9"/>
    <n v="1"/>
    <n v="180000"/>
    <n v="131000"/>
    <x v="3"/>
    <x v="3"/>
    <x v="0"/>
    <s v="Livrée"/>
    <x v="88"/>
    <n v="131000"/>
    <n v="49000"/>
    <n v="0.2722222222222222"/>
    <x v="7"/>
  </r>
  <r>
    <s v="V00369"/>
    <x v="230"/>
    <s v="CL0120"/>
    <s v="Client 322"/>
    <x v="4"/>
    <s v="Ati"/>
    <x v="2"/>
    <x v="13"/>
    <n v="4"/>
    <n v="160000"/>
    <n v="120000"/>
    <x v="0"/>
    <x v="2"/>
    <x v="1"/>
    <s v="Livrée"/>
    <x v="155"/>
    <n v="480000"/>
    <n v="160000"/>
    <n v="0.25"/>
    <x v="1"/>
  </r>
  <r>
    <s v="V00370"/>
    <x v="179"/>
    <s v="CL0017"/>
    <s v="Client 453"/>
    <x v="4"/>
    <s v="Ati"/>
    <x v="3"/>
    <x v="8"/>
    <n v="6"/>
    <n v="6000"/>
    <n v="4200"/>
    <x v="3"/>
    <x v="1"/>
    <x v="1"/>
    <s v="Livrée"/>
    <x v="193"/>
    <n v="25200"/>
    <n v="10800"/>
    <n v="0.3"/>
    <x v="7"/>
  </r>
  <r>
    <s v="V00371"/>
    <x v="231"/>
    <s v="CL0246"/>
    <s v="Client 125"/>
    <x v="3"/>
    <s v="Mao"/>
    <x v="1"/>
    <x v="12"/>
    <n v="6"/>
    <n v="30000"/>
    <n v="19600"/>
    <x v="4"/>
    <x v="2"/>
    <x v="1"/>
    <s v="Livrée"/>
    <x v="88"/>
    <n v="117600"/>
    <n v="62400"/>
    <n v="0.34666666666666668"/>
    <x v="10"/>
  </r>
  <r>
    <s v="V00372"/>
    <x v="232"/>
    <s v="CL0344"/>
    <s v="Client 036"/>
    <x v="7"/>
    <s v="Bol"/>
    <x v="1"/>
    <x v="18"/>
    <n v="5"/>
    <n v="23800"/>
    <n v="15500"/>
    <x v="4"/>
    <x v="0"/>
    <x v="1"/>
    <s v="Livrée"/>
    <x v="223"/>
    <n v="77500"/>
    <n v="41500"/>
    <n v="0.34873949579831931"/>
    <x v="5"/>
  </r>
  <r>
    <s v="V00373"/>
    <x v="233"/>
    <s v="CL0101"/>
    <s v="Client 034"/>
    <x v="0"/>
    <s v="N'Djamena"/>
    <x v="3"/>
    <x v="15"/>
    <n v="2"/>
    <n v="8400"/>
    <n v="5200"/>
    <x v="7"/>
    <x v="3"/>
    <x v="1"/>
    <s v="Livrée"/>
    <x v="47"/>
    <n v="10400"/>
    <n v="6400"/>
    <n v="0.38095238095238093"/>
    <x v="9"/>
  </r>
  <r>
    <s v="V00374"/>
    <x v="124"/>
    <s v="CL0027"/>
    <s v="Client 102"/>
    <x v="6"/>
    <s v="Moundou"/>
    <x v="2"/>
    <x v="2"/>
    <n v="4"/>
    <n v="55000"/>
    <n v="37800"/>
    <x v="5"/>
    <x v="0"/>
    <x v="0"/>
    <s v="Livrée"/>
    <x v="112"/>
    <n v="151200"/>
    <n v="68800"/>
    <n v="0.31272727272727274"/>
    <x v="5"/>
  </r>
  <r>
    <s v="V00375"/>
    <x v="9"/>
    <s v="CL0037"/>
    <s v="Client 353"/>
    <x v="0"/>
    <s v="N'Djamena"/>
    <x v="2"/>
    <x v="13"/>
    <n v="6"/>
    <n v="160000"/>
    <n v="120000"/>
    <x v="0"/>
    <x v="1"/>
    <x v="2"/>
    <s v="Annulée"/>
    <x v="98"/>
    <n v="720000"/>
    <n v="240000"/>
    <n v="0.25"/>
    <x v="6"/>
  </r>
  <r>
    <s v="V00376"/>
    <x v="233"/>
    <s v="CL0373"/>
    <s v="Client 131"/>
    <x v="6"/>
    <s v="Pala"/>
    <x v="0"/>
    <x v="5"/>
    <n v="3"/>
    <n v="209000"/>
    <n v="160000"/>
    <x v="4"/>
    <x v="1"/>
    <x v="1"/>
    <s v="Livrée"/>
    <x v="224"/>
    <n v="480000"/>
    <n v="147000"/>
    <n v="0.23444976076555024"/>
    <x v="9"/>
  </r>
  <r>
    <s v="V00377"/>
    <x v="234"/>
    <s v="CL0439"/>
    <s v="Client 046"/>
    <x v="1"/>
    <s v="Abéché"/>
    <x v="2"/>
    <x v="10"/>
    <n v="6"/>
    <n v="472500"/>
    <n v="370000"/>
    <x v="7"/>
    <x v="0"/>
    <x v="0"/>
    <s v="Livrée"/>
    <x v="225"/>
    <n v="2220000"/>
    <n v="615000"/>
    <n v="0.21693121693121692"/>
    <x v="11"/>
  </r>
  <r>
    <s v="V00378"/>
    <x v="235"/>
    <s v="CL0247"/>
    <s v="Client 487"/>
    <x v="0"/>
    <s v="N'Djamena"/>
    <x v="3"/>
    <x v="15"/>
    <n v="8"/>
    <n v="7600"/>
    <n v="4800"/>
    <x v="2"/>
    <x v="0"/>
    <x v="2"/>
    <s v="Livrée"/>
    <x v="226"/>
    <n v="38400"/>
    <n v="22400"/>
    <n v="0.36842105263157893"/>
    <x v="4"/>
  </r>
  <r>
    <s v="V00379"/>
    <x v="82"/>
    <s v="CL0385"/>
    <s v="Client 196"/>
    <x v="0"/>
    <s v="N'Djamena"/>
    <x v="0"/>
    <x v="16"/>
    <n v="4"/>
    <n v="133000"/>
    <n v="100000"/>
    <x v="2"/>
    <x v="2"/>
    <x v="0"/>
    <s v="Annulée"/>
    <x v="158"/>
    <n v="400000"/>
    <n v="132000"/>
    <n v="0.24812030075187969"/>
    <x v="11"/>
  </r>
  <r>
    <s v="V00380"/>
    <x v="236"/>
    <s v="CL0010"/>
    <s v="Client 477"/>
    <x v="0"/>
    <s v="N'Djamena"/>
    <x v="2"/>
    <x v="10"/>
    <n v="5"/>
    <n v="427500"/>
    <n v="381100"/>
    <x v="6"/>
    <x v="2"/>
    <x v="0"/>
    <s v="Annulée"/>
    <x v="200"/>
    <n v="1905500"/>
    <n v="232000"/>
    <n v="0.10853801169590643"/>
    <x v="8"/>
  </r>
  <r>
    <s v="V00381"/>
    <x v="21"/>
    <s v="CL0443"/>
    <s v="Client 134"/>
    <x v="0"/>
    <s v="N'Djamena"/>
    <x v="2"/>
    <x v="13"/>
    <n v="1"/>
    <n v="168000"/>
    <n v="123600"/>
    <x v="0"/>
    <x v="1"/>
    <x v="1"/>
    <s v="Livrée"/>
    <x v="197"/>
    <n v="123600"/>
    <n v="44400"/>
    <n v="0.26428571428571429"/>
    <x v="9"/>
  </r>
  <r>
    <s v="V00382"/>
    <x v="233"/>
    <s v="CL0489"/>
    <s v="Client 030"/>
    <x v="4"/>
    <s v="Ati"/>
    <x v="1"/>
    <x v="7"/>
    <n v="9"/>
    <n v="10000"/>
    <n v="6000"/>
    <x v="0"/>
    <x v="3"/>
    <x v="0"/>
    <s v="Livrée"/>
    <x v="185"/>
    <n v="54000"/>
    <n v="36000"/>
    <n v="0.4"/>
    <x v="9"/>
  </r>
  <r>
    <s v="V00383"/>
    <x v="209"/>
    <s v="CL0094"/>
    <s v="Client 048"/>
    <x v="6"/>
    <s v="Pala"/>
    <x v="0"/>
    <x v="5"/>
    <n v="8"/>
    <n v="209000"/>
    <n v="164800"/>
    <x v="0"/>
    <x v="3"/>
    <x v="0"/>
    <s v="En cours"/>
    <x v="82"/>
    <n v="1318400"/>
    <n v="353600"/>
    <n v="0.21148325358851675"/>
    <x v="5"/>
  </r>
  <r>
    <s v="V00384"/>
    <x v="25"/>
    <s v="CL0101"/>
    <s v="Client 334"/>
    <x v="4"/>
    <s v="Ati"/>
    <x v="2"/>
    <x v="10"/>
    <n v="6"/>
    <n v="472500"/>
    <n v="358900"/>
    <x v="0"/>
    <x v="2"/>
    <x v="1"/>
    <s v="Livrée"/>
    <x v="225"/>
    <n v="2153400"/>
    <n v="681600"/>
    <n v="0.24042328042328043"/>
    <x v="3"/>
  </r>
  <r>
    <s v="V00385"/>
    <x v="92"/>
    <s v="CL0094"/>
    <s v="Client 191"/>
    <x v="6"/>
    <s v="Moundou"/>
    <x v="0"/>
    <x v="11"/>
    <n v="10"/>
    <n v="80800"/>
    <n v="62000"/>
    <x v="5"/>
    <x v="2"/>
    <x v="1"/>
    <s v="Livrée"/>
    <x v="227"/>
    <n v="620000"/>
    <n v="188000"/>
    <n v="0.23267326732673269"/>
    <x v="7"/>
  </r>
  <r>
    <s v="V00386"/>
    <x v="237"/>
    <s v="CL0442"/>
    <s v="Client 286"/>
    <x v="7"/>
    <s v="Bol"/>
    <x v="1"/>
    <x v="1"/>
    <n v="7"/>
    <n v="7400"/>
    <n v="3900"/>
    <x v="0"/>
    <x v="0"/>
    <x v="1"/>
    <s v="Livrée"/>
    <x v="228"/>
    <n v="27300"/>
    <n v="24500"/>
    <n v="0.47297297297297297"/>
    <x v="4"/>
  </r>
  <r>
    <s v="V00387"/>
    <x v="238"/>
    <s v="CL0301"/>
    <s v="Client 354"/>
    <x v="2"/>
    <s v="Doba"/>
    <x v="2"/>
    <x v="13"/>
    <n v="10"/>
    <n v="168000"/>
    <n v="120000"/>
    <x v="3"/>
    <x v="3"/>
    <x v="1"/>
    <s v="Livrée"/>
    <x v="170"/>
    <n v="1200000"/>
    <n v="480000"/>
    <n v="0.2857142857142857"/>
    <x v="5"/>
  </r>
  <r>
    <s v="V00388"/>
    <x v="10"/>
    <s v="CL0282"/>
    <s v="Client 469"/>
    <x v="0"/>
    <s v="N'Djamena"/>
    <x v="3"/>
    <x v="3"/>
    <n v="6"/>
    <n v="15800"/>
    <n v="9500"/>
    <x v="2"/>
    <x v="1"/>
    <x v="0"/>
    <s v="En cours"/>
    <x v="71"/>
    <n v="57000"/>
    <n v="37800"/>
    <n v="0.39873417721518989"/>
    <x v="1"/>
  </r>
  <r>
    <s v="V00389"/>
    <x v="206"/>
    <s v="CL0214"/>
    <s v="Client 282"/>
    <x v="1"/>
    <s v="Abéché"/>
    <x v="3"/>
    <x v="17"/>
    <n v="5"/>
    <n v="18000"/>
    <n v="12500"/>
    <x v="7"/>
    <x v="3"/>
    <x v="0"/>
    <s v="Livrée"/>
    <x v="185"/>
    <n v="62500"/>
    <n v="27500"/>
    <n v="0.30555555555555558"/>
    <x v="11"/>
  </r>
  <r>
    <s v="V00390"/>
    <x v="87"/>
    <s v="CL0428"/>
    <s v="Client 060"/>
    <x v="6"/>
    <s v="Pala"/>
    <x v="0"/>
    <x v="11"/>
    <n v="2"/>
    <n v="85000"/>
    <n v="63900"/>
    <x v="2"/>
    <x v="2"/>
    <x v="1"/>
    <s v="Livrée"/>
    <x v="121"/>
    <n v="127800"/>
    <n v="42200"/>
    <n v="0.24823529411764705"/>
    <x v="1"/>
  </r>
  <r>
    <s v="V00391"/>
    <x v="136"/>
    <s v="CL0258"/>
    <s v="Client 366"/>
    <x v="0"/>
    <s v="N'Djamena"/>
    <x v="2"/>
    <x v="9"/>
    <n v="2"/>
    <n v="171000"/>
    <n v="139000"/>
    <x v="1"/>
    <x v="0"/>
    <x v="2"/>
    <s v="Livrée"/>
    <x v="135"/>
    <n v="278000"/>
    <n v="64000"/>
    <n v="0.1871345029239766"/>
    <x v="7"/>
  </r>
  <r>
    <s v="V00392"/>
    <x v="239"/>
    <s v="CL0388"/>
    <s v="Client 453"/>
    <x v="5"/>
    <s v="Massaguet"/>
    <x v="3"/>
    <x v="8"/>
    <n v="7"/>
    <n v="6000"/>
    <n v="4200"/>
    <x v="7"/>
    <x v="3"/>
    <x v="1"/>
    <s v="Livrée"/>
    <x v="125"/>
    <n v="29400"/>
    <n v="12600"/>
    <n v="0.3"/>
    <x v="2"/>
  </r>
  <r>
    <s v="V00393"/>
    <x v="240"/>
    <s v="CL0382"/>
    <s v="Client 296"/>
    <x v="0"/>
    <s v="N'Djamena"/>
    <x v="1"/>
    <x v="18"/>
    <n v="1"/>
    <n v="23800"/>
    <n v="16000"/>
    <x v="7"/>
    <x v="1"/>
    <x v="0"/>
    <s v="Livrée"/>
    <x v="229"/>
    <n v="16000"/>
    <n v="7800"/>
    <n v="0.32773109243697479"/>
    <x v="9"/>
  </r>
  <r>
    <s v="V00394"/>
    <x v="63"/>
    <s v="CL0176"/>
    <s v="Client 239"/>
    <x v="6"/>
    <s v="Pala"/>
    <x v="3"/>
    <x v="4"/>
    <n v="4"/>
    <n v="9000"/>
    <n v="6000"/>
    <x v="7"/>
    <x v="2"/>
    <x v="1"/>
    <s v="Annulée"/>
    <x v="193"/>
    <n v="24000"/>
    <n v="12000"/>
    <n v="0.33333333333333331"/>
    <x v="11"/>
  </r>
  <r>
    <s v="V00395"/>
    <x v="241"/>
    <s v="CL0288"/>
    <s v="Client 333"/>
    <x v="0"/>
    <s v="N'Djamena"/>
    <x v="1"/>
    <x v="6"/>
    <n v="3"/>
    <n v="12600"/>
    <n v="7300"/>
    <x v="2"/>
    <x v="2"/>
    <x v="0"/>
    <s v="Annulée"/>
    <x v="58"/>
    <n v="21900"/>
    <n v="15900"/>
    <n v="0.42063492063492064"/>
    <x v="2"/>
  </r>
  <r>
    <s v="V00396"/>
    <x v="242"/>
    <s v="CL0006"/>
    <s v="Client 262"/>
    <x v="3"/>
    <s v="Mao"/>
    <x v="3"/>
    <x v="17"/>
    <n v="7"/>
    <n v="17100"/>
    <n v="12100"/>
    <x v="2"/>
    <x v="2"/>
    <x v="0"/>
    <s v="Livrée"/>
    <x v="230"/>
    <n v="84700"/>
    <n v="35000"/>
    <n v="0.29239766081871343"/>
    <x v="11"/>
  </r>
  <r>
    <s v="V00397"/>
    <x v="160"/>
    <s v="CL0083"/>
    <s v="Client 164"/>
    <x v="2"/>
    <s v="Doba"/>
    <x v="0"/>
    <x v="5"/>
    <n v="8"/>
    <n v="220000"/>
    <n v="155200"/>
    <x v="6"/>
    <x v="2"/>
    <x v="2"/>
    <s v="En cours"/>
    <x v="231"/>
    <n v="1241600"/>
    <n v="518400"/>
    <n v="0.29454545454545455"/>
    <x v="11"/>
  </r>
  <r>
    <s v="V00398"/>
    <x v="243"/>
    <s v="CL0347"/>
    <s v="Client 296"/>
    <x v="0"/>
    <s v="N'Djamena"/>
    <x v="0"/>
    <x v="0"/>
    <n v="3"/>
    <n v="61800"/>
    <n v="45000"/>
    <x v="4"/>
    <x v="2"/>
    <x v="1"/>
    <s v="Livrée"/>
    <x v="183"/>
    <n v="135000"/>
    <n v="50400"/>
    <n v="0.27184466019417475"/>
    <x v="10"/>
  </r>
  <r>
    <s v="V00399"/>
    <x v="1"/>
    <s v="CL0056"/>
    <s v="Client 018"/>
    <x v="0"/>
    <s v="N'Djamena"/>
    <x v="3"/>
    <x v="4"/>
    <n v="7"/>
    <n v="8600"/>
    <n v="6000"/>
    <x v="2"/>
    <x v="3"/>
    <x v="1"/>
    <s v="Livrée"/>
    <x v="67"/>
    <n v="42000"/>
    <n v="18200"/>
    <n v="0.30232558139534882"/>
    <x v="1"/>
  </r>
  <r>
    <s v="V00400"/>
    <x v="119"/>
    <s v="CL0227"/>
    <s v="Client 376"/>
    <x v="5"/>
    <s v="Massaguet"/>
    <x v="2"/>
    <x v="2"/>
    <n v="1"/>
    <n v="55000"/>
    <n v="39000"/>
    <x v="1"/>
    <x v="0"/>
    <x v="1"/>
    <s v="Annulée"/>
    <x v="2"/>
    <n v="39000"/>
    <n v="16000"/>
    <n v="0.29090909090909089"/>
    <x v="8"/>
  </r>
  <r>
    <s v="V00401"/>
    <x v="72"/>
    <s v="CL0469"/>
    <s v="Client 238"/>
    <x v="0"/>
    <s v="N'Djamena"/>
    <x v="2"/>
    <x v="2"/>
    <n v="2"/>
    <n v="57800"/>
    <n v="40200"/>
    <x v="7"/>
    <x v="3"/>
    <x v="2"/>
    <s v="Livrée"/>
    <x v="232"/>
    <n v="80400"/>
    <n v="35200"/>
    <n v="0.30449826989619377"/>
    <x v="2"/>
  </r>
  <r>
    <s v="V00402"/>
    <x v="244"/>
    <s v="CL0381"/>
    <s v="Client 387"/>
    <x v="0"/>
    <s v="N'Djamena"/>
    <x v="2"/>
    <x v="13"/>
    <n v="7"/>
    <n v="160000"/>
    <n v="120000"/>
    <x v="3"/>
    <x v="3"/>
    <x v="0"/>
    <s v="Livrée"/>
    <x v="30"/>
    <n v="840000"/>
    <n v="280000"/>
    <n v="0.25"/>
    <x v="10"/>
  </r>
  <r>
    <s v="V00403"/>
    <x v="205"/>
    <s v="CL0369"/>
    <s v="Client 466"/>
    <x v="1"/>
    <s v="Abéché"/>
    <x v="1"/>
    <x v="12"/>
    <n v="5"/>
    <n v="30000"/>
    <n v="18400"/>
    <x v="7"/>
    <x v="2"/>
    <x v="1"/>
    <s v="Livrée"/>
    <x v="145"/>
    <n v="92000"/>
    <n v="58000"/>
    <n v="0.38666666666666666"/>
    <x v="4"/>
  </r>
  <r>
    <s v="V00404"/>
    <x v="245"/>
    <s v="CL0260"/>
    <s v="Client 253"/>
    <x v="3"/>
    <s v="Mao"/>
    <x v="2"/>
    <x v="2"/>
    <n v="8"/>
    <n v="57800"/>
    <n v="37800"/>
    <x v="5"/>
    <x v="1"/>
    <x v="1"/>
    <s v="Livrée"/>
    <x v="233"/>
    <n v="302400"/>
    <n v="160000"/>
    <n v="0.34602076124567471"/>
    <x v="1"/>
  </r>
  <r>
    <s v="V00405"/>
    <x v="246"/>
    <s v="CL0342"/>
    <s v="Client 279"/>
    <x v="0"/>
    <s v="N'Djamena"/>
    <x v="2"/>
    <x v="14"/>
    <n v="5"/>
    <n v="99800"/>
    <n v="70000"/>
    <x v="5"/>
    <x v="3"/>
    <x v="1"/>
    <s v="Livrée"/>
    <x v="234"/>
    <n v="350000"/>
    <n v="149000"/>
    <n v="0.29859719438877758"/>
    <x v="7"/>
  </r>
  <r>
    <s v="V00406"/>
    <x v="236"/>
    <s v="CL0406"/>
    <s v="Client 001"/>
    <x v="0"/>
    <s v="N'Djamena"/>
    <x v="2"/>
    <x v="2"/>
    <n v="10"/>
    <n v="52200"/>
    <n v="40200"/>
    <x v="4"/>
    <x v="3"/>
    <x v="1"/>
    <s v="Livrée"/>
    <x v="235"/>
    <n v="402000"/>
    <n v="120000"/>
    <n v="0.22988505747126436"/>
    <x v="8"/>
  </r>
  <r>
    <s v="V00407"/>
    <x v="197"/>
    <s v="CL0430"/>
    <s v="Client 454"/>
    <x v="3"/>
    <s v="Mao"/>
    <x v="3"/>
    <x v="3"/>
    <n v="8"/>
    <n v="15000"/>
    <n v="9800"/>
    <x v="4"/>
    <x v="2"/>
    <x v="0"/>
    <s v="Livrée"/>
    <x v="95"/>
    <n v="78400"/>
    <n v="41600"/>
    <n v="0.34666666666666668"/>
    <x v="5"/>
  </r>
  <r>
    <s v="V00408"/>
    <x v="196"/>
    <s v="CL0412"/>
    <s v="Client 212"/>
    <x v="0"/>
    <s v="N'Djamena"/>
    <x v="0"/>
    <x v="16"/>
    <n v="1"/>
    <n v="147000"/>
    <n v="97000"/>
    <x v="4"/>
    <x v="0"/>
    <x v="1"/>
    <s v="Livrée"/>
    <x v="236"/>
    <n v="97000"/>
    <n v="50000"/>
    <n v="0.3401360544217687"/>
    <x v="11"/>
  </r>
  <r>
    <s v="V00409"/>
    <x v="66"/>
    <s v="CL0019"/>
    <s v="Client 208"/>
    <x v="5"/>
    <s v="Massaguet"/>
    <x v="1"/>
    <x v="6"/>
    <n v="6"/>
    <n v="11400"/>
    <n v="7300"/>
    <x v="7"/>
    <x v="2"/>
    <x v="0"/>
    <s v="Livrée"/>
    <x v="237"/>
    <n v="43800"/>
    <n v="24600"/>
    <n v="0.35964912280701755"/>
    <x v="5"/>
  </r>
  <r>
    <s v="V00410"/>
    <x v="222"/>
    <s v="CL0058"/>
    <s v="Client 068"/>
    <x v="4"/>
    <s v="Ati"/>
    <x v="3"/>
    <x v="15"/>
    <n v="6"/>
    <n v="7600"/>
    <n v="5200"/>
    <x v="4"/>
    <x v="0"/>
    <x v="1"/>
    <s v="Livrée"/>
    <x v="7"/>
    <n v="31200"/>
    <n v="14400"/>
    <n v="0.31578947368421051"/>
    <x v="10"/>
  </r>
  <r>
    <s v="V00411"/>
    <x v="247"/>
    <s v="CL0298"/>
    <s v="Client 319"/>
    <x v="0"/>
    <s v="N'Djamena"/>
    <x v="3"/>
    <x v="3"/>
    <n v="8"/>
    <n v="15800"/>
    <n v="9800"/>
    <x v="5"/>
    <x v="1"/>
    <x v="0"/>
    <s v="Livrée"/>
    <x v="238"/>
    <n v="78400"/>
    <n v="48000"/>
    <n v="0.379746835443038"/>
    <x v="0"/>
  </r>
  <r>
    <s v="V00412"/>
    <x v="248"/>
    <s v="CL0456"/>
    <s v="Client 147"/>
    <x v="5"/>
    <s v="Massaguet"/>
    <x v="2"/>
    <x v="14"/>
    <n v="8"/>
    <n v="95000"/>
    <n v="70000"/>
    <x v="1"/>
    <x v="1"/>
    <x v="1"/>
    <s v="Livrée"/>
    <x v="122"/>
    <n v="560000"/>
    <n v="200000"/>
    <n v="0.26315789473684209"/>
    <x v="2"/>
  </r>
  <r>
    <s v="V00413"/>
    <x v="5"/>
    <s v="CL0185"/>
    <s v="Client 172"/>
    <x v="6"/>
    <s v="Moundou"/>
    <x v="2"/>
    <x v="2"/>
    <n v="2"/>
    <n v="57800"/>
    <n v="37800"/>
    <x v="0"/>
    <x v="2"/>
    <x v="1"/>
    <s v="En cours"/>
    <x v="232"/>
    <n v="75600"/>
    <n v="40000"/>
    <n v="0.34602076124567471"/>
    <x v="5"/>
  </r>
  <r>
    <s v="V00414"/>
    <x v="249"/>
    <s v="CL0461"/>
    <s v="Client 168"/>
    <x v="0"/>
    <s v="N'Djamena"/>
    <x v="3"/>
    <x v="8"/>
    <n v="9"/>
    <n v="6300"/>
    <n v="4300"/>
    <x v="6"/>
    <x v="3"/>
    <x v="1"/>
    <s v="En cours"/>
    <x v="45"/>
    <n v="38700"/>
    <n v="18000"/>
    <n v="0.31746031746031744"/>
    <x v="5"/>
  </r>
  <r>
    <s v="V00415"/>
    <x v="250"/>
    <s v="CL0241"/>
    <s v="Client 094"/>
    <x v="1"/>
    <s v="Abéché"/>
    <x v="1"/>
    <x v="12"/>
    <n v="6"/>
    <n v="28500"/>
    <n v="19600"/>
    <x v="7"/>
    <x v="3"/>
    <x v="0"/>
    <s v="Annulée"/>
    <x v="106"/>
    <n v="117600"/>
    <n v="53400"/>
    <n v="0.31228070175438599"/>
    <x v="4"/>
  </r>
  <r>
    <s v="V00416"/>
    <x v="174"/>
    <s v="CL0135"/>
    <s v="Client 356"/>
    <x v="7"/>
    <s v="Bol"/>
    <x v="1"/>
    <x v="18"/>
    <n v="3"/>
    <n v="25000"/>
    <n v="15500"/>
    <x v="6"/>
    <x v="1"/>
    <x v="1"/>
    <s v="Livrée"/>
    <x v="81"/>
    <n v="46500"/>
    <n v="28500"/>
    <n v="0.38"/>
    <x v="5"/>
  </r>
  <r>
    <s v="V00417"/>
    <x v="60"/>
    <s v="CL0246"/>
    <s v="Client 324"/>
    <x v="7"/>
    <s v="Bol"/>
    <x v="3"/>
    <x v="15"/>
    <n v="10"/>
    <n v="8400"/>
    <n v="4800"/>
    <x v="4"/>
    <x v="1"/>
    <x v="0"/>
    <s v="Livrée"/>
    <x v="37"/>
    <n v="48000"/>
    <n v="36000"/>
    <n v="0.42857142857142855"/>
    <x v="4"/>
  </r>
  <r>
    <s v="V00418"/>
    <x v="251"/>
    <s v="CL0037"/>
    <s v="Client 036"/>
    <x v="0"/>
    <s v="N'Djamena"/>
    <x v="1"/>
    <x v="7"/>
    <n v="3"/>
    <n v="10000"/>
    <n v="6400"/>
    <x v="5"/>
    <x v="2"/>
    <x v="0"/>
    <s v="Livrée"/>
    <x v="5"/>
    <n v="19200"/>
    <n v="10800"/>
    <n v="0.36"/>
    <x v="0"/>
  </r>
  <r>
    <s v="V00419"/>
    <x v="166"/>
    <s v="CL0493"/>
    <s v="Client 069"/>
    <x v="6"/>
    <s v="Moundou"/>
    <x v="3"/>
    <x v="3"/>
    <n v="3"/>
    <n v="14200"/>
    <n v="9200"/>
    <x v="3"/>
    <x v="1"/>
    <x v="0"/>
    <s v="Livrée"/>
    <x v="239"/>
    <n v="27600"/>
    <n v="15000"/>
    <n v="0.352112676056338"/>
    <x v="1"/>
  </r>
  <r>
    <s v="V00420"/>
    <x v="212"/>
    <s v="CL0080"/>
    <s v="Client 399"/>
    <x v="3"/>
    <s v="Mao"/>
    <x v="2"/>
    <x v="13"/>
    <n v="8"/>
    <n v="168000"/>
    <n v="116400"/>
    <x v="0"/>
    <x v="2"/>
    <x v="0"/>
    <s v="Annulée"/>
    <x v="240"/>
    <n v="931200"/>
    <n v="412800"/>
    <n v="0.30714285714285716"/>
    <x v="6"/>
  </r>
  <r>
    <s v="V00421"/>
    <x v="207"/>
    <s v="CL0428"/>
    <s v="Client 060"/>
    <x v="6"/>
    <s v="Pala"/>
    <x v="3"/>
    <x v="8"/>
    <n v="9"/>
    <n v="6000"/>
    <n v="4200"/>
    <x v="7"/>
    <x v="0"/>
    <x v="0"/>
    <s v="En cours"/>
    <x v="77"/>
    <n v="37800"/>
    <n v="16200"/>
    <n v="0.3"/>
    <x v="4"/>
  </r>
  <r>
    <s v="V00422"/>
    <x v="252"/>
    <s v="CL0035"/>
    <s v="Client 470"/>
    <x v="0"/>
    <s v="N'Djamena"/>
    <x v="3"/>
    <x v="8"/>
    <n v="5"/>
    <n v="6000"/>
    <n v="4100"/>
    <x v="6"/>
    <x v="2"/>
    <x v="0"/>
    <s v="Livrée"/>
    <x v="5"/>
    <n v="20500"/>
    <n v="9500"/>
    <n v="0.31666666666666665"/>
    <x v="9"/>
  </r>
  <r>
    <s v="V00423"/>
    <x v="63"/>
    <s v="CL0273"/>
    <s v="Client 144"/>
    <x v="1"/>
    <s v="Abéché"/>
    <x v="3"/>
    <x v="8"/>
    <n v="8"/>
    <n v="6000"/>
    <n v="4300"/>
    <x v="4"/>
    <x v="2"/>
    <x v="1"/>
    <s v="Livrée"/>
    <x v="36"/>
    <n v="34400"/>
    <n v="13600"/>
    <n v="0.28333333333333333"/>
    <x v="11"/>
  </r>
  <r>
    <s v="V00424"/>
    <x v="54"/>
    <s v="CL0063"/>
    <s v="Client 422"/>
    <x v="1"/>
    <s v="Abéché"/>
    <x v="2"/>
    <x v="13"/>
    <n v="2"/>
    <n v="160000"/>
    <n v="120000"/>
    <x v="7"/>
    <x v="3"/>
    <x v="0"/>
    <s v="Livrée"/>
    <x v="149"/>
    <n v="240000"/>
    <n v="80000"/>
    <n v="0.25"/>
    <x v="8"/>
  </r>
  <r>
    <s v="V00425"/>
    <x v="253"/>
    <s v="CL0156"/>
    <s v="Client 446"/>
    <x v="0"/>
    <s v="N'Djamena"/>
    <x v="3"/>
    <x v="17"/>
    <n v="7"/>
    <n v="17100"/>
    <n v="12500"/>
    <x v="1"/>
    <x v="3"/>
    <x v="1"/>
    <s v="Livrée"/>
    <x v="230"/>
    <n v="87500"/>
    <n v="32200"/>
    <n v="0.26900584795321636"/>
    <x v="4"/>
  </r>
  <r>
    <s v="V00426"/>
    <x v="254"/>
    <s v="CL0332"/>
    <s v="Client 399"/>
    <x v="5"/>
    <s v="Massaguet"/>
    <x v="1"/>
    <x v="1"/>
    <n v="5"/>
    <n v="7000"/>
    <n v="4100"/>
    <x v="1"/>
    <x v="0"/>
    <x v="2"/>
    <s v="En cours"/>
    <x v="241"/>
    <n v="20500"/>
    <n v="14500"/>
    <n v="0.41428571428571431"/>
    <x v="8"/>
  </r>
  <r>
    <s v="V00427"/>
    <x v="255"/>
    <s v="CL0210"/>
    <s v="Client 470"/>
    <x v="2"/>
    <s v="Doba"/>
    <x v="3"/>
    <x v="15"/>
    <n v="8"/>
    <n v="8400"/>
    <n v="5000"/>
    <x v="4"/>
    <x v="3"/>
    <x v="2"/>
    <s v="Livrée"/>
    <x v="242"/>
    <n v="40000"/>
    <n v="27200"/>
    <n v="0.40476190476190477"/>
    <x v="5"/>
  </r>
  <r>
    <s v="V00428"/>
    <x v="256"/>
    <s v="CL0181"/>
    <s v="Client 183"/>
    <x v="2"/>
    <s v="Doba"/>
    <x v="3"/>
    <x v="17"/>
    <n v="4"/>
    <n v="18000"/>
    <n v="12900"/>
    <x v="1"/>
    <x v="1"/>
    <x v="0"/>
    <s v="Livrée"/>
    <x v="196"/>
    <n v="51600"/>
    <n v="20400"/>
    <n v="0.28333333333333333"/>
    <x v="10"/>
  </r>
  <r>
    <s v="V00429"/>
    <x v="257"/>
    <s v="CL0437"/>
    <s v="Client 123"/>
    <x v="2"/>
    <s v="Doba"/>
    <x v="3"/>
    <x v="4"/>
    <n v="8"/>
    <n v="9000"/>
    <n v="5600"/>
    <x v="4"/>
    <x v="1"/>
    <x v="1"/>
    <s v="En cours"/>
    <x v="196"/>
    <n v="44800"/>
    <n v="27200"/>
    <n v="0.37777777777777777"/>
    <x v="5"/>
  </r>
  <r>
    <s v="V00430"/>
    <x v="258"/>
    <s v="CL0331"/>
    <s v="Client 129"/>
    <x v="5"/>
    <s v="Massaguet"/>
    <x v="3"/>
    <x v="15"/>
    <n v="6"/>
    <n v="7600"/>
    <n v="5200"/>
    <x v="4"/>
    <x v="1"/>
    <x v="2"/>
    <s v="Annulée"/>
    <x v="7"/>
    <n v="31200"/>
    <n v="14400"/>
    <n v="0.31578947368421051"/>
    <x v="11"/>
  </r>
  <r>
    <s v="V00431"/>
    <x v="183"/>
    <s v="CL0443"/>
    <s v="Client 242"/>
    <x v="0"/>
    <s v="N'Djamena"/>
    <x v="3"/>
    <x v="17"/>
    <n v="1"/>
    <n v="17100"/>
    <n v="12500"/>
    <x v="5"/>
    <x v="3"/>
    <x v="0"/>
    <s v="Annulée"/>
    <x v="38"/>
    <n v="12500"/>
    <n v="4600"/>
    <n v="0.26900584795321636"/>
    <x v="7"/>
  </r>
  <r>
    <s v="V00432"/>
    <x v="138"/>
    <s v="CL0028"/>
    <s v="Client 333"/>
    <x v="6"/>
    <s v="Moundou"/>
    <x v="2"/>
    <x v="9"/>
    <n v="10"/>
    <n v="180000"/>
    <n v="131000"/>
    <x v="1"/>
    <x v="3"/>
    <x v="1"/>
    <s v="En cours"/>
    <x v="139"/>
    <n v="1310000"/>
    <n v="490000"/>
    <n v="0.2722222222222222"/>
    <x v="6"/>
  </r>
  <r>
    <s v="V00433"/>
    <x v="6"/>
    <s v="CL0109"/>
    <s v="Client 287"/>
    <x v="0"/>
    <s v="N'Djamena"/>
    <x v="2"/>
    <x v="10"/>
    <n v="3"/>
    <n v="450000"/>
    <n v="370000"/>
    <x v="1"/>
    <x v="3"/>
    <x v="1"/>
    <s v="Livrée"/>
    <x v="113"/>
    <n v="1110000"/>
    <n v="240000"/>
    <n v="0.17777777777777778"/>
    <x v="2"/>
  </r>
  <r>
    <s v="V00434"/>
    <x v="156"/>
    <s v="CL0169"/>
    <s v="Client 205"/>
    <x v="0"/>
    <s v="N'Djamena"/>
    <x v="2"/>
    <x v="14"/>
    <n v="1"/>
    <n v="90200"/>
    <n v="70000"/>
    <x v="2"/>
    <x v="0"/>
    <x v="2"/>
    <s v="Livrée"/>
    <x v="59"/>
    <n v="70000"/>
    <n v="20200"/>
    <n v="0.22394678492239467"/>
    <x v="8"/>
  </r>
  <r>
    <s v="V00435"/>
    <x v="259"/>
    <s v="CL0280"/>
    <s v="Client 144"/>
    <x v="0"/>
    <s v="N'Djamena"/>
    <x v="2"/>
    <x v="9"/>
    <n v="6"/>
    <n v="180000"/>
    <n v="131000"/>
    <x v="7"/>
    <x v="3"/>
    <x v="0"/>
    <s v="Annulée"/>
    <x v="243"/>
    <n v="786000"/>
    <n v="294000"/>
    <n v="0.2722222222222222"/>
    <x v="5"/>
  </r>
  <r>
    <s v="V00436"/>
    <x v="82"/>
    <s v="CL0214"/>
    <s v="Client 370"/>
    <x v="6"/>
    <s v="Moundou"/>
    <x v="0"/>
    <x v="16"/>
    <n v="1"/>
    <n v="140000"/>
    <n v="97000"/>
    <x v="3"/>
    <x v="1"/>
    <x v="0"/>
    <s v="Livrée"/>
    <x v="87"/>
    <n v="97000"/>
    <n v="43000"/>
    <n v="0.30714285714285716"/>
    <x v="11"/>
  </r>
  <r>
    <s v="V00437"/>
    <x v="260"/>
    <s v="CL0431"/>
    <s v="Client 004"/>
    <x v="1"/>
    <s v="Abéché"/>
    <x v="1"/>
    <x v="18"/>
    <n v="6"/>
    <n v="25000"/>
    <n v="16000"/>
    <x v="0"/>
    <x v="2"/>
    <x v="0"/>
    <s v="Livrée"/>
    <x v="145"/>
    <n v="96000"/>
    <n v="54000"/>
    <n v="0.36"/>
    <x v="11"/>
  </r>
  <r>
    <s v="V00438"/>
    <x v="91"/>
    <s v="CL0311"/>
    <s v="Client 237"/>
    <x v="4"/>
    <s v="Ati"/>
    <x v="2"/>
    <x v="2"/>
    <n v="9"/>
    <n v="55000"/>
    <n v="40200"/>
    <x v="5"/>
    <x v="3"/>
    <x v="1"/>
    <s v="Livrée"/>
    <x v="48"/>
    <n v="361800"/>
    <n v="133200"/>
    <n v="0.2690909090909091"/>
    <x v="3"/>
  </r>
  <r>
    <s v="V00439"/>
    <x v="229"/>
    <s v="CL0202"/>
    <s v="Client 309"/>
    <x v="2"/>
    <s v="Doba"/>
    <x v="3"/>
    <x v="17"/>
    <n v="6"/>
    <n v="18900"/>
    <n v="12900"/>
    <x v="3"/>
    <x v="3"/>
    <x v="0"/>
    <s v="En cours"/>
    <x v="244"/>
    <n v="77400"/>
    <n v="36000"/>
    <n v="0.31746031746031744"/>
    <x v="7"/>
  </r>
  <r>
    <s v="V00440"/>
    <x v="261"/>
    <s v="CL0286"/>
    <s v="Client 307"/>
    <x v="0"/>
    <s v="N'Djamena"/>
    <x v="3"/>
    <x v="8"/>
    <n v="3"/>
    <n v="6000"/>
    <n v="4300"/>
    <x v="6"/>
    <x v="3"/>
    <x v="0"/>
    <s v="En cours"/>
    <x v="213"/>
    <n v="12900"/>
    <n v="5100"/>
    <n v="0.28333333333333333"/>
    <x v="7"/>
  </r>
  <r>
    <s v="V00441"/>
    <x v="262"/>
    <s v="CL0178"/>
    <s v="Client 233"/>
    <x v="2"/>
    <s v="Doba"/>
    <x v="3"/>
    <x v="17"/>
    <n v="3"/>
    <n v="17100"/>
    <n v="12900"/>
    <x v="4"/>
    <x v="3"/>
    <x v="1"/>
    <s v="Livrée"/>
    <x v="215"/>
    <n v="38700"/>
    <n v="12600"/>
    <n v="0.24561403508771928"/>
    <x v="6"/>
  </r>
  <r>
    <s v="V00442"/>
    <x v="243"/>
    <s v="CL0165"/>
    <s v="Client 382"/>
    <x v="1"/>
    <s v="Abéché"/>
    <x v="2"/>
    <x v="14"/>
    <n v="3"/>
    <n v="99800"/>
    <n v="70000"/>
    <x v="5"/>
    <x v="3"/>
    <x v="1"/>
    <s v="Annulée"/>
    <x v="245"/>
    <n v="210000"/>
    <n v="89400"/>
    <n v="0.29859719438877758"/>
    <x v="10"/>
  </r>
  <r>
    <s v="V00443"/>
    <x v="84"/>
    <s v="CL0374"/>
    <s v="Client 300"/>
    <x v="2"/>
    <s v="Doba"/>
    <x v="3"/>
    <x v="8"/>
    <n v="6"/>
    <n v="5700"/>
    <n v="4200"/>
    <x v="0"/>
    <x v="0"/>
    <x v="1"/>
    <s v="Livrée"/>
    <x v="246"/>
    <n v="25200"/>
    <n v="9000"/>
    <n v="0.26315789473684209"/>
    <x v="7"/>
  </r>
  <r>
    <s v="V00444"/>
    <x v="12"/>
    <s v="CL0340"/>
    <s v="Client 114"/>
    <x v="0"/>
    <s v="N'Djamena"/>
    <x v="3"/>
    <x v="3"/>
    <n v="10"/>
    <n v="14200"/>
    <n v="9200"/>
    <x v="1"/>
    <x v="2"/>
    <x v="1"/>
    <s v="En cours"/>
    <x v="3"/>
    <n v="92000"/>
    <n v="50000"/>
    <n v="0.352112676056338"/>
    <x v="7"/>
  </r>
  <r>
    <s v="V00445"/>
    <x v="22"/>
    <s v="CL0130"/>
    <s v="Client 214"/>
    <x v="5"/>
    <s v="Massaguet"/>
    <x v="2"/>
    <x v="13"/>
    <n v="7"/>
    <n v="168000"/>
    <n v="116400"/>
    <x v="2"/>
    <x v="3"/>
    <x v="0"/>
    <s v="Livrée"/>
    <x v="117"/>
    <n v="814800"/>
    <n v="361200"/>
    <n v="0.30714285714285716"/>
    <x v="4"/>
  </r>
  <r>
    <s v="V00446"/>
    <x v="263"/>
    <s v="CL0354"/>
    <s v="Client 048"/>
    <x v="2"/>
    <s v="Doba"/>
    <x v="2"/>
    <x v="14"/>
    <n v="4"/>
    <n v="90200"/>
    <n v="70000"/>
    <x v="1"/>
    <x v="3"/>
    <x v="1"/>
    <s v="Livrée"/>
    <x v="203"/>
    <n v="280000"/>
    <n v="80800"/>
    <n v="0.22394678492239467"/>
    <x v="10"/>
  </r>
  <r>
    <s v="V00447"/>
    <x v="50"/>
    <s v="CL0377"/>
    <s v="Client 066"/>
    <x v="4"/>
    <s v="Ati"/>
    <x v="2"/>
    <x v="9"/>
    <n v="10"/>
    <n v="180000"/>
    <n v="131000"/>
    <x v="5"/>
    <x v="2"/>
    <x v="1"/>
    <s v="Livrée"/>
    <x v="139"/>
    <n v="1310000"/>
    <n v="490000"/>
    <n v="0.2722222222222222"/>
    <x v="2"/>
  </r>
  <r>
    <s v="V00448"/>
    <x v="49"/>
    <s v="CL0156"/>
    <s v="Client 391"/>
    <x v="0"/>
    <s v="N'Djamena"/>
    <x v="2"/>
    <x v="10"/>
    <n v="6"/>
    <n v="472500"/>
    <n v="358900"/>
    <x v="6"/>
    <x v="2"/>
    <x v="0"/>
    <s v="Annulée"/>
    <x v="225"/>
    <n v="2153400"/>
    <n v="681600"/>
    <n v="0.24042328042328043"/>
    <x v="11"/>
  </r>
  <r>
    <s v="V00449"/>
    <x v="38"/>
    <s v="CL0353"/>
    <s v="Client 318"/>
    <x v="1"/>
    <s v="Abéché"/>
    <x v="0"/>
    <x v="11"/>
    <n v="2"/>
    <n v="85000"/>
    <n v="63900"/>
    <x v="5"/>
    <x v="1"/>
    <x v="1"/>
    <s v="En cours"/>
    <x v="121"/>
    <n v="127800"/>
    <n v="42200"/>
    <n v="0.24823529411764705"/>
    <x v="2"/>
  </r>
  <r>
    <s v="V00450"/>
    <x v="24"/>
    <s v="CL0346"/>
    <s v="Client 055"/>
    <x v="6"/>
    <s v="Pala"/>
    <x v="2"/>
    <x v="2"/>
    <n v="6"/>
    <n v="57800"/>
    <n v="40200"/>
    <x v="7"/>
    <x v="2"/>
    <x v="2"/>
    <s v="Livrée"/>
    <x v="247"/>
    <n v="241200"/>
    <n v="105600"/>
    <n v="0.30449826989619377"/>
    <x v="1"/>
  </r>
  <r>
    <s v="V00451"/>
    <x v="24"/>
    <s v="CL0310"/>
    <s v="Client 128"/>
    <x v="6"/>
    <s v="Moundou"/>
    <x v="2"/>
    <x v="9"/>
    <n v="2"/>
    <n v="189000"/>
    <n v="131000"/>
    <x v="4"/>
    <x v="2"/>
    <x v="2"/>
    <s v="Livrée"/>
    <x v="187"/>
    <n v="262000"/>
    <n v="116000"/>
    <n v="0.30687830687830686"/>
    <x v="1"/>
  </r>
  <r>
    <s v="V00452"/>
    <x v="165"/>
    <s v="CL0185"/>
    <s v="Client 478"/>
    <x v="5"/>
    <s v="Massaguet"/>
    <x v="2"/>
    <x v="9"/>
    <n v="1"/>
    <n v="189000"/>
    <n v="135000"/>
    <x v="3"/>
    <x v="3"/>
    <x v="2"/>
    <s v="En cours"/>
    <x v="162"/>
    <n v="135000"/>
    <n v="54000"/>
    <n v="0.2857142857142857"/>
    <x v="5"/>
  </r>
  <r>
    <s v="V00453"/>
    <x v="161"/>
    <s v="CL0277"/>
    <s v="Client 101"/>
    <x v="4"/>
    <s v="Ati"/>
    <x v="0"/>
    <x v="11"/>
    <n v="9"/>
    <n v="80800"/>
    <n v="62000"/>
    <x v="0"/>
    <x v="0"/>
    <x v="1"/>
    <s v="Livrée"/>
    <x v="248"/>
    <n v="558000"/>
    <n v="169200"/>
    <n v="0.23267326732673269"/>
    <x v="4"/>
  </r>
  <r>
    <s v="V00454"/>
    <x v="255"/>
    <s v="CL0226"/>
    <s v="Client 344"/>
    <x v="4"/>
    <s v="Ati"/>
    <x v="0"/>
    <x v="5"/>
    <n v="9"/>
    <n v="220000"/>
    <n v="155200"/>
    <x v="5"/>
    <x v="2"/>
    <x v="1"/>
    <s v="Livrée"/>
    <x v="249"/>
    <n v="1396800"/>
    <n v="583200"/>
    <n v="0.29454545454545455"/>
    <x v="5"/>
  </r>
  <r>
    <s v="V00455"/>
    <x v="73"/>
    <s v="CL0031"/>
    <s v="Client 014"/>
    <x v="4"/>
    <s v="Ati"/>
    <x v="2"/>
    <x v="10"/>
    <n v="4"/>
    <n v="472500"/>
    <n v="370000"/>
    <x v="5"/>
    <x v="2"/>
    <x v="0"/>
    <s v="Livrée"/>
    <x v="126"/>
    <n v="1480000"/>
    <n v="410000"/>
    <n v="0.21693121693121692"/>
    <x v="10"/>
  </r>
  <r>
    <s v="V00456"/>
    <x v="12"/>
    <s v="CL0077"/>
    <s v="Client 137"/>
    <x v="0"/>
    <s v="N'Djamena"/>
    <x v="0"/>
    <x v="16"/>
    <n v="5"/>
    <n v="133000"/>
    <n v="103000"/>
    <x v="4"/>
    <x v="0"/>
    <x v="0"/>
    <s v="En cours"/>
    <x v="116"/>
    <n v="515000"/>
    <n v="150000"/>
    <n v="0.22556390977443608"/>
    <x v="7"/>
  </r>
  <r>
    <s v="V00457"/>
    <x v="171"/>
    <s v="CL0421"/>
    <s v="Client 259"/>
    <x v="2"/>
    <s v="Doba"/>
    <x v="2"/>
    <x v="9"/>
    <n v="8"/>
    <n v="189000"/>
    <n v="139000"/>
    <x v="1"/>
    <x v="2"/>
    <x v="1"/>
    <s v="Livrée"/>
    <x v="168"/>
    <n v="1112000"/>
    <n v="400000"/>
    <n v="0.26455026455026454"/>
    <x v="10"/>
  </r>
  <r>
    <s v="V00458"/>
    <x v="211"/>
    <s v="CL0301"/>
    <s v="Client 252"/>
    <x v="1"/>
    <s v="Abéché"/>
    <x v="3"/>
    <x v="3"/>
    <n v="6"/>
    <n v="15000"/>
    <n v="9500"/>
    <x v="2"/>
    <x v="0"/>
    <x v="0"/>
    <s v="Livrée"/>
    <x v="185"/>
    <n v="57000"/>
    <n v="33000"/>
    <n v="0.36666666666666664"/>
    <x v="5"/>
  </r>
  <r>
    <s v="V00459"/>
    <x v="264"/>
    <s v="CL0164"/>
    <s v="Client 392"/>
    <x v="2"/>
    <s v="Doba"/>
    <x v="2"/>
    <x v="10"/>
    <n v="8"/>
    <n v="450000"/>
    <n v="370000"/>
    <x v="1"/>
    <x v="2"/>
    <x v="1"/>
    <s v="En cours"/>
    <x v="102"/>
    <n v="2960000"/>
    <n v="640000"/>
    <n v="0.17777777777777778"/>
    <x v="0"/>
  </r>
  <r>
    <s v="V00460"/>
    <x v="62"/>
    <s v="CL0394"/>
    <s v="Client 110"/>
    <x v="2"/>
    <s v="Doba"/>
    <x v="0"/>
    <x v="11"/>
    <n v="1"/>
    <n v="85000"/>
    <n v="60100"/>
    <x v="1"/>
    <x v="0"/>
    <x v="1"/>
    <s v="Annulée"/>
    <x v="123"/>
    <n v="60100"/>
    <n v="24900"/>
    <n v="0.29294117647058826"/>
    <x v="2"/>
  </r>
  <r>
    <s v="V00461"/>
    <x v="106"/>
    <s v="CL0448"/>
    <s v="Client 438"/>
    <x v="4"/>
    <s v="Ati"/>
    <x v="0"/>
    <x v="5"/>
    <n v="8"/>
    <n v="231000"/>
    <n v="160000"/>
    <x v="3"/>
    <x v="3"/>
    <x v="0"/>
    <s v="Livrée"/>
    <x v="250"/>
    <n v="1280000"/>
    <n v="568000"/>
    <n v="0.30735930735930733"/>
    <x v="8"/>
  </r>
  <r>
    <s v="V00462"/>
    <x v="217"/>
    <s v="CL0345"/>
    <s v="Client 264"/>
    <x v="6"/>
    <s v="Moundou"/>
    <x v="2"/>
    <x v="10"/>
    <n v="7"/>
    <n v="450000"/>
    <n v="358900"/>
    <x v="0"/>
    <x v="3"/>
    <x v="0"/>
    <s v="Livrée"/>
    <x v="12"/>
    <n v="2512300"/>
    <n v="637700"/>
    <n v="0.20244444444444445"/>
    <x v="1"/>
  </r>
  <r>
    <s v="V00463"/>
    <x v="117"/>
    <s v="CL0420"/>
    <s v="Client 353"/>
    <x v="0"/>
    <s v="N'Djamena"/>
    <x v="0"/>
    <x v="5"/>
    <n v="7"/>
    <n v="220000"/>
    <n v="155200"/>
    <x v="7"/>
    <x v="2"/>
    <x v="2"/>
    <s v="Livrée"/>
    <x v="251"/>
    <n v="1086400"/>
    <n v="453600"/>
    <n v="0.29454545454545455"/>
    <x v="1"/>
  </r>
  <r>
    <s v="V00464"/>
    <x v="265"/>
    <s v="CL0423"/>
    <s v="Client 280"/>
    <x v="3"/>
    <s v="Mao"/>
    <x v="0"/>
    <x v="16"/>
    <n v="1"/>
    <n v="133000"/>
    <n v="103000"/>
    <x v="0"/>
    <x v="0"/>
    <x v="1"/>
    <s v="Livrée"/>
    <x v="252"/>
    <n v="103000"/>
    <n v="30000"/>
    <n v="0.22556390977443608"/>
    <x v="10"/>
  </r>
  <r>
    <s v="V00465"/>
    <x v="266"/>
    <s v="CL0014"/>
    <s v="Client 466"/>
    <x v="3"/>
    <s v="Mao"/>
    <x v="3"/>
    <x v="17"/>
    <n v="7"/>
    <n v="18000"/>
    <n v="12900"/>
    <x v="6"/>
    <x v="2"/>
    <x v="0"/>
    <s v="Livrée"/>
    <x v="178"/>
    <n v="90300"/>
    <n v="35700"/>
    <n v="0.28333333333333333"/>
    <x v="8"/>
  </r>
  <r>
    <s v="V00466"/>
    <x v="44"/>
    <s v="CL0487"/>
    <s v="Client 082"/>
    <x v="0"/>
    <s v="N'Djamena"/>
    <x v="2"/>
    <x v="10"/>
    <n v="9"/>
    <n v="427500"/>
    <n v="381100"/>
    <x v="0"/>
    <x v="2"/>
    <x v="2"/>
    <s v="Livrée"/>
    <x v="63"/>
    <n v="3429900"/>
    <n v="417600"/>
    <n v="0.10853801169590643"/>
    <x v="10"/>
  </r>
  <r>
    <s v="V00467"/>
    <x v="140"/>
    <s v="CL0158"/>
    <s v="Client 238"/>
    <x v="0"/>
    <s v="N'Djamena"/>
    <x v="2"/>
    <x v="14"/>
    <n v="3"/>
    <n v="90200"/>
    <n v="67900"/>
    <x v="7"/>
    <x v="2"/>
    <x v="0"/>
    <s v="Livrée"/>
    <x v="253"/>
    <n v="203700"/>
    <n v="66900"/>
    <n v="0.24722838137472283"/>
    <x v="3"/>
  </r>
  <r>
    <s v="V00468"/>
    <x v="101"/>
    <s v="CL0344"/>
    <s v="Client 405"/>
    <x v="1"/>
    <s v="Abéché"/>
    <x v="2"/>
    <x v="9"/>
    <n v="3"/>
    <n v="180000"/>
    <n v="139000"/>
    <x v="0"/>
    <x v="1"/>
    <x v="2"/>
    <s v="Livrée"/>
    <x v="254"/>
    <n v="417000"/>
    <n v="123000"/>
    <n v="0.22777777777777777"/>
    <x v="6"/>
  </r>
  <r>
    <s v="V00469"/>
    <x v="85"/>
    <s v="CL0304"/>
    <s v="Client 081"/>
    <x v="7"/>
    <s v="Bol"/>
    <x v="1"/>
    <x v="12"/>
    <n v="5"/>
    <n v="31500"/>
    <n v="19600"/>
    <x v="0"/>
    <x v="2"/>
    <x v="1"/>
    <s v="Livrée"/>
    <x v="147"/>
    <n v="98000"/>
    <n v="59500"/>
    <n v="0.37777777777777777"/>
    <x v="2"/>
  </r>
  <r>
    <s v="V00470"/>
    <x v="56"/>
    <s v="CL0138"/>
    <s v="Client 420"/>
    <x v="5"/>
    <s v="Massaguet"/>
    <x v="2"/>
    <x v="13"/>
    <n v="2"/>
    <n v="160000"/>
    <n v="123600"/>
    <x v="7"/>
    <x v="2"/>
    <x v="1"/>
    <s v="Annulée"/>
    <x v="149"/>
    <n v="247200"/>
    <n v="72800"/>
    <n v="0.22750000000000001"/>
    <x v="6"/>
  </r>
  <r>
    <s v="V00471"/>
    <x v="136"/>
    <s v="CL0357"/>
    <s v="Client 265"/>
    <x v="0"/>
    <s v="N'Djamena"/>
    <x v="0"/>
    <x v="0"/>
    <n v="5"/>
    <n v="61800"/>
    <n v="46400"/>
    <x v="5"/>
    <x v="0"/>
    <x v="2"/>
    <s v="Livrée"/>
    <x v="255"/>
    <n v="232000"/>
    <n v="77000"/>
    <n v="0.24919093851132687"/>
    <x v="7"/>
  </r>
  <r>
    <s v="V00472"/>
    <x v="97"/>
    <s v="CL0392"/>
    <s v="Client 427"/>
    <x v="0"/>
    <s v="N'Djamena"/>
    <x v="2"/>
    <x v="10"/>
    <n v="5"/>
    <n v="450000"/>
    <n v="358900"/>
    <x v="5"/>
    <x v="2"/>
    <x v="1"/>
    <s v="Annulée"/>
    <x v="172"/>
    <n v="1794500"/>
    <n v="455500"/>
    <n v="0.20244444444444445"/>
    <x v="9"/>
  </r>
  <r>
    <s v="V00473"/>
    <x v="264"/>
    <s v="CL0167"/>
    <s v="Client 332"/>
    <x v="7"/>
    <s v="Bol"/>
    <x v="0"/>
    <x v="0"/>
    <n v="1"/>
    <n v="61800"/>
    <n v="45000"/>
    <x v="5"/>
    <x v="3"/>
    <x v="0"/>
    <s v="Livrée"/>
    <x v="16"/>
    <n v="45000"/>
    <n v="16800"/>
    <n v="0.27184466019417475"/>
    <x v="0"/>
  </r>
  <r>
    <s v="V00474"/>
    <x v="71"/>
    <s v="CL0157"/>
    <s v="Client 394"/>
    <x v="0"/>
    <s v="N'Djamena"/>
    <x v="3"/>
    <x v="4"/>
    <n v="4"/>
    <n v="8600"/>
    <n v="5600"/>
    <x v="1"/>
    <x v="0"/>
    <x v="1"/>
    <s v="En cours"/>
    <x v="256"/>
    <n v="22400"/>
    <n v="12000"/>
    <n v="0.34883720930232559"/>
    <x v="3"/>
  </r>
  <r>
    <s v="V00475"/>
    <x v="267"/>
    <s v="CL0294"/>
    <s v="Client 336"/>
    <x v="3"/>
    <s v="Mao"/>
    <x v="2"/>
    <x v="14"/>
    <n v="7"/>
    <n v="90200"/>
    <n v="72100"/>
    <x v="3"/>
    <x v="1"/>
    <x v="2"/>
    <s v="Livrée"/>
    <x v="100"/>
    <n v="504700"/>
    <n v="126700"/>
    <n v="0.20066518847006651"/>
    <x v="1"/>
  </r>
  <r>
    <s v="V00476"/>
    <x v="246"/>
    <s v="CL0411"/>
    <s v="Client 144"/>
    <x v="4"/>
    <s v="Ati"/>
    <x v="2"/>
    <x v="10"/>
    <n v="3"/>
    <n v="427500"/>
    <n v="381100"/>
    <x v="6"/>
    <x v="3"/>
    <x v="1"/>
    <s v="Livrée"/>
    <x v="257"/>
    <n v="1143300"/>
    <n v="139200"/>
    <n v="0.10853801169590643"/>
    <x v="7"/>
  </r>
  <r>
    <s v="V00477"/>
    <x v="126"/>
    <s v="CL0291"/>
    <s v="Client 437"/>
    <x v="1"/>
    <s v="Abéché"/>
    <x v="2"/>
    <x v="13"/>
    <n v="5"/>
    <n v="168000"/>
    <n v="116400"/>
    <x v="4"/>
    <x v="3"/>
    <x v="1"/>
    <s v="En cours"/>
    <x v="54"/>
    <n v="582000"/>
    <n v="258000"/>
    <n v="0.30714285714285716"/>
    <x v="4"/>
  </r>
  <r>
    <s v="V00478"/>
    <x v="90"/>
    <s v="CL0179"/>
    <s v="Client 066"/>
    <x v="2"/>
    <s v="Doba"/>
    <x v="0"/>
    <x v="0"/>
    <n v="2"/>
    <n v="68200"/>
    <n v="46400"/>
    <x v="1"/>
    <x v="1"/>
    <x v="1"/>
    <s v="Livrée"/>
    <x v="258"/>
    <n v="92800"/>
    <n v="43600"/>
    <n v="0.31964809384164222"/>
    <x v="7"/>
  </r>
  <r>
    <s v="V00479"/>
    <x v="124"/>
    <s v="CL0488"/>
    <s v="Client 053"/>
    <x v="7"/>
    <s v="Bol"/>
    <x v="2"/>
    <x v="13"/>
    <n v="8"/>
    <n v="160000"/>
    <n v="116400"/>
    <x v="5"/>
    <x v="2"/>
    <x v="0"/>
    <s v="Livrée"/>
    <x v="23"/>
    <n v="931200"/>
    <n v="348800"/>
    <n v="0.27250000000000002"/>
    <x v="5"/>
  </r>
  <r>
    <s v="V00480"/>
    <x v="75"/>
    <s v="CL0037"/>
    <s v="Client 196"/>
    <x v="1"/>
    <s v="Abéché"/>
    <x v="3"/>
    <x v="8"/>
    <n v="3"/>
    <n v="6000"/>
    <n v="4100"/>
    <x v="7"/>
    <x v="3"/>
    <x v="1"/>
    <s v="Livrée"/>
    <x v="213"/>
    <n v="12300"/>
    <n v="5700"/>
    <n v="0.31666666666666665"/>
    <x v="7"/>
  </r>
  <r>
    <s v="V00481"/>
    <x v="185"/>
    <s v="CL0341"/>
    <s v="Client 460"/>
    <x v="0"/>
    <s v="N'Djamena"/>
    <x v="3"/>
    <x v="15"/>
    <n v="7"/>
    <n v="7600"/>
    <n v="4800"/>
    <x v="4"/>
    <x v="3"/>
    <x v="2"/>
    <s v="Livrée"/>
    <x v="259"/>
    <n v="33600"/>
    <n v="19600"/>
    <n v="0.36842105263157893"/>
    <x v="5"/>
  </r>
  <r>
    <s v="V00482"/>
    <x v="54"/>
    <s v="CL0300"/>
    <s v="Client 129"/>
    <x v="6"/>
    <s v="Pala"/>
    <x v="0"/>
    <x v="5"/>
    <n v="8"/>
    <n v="220000"/>
    <n v="160000"/>
    <x v="5"/>
    <x v="3"/>
    <x v="2"/>
    <s v="En cours"/>
    <x v="231"/>
    <n v="1280000"/>
    <n v="480000"/>
    <n v="0.27272727272727271"/>
    <x v="8"/>
  </r>
  <r>
    <s v="V00483"/>
    <x v="125"/>
    <s v="CL0097"/>
    <s v="Client 347"/>
    <x v="4"/>
    <s v="Ati"/>
    <x v="0"/>
    <x v="16"/>
    <n v="6"/>
    <n v="133000"/>
    <n v="97000"/>
    <x v="6"/>
    <x v="3"/>
    <x v="0"/>
    <s v="Livrée"/>
    <x v="51"/>
    <n v="582000"/>
    <n v="216000"/>
    <n v="0.27067669172932329"/>
    <x v="7"/>
  </r>
  <r>
    <s v="V00484"/>
    <x v="70"/>
    <s v="CL0079"/>
    <s v="Client 332"/>
    <x v="2"/>
    <s v="Doba"/>
    <x v="3"/>
    <x v="15"/>
    <n v="1"/>
    <n v="7600"/>
    <n v="5000"/>
    <x v="2"/>
    <x v="0"/>
    <x v="1"/>
    <s v="Annulée"/>
    <x v="260"/>
    <n v="5000"/>
    <n v="2600"/>
    <n v="0.34210526315789475"/>
    <x v="11"/>
  </r>
  <r>
    <s v="V00485"/>
    <x v="86"/>
    <s v="CL0169"/>
    <s v="Client 323"/>
    <x v="0"/>
    <s v="N'Djamena"/>
    <x v="2"/>
    <x v="13"/>
    <n v="1"/>
    <n v="160000"/>
    <n v="120000"/>
    <x v="6"/>
    <x v="2"/>
    <x v="0"/>
    <s v="Annulée"/>
    <x v="31"/>
    <n v="120000"/>
    <n v="40000"/>
    <n v="0.25"/>
    <x v="11"/>
  </r>
  <r>
    <s v="V00486"/>
    <x v="88"/>
    <s v="CL0491"/>
    <s v="Client 364"/>
    <x v="1"/>
    <s v="Abéché"/>
    <x v="1"/>
    <x v="7"/>
    <n v="6"/>
    <n v="9500"/>
    <n v="6000"/>
    <x v="4"/>
    <x v="0"/>
    <x v="1"/>
    <s v="Livrée"/>
    <x v="159"/>
    <n v="36000"/>
    <n v="21000"/>
    <n v="0.36842105263157893"/>
    <x v="7"/>
  </r>
  <r>
    <s v="V00487"/>
    <x v="228"/>
    <s v="CL0171"/>
    <s v="Client 121"/>
    <x v="5"/>
    <s v="Massaguet"/>
    <x v="2"/>
    <x v="10"/>
    <n v="10"/>
    <n v="450000"/>
    <n v="381100"/>
    <x v="1"/>
    <x v="2"/>
    <x v="2"/>
    <s v="Annulée"/>
    <x v="261"/>
    <n v="3811000"/>
    <n v="689000"/>
    <n v="0.15311111111111111"/>
    <x v="10"/>
  </r>
  <r>
    <s v="V00488"/>
    <x v="268"/>
    <s v="CL0146"/>
    <s v="Client 033"/>
    <x v="3"/>
    <s v="Mao"/>
    <x v="1"/>
    <x v="18"/>
    <n v="8"/>
    <n v="25000"/>
    <n v="15500"/>
    <x v="7"/>
    <x v="3"/>
    <x v="1"/>
    <s v="Annulée"/>
    <x v="164"/>
    <n v="124000"/>
    <n v="76000"/>
    <n v="0.38"/>
    <x v="1"/>
  </r>
  <r>
    <s v="V00489"/>
    <x v="253"/>
    <s v="CL0240"/>
    <s v="Client 434"/>
    <x v="4"/>
    <s v="Ati"/>
    <x v="3"/>
    <x v="3"/>
    <n v="5"/>
    <n v="15000"/>
    <n v="9800"/>
    <x v="0"/>
    <x v="1"/>
    <x v="2"/>
    <s v="En cours"/>
    <x v="81"/>
    <n v="49000"/>
    <n v="26000"/>
    <n v="0.34666666666666668"/>
    <x v="4"/>
  </r>
  <r>
    <s v="V00490"/>
    <x v="85"/>
    <s v="CL0356"/>
    <s v="Client 080"/>
    <x v="0"/>
    <s v="N'Djamena"/>
    <x v="1"/>
    <x v="1"/>
    <n v="1"/>
    <n v="6600"/>
    <n v="4000"/>
    <x v="6"/>
    <x v="2"/>
    <x v="1"/>
    <s v="Livrée"/>
    <x v="262"/>
    <n v="4000"/>
    <n v="2600"/>
    <n v="0.39393939393939392"/>
    <x v="2"/>
  </r>
  <r>
    <s v="V00491"/>
    <x v="100"/>
    <s v="CL0435"/>
    <s v="Client 170"/>
    <x v="6"/>
    <s v="Pala"/>
    <x v="0"/>
    <x v="11"/>
    <n v="6"/>
    <n v="89200"/>
    <n v="60100"/>
    <x v="1"/>
    <x v="0"/>
    <x v="1"/>
    <s v="En cours"/>
    <x v="263"/>
    <n v="360600"/>
    <n v="174600"/>
    <n v="0.32623318385650224"/>
    <x v="1"/>
  </r>
  <r>
    <s v="V00492"/>
    <x v="54"/>
    <s v="CL0360"/>
    <s v="Client 043"/>
    <x v="6"/>
    <s v="Pala"/>
    <x v="2"/>
    <x v="2"/>
    <n v="6"/>
    <n v="55000"/>
    <n v="37800"/>
    <x v="1"/>
    <x v="2"/>
    <x v="1"/>
    <s v="Livrée"/>
    <x v="194"/>
    <n v="226800"/>
    <n v="103200"/>
    <n v="0.31272727272727274"/>
    <x v="8"/>
  </r>
  <r>
    <s v="V00493"/>
    <x v="42"/>
    <s v="CL0209"/>
    <s v="Client 356"/>
    <x v="0"/>
    <s v="N'Djamena"/>
    <x v="1"/>
    <x v="7"/>
    <n v="1"/>
    <n v="10000"/>
    <n v="6000"/>
    <x v="1"/>
    <x v="3"/>
    <x v="0"/>
    <s v="En cours"/>
    <x v="264"/>
    <n v="6000"/>
    <n v="4000"/>
    <n v="0.4"/>
    <x v="4"/>
  </r>
  <r>
    <s v="V00494"/>
    <x v="226"/>
    <s v="CL0054"/>
    <s v="Client 300"/>
    <x v="6"/>
    <s v="Moundou"/>
    <x v="2"/>
    <x v="14"/>
    <n v="10"/>
    <n v="95000"/>
    <n v="72100"/>
    <x v="4"/>
    <x v="0"/>
    <x v="1"/>
    <s v="En cours"/>
    <x v="167"/>
    <n v="721000"/>
    <n v="229000"/>
    <n v="0.24105263157894738"/>
    <x v="6"/>
  </r>
  <r>
    <s v="V00495"/>
    <x v="95"/>
    <s v="CL0102"/>
    <s v="Client 313"/>
    <x v="7"/>
    <s v="Bol"/>
    <x v="0"/>
    <x v="5"/>
    <n v="8"/>
    <n v="231000"/>
    <n v="160000"/>
    <x v="7"/>
    <x v="2"/>
    <x v="1"/>
    <s v="Livrée"/>
    <x v="250"/>
    <n v="1280000"/>
    <n v="568000"/>
    <n v="0.30735930735930733"/>
    <x v="11"/>
  </r>
  <r>
    <s v="V00496"/>
    <x v="19"/>
    <s v="CL0140"/>
    <s v="Client 365"/>
    <x v="0"/>
    <s v="N'Djamena"/>
    <x v="3"/>
    <x v="4"/>
    <n v="7"/>
    <n v="9000"/>
    <n v="6000"/>
    <x v="3"/>
    <x v="2"/>
    <x v="0"/>
    <s v="Livrée"/>
    <x v="74"/>
    <n v="42000"/>
    <n v="21000"/>
    <n v="0.33333333333333331"/>
    <x v="1"/>
  </r>
  <r>
    <s v="V00497"/>
    <x v="269"/>
    <s v="CL0204"/>
    <s v="Client 445"/>
    <x v="2"/>
    <s v="Doba"/>
    <x v="1"/>
    <x v="12"/>
    <n v="6"/>
    <n v="30000"/>
    <n v="18400"/>
    <x v="5"/>
    <x v="3"/>
    <x v="1"/>
    <s v="Livrée"/>
    <x v="88"/>
    <n v="110400"/>
    <n v="69600"/>
    <n v="0.38666666666666666"/>
    <x v="4"/>
  </r>
  <r>
    <s v="V00498"/>
    <x v="78"/>
    <s v="CL0351"/>
    <s v="Client 278"/>
    <x v="0"/>
    <s v="N'Djamena"/>
    <x v="3"/>
    <x v="17"/>
    <n v="7"/>
    <n v="17100"/>
    <n v="12900"/>
    <x v="7"/>
    <x v="2"/>
    <x v="0"/>
    <s v="Livrée"/>
    <x v="230"/>
    <n v="90300"/>
    <n v="29400"/>
    <n v="0.24561403508771928"/>
    <x v="3"/>
  </r>
  <r>
    <s v="V00499"/>
    <x v="215"/>
    <s v="CL0380"/>
    <s v="Client 449"/>
    <x v="0"/>
    <s v="N'Djamena"/>
    <x v="2"/>
    <x v="9"/>
    <n v="8"/>
    <n v="189000"/>
    <n v="139000"/>
    <x v="1"/>
    <x v="2"/>
    <x v="0"/>
    <s v="Annulée"/>
    <x v="168"/>
    <n v="1112000"/>
    <n v="400000"/>
    <n v="0.26455026455026454"/>
    <x v="0"/>
  </r>
  <r>
    <s v="V00500"/>
    <x v="102"/>
    <s v="CL0027"/>
    <s v="Client 269"/>
    <x v="4"/>
    <s v="Ati"/>
    <x v="1"/>
    <x v="12"/>
    <n v="10"/>
    <n v="31500"/>
    <n v="19000"/>
    <x v="6"/>
    <x v="0"/>
    <x v="1"/>
    <s v="Livrée"/>
    <x v="62"/>
    <n v="190000"/>
    <n v="125000"/>
    <n v="0.3968253968253968"/>
    <x v="8"/>
  </r>
  <r>
    <s v="V00501"/>
    <x v="73"/>
    <s v="CL0289"/>
    <s v="Client 331"/>
    <x v="1"/>
    <s v="Abéché"/>
    <x v="2"/>
    <x v="13"/>
    <n v="3"/>
    <n v="160000"/>
    <n v="123600"/>
    <x v="5"/>
    <x v="3"/>
    <x v="2"/>
    <s v="Livrée"/>
    <x v="143"/>
    <n v="370800"/>
    <n v="109200"/>
    <n v="0.22750000000000001"/>
    <x v="10"/>
  </r>
  <r>
    <s v="V00502"/>
    <x v="0"/>
    <s v="CL0113"/>
    <s v="Client 114"/>
    <x v="0"/>
    <s v="N'Djamena"/>
    <x v="1"/>
    <x v="7"/>
    <n v="2"/>
    <n v="10500"/>
    <n v="6000"/>
    <x v="2"/>
    <x v="2"/>
    <x v="2"/>
    <s v="Livrée"/>
    <x v="1"/>
    <n v="12000"/>
    <n v="9000"/>
    <n v="0.42857142857142855"/>
    <x v="0"/>
  </r>
  <r>
    <s v="V00503"/>
    <x v="178"/>
    <s v="CL0443"/>
    <s v="Client 409"/>
    <x v="5"/>
    <s v="Massaguet"/>
    <x v="1"/>
    <x v="7"/>
    <n v="6"/>
    <n v="10000"/>
    <n v="6400"/>
    <x v="2"/>
    <x v="1"/>
    <x v="1"/>
    <s v="Livrée"/>
    <x v="69"/>
    <n v="38400"/>
    <n v="21600"/>
    <n v="0.36"/>
    <x v="3"/>
  </r>
  <r>
    <s v="V00504"/>
    <x v="35"/>
    <s v="CL0405"/>
    <s v="Client 047"/>
    <x v="6"/>
    <s v="Moundou"/>
    <x v="2"/>
    <x v="9"/>
    <n v="10"/>
    <n v="171000"/>
    <n v="135000"/>
    <x v="7"/>
    <x v="3"/>
    <x v="2"/>
    <s v="Livrée"/>
    <x v="265"/>
    <n v="1350000"/>
    <n v="360000"/>
    <n v="0.21052631578947367"/>
    <x v="0"/>
  </r>
  <r>
    <s v="V00505"/>
    <x v="75"/>
    <s v="CL0015"/>
    <s v="Client 495"/>
    <x v="0"/>
    <s v="N'Djamena"/>
    <x v="2"/>
    <x v="2"/>
    <n v="5"/>
    <n v="57800"/>
    <n v="37800"/>
    <x v="5"/>
    <x v="3"/>
    <x v="1"/>
    <s v="Livrée"/>
    <x v="266"/>
    <n v="189000"/>
    <n v="100000"/>
    <n v="0.34602076124567471"/>
    <x v="7"/>
  </r>
  <r>
    <s v="V00506"/>
    <x v="232"/>
    <s v="CL0327"/>
    <s v="Client 178"/>
    <x v="3"/>
    <s v="Mao"/>
    <x v="1"/>
    <x v="7"/>
    <n v="1"/>
    <n v="10000"/>
    <n v="6200"/>
    <x v="5"/>
    <x v="2"/>
    <x v="1"/>
    <s v="Livrée"/>
    <x v="264"/>
    <n v="6200"/>
    <n v="3800"/>
    <n v="0.38"/>
    <x v="5"/>
  </r>
  <r>
    <s v="V00507"/>
    <x v="256"/>
    <s v="CL0429"/>
    <s v="Client 424"/>
    <x v="0"/>
    <s v="N'Djamena"/>
    <x v="2"/>
    <x v="10"/>
    <n v="3"/>
    <n v="450000"/>
    <n v="358900"/>
    <x v="0"/>
    <x v="3"/>
    <x v="1"/>
    <s v="En cours"/>
    <x v="113"/>
    <n v="1076700"/>
    <n v="273300"/>
    <n v="0.20244444444444445"/>
    <x v="10"/>
  </r>
  <r>
    <s v="V00508"/>
    <x v="203"/>
    <s v="CL0323"/>
    <s v="Client 260"/>
    <x v="0"/>
    <s v="N'Djamena"/>
    <x v="3"/>
    <x v="17"/>
    <n v="10"/>
    <n v="18900"/>
    <n v="12500"/>
    <x v="0"/>
    <x v="0"/>
    <x v="0"/>
    <s v="Livrée"/>
    <x v="162"/>
    <n v="125000"/>
    <n v="64000"/>
    <n v="0.33862433862433861"/>
    <x v="8"/>
  </r>
  <r>
    <s v="V00509"/>
    <x v="92"/>
    <s v="CL0418"/>
    <s v="Client 130"/>
    <x v="7"/>
    <s v="Bol"/>
    <x v="3"/>
    <x v="3"/>
    <n v="9"/>
    <n v="15000"/>
    <n v="9200"/>
    <x v="0"/>
    <x v="2"/>
    <x v="0"/>
    <s v="Livrée"/>
    <x v="212"/>
    <n v="82800"/>
    <n v="52200"/>
    <n v="0.38666666666666666"/>
    <x v="7"/>
  </r>
  <r>
    <s v="V00510"/>
    <x v="270"/>
    <s v="CL0015"/>
    <s v="Client 473"/>
    <x v="7"/>
    <s v="Bol"/>
    <x v="2"/>
    <x v="9"/>
    <n v="7"/>
    <n v="180000"/>
    <n v="131000"/>
    <x v="7"/>
    <x v="2"/>
    <x v="1"/>
    <s v="Livrée"/>
    <x v="94"/>
    <n v="917000"/>
    <n v="343000"/>
    <n v="0.2722222222222222"/>
    <x v="2"/>
  </r>
  <r>
    <s v="V00511"/>
    <x v="45"/>
    <s v="CL0057"/>
    <s v="Client 417"/>
    <x v="3"/>
    <s v="Mao"/>
    <x v="2"/>
    <x v="13"/>
    <n v="6"/>
    <n v="152000"/>
    <n v="123600"/>
    <x v="6"/>
    <x v="3"/>
    <x v="2"/>
    <s v="Livrée"/>
    <x v="267"/>
    <n v="741600"/>
    <n v="170400"/>
    <n v="0.18684210526315789"/>
    <x v="10"/>
  </r>
  <r>
    <s v="V00512"/>
    <x v="255"/>
    <s v="CL0008"/>
    <s v="Client 342"/>
    <x v="0"/>
    <s v="N'Djamena"/>
    <x v="1"/>
    <x v="12"/>
    <n v="9"/>
    <n v="28500"/>
    <n v="19600"/>
    <x v="0"/>
    <x v="2"/>
    <x v="0"/>
    <s v="Livrée"/>
    <x v="268"/>
    <n v="176400"/>
    <n v="80100"/>
    <n v="0.31228070175438599"/>
    <x v="5"/>
  </r>
  <r>
    <s v="V00513"/>
    <x v="263"/>
    <s v="CL0350"/>
    <s v="Client 430"/>
    <x v="1"/>
    <s v="Abéché"/>
    <x v="3"/>
    <x v="8"/>
    <n v="9"/>
    <n v="6000"/>
    <n v="4300"/>
    <x v="4"/>
    <x v="2"/>
    <x v="0"/>
    <s v="Livrée"/>
    <x v="77"/>
    <n v="38700"/>
    <n v="15300"/>
    <n v="0.28333333333333333"/>
    <x v="10"/>
  </r>
  <r>
    <s v="V00514"/>
    <x v="250"/>
    <s v="CL0438"/>
    <s v="Client 393"/>
    <x v="4"/>
    <s v="Ati"/>
    <x v="0"/>
    <x v="16"/>
    <n v="2"/>
    <n v="140000"/>
    <n v="97000"/>
    <x v="0"/>
    <x v="0"/>
    <x v="0"/>
    <s v="Livrée"/>
    <x v="76"/>
    <n v="194000"/>
    <n v="86000"/>
    <n v="0.30714285714285716"/>
    <x v="4"/>
  </r>
  <r>
    <s v="V00515"/>
    <x v="213"/>
    <s v="CL0433"/>
    <s v="Client 424"/>
    <x v="1"/>
    <s v="Abéché"/>
    <x v="0"/>
    <x v="5"/>
    <n v="9"/>
    <n v="209000"/>
    <n v="155200"/>
    <x v="6"/>
    <x v="3"/>
    <x v="0"/>
    <s v="Livrée"/>
    <x v="269"/>
    <n v="1396800"/>
    <n v="484200"/>
    <n v="0.25741626794258371"/>
    <x v="0"/>
  </r>
  <r>
    <s v="V00516"/>
    <x v="174"/>
    <s v="CL0199"/>
    <s v="Client 048"/>
    <x v="0"/>
    <s v="N'Djamena"/>
    <x v="0"/>
    <x v="11"/>
    <n v="6"/>
    <n v="85000"/>
    <n v="63900"/>
    <x v="6"/>
    <x v="2"/>
    <x v="1"/>
    <s v="Livrée"/>
    <x v="270"/>
    <n v="383400"/>
    <n v="126600"/>
    <n v="0.24823529411764705"/>
    <x v="5"/>
  </r>
  <r>
    <s v="V00517"/>
    <x v="29"/>
    <s v="CL0079"/>
    <s v="Client 072"/>
    <x v="0"/>
    <s v="N'Djamena"/>
    <x v="2"/>
    <x v="9"/>
    <n v="7"/>
    <n v="180000"/>
    <n v="131000"/>
    <x v="1"/>
    <x v="2"/>
    <x v="1"/>
    <s v="Livrée"/>
    <x v="94"/>
    <n v="917000"/>
    <n v="343000"/>
    <n v="0.2722222222222222"/>
    <x v="1"/>
  </r>
  <r>
    <s v="V00518"/>
    <x v="40"/>
    <s v="CL0369"/>
    <s v="Client 284"/>
    <x v="7"/>
    <s v="Bol"/>
    <x v="2"/>
    <x v="9"/>
    <n v="5"/>
    <n v="180000"/>
    <n v="139000"/>
    <x v="1"/>
    <x v="2"/>
    <x v="1"/>
    <s v="Livrée"/>
    <x v="101"/>
    <n v="695000"/>
    <n v="205000"/>
    <n v="0.22777777777777777"/>
    <x v="3"/>
  </r>
  <r>
    <s v="V00519"/>
    <x v="115"/>
    <s v="CL0143"/>
    <s v="Client 046"/>
    <x v="2"/>
    <s v="Doba"/>
    <x v="0"/>
    <x v="11"/>
    <n v="5"/>
    <n v="85000"/>
    <n v="60100"/>
    <x v="5"/>
    <x v="1"/>
    <x v="0"/>
    <s v="Livrée"/>
    <x v="53"/>
    <n v="300500"/>
    <n v="124500"/>
    <n v="0.29294117647058826"/>
    <x v="9"/>
  </r>
  <r>
    <s v="V00520"/>
    <x v="271"/>
    <s v="CL0348"/>
    <s v="Client 074"/>
    <x v="4"/>
    <s v="Ati"/>
    <x v="0"/>
    <x v="11"/>
    <n v="2"/>
    <n v="80800"/>
    <n v="63900"/>
    <x v="6"/>
    <x v="2"/>
    <x v="2"/>
    <s v="Livrée"/>
    <x v="271"/>
    <n v="127800"/>
    <n v="33800"/>
    <n v="0.20915841584158415"/>
    <x v="5"/>
  </r>
  <r>
    <s v="V00521"/>
    <x v="87"/>
    <s v="CL0438"/>
    <s v="Client 359"/>
    <x v="0"/>
    <s v="N'Djamena"/>
    <x v="2"/>
    <x v="13"/>
    <n v="2"/>
    <n v="152000"/>
    <n v="116400"/>
    <x v="3"/>
    <x v="1"/>
    <x v="1"/>
    <s v="Livrée"/>
    <x v="55"/>
    <n v="232800"/>
    <n v="71200"/>
    <n v="0.23421052631578948"/>
    <x v="1"/>
  </r>
  <r>
    <s v="V00522"/>
    <x v="69"/>
    <s v="CL0103"/>
    <s v="Client 429"/>
    <x v="0"/>
    <s v="N'Djamena"/>
    <x v="3"/>
    <x v="17"/>
    <n v="1"/>
    <n v="18000"/>
    <n v="12100"/>
    <x v="4"/>
    <x v="3"/>
    <x v="1"/>
    <s v="Livrée"/>
    <x v="213"/>
    <n v="12100"/>
    <n v="5900"/>
    <n v="0.32777777777777778"/>
    <x v="11"/>
  </r>
  <r>
    <s v="V00523"/>
    <x v="143"/>
    <s v="CL0007"/>
    <s v="Client 254"/>
    <x v="2"/>
    <s v="Doba"/>
    <x v="2"/>
    <x v="13"/>
    <n v="7"/>
    <n v="152000"/>
    <n v="120000"/>
    <x v="1"/>
    <x v="3"/>
    <x v="0"/>
    <s v="Livrée"/>
    <x v="92"/>
    <n v="840000"/>
    <n v="224000"/>
    <n v="0.21052631578947367"/>
    <x v="8"/>
  </r>
  <r>
    <s v="V00524"/>
    <x v="98"/>
    <s v="CL0233"/>
    <s v="Client 493"/>
    <x v="4"/>
    <s v="Ati"/>
    <x v="2"/>
    <x v="2"/>
    <n v="8"/>
    <n v="55000"/>
    <n v="39000"/>
    <x v="0"/>
    <x v="3"/>
    <x v="0"/>
    <s v="Livrée"/>
    <x v="19"/>
    <n v="312000"/>
    <n v="128000"/>
    <n v="0.29090909090909089"/>
    <x v="9"/>
  </r>
  <r>
    <s v="V00525"/>
    <x v="80"/>
    <s v="CL0266"/>
    <s v="Client 138"/>
    <x v="2"/>
    <s v="Doba"/>
    <x v="1"/>
    <x v="1"/>
    <n v="5"/>
    <n v="6600"/>
    <n v="4000"/>
    <x v="0"/>
    <x v="2"/>
    <x v="1"/>
    <s v="Livrée"/>
    <x v="272"/>
    <n v="20000"/>
    <n v="13000"/>
    <n v="0.39393939393939392"/>
    <x v="9"/>
  </r>
  <r>
    <s v="V00526"/>
    <x v="187"/>
    <s v="CL0167"/>
    <s v="Client 247"/>
    <x v="1"/>
    <s v="Abéché"/>
    <x v="2"/>
    <x v="2"/>
    <n v="3"/>
    <n v="55000"/>
    <n v="40200"/>
    <x v="1"/>
    <x v="0"/>
    <x v="2"/>
    <s v="Livrée"/>
    <x v="214"/>
    <n v="120600"/>
    <n v="44400"/>
    <n v="0.2690909090909091"/>
    <x v="8"/>
  </r>
  <r>
    <s v="V00527"/>
    <x v="155"/>
    <s v="CL0225"/>
    <s v="Client 140"/>
    <x v="0"/>
    <s v="N'Djamena"/>
    <x v="3"/>
    <x v="3"/>
    <n v="1"/>
    <n v="15000"/>
    <n v="9500"/>
    <x v="1"/>
    <x v="0"/>
    <x v="0"/>
    <s v="En cours"/>
    <x v="127"/>
    <n v="9500"/>
    <n v="5500"/>
    <n v="0.36666666666666664"/>
    <x v="11"/>
  </r>
  <r>
    <s v="V00529"/>
    <x v="272"/>
    <s v="CL0075"/>
    <s v="Client 192"/>
    <x v="2"/>
    <s v="Doba"/>
    <x v="2"/>
    <x v="10"/>
    <n v="4"/>
    <n v="472500"/>
    <n v="358900"/>
    <x v="0"/>
    <x v="2"/>
    <x v="0"/>
    <s v="En cours"/>
    <x v="126"/>
    <n v="1435600"/>
    <n v="454400"/>
    <n v="0.24042328042328043"/>
    <x v="5"/>
  </r>
  <r>
    <s v="V00530"/>
    <x v="159"/>
    <s v="CL0388"/>
    <s v="Client 400"/>
    <x v="0"/>
    <s v="N'Djamena"/>
    <x v="2"/>
    <x v="9"/>
    <n v="2"/>
    <n v="180000"/>
    <n v="131000"/>
    <x v="4"/>
    <x v="1"/>
    <x v="0"/>
    <s v="Livrée"/>
    <x v="24"/>
    <n v="262000"/>
    <n v="98000"/>
    <n v="0.2722222222222222"/>
    <x v="1"/>
  </r>
  <r>
    <s v="V00531"/>
    <x v="149"/>
    <s v="CL0254"/>
    <s v="Client 318"/>
    <x v="2"/>
    <s v="Doba"/>
    <x v="3"/>
    <x v="17"/>
    <n v="7"/>
    <n v="18000"/>
    <n v="12500"/>
    <x v="5"/>
    <x v="2"/>
    <x v="0"/>
    <s v="Annulée"/>
    <x v="178"/>
    <n v="87500"/>
    <n v="38500"/>
    <n v="0.30555555555555558"/>
    <x v="9"/>
  </r>
  <r>
    <s v="V00532"/>
    <x v="128"/>
    <s v="CL0294"/>
    <s v="Client 202"/>
    <x v="4"/>
    <s v="Ati"/>
    <x v="0"/>
    <x v="11"/>
    <n v="3"/>
    <n v="89200"/>
    <n v="63900"/>
    <x v="1"/>
    <x v="2"/>
    <x v="0"/>
    <s v="Livrée"/>
    <x v="15"/>
    <n v="191700"/>
    <n v="75900"/>
    <n v="0.28363228699551568"/>
    <x v="6"/>
  </r>
  <r>
    <s v="V00533"/>
    <x v="273"/>
    <s v="CL0008"/>
    <s v="Client 175"/>
    <x v="1"/>
    <s v="Abéché"/>
    <x v="2"/>
    <x v="14"/>
    <n v="3"/>
    <n v="99800"/>
    <n v="67900"/>
    <x v="7"/>
    <x v="0"/>
    <x v="0"/>
    <s v="En cours"/>
    <x v="245"/>
    <n v="203700"/>
    <n v="95700"/>
    <n v="0.31963927855711421"/>
    <x v="9"/>
  </r>
  <r>
    <s v="V00534"/>
    <x v="264"/>
    <s v="CL0239"/>
    <s v="Client 115"/>
    <x v="1"/>
    <s v="Abéché"/>
    <x v="1"/>
    <x v="1"/>
    <n v="9"/>
    <n v="6600"/>
    <n v="4000"/>
    <x v="0"/>
    <x v="3"/>
    <x v="0"/>
    <s v="Livrée"/>
    <x v="273"/>
    <n v="36000"/>
    <n v="23400"/>
    <n v="0.39393939393939392"/>
    <x v="0"/>
  </r>
  <r>
    <s v="V00535"/>
    <x v="274"/>
    <s v="CL0486"/>
    <s v="Client 325"/>
    <x v="7"/>
    <s v="Bol"/>
    <x v="2"/>
    <x v="13"/>
    <n v="5"/>
    <n v="168000"/>
    <n v="116400"/>
    <x v="4"/>
    <x v="3"/>
    <x v="1"/>
    <s v="Annulée"/>
    <x v="54"/>
    <n v="582000"/>
    <n v="258000"/>
    <n v="0.30714285714285716"/>
    <x v="10"/>
  </r>
  <r>
    <s v="V00536"/>
    <x v="119"/>
    <s v="CL0056"/>
    <s v="Client 291"/>
    <x v="3"/>
    <s v="N'Djamena"/>
    <x v="1"/>
    <x v="18"/>
    <n v="9"/>
    <n v="26200"/>
    <n v="16000"/>
    <x v="1"/>
    <x v="0"/>
    <x v="2"/>
    <s v="Livrée"/>
    <x v="115"/>
    <n v="144000"/>
    <n v="91800"/>
    <n v="0.38931297709923662"/>
    <x v="8"/>
  </r>
  <r>
    <s v="V00537"/>
    <x v="57"/>
    <s v="CL0295"/>
    <s v="Client 133"/>
    <x v="2"/>
    <s v="Doba"/>
    <x v="3"/>
    <x v="8"/>
    <n v="8"/>
    <n v="5700"/>
    <n v="4200"/>
    <x v="4"/>
    <x v="1"/>
    <x v="0"/>
    <s v="Livrée"/>
    <x v="7"/>
    <n v="33600"/>
    <n v="12000"/>
    <n v="0.26315789473684209"/>
    <x v="7"/>
  </r>
  <r>
    <s v="V00538"/>
    <x v="81"/>
    <s v="CL0270"/>
    <s v="Client 208"/>
    <x v="2"/>
    <s v="Doba"/>
    <x v="0"/>
    <x v="0"/>
    <n v="8"/>
    <n v="68200"/>
    <n v="46400"/>
    <x v="1"/>
    <x v="3"/>
    <x v="2"/>
    <s v="Livrée"/>
    <x v="274"/>
    <n v="371200"/>
    <n v="174400"/>
    <n v="0.31964809384164222"/>
    <x v="8"/>
  </r>
  <r>
    <s v="V00539"/>
    <x v="275"/>
    <s v="CL0465"/>
    <s v="Client 459"/>
    <x v="0"/>
    <s v="N'Djamena"/>
    <x v="2"/>
    <x v="13"/>
    <n v="3"/>
    <n v="160000"/>
    <n v="123600"/>
    <x v="7"/>
    <x v="0"/>
    <x v="0"/>
    <s v="En cours"/>
    <x v="143"/>
    <n v="370800"/>
    <n v="109200"/>
    <n v="0.22750000000000001"/>
    <x v="11"/>
  </r>
  <r>
    <s v="V00540"/>
    <x v="276"/>
    <s v="CL0445"/>
    <s v="Client 331"/>
    <x v="0"/>
    <s v="N'Djamena"/>
    <x v="0"/>
    <x v="5"/>
    <n v="10"/>
    <n v="220000"/>
    <n v="164800"/>
    <x v="6"/>
    <x v="0"/>
    <x v="0"/>
    <s v="Livrée"/>
    <x v="6"/>
    <n v="1648000"/>
    <n v="552000"/>
    <n v="0.25090909090909091"/>
    <x v="2"/>
  </r>
  <r>
    <s v="V00541"/>
    <x v="13"/>
    <s v="CL0392"/>
    <s v="Client 065"/>
    <x v="4"/>
    <s v="Ati"/>
    <x v="2"/>
    <x v="10"/>
    <n v="1"/>
    <n v="427500"/>
    <n v="370000"/>
    <x v="6"/>
    <x v="2"/>
    <x v="2"/>
    <s v="Annulée"/>
    <x v="275"/>
    <n v="370000"/>
    <n v="57500"/>
    <n v="0.13450292397660818"/>
    <x v="2"/>
  </r>
  <r>
    <s v="V00542"/>
    <x v="269"/>
    <s v="CL0346"/>
    <s v="Client 386"/>
    <x v="0"/>
    <s v="N'Djamena"/>
    <x v="2"/>
    <x v="13"/>
    <n v="4"/>
    <n v="160000"/>
    <n v="120000"/>
    <x v="1"/>
    <x v="2"/>
    <x v="1"/>
    <s v="Livrée"/>
    <x v="155"/>
    <n v="480000"/>
    <n v="160000"/>
    <n v="0.25"/>
    <x v="4"/>
  </r>
  <r>
    <s v="V00543"/>
    <x v="93"/>
    <s v="CL0339"/>
    <s v="Client 394"/>
    <x v="4"/>
    <s v="Ati"/>
    <x v="3"/>
    <x v="15"/>
    <n v="9"/>
    <n v="8000"/>
    <n v="4800"/>
    <x v="5"/>
    <x v="3"/>
    <x v="1"/>
    <s v="Livrée"/>
    <x v="196"/>
    <n v="43200"/>
    <n v="28800"/>
    <n v="0.4"/>
    <x v="3"/>
  </r>
  <r>
    <s v="V00544"/>
    <x v="277"/>
    <s v="CL0240"/>
    <s v="Client 190"/>
    <x v="6"/>
    <s v="Moundou"/>
    <x v="1"/>
    <x v="12"/>
    <n v="4"/>
    <n v="28500"/>
    <n v="18400"/>
    <x v="7"/>
    <x v="2"/>
    <x v="2"/>
    <s v="En cours"/>
    <x v="20"/>
    <n v="73600"/>
    <n v="40400"/>
    <n v="0.35438596491228069"/>
    <x v="2"/>
  </r>
  <r>
    <s v="V00545"/>
    <x v="225"/>
    <s v="CL0487"/>
    <s v="Client 397"/>
    <x v="7"/>
    <s v="Bol"/>
    <x v="2"/>
    <x v="9"/>
    <n v="5"/>
    <n v="189000"/>
    <n v="131000"/>
    <x v="4"/>
    <x v="3"/>
    <x v="1"/>
    <s v="En cours"/>
    <x v="79"/>
    <n v="655000"/>
    <n v="290000"/>
    <n v="0.30687830687830686"/>
    <x v="0"/>
  </r>
  <r>
    <s v="V00546"/>
    <x v="66"/>
    <s v="CL0067"/>
    <s v="Client 136"/>
    <x v="0"/>
    <s v="N'Djamena"/>
    <x v="2"/>
    <x v="9"/>
    <n v="4"/>
    <n v="171000"/>
    <n v="131000"/>
    <x v="4"/>
    <x v="0"/>
    <x v="2"/>
    <s v="Livrée"/>
    <x v="111"/>
    <n v="524000"/>
    <n v="160000"/>
    <n v="0.23391812865497075"/>
    <x v="5"/>
  </r>
  <r>
    <s v="V00547"/>
    <x v="30"/>
    <s v="CL0072"/>
    <s v="Client 452"/>
    <x v="5"/>
    <s v="Massaguet"/>
    <x v="3"/>
    <x v="17"/>
    <n v="5"/>
    <n v="18900"/>
    <n v="12900"/>
    <x v="0"/>
    <x v="3"/>
    <x v="1"/>
    <s v="Livrée"/>
    <x v="276"/>
    <n v="64500"/>
    <n v="30000"/>
    <n v="0.31746031746031744"/>
    <x v="0"/>
  </r>
  <r>
    <s v="V00548"/>
    <x v="27"/>
    <s v="CL0228"/>
    <s v="Client 249"/>
    <x v="5"/>
    <s v="Massaguet"/>
    <x v="3"/>
    <x v="4"/>
    <n v="7"/>
    <n v="8600"/>
    <n v="5600"/>
    <x v="7"/>
    <x v="0"/>
    <x v="1"/>
    <s v="Annulée"/>
    <x v="67"/>
    <n v="39200"/>
    <n v="21000"/>
    <n v="0.34883720930232559"/>
    <x v="7"/>
  </r>
  <r>
    <s v="V00549"/>
    <x v="278"/>
    <s v="CL0375"/>
    <s v="Client 130"/>
    <x v="2"/>
    <s v="Doba"/>
    <x v="0"/>
    <x v="5"/>
    <n v="6"/>
    <n v="209000"/>
    <n v="160000"/>
    <x v="1"/>
    <x v="3"/>
    <x v="0"/>
    <s v="Livrée"/>
    <x v="277"/>
    <n v="960000"/>
    <n v="294000"/>
    <n v="0.23444976076555024"/>
    <x v="1"/>
  </r>
  <r>
    <s v="V00550"/>
    <x v="105"/>
    <s v="CL0058"/>
    <s v="Client 419"/>
    <x v="3"/>
    <s v="Mao"/>
    <x v="1"/>
    <x v="18"/>
    <n v="5"/>
    <n v="25000"/>
    <n v="16500"/>
    <x v="0"/>
    <x v="0"/>
    <x v="2"/>
    <s v="Livrée"/>
    <x v="278"/>
    <n v="82500"/>
    <n v="42500"/>
    <n v="0.34"/>
    <x v="4"/>
  </r>
  <r>
    <s v="V00551"/>
    <x v="141"/>
    <s v="CL0403"/>
    <s v="Client 319"/>
    <x v="1"/>
    <s v="Abéché"/>
    <x v="1"/>
    <x v="6"/>
    <n v="8"/>
    <n v="11400"/>
    <n v="7300"/>
    <x v="6"/>
    <x v="3"/>
    <x v="1"/>
    <s v="Livrée"/>
    <x v="21"/>
    <n v="58400"/>
    <n v="32800"/>
    <n v="0.35964912280701755"/>
    <x v="4"/>
  </r>
  <r>
    <s v="V00552"/>
    <x v="245"/>
    <s v="CL0036"/>
    <s v="Client 216"/>
    <x v="4"/>
    <s v="Ati"/>
    <x v="3"/>
    <x v="17"/>
    <n v="5"/>
    <n v="17100"/>
    <n v="12100"/>
    <x v="2"/>
    <x v="2"/>
    <x v="2"/>
    <s v="En cours"/>
    <x v="279"/>
    <n v="60500"/>
    <n v="25000"/>
    <n v="0.29239766081871343"/>
    <x v="1"/>
  </r>
  <r>
    <s v="V00553"/>
    <x v="40"/>
    <s v="CL0067"/>
    <s v="Client 398"/>
    <x v="4"/>
    <s v="Ati"/>
    <x v="2"/>
    <x v="2"/>
    <n v="8"/>
    <n v="55000"/>
    <n v="39000"/>
    <x v="1"/>
    <x v="3"/>
    <x v="1"/>
    <s v="Livrée"/>
    <x v="19"/>
    <n v="312000"/>
    <n v="128000"/>
    <n v="0.29090909090909089"/>
    <x v="3"/>
  </r>
  <r>
    <s v="V00554"/>
    <x v="279"/>
    <s v="CL0133"/>
    <s v="Client 194"/>
    <x v="3"/>
    <s v="Mao"/>
    <x v="3"/>
    <x v="4"/>
    <n v="10"/>
    <n v="9400"/>
    <n v="5600"/>
    <x v="4"/>
    <x v="3"/>
    <x v="0"/>
    <s v="Livrée"/>
    <x v="280"/>
    <n v="56000"/>
    <n v="38000"/>
    <n v="0.40425531914893614"/>
    <x v="3"/>
  </r>
  <r>
    <s v="V00555"/>
    <x v="87"/>
    <s v="CL0081"/>
    <s v="Client 087"/>
    <x v="0"/>
    <s v="N'Djamena"/>
    <x v="3"/>
    <x v="8"/>
    <n v="5"/>
    <n v="6300"/>
    <n v="4100"/>
    <x v="0"/>
    <x v="1"/>
    <x v="0"/>
    <s v="En cours"/>
    <x v="195"/>
    <n v="20500"/>
    <n v="11000"/>
    <n v="0.34920634920634919"/>
    <x v="1"/>
  </r>
  <r>
    <s v="V00556"/>
    <x v="123"/>
    <s v="CL0286"/>
    <s v="Client 352"/>
    <x v="6"/>
    <s v="Moundou"/>
    <x v="0"/>
    <x v="0"/>
    <n v="4"/>
    <n v="68200"/>
    <n v="43600"/>
    <x v="3"/>
    <x v="3"/>
    <x v="0"/>
    <s v="Livrée"/>
    <x v="281"/>
    <n v="174400"/>
    <n v="98400"/>
    <n v="0.36070381231671556"/>
    <x v="11"/>
  </r>
  <r>
    <s v="V00557"/>
    <x v="96"/>
    <s v="CL0486"/>
    <s v="Client 296"/>
    <x v="7"/>
    <s v="Bol"/>
    <x v="2"/>
    <x v="2"/>
    <n v="10"/>
    <n v="55000"/>
    <n v="40200"/>
    <x v="0"/>
    <x v="3"/>
    <x v="1"/>
    <s v="Annulée"/>
    <x v="13"/>
    <n v="402000"/>
    <n v="148000"/>
    <n v="0.2690909090909091"/>
    <x v="4"/>
  </r>
  <r>
    <s v="V00558"/>
    <x v="280"/>
    <s v="CL0391"/>
    <s v="Client 221"/>
    <x v="0"/>
    <s v="N'Djamena"/>
    <x v="3"/>
    <x v="8"/>
    <n v="1"/>
    <n v="6000"/>
    <n v="4300"/>
    <x v="7"/>
    <x v="0"/>
    <x v="0"/>
    <s v="Livrée"/>
    <x v="282"/>
    <n v="4300"/>
    <n v="1700"/>
    <n v="0.28333333333333333"/>
    <x v="9"/>
  </r>
  <r>
    <s v="V00559"/>
    <x v="220"/>
    <s v="CL0137"/>
    <s v="Client 269"/>
    <x v="4"/>
    <s v="Ati"/>
    <x v="2"/>
    <x v="13"/>
    <n v="4"/>
    <n v="160000"/>
    <n v="123600"/>
    <x v="0"/>
    <x v="2"/>
    <x v="0"/>
    <s v="Livrée"/>
    <x v="155"/>
    <n v="494400"/>
    <n v="145600"/>
    <n v="0.22750000000000001"/>
    <x v="1"/>
  </r>
  <r>
    <s v="V00560"/>
    <x v="281"/>
    <s v="CL0336"/>
    <s v="Client 484"/>
    <x v="6"/>
    <s v="Moundou"/>
    <x v="1"/>
    <x v="12"/>
    <n v="10"/>
    <n v="30000"/>
    <n v="19000"/>
    <x v="3"/>
    <x v="2"/>
    <x v="0"/>
    <s v="Livrée"/>
    <x v="283"/>
    <n v="190000"/>
    <n v="110000"/>
    <n v="0.36666666666666664"/>
    <x v="2"/>
  </r>
  <r>
    <s v="V00561"/>
    <x v="80"/>
    <s v="CL0478"/>
    <s v="Client 044"/>
    <x v="0"/>
    <s v="N'Djamena"/>
    <x v="2"/>
    <x v="9"/>
    <n v="1"/>
    <n v="189000"/>
    <n v="139000"/>
    <x v="2"/>
    <x v="0"/>
    <x v="1"/>
    <s v="Livrée"/>
    <x v="162"/>
    <n v="139000"/>
    <n v="50000"/>
    <n v="0.26455026455026454"/>
    <x v="9"/>
  </r>
  <r>
    <s v="V00562"/>
    <x v="199"/>
    <s v="CL0022"/>
    <s v="Client 086"/>
    <x v="4"/>
    <s v="Ati"/>
    <x v="2"/>
    <x v="2"/>
    <n v="3"/>
    <n v="55000"/>
    <n v="37800"/>
    <x v="7"/>
    <x v="2"/>
    <x v="2"/>
    <s v="En cours"/>
    <x v="214"/>
    <n v="113400"/>
    <n v="51600"/>
    <n v="0.31272727272727274"/>
    <x v="2"/>
  </r>
  <r>
    <s v="V00563"/>
    <x v="176"/>
    <s v="CL0474"/>
    <s v="Client 213"/>
    <x v="6"/>
    <s v="Pala"/>
    <x v="0"/>
    <x v="5"/>
    <n v="9"/>
    <n v="231000"/>
    <n v="160000"/>
    <x v="7"/>
    <x v="2"/>
    <x v="1"/>
    <s v="Livrée"/>
    <x v="33"/>
    <n v="1440000"/>
    <n v="639000"/>
    <n v="0.30735930735930733"/>
    <x v="9"/>
  </r>
  <r>
    <s v="V00564"/>
    <x v="151"/>
    <s v="CL0466"/>
    <s v="Client 272"/>
    <x v="4"/>
    <s v="Ati"/>
    <x v="2"/>
    <x v="10"/>
    <n v="7"/>
    <n v="450000"/>
    <n v="358900"/>
    <x v="4"/>
    <x v="0"/>
    <x v="1"/>
    <s v="Livrée"/>
    <x v="12"/>
    <n v="2512300"/>
    <n v="637700"/>
    <n v="0.20244444444444445"/>
    <x v="5"/>
  </r>
  <r>
    <s v="V00565"/>
    <x v="34"/>
    <s v="CL0437"/>
    <s v="Client 478"/>
    <x v="0"/>
    <s v="N'Djamena"/>
    <x v="2"/>
    <x v="14"/>
    <n v="10"/>
    <n v="90200"/>
    <n v="70000"/>
    <x v="2"/>
    <x v="2"/>
    <x v="2"/>
    <s v="Annulée"/>
    <x v="42"/>
    <n v="700000"/>
    <n v="202000"/>
    <n v="0.22394678492239467"/>
    <x v="5"/>
  </r>
  <r>
    <s v="V00566"/>
    <x v="126"/>
    <s v="CL0126"/>
    <s v="Client 266"/>
    <x v="0"/>
    <s v="N'Djamena"/>
    <x v="0"/>
    <x v="0"/>
    <n v="6"/>
    <n v="61800"/>
    <n v="45000"/>
    <x v="4"/>
    <x v="1"/>
    <x v="2"/>
    <s v="Livrée"/>
    <x v="284"/>
    <n v="270000"/>
    <n v="100800"/>
    <n v="0.27184466019417475"/>
    <x v="4"/>
  </r>
  <r>
    <s v="V00567"/>
    <x v="91"/>
    <s v="CL0460"/>
    <s v="Client 269"/>
    <x v="0"/>
    <s v="N'Djamena"/>
    <x v="1"/>
    <x v="6"/>
    <n v="8"/>
    <n v="12600"/>
    <n v="7500"/>
    <x v="1"/>
    <x v="2"/>
    <x v="0"/>
    <s v="Livrée"/>
    <x v="163"/>
    <n v="60000"/>
    <n v="40800"/>
    <n v="0.40476190476190477"/>
    <x v="3"/>
  </r>
  <r>
    <s v="V00568"/>
    <x v="282"/>
    <s v="CL0260"/>
    <s v="Client 154"/>
    <x v="0"/>
    <s v="N'Djamena"/>
    <x v="0"/>
    <x v="0"/>
    <n v="1"/>
    <n v="65000"/>
    <n v="43600"/>
    <x v="5"/>
    <x v="2"/>
    <x v="1"/>
    <s v="En cours"/>
    <x v="0"/>
    <n v="43600"/>
    <n v="21400"/>
    <n v="0.32923076923076922"/>
    <x v="5"/>
  </r>
  <r>
    <s v="V00569"/>
    <x v="138"/>
    <s v="CL0485"/>
    <s v="Client 492"/>
    <x v="0"/>
    <s v="N'Djamena"/>
    <x v="0"/>
    <x v="0"/>
    <n v="8"/>
    <n v="61800"/>
    <n v="43600"/>
    <x v="3"/>
    <x v="2"/>
    <x v="0"/>
    <s v="Livrée"/>
    <x v="285"/>
    <n v="348800"/>
    <n v="145600"/>
    <n v="0.29449838187702265"/>
    <x v="6"/>
  </r>
  <r>
    <s v="V00570"/>
    <x v="27"/>
    <s v="CL0478"/>
    <s v="Client 195"/>
    <x v="5"/>
    <s v="Massaguet"/>
    <x v="1"/>
    <x v="18"/>
    <n v="9"/>
    <n v="23800"/>
    <n v="15500"/>
    <x v="0"/>
    <x v="3"/>
    <x v="1"/>
    <s v="Livrée"/>
    <x v="286"/>
    <n v="139500"/>
    <n v="74700"/>
    <n v="0.34873949579831931"/>
    <x v="7"/>
  </r>
  <r>
    <s v="V00571"/>
    <x v="283"/>
    <s v="CL0483"/>
    <s v="Client 240"/>
    <x v="0"/>
    <s v="N'Djamena"/>
    <x v="2"/>
    <x v="2"/>
    <n v="6"/>
    <n v="55000"/>
    <n v="40200"/>
    <x v="6"/>
    <x v="2"/>
    <x v="2"/>
    <s v="Livrée"/>
    <x v="194"/>
    <n v="241200"/>
    <n v="88800"/>
    <n v="0.2690909090909091"/>
    <x v="2"/>
  </r>
  <r>
    <s v="V00572"/>
    <x v="28"/>
    <s v="CL0279"/>
    <s v="Client 019"/>
    <x v="2"/>
    <s v="N'Djamena"/>
    <x v="2"/>
    <x v="10"/>
    <n v="6"/>
    <n v="472500"/>
    <n v="370000"/>
    <x v="3"/>
    <x v="2"/>
    <x v="2"/>
    <s v="Livrée"/>
    <x v="225"/>
    <n v="2220000"/>
    <n v="615000"/>
    <n v="0.21693121693121692"/>
    <x v="9"/>
  </r>
  <r>
    <s v="V00573"/>
    <x v="164"/>
    <s v="CL0327"/>
    <s v="Client 089"/>
    <x v="7"/>
    <s v="Bol"/>
    <x v="3"/>
    <x v="15"/>
    <n v="2"/>
    <n v="8000"/>
    <n v="4800"/>
    <x v="6"/>
    <x v="2"/>
    <x v="0"/>
    <s v="Livrée"/>
    <x v="138"/>
    <n v="9600"/>
    <n v="6400"/>
    <n v="0.4"/>
    <x v="7"/>
  </r>
  <r>
    <s v="V00574"/>
    <x v="204"/>
    <s v="CL0412"/>
    <s v="Client 285"/>
    <x v="0"/>
    <s v="N'Djamena"/>
    <x v="1"/>
    <x v="12"/>
    <n v="5"/>
    <n v="31500"/>
    <n v="19600"/>
    <x v="4"/>
    <x v="2"/>
    <x v="1"/>
    <s v="Livrée"/>
    <x v="147"/>
    <n v="98000"/>
    <n v="59500"/>
    <n v="0.37777777777777777"/>
    <x v="3"/>
  </r>
  <r>
    <s v="V00575"/>
    <x v="284"/>
    <s v="CL0487"/>
    <s v="Client 150"/>
    <x v="2"/>
    <s v="Doba"/>
    <x v="2"/>
    <x v="13"/>
    <n v="3"/>
    <n v="160000"/>
    <n v="120000"/>
    <x v="3"/>
    <x v="2"/>
    <x v="0"/>
    <s v="Annulée"/>
    <x v="143"/>
    <n v="360000"/>
    <n v="120000"/>
    <n v="0.25"/>
    <x v="0"/>
  </r>
  <r>
    <s v="V00576"/>
    <x v="285"/>
    <s v="CL0012"/>
    <s v="Client 159"/>
    <x v="5"/>
    <s v="Massaguet"/>
    <x v="3"/>
    <x v="15"/>
    <n v="4"/>
    <n v="8000"/>
    <n v="5200"/>
    <x v="5"/>
    <x v="3"/>
    <x v="1"/>
    <s v="Annulée"/>
    <x v="29"/>
    <n v="20800"/>
    <n v="11200"/>
    <n v="0.35"/>
    <x v="1"/>
  </r>
  <r>
    <s v="V00577"/>
    <x v="283"/>
    <s v="CL0311"/>
    <s v="Client 355"/>
    <x v="0"/>
    <s v="N'Djamena"/>
    <x v="3"/>
    <x v="3"/>
    <n v="4"/>
    <n v="15000"/>
    <n v="9800"/>
    <x v="6"/>
    <x v="2"/>
    <x v="1"/>
    <s v="Annulée"/>
    <x v="69"/>
    <n v="39200"/>
    <n v="20800"/>
    <n v="0.34666666666666668"/>
    <x v="2"/>
  </r>
  <r>
    <s v="V00578"/>
    <x v="83"/>
    <s v="CL0406"/>
    <s v="Client 047"/>
    <x v="5"/>
    <s v="Massaguet"/>
    <x v="2"/>
    <x v="14"/>
    <n v="7"/>
    <n v="95000"/>
    <n v="70000"/>
    <x v="4"/>
    <x v="3"/>
    <x v="2"/>
    <s v="Livrée"/>
    <x v="116"/>
    <n v="490000"/>
    <n v="175000"/>
    <n v="0.26315789473684209"/>
    <x v="3"/>
  </r>
  <r>
    <s v="V00579"/>
    <x v="68"/>
    <s v="CL0382"/>
    <s v="Client 218"/>
    <x v="0"/>
    <s v="N'Djamena"/>
    <x v="3"/>
    <x v="15"/>
    <n v="3"/>
    <n v="8000"/>
    <n v="5000"/>
    <x v="0"/>
    <x v="1"/>
    <x v="2"/>
    <s v="Livrée"/>
    <x v="191"/>
    <n v="15000"/>
    <n v="9000"/>
    <n v="0.375"/>
    <x v="8"/>
  </r>
  <r>
    <s v="V00580"/>
    <x v="286"/>
    <s v="CL0243"/>
    <s v="Client 138"/>
    <x v="2"/>
    <s v="Doba"/>
    <x v="3"/>
    <x v="15"/>
    <n v="1"/>
    <n v="8000"/>
    <n v="4800"/>
    <x v="4"/>
    <x v="2"/>
    <x v="2"/>
    <s v="Livrée"/>
    <x v="221"/>
    <n v="4800"/>
    <n v="3200"/>
    <n v="0.4"/>
    <x v="9"/>
  </r>
  <r>
    <s v="V00581"/>
    <x v="287"/>
    <s v="CL0476"/>
    <s v="Client 222"/>
    <x v="6"/>
    <s v="Moundou"/>
    <x v="3"/>
    <x v="4"/>
    <n v="5"/>
    <n v="9000"/>
    <n v="6000"/>
    <x v="7"/>
    <x v="3"/>
    <x v="1"/>
    <s v="Annulée"/>
    <x v="128"/>
    <n v="30000"/>
    <n v="15000"/>
    <n v="0.33333333333333331"/>
    <x v="7"/>
  </r>
  <r>
    <s v="V00582"/>
    <x v="8"/>
    <s v="CL0214"/>
    <s v="Client 045"/>
    <x v="4"/>
    <s v="Ati"/>
    <x v="1"/>
    <x v="6"/>
    <n v="4"/>
    <n v="12000"/>
    <n v="7700"/>
    <x v="6"/>
    <x v="0"/>
    <x v="2"/>
    <s v="Livrée"/>
    <x v="36"/>
    <n v="30800"/>
    <n v="17200"/>
    <n v="0.35833333333333334"/>
    <x v="4"/>
  </r>
  <r>
    <s v="V00583"/>
    <x v="288"/>
    <s v="CL0098"/>
    <s v="Client 189"/>
    <x v="0"/>
    <s v="N'Djamena"/>
    <x v="0"/>
    <x v="5"/>
    <n v="2"/>
    <n v="220000"/>
    <n v="164800"/>
    <x v="5"/>
    <x v="2"/>
    <x v="0"/>
    <s v="Livrée"/>
    <x v="19"/>
    <n v="329600"/>
    <n v="110400"/>
    <n v="0.25090909090909091"/>
    <x v="7"/>
  </r>
  <r>
    <s v="V00584"/>
    <x v="230"/>
    <s v="CL0030"/>
    <s v="Client 397"/>
    <x v="0"/>
    <s v="N'Djamena"/>
    <x v="2"/>
    <x v="10"/>
    <n v="1"/>
    <n v="472500"/>
    <n v="381100"/>
    <x v="1"/>
    <x v="2"/>
    <x v="1"/>
    <s v="Annulée"/>
    <x v="218"/>
    <n v="381100"/>
    <n v="91400"/>
    <n v="0.19343915343915344"/>
    <x v="1"/>
  </r>
  <r>
    <s v="V00585"/>
    <x v="18"/>
    <s v="CL0382"/>
    <s v="Client 181"/>
    <x v="7"/>
    <s v="Bol"/>
    <x v="3"/>
    <x v="4"/>
    <n v="10"/>
    <n v="9000"/>
    <n v="5800"/>
    <x v="1"/>
    <x v="2"/>
    <x v="2"/>
    <s v="Livrée"/>
    <x v="185"/>
    <n v="58000"/>
    <n v="32000"/>
    <n v="0.35555555555555557"/>
    <x v="8"/>
  </r>
  <r>
    <s v="V00586"/>
    <x v="200"/>
    <s v="CL0453"/>
    <s v="Client 391"/>
    <x v="2"/>
    <s v="Doba"/>
    <x v="2"/>
    <x v="14"/>
    <n v="6"/>
    <n v="95000"/>
    <n v="67900"/>
    <x v="6"/>
    <x v="0"/>
    <x v="0"/>
    <s v="Livrée"/>
    <x v="41"/>
    <n v="407400"/>
    <n v="162600"/>
    <n v="0.28526315789473683"/>
    <x v="2"/>
  </r>
  <r>
    <s v="V00587"/>
    <x v="54"/>
    <s v="CL0271"/>
    <s v="Client 133"/>
    <x v="4"/>
    <s v="Ati"/>
    <x v="2"/>
    <x v="2"/>
    <n v="6"/>
    <n v="57800"/>
    <n v="39000"/>
    <x v="4"/>
    <x v="1"/>
    <x v="0"/>
    <s v="Annulée"/>
    <x v="247"/>
    <n v="234000"/>
    <n v="112800"/>
    <n v="0.32525951557093424"/>
    <x v="8"/>
  </r>
  <r>
    <s v="V00588"/>
    <x v="289"/>
    <s v="CL0222"/>
    <s v="Client 417"/>
    <x v="1"/>
    <s v="Abéché"/>
    <x v="1"/>
    <x v="6"/>
    <n v="6"/>
    <n v="12000"/>
    <n v="7700"/>
    <x v="6"/>
    <x v="0"/>
    <x v="0"/>
    <s v="En cours"/>
    <x v="196"/>
    <n v="46200"/>
    <n v="25800"/>
    <n v="0.35833333333333334"/>
    <x v="9"/>
  </r>
  <r>
    <s v="V00589"/>
    <x v="15"/>
    <s v="CL0210"/>
    <s v="Client 183"/>
    <x v="2"/>
    <s v="Doba"/>
    <x v="1"/>
    <x v="12"/>
    <n v="6"/>
    <n v="30000"/>
    <n v="19600"/>
    <x v="7"/>
    <x v="1"/>
    <x v="0"/>
    <s v="Livrée"/>
    <x v="88"/>
    <n v="117600"/>
    <n v="62400"/>
    <n v="0.34666666666666668"/>
    <x v="4"/>
  </r>
  <r>
    <s v="V00590"/>
    <x v="0"/>
    <s v="CL0123"/>
    <s v="Client 456"/>
    <x v="2"/>
    <s v="Doba"/>
    <x v="0"/>
    <x v="0"/>
    <n v="7"/>
    <n v="61800"/>
    <n v="43600"/>
    <x v="2"/>
    <x v="3"/>
    <x v="1"/>
    <s v="En cours"/>
    <x v="287"/>
    <n v="305200"/>
    <n v="127400"/>
    <n v="0.29449838187702265"/>
    <x v="0"/>
  </r>
  <r>
    <s v="V00591"/>
    <x v="142"/>
    <s v="CL0253"/>
    <s v="Client 326"/>
    <x v="0"/>
    <s v="N'Djamena"/>
    <x v="0"/>
    <x v="0"/>
    <n v="5"/>
    <n v="68200"/>
    <n v="43600"/>
    <x v="7"/>
    <x v="1"/>
    <x v="2"/>
    <s v="Livrée"/>
    <x v="288"/>
    <n v="218000"/>
    <n v="123000"/>
    <n v="0.36070381231671556"/>
    <x v="3"/>
  </r>
  <r>
    <s v="V00592"/>
    <x v="32"/>
    <s v="CL0415"/>
    <s v="Client 157"/>
    <x v="0"/>
    <s v="N'Djamena"/>
    <x v="0"/>
    <x v="16"/>
    <n v="8"/>
    <n v="133000"/>
    <n v="97000"/>
    <x v="0"/>
    <x v="0"/>
    <x v="1"/>
    <s v="Annulée"/>
    <x v="92"/>
    <n v="776000"/>
    <n v="288000"/>
    <n v="0.27067669172932329"/>
    <x v="1"/>
  </r>
  <r>
    <s v="V00593"/>
    <x v="186"/>
    <s v="CL0464"/>
    <s v="Client 447"/>
    <x v="6"/>
    <s v="Pala"/>
    <x v="0"/>
    <x v="11"/>
    <n v="7"/>
    <n v="85000"/>
    <n v="60100"/>
    <x v="6"/>
    <x v="2"/>
    <x v="0"/>
    <s v="Livrée"/>
    <x v="199"/>
    <n v="420700"/>
    <n v="174300"/>
    <n v="0.29294117647058826"/>
    <x v="4"/>
  </r>
  <r>
    <s v="V00594"/>
    <x v="237"/>
    <s v="CL0045"/>
    <s v="Client 324"/>
    <x v="1"/>
    <s v="Abéché"/>
    <x v="0"/>
    <x v="16"/>
    <n v="8"/>
    <n v="147000"/>
    <n v="97000"/>
    <x v="0"/>
    <x v="1"/>
    <x v="2"/>
    <s v="Livrée"/>
    <x v="117"/>
    <n v="776000"/>
    <n v="400000"/>
    <n v="0.3401360544217687"/>
    <x v="4"/>
  </r>
  <r>
    <s v="V00595"/>
    <x v="221"/>
    <s v="CL0310"/>
    <s v="Client 418"/>
    <x v="6"/>
    <s v="Pala"/>
    <x v="2"/>
    <x v="9"/>
    <n v="7"/>
    <n v="180000"/>
    <n v="135000"/>
    <x v="3"/>
    <x v="2"/>
    <x v="0"/>
    <s v="Livrée"/>
    <x v="94"/>
    <n v="945000"/>
    <n v="315000"/>
    <n v="0.25"/>
    <x v="11"/>
  </r>
  <r>
    <s v="V00596"/>
    <x v="132"/>
    <s v="CL0198"/>
    <s v="Client 253"/>
    <x v="5"/>
    <s v="Massaguet"/>
    <x v="1"/>
    <x v="7"/>
    <n v="3"/>
    <n v="9500"/>
    <n v="6000"/>
    <x v="7"/>
    <x v="1"/>
    <x v="0"/>
    <s v="Livrée"/>
    <x v="175"/>
    <n v="18000"/>
    <n v="10500"/>
    <n v="0.36842105263157893"/>
    <x v="6"/>
  </r>
  <r>
    <s v="V00597"/>
    <x v="110"/>
    <s v="CL0050"/>
    <s v="Client 476"/>
    <x v="0"/>
    <s v="N'Djamena"/>
    <x v="1"/>
    <x v="7"/>
    <n v="1"/>
    <n v="10500"/>
    <n v="6200"/>
    <x v="0"/>
    <x v="3"/>
    <x v="0"/>
    <s v="Annulée"/>
    <x v="289"/>
    <n v="6200"/>
    <n v="4300"/>
    <n v="0.40952380952380951"/>
    <x v="2"/>
  </r>
  <r>
    <s v="V00598"/>
    <x v="70"/>
    <s v="CL0208"/>
    <s v="Client 180"/>
    <x v="1"/>
    <s v="Abéché"/>
    <x v="1"/>
    <x v="1"/>
    <n v="9"/>
    <n v="7000"/>
    <n v="3900"/>
    <x v="1"/>
    <x v="2"/>
    <x v="0"/>
    <s v="Annulée"/>
    <x v="74"/>
    <n v="35100"/>
    <n v="27900"/>
    <n v="0.44285714285714284"/>
    <x v="11"/>
  </r>
  <r>
    <s v="V00599"/>
    <x v="276"/>
    <s v="CL0014"/>
    <s v="Client 157"/>
    <x v="4"/>
    <s v="Ati"/>
    <x v="1"/>
    <x v="1"/>
    <n v="4"/>
    <n v="7400"/>
    <n v="4100"/>
    <x v="5"/>
    <x v="1"/>
    <x v="0"/>
    <s v="Livrée"/>
    <x v="290"/>
    <n v="16400"/>
    <n v="13200"/>
    <n v="0.44594594594594594"/>
    <x v="2"/>
  </r>
  <r>
    <s v="V00600"/>
    <x v="49"/>
    <s v="CL0203"/>
    <s v="Client 008"/>
    <x v="5"/>
    <s v="Massaguet"/>
    <x v="0"/>
    <x v="16"/>
    <n v="3"/>
    <n v="140000"/>
    <n v="97000"/>
    <x v="2"/>
    <x v="3"/>
    <x v="0"/>
    <s v="Livrée"/>
    <x v="291"/>
    <n v="291000"/>
    <n v="129000"/>
    <n v="0.30714285714285716"/>
    <x v="11"/>
  </r>
  <r>
    <s v="V00601"/>
    <x v="85"/>
    <s v="CL0439"/>
    <s v="Client 390"/>
    <x v="0"/>
    <s v="N'Djamena"/>
    <x v="2"/>
    <x v="2"/>
    <n v="1"/>
    <n v="55000"/>
    <n v="39000"/>
    <x v="5"/>
    <x v="2"/>
    <x v="0"/>
    <s v="Annulée"/>
    <x v="2"/>
    <n v="39000"/>
    <n v="16000"/>
    <n v="0.29090909090909089"/>
    <x v="2"/>
  </r>
  <r>
    <s v="V00602"/>
    <x v="115"/>
    <s v="CL0276"/>
    <s v="Client 462"/>
    <x v="1"/>
    <s v="Abéché"/>
    <x v="2"/>
    <x v="14"/>
    <n v="7"/>
    <n v="99800"/>
    <n v="72100"/>
    <x v="1"/>
    <x v="3"/>
    <x v="2"/>
    <s v="Livrée"/>
    <x v="292"/>
    <n v="504700"/>
    <n v="193900"/>
    <n v="0.27755511022044088"/>
    <x v="9"/>
  </r>
  <r>
    <s v="V00603"/>
    <x v="223"/>
    <s v="CL0211"/>
    <s v="Client 455"/>
    <x v="7"/>
    <s v="Bol"/>
    <x v="0"/>
    <x v="0"/>
    <n v="8"/>
    <n v="65000"/>
    <n v="46400"/>
    <x v="3"/>
    <x v="3"/>
    <x v="2"/>
    <s v="Livrée"/>
    <x v="11"/>
    <n v="371200"/>
    <n v="148800"/>
    <n v="0.28615384615384615"/>
    <x v="9"/>
  </r>
  <r>
    <s v="V00604"/>
    <x v="88"/>
    <s v="CL0345"/>
    <s v="Client 182"/>
    <x v="5"/>
    <s v="Massaguet"/>
    <x v="0"/>
    <x v="5"/>
    <n v="7"/>
    <n v="220000"/>
    <n v="155200"/>
    <x v="5"/>
    <x v="0"/>
    <x v="1"/>
    <s v="Livrée"/>
    <x v="251"/>
    <n v="1086400"/>
    <n v="453600"/>
    <n v="0.29454545454545455"/>
    <x v="7"/>
  </r>
  <r>
    <s v="V00605"/>
    <x v="63"/>
    <s v="CL0013"/>
    <s v="Client 158"/>
    <x v="6"/>
    <s v="Moundou"/>
    <x v="2"/>
    <x v="10"/>
    <n v="10"/>
    <n v="450000"/>
    <n v="381100"/>
    <x v="6"/>
    <x v="3"/>
    <x v="1"/>
    <s v="Livrée"/>
    <x v="261"/>
    <n v="3811000"/>
    <n v="689000"/>
    <n v="0.15311111111111111"/>
    <x v="11"/>
  </r>
  <r>
    <s v="V00606"/>
    <x v="240"/>
    <s v="CL0115"/>
    <s v="Client 006"/>
    <x v="0"/>
    <s v="N'Djamena"/>
    <x v="2"/>
    <x v="2"/>
    <n v="4"/>
    <n v="57800"/>
    <n v="37800"/>
    <x v="5"/>
    <x v="2"/>
    <x v="1"/>
    <s v="En cours"/>
    <x v="216"/>
    <n v="151200"/>
    <n v="80000"/>
    <n v="0.34602076124567471"/>
    <x v="9"/>
  </r>
  <r>
    <s v="V00607"/>
    <x v="140"/>
    <s v="CL0096"/>
    <s v="Client 085"/>
    <x v="0"/>
    <s v="N'Djamena"/>
    <x v="2"/>
    <x v="9"/>
    <n v="6"/>
    <n v="189000"/>
    <n v="135000"/>
    <x v="0"/>
    <x v="2"/>
    <x v="1"/>
    <s v="Livrée"/>
    <x v="39"/>
    <n v="810000"/>
    <n v="324000"/>
    <n v="0.2857142857142857"/>
    <x v="3"/>
  </r>
  <r>
    <s v="V00608"/>
    <x v="242"/>
    <s v="CL0323"/>
    <s v="Client 429"/>
    <x v="4"/>
    <s v="Ati"/>
    <x v="3"/>
    <x v="4"/>
    <n v="8"/>
    <n v="9000"/>
    <n v="5600"/>
    <x v="2"/>
    <x v="2"/>
    <x v="0"/>
    <s v="Annulée"/>
    <x v="196"/>
    <n v="44800"/>
    <n v="27200"/>
    <n v="0.37777777777777777"/>
    <x v="11"/>
  </r>
  <r>
    <s v="V00609"/>
    <x v="215"/>
    <s v="CL0308"/>
    <s v="Client 395"/>
    <x v="3"/>
    <s v="Mao"/>
    <x v="1"/>
    <x v="12"/>
    <n v="5"/>
    <n v="30000"/>
    <n v="19600"/>
    <x v="4"/>
    <x v="3"/>
    <x v="1"/>
    <s v="Livrée"/>
    <x v="145"/>
    <n v="98000"/>
    <n v="52000"/>
    <n v="0.34666666666666668"/>
    <x v="0"/>
  </r>
  <r>
    <s v="V00610"/>
    <x v="10"/>
    <s v="CL0350"/>
    <s v="Client 278"/>
    <x v="5"/>
    <s v="Massaguet"/>
    <x v="2"/>
    <x v="9"/>
    <n v="5"/>
    <n v="180000"/>
    <n v="131000"/>
    <x v="1"/>
    <x v="3"/>
    <x v="1"/>
    <s v="Livrée"/>
    <x v="101"/>
    <n v="655000"/>
    <n v="245000"/>
    <n v="0.2722222222222222"/>
    <x v="1"/>
  </r>
  <r>
    <s v="V00611"/>
    <x v="267"/>
    <s v="CL0403"/>
    <s v="Client 418"/>
    <x v="0"/>
    <s v="N'Djamena"/>
    <x v="0"/>
    <x v="0"/>
    <n v="9"/>
    <n v="65000"/>
    <n v="43600"/>
    <x v="7"/>
    <x v="2"/>
    <x v="2"/>
    <s v="Livrée"/>
    <x v="293"/>
    <n v="392400"/>
    <n v="192600"/>
    <n v="0.32923076923076922"/>
    <x v="1"/>
  </r>
  <r>
    <s v="V00612"/>
    <x v="4"/>
    <s v="CL0087"/>
    <s v="Client 181"/>
    <x v="1"/>
    <s v="Abéché"/>
    <x v="2"/>
    <x v="9"/>
    <n v="3"/>
    <n v="180000"/>
    <n v="139000"/>
    <x v="4"/>
    <x v="0"/>
    <x v="0"/>
    <s v="Livrée"/>
    <x v="254"/>
    <n v="417000"/>
    <n v="123000"/>
    <n v="0.22777777777777777"/>
    <x v="4"/>
  </r>
  <r>
    <s v="V00613"/>
    <x v="290"/>
    <s v="CL0101"/>
    <s v="Client 430"/>
    <x v="0"/>
    <s v="N'Djamena"/>
    <x v="2"/>
    <x v="9"/>
    <n v="3"/>
    <n v="189000"/>
    <n v="131000"/>
    <x v="5"/>
    <x v="2"/>
    <x v="2"/>
    <s v="Annulée"/>
    <x v="10"/>
    <n v="393000"/>
    <n v="174000"/>
    <n v="0.30687830687830686"/>
    <x v="11"/>
  </r>
  <r>
    <s v="V00614"/>
    <x v="4"/>
    <s v="CL0045"/>
    <s v="Client 119"/>
    <x v="6"/>
    <s v="Pala"/>
    <x v="2"/>
    <x v="13"/>
    <n v="10"/>
    <n v="160000"/>
    <n v="123600"/>
    <x v="5"/>
    <x v="2"/>
    <x v="1"/>
    <s v="Livrée"/>
    <x v="132"/>
    <n v="1236000"/>
    <n v="364000"/>
    <n v="0.22750000000000001"/>
    <x v="4"/>
  </r>
  <r>
    <s v="V00615"/>
    <x v="182"/>
    <s v="CL0185"/>
    <s v="Client 406"/>
    <x v="0"/>
    <s v="N'Djamena"/>
    <x v="3"/>
    <x v="15"/>
    <n v="9"/>
    <n v="8000"/>
    <n v="5200"/>
    <x v="5"/>
    <x v="3"/>
    <x v="0"/>
    <s v="En cours"/>
    <x v="196"/>
    <n v="46800"/>
    <n v="25200"/>
    <n v="0.35"/>
    <x v="5"/>
  </r>
  <r>
    <s v="V00616"/>
    <x v="291"/>
    <s v="CL0040"/>
    <s v="Client 352"/>
    <x v="7"/>
    <s v="Bol"/>
    <x v="3"/>
    <x v="15"/>
    <n v="5"/>
    <n v="8000"/>
    <n v="4800"/>
    <x v="0"/>
    <x v="2"/>
    <x v="1"/>
    <s v="Livrée"/>
    <x v="294"/>
    <n v="24000"/>
    <n v="16000"/>
    <n v="0.4"/>
    <x v="6"/>
  </r>
  <r>
    <s v="V00617"/>
    <x v="176"/>
    <s v="CL0220"/>
    <s v="Client 172"/>
    <x v="6"/>
    <s v="Moundou"/>
    <x v="2"/>
    <x v="10"/>
    <n v="7"/>
    <n v="450000"/>
    <n v="370000"/>
    <x v="6"/>
    <x v="2"/>
    <x v="0"/>
    <s v="Livrée"/>
    <x v="12"/>
    <n v="2590000"/>
    <n v="560000"/>
    <n v="0.17777777777777778"/>
    <x v="9"/>
  </r>
  <r>
    <s v="V00618"/>
    <x v="105"/>
    <s v="CL0046"/>
    <s v="Client 175"/>
    <x v="0"/>
    <s v="N'Djamena"/>
    <x v="1"/>
    <x v="7"/>
    <n v="10"/>
    <n v="10000"/>
    <n v="6200"/>
    <x v="0"/>
    <x v="2"/>
    <x v="1"/>
    <s v="Livrée"/>
    <x v="8"/>
    <n v="62000"/>
    <n v="38000"/>
    <n v="0.38"/>
    <x v="4"/>
  </r>
  <r>
    <s v="V00619"/>
    <x v="292"/>
    <s v="CL0454"/>
    <s v="Client 206"/>
    <x v="4"/>
    <s v="Ati"/>
    <x v="2"/>
    <x v="2"/>
    <n v="10"/>
    <n v="55000"/>
    <n v="39000"/>
    <x v="7"/>
    <x v="2"/>
    <x v="0"/>
    <s v="Livrée"/>
    <x v="13"/>
    <n v="390000"/>
    <n v="160000"/>
    <n v="0.29090909090909089"/>
    <x v="8"/>
  </r>
  <r>
    <s v="V00620"/>
    <x v="284"/>
    <s v="CL0289"/>
    <s v="Client 465"/>
    <x v="6"/>
    <s v="Pala"/>
    <x v="1"/>
    <x v="6"/>
    <n v="1"/>
    <n v="12600"/>
    <n v="7500"/>
    <x v="5"/>
    <x v="2"/>
    <x v="1"/>
    <s v="Livrée"/>
    <x v="295"/>
    <n v="7500"/>
    <n v="5100"/>
    <n v="0.40476190476190477"/>
    <x v="0"/>
  </r>
  <r>
    <s v="V00621"/>
    <x v="74"/>
    <s v="CL0179"/>
    <s v="Client 015"/>
    <x v="6"/>
    <s v="Pala"/>
    <x v="2"/>
    <x v="9"/>
    <n v="4"/>
    <n v="180000"/>
    <n v="131000"/>
    <x v="5"/>
    <x v="2"/>
    <x v="0"/>
    <s v="Livrée"/>
    <x v="169"/>
    <n v="524000"/>
    <n v="196000"/>
    <n v="0.2722222222222222"/>
    <x v="7"/>
  </r>
  <r>
    <s v="V00622"/>
    <x v="293"/>
    <s v="CL0323"/>
    <s v="Client 150"/>
    <x v="2"/>
    <s v="Doba"/>
    <x v="2"/>
    <x v="14"/>
    <n v="3"/>
    <n v="90200"/>
    <n v="70000"/>
    <x v="5"/>
    <x v="3"/>
    <x v="0"/>
    <s v="Annulée"/>
    <x v="253"/>
    <n v="210000"/>
    <n v="60600"/>
    <n v="0.22394678492239467"/>
    <x v="4"/>
  </r>
  <r>
    <s v="V00623"/>
    <x v="159"/>
    <s v="CL0035"/>
    <s v="Client 112"/>
    <x v="0"/>
    <s v="N'Djamena"/>
    <x v="3"/>
    <x v="4"/>
    <n v="7"/>
    <n v="8600"/>
    <n v="6000"/>
    <x v="3"/>
    <x v="3"/>
    <x v="0"/>
    <s v="Livrée"/>
    <x v="67"/>
    <n v="42000"/>
    <n v="18200"/>
    <n v="0.30232558139534882"/>
    <x v="1"/>
  </r>
  <r>
    <s v="V00624"/>
    <x v="1"/>
    <s v="CL0223"/>
    <s v="Client 422"/>
    <x v="2"/>
    <s v="Doba"/>
    <x v="1"/>
    <x v="12"/>
    <n v="8"/>
    <n v="28500"/>
    <n v="18400"/>
    <x v="7"/>
    <x v="2"/>
    <x v="0"/>
    <s v="Livrée"/>
    <x v="296"/>
    <n v="147200"/>
    <n v="80800"/>
    <n v="0.35438596491228069"/>
    <x v="1"/>
  </r>
  <r>
    <s v="V00625"/>
    <x v="50"/>
    <s v="CL0212"/>
    <s v="Client 032"/>
    <x v="0"/>
    <s v="N'Djamena"/>
    <x v="1"/>
    <x v="12"/>
    <n v="9"/>
    <n v="28500"/>
    <n v="19600"/>
    <x v="0"/>
    <x v="2"/>
    <x v="1"/>
    <s v="En cours"/>
    <x v="268"/>
    <n v="176400"/>
    <n v="80100"/>
    <n v="0.31228070175438599"/>
    <x v="2"/>
  </r>
  <r>
    <s v="V00626"/>
    <x v="217"/>
    <s v="CL0154"/>
    <s v="Client 210"/>
    <x v="0"/>
    <s v="N'Djamena"/>
    <x v="1"/>
    <x v="18"/>
    <n v="5"/>
    <n v="25000"/>
    <n v="16000"/>
    <x v="1"/>
    <x v="0"/>
    <x v="0"/>
    <s v="Livrée"/>
    <x v="278"/>
    <n v="80000"/>
    <n v="45000"/>
    <n v="0.36"/>
    <x v="1"/>
  </r>
  <r>
    <s v="V00627"/>
    <x v="69"/>
    <s v="CL0152"/>
    <s v="Client 171"/>
    <x v="5"/>
    <s v="Massaguet"/>
    <x v="1"/>
    <x v="18"/>
    <n v="5"/>
    <n v="25000"/>
    <n v="15500"/>
    <x v="5"/>
    <x v="2"/>
    <x v="2"/>
    <s v="En cours"/>
    <x v="278"/>
    <n v="77500"/>
    <n v="47500"/>
    <n v="0.38"/>
    <x v="11"/>
  </r>
  <r>
    <s v="V00628"/>
    <x v="294"/>
    <s v="CL0137"/>
    <s v="Client 227"/>
    <x v="6"/>
    <s v="Moundou"/>
    <x v="3"/>
    <x v="8"/>
    <n v="8"/>
    <n v="6300"/>
    <n v="4300"/>
    <x v="2"/>
    <x v="3"/>
    <x v="2"/>
    <s v="Livrée"/>
    <x v="297"/>
    <n v="34400"/>
    <n v="16000"/>
    <n v="0.31746031746031744"/>
    <x v="9"/>
  </r>
  <r>
    <s v="V00629"/>
    <x v="207"/>
    <s v="CL0268"/>
    <s v="Client 057"/>
    <x v="6"/>
    <s v="Pala"/>
    <x v="0"/>
    <x v="11"/>
    <n v="10"/>
    <n v="80800"/>
    <n v="60100"/>
    <x v="1"/>
    <x v="0"/>
    <x v="1"/>
    <s v="Livrée"/>
    <x v="227"/>
    <n v="601000"/>
    <n v="207000"/>
    <n v="0.25618811881188119"/>
    <x v="4"/>
  </r>
  <r>
    <s v="V00630"/>
    <x v="222"/>
    <s v="CL0242"/>
    <s v="Client 185"/>
    <x v="0"/>
    <s v="N'Djamena"/>
    <x v="3"/>
    <x v="8"/>
    <n v="6"/>
    <n v="6300"/>
    <n v="4200"/>
    <x v="1"/>
    <x v="3"/>
    <x v="2"/>
    <s v="En cours"/>
    <x v="58"/>
    <n v="25200"/>
    <n v="12600"/>
    <n v="0.33333333333333331"/>
    <x v="10"/>
  </r>
  <r>
    <s v="V00631"/>
    <x v="68"/>
    <s v="CL0051"/>
    <s v="Client 156"/>
    <x v="0"/>
    <s v="N'Djamena"/>
    <x v="1"/>
    <x v="6"/>
    <n v="1"/>
    <n v="11400"/>
    <n v="7300"/>
    <x v="4"/>
    <x v="3"/>
    <x v="1"/>
    <s v="Livrée"/>
    <x v="298"/>
    <n v="7300"/>
    <n v="4100"/>
    <n v="0.35964912280701755"/>
    <x v="8"/>
  </r>
  <r>
    <s v="V00632"/>
    <x v="139"/>
    <s v="CL0368"/>
    <s v="Client 497"/>
    <x v="0"/>
    <s v="N'Djamena"/>
    <x v="1"/>
    <x v="6"/>
    <n v="1"/>
    <n v="12000"/>
    <n v="7500"/>
    <x v="1"/>
    <x v="2"/>
    <x v="0"/>
    <s v="Livrée"/>
    <x v="22"/>
    <n v="7500"/>
    <n v="4500"/>
    <n v="0.375"/>
    <x v="9"/>
  </r>
  <r>
    <s v="V00633"/>
    <x v="295"/>
    <s v="CL0405"/>
    <s v="Client 154"/>
    <x v="0"/>
    <s v="N'Djamena"/>
    <x v="0"/>
    <x v="11"/>
    <n v="8"/>
    <n v="85000"/>
    <n v="62000"/>
    <x v="5"/>
    <x v="2"/>
    <x v="0"/>
    <s v="Livrée"/>
    <x v="64"/>
    <n v="496000"/>
    <n v="184000"/>
    <n v="0.27058823529411763"/>
    <x v="6"/>
  </r>
  <r>
    <s v="V00634"/>
    <x v="296"/>
    <s v="CL0143"/>
    <s v="Client 229"/>
    <x v="5"/>
    <s v="Massaguet"/>
    <x v="1"/>
    <x v="6"/>
    <n v="9"/>
    <n v="12600"/>
    <n v="7700"/>
    <x v="2"/>
    <x v="0"/>
    <x v="2"/>
    <s v="Livrée"/>
    <x v="244"/>
    <n v="69300"/>
    <n v="44100"/>
    <n v="0.3888888888888889"/>
    <x v="2"/>
  </r>
  <r>
    <s v="V00635"/>
    <x v="12"/>
    <s v="CL0112"/>
    <s v="Client 277"/>
    <x v="0"/>
    <s v="N'Djamena"/>
    <x v="0"/>
    <x v="11"/>
    <n v="4"/>
    <n v="80800"/>
    <n v="63900"/>
    <x v="3"/>
    <x v="0"/>
    <x v="0"/>
    <s v="Livrée"/>
    <x v="217"/>
    <n v="255600"/>
    <n v="67600"/>
    <n v="0.20915841584158415"/>
    <x v="7"/>
  </r>
  <r>
    <s v="V00636"/>
    <x v="133"/>
    <s v="CL0316"/>
    <s v="Client 260"/>
    <x v="0"/>
    <s v="N'Djamena"/>
    <x v="3"/>
    <x v="17"/>
    <n v="10"/>
    <n v="18000"/>
    <n v="12100"/>
    <x v="3"/>
    <x v="2"/>
    <x v="1"/>
    <s v="Livrée"/>
    <x v="88"/>
    <n v="121000"/>
    <n v="59000"/>
    <n v="0.32777777777777778"/>
    <x v="8"/>
  </r>
  <r>
    <s v="V00637"/>
    <x v="178"/>
    <s v="CL0492"/>
    <s v="Client 038"/>
    <x v="0"/>
    <s v="N'Djamena"/>
    <x v="2"/>
    <x v="2"/>
    <n v="10"/>
    <n v="57800"/>
    <n v="37800"/>
    <x v="2"/>
    <x v="0"/>
    <x v="0"/>
    <s v="Livrée"/>
    <x v="136"/>
    <n v="378000"/>
    <n v="200000"/>
    <n v="0.34602076124567471"/>
    <x v="3"/>
  </r>
  <r>
    <s v="V00638"/>
    <x v="16"/>
    <s v="CL0488"/>
    <s v="Client 188"/>
    <x v="0"/>
    <s v="N'Djamena"/>
    <x v="2"/>
    <x v="13"/>
    <n v="10"/>
    <n v="160000"/>
    <n v="116400"/>
    <x v="5"/>
    <x v="1"/>
    <x v="1"/>
    <s v="Livrée"/>
    <x v="132"/>
    <n v="1164000"/>
    <n v="436000"/>
    <n v="0.27250000000000002"/>
    <x v="6"/>
  </r>
  <r>
    <s v="V00640"/>
    <x v="74"/>
    <s v="CL0084"/>
    <s v="Client 309"/>
    <x v="5"/>
    <s v="Massaguet"/>
    <x v="1"/>
    <x v="1"/>
    <n v="5"/>
    <n v="7000"/>
    <n v="4000"/>
    <x v="1"/>
    <x v="3"/>
    <x v="0"/>
    <s v="Livrée"/>
    <x v="241"/>
    <n v="20000"/>
    <n v="15000"/>
    <n v="0.42857142857142855"/>
    <x v="7"/>
  </r>
  <r>
    <s v="V00641"/>
    <x v="39"/>
    <s v="CL0199"/>
    <s v="Client 161"/>
    <x v="5"/>
    <s v="Massaguet"/>
    <x v="0"/>
    <x v="0"/>
    <n v="2"/>
    <n v="68200"/>
    <n v="43600"/>
    <x v="3"/>
    <x v="2"/>
    <x v="0"/>
    <s v="Livrée"/>
    <x v="258"/>
    <n v="87200"/>
    <n v="49200"/>
    <n v="0.36070381231671556"/>
    <x v="3"/>
  </r>
  <r>
    <s v="V00642"/>
    <x v="297"/>
    <s v="CL0033"/>
    <s v="Client 400"/>
    <x v="2"/>
    <s v="Doba"/>
    <x v="1"/>
    <x v="18"/>
    <n v="8"/>
    <n v="25000"/>
    <n v="15500"/>
    <x v="5"/>
    <x v="3"/>
    <x v="1"/>
    <s v="Livrée"/>
    <x v="164"/>
    <n v="124000"/>
    <n v="76000"/>
    <n v="0.38"/>
    <x v="3"/>
  </r>
  <r>
    <s v="V00643"/>
    <x v="107"/>
    <s v="CL0189"/>
    <s v="Client 492"/>
    <x v="0"/>
    <s v="N'Djamena"/>
    <x v="1"/>
    <x v="18"/>
    <n v="8"/>
    <n v="23800"/>
    <n v="15500"/>
    <x v="7"/>
    <x v="1"/>
    <x v="2"/>
    <s v="Livrée"/>
    <x v="299"/>
    <n v="124000"/>
    <n v="66400"/>
    <n v="0.34873949579831931"/>
    <x v="6"/>
  </r>
  <r>
    <s v="V00644"/>
    <x v="128"/>
    <s v="CL0284"/>
    <s v="Client 094"/>
    <x v="3"/>
    <s v="Mao"/>
    <x v="3"/>
    <x v="3"/>
    <n v="7"/>
    <n v="15000"/>
    <n v="9500"/>
    <x v="3"/>
    <x v="3"/>
    <x v="1"/>
    <s v="En cours"/>
    <x v="65"/>
    <n v="66500"/>
    <n v="38500"/>
    <n v="0.36666666666666664"/>
    <x v="6"/>
  </r>
  <r>
    <s v="V00645"/>
    <x v="112"/>
    <s v="CL0018"/>
    <s v="Client 422"/>
    <x v="6"/>
    <s v="Pala"/>
    <x v="3"/>
    <x v="8"/>
    <n v="10"/>
    <n v="6000"/>
    <n v="4300"/>
    <x v="3"/>
    <x v="2"/>
    <x v="1"/>
    <s v="Livrée"/>
    <x v="69"/>
    <n v="43000"/>
    <n v="17000"/>
    <n v="0.28333333333333333"/>
    <x v="4"/>
  </r>
  <r>
    <s v="V00646"/>
    <x v="128"/>
    <s v="CL0191"/>
    <s v="Client 237"/>
    <x v="0"/>
    <s v="N'Djamena"/>
    <x v="0"/>
    <x v="11"/>
    <n v="1"/>
    <n v="89200"/>
    <n v="63900"/>
    <x v="0"/>
    <x v="2"/>
    <x v="1"/>
    <s v="Livrée"/>
    <x v="133"/>
    <n v="63900"/>
    <n v="25300"/>
    <n v="0.28363228699551568"/>
    <x v="6"/>
  </r>
  <r>
    <s v="V00647"/>
    <x v="148"/>
    <s v="CL0422"/>
    <s v="Client 492"/>
    <x v="0"/>
    <s v="N'Djamena"/>
    <x v="2"/>
    <x v="10"/>
    <n v="2"/>
    <n v="427500"/>
    <n v="358900"/>
    <x v="6"/>
    <x v="1"/>
    <x v="1"/>
    <s v="Livrée"/>
    <x v="165"/>
    <n v="717800"/>
    <n v="137200"/>
    <n v="0.16046783625730995"/>
    <x v="0"/>
  </r>
  <r>
    <s v="V00648"/>
    <x v="206"/>
    <s v="CL0375"/>
    <s v="Client 192"/>
    <x v="1"/>
    <s v="Abéché"/>
    <x v="3"/>
    <x v="3"/>
    <n v="3"/>
    <n v="15000"/>
    <n v="9500"/>
    <x v="7"/>
    <x v="0"/>
    <x v="0"/>
    <s v="Livrée"/>
    <x v="128"/>
    <n v="28500"/>
    <n v="16500"/>
    <n v="0.36666666666666664"/>
    <x v="11"/>
  </r>
  <r>
    <s v="V00649"/>
    <x v="128"/>
    <s v="CL0393"/>
    <s v="Client 232"/>
    <x v="1"/>
    <s v="Abéché"/>
    <x v="2"/>
    <x v="2"/>
    <n v="10"/>
    <n v="52200"/>
    <n v="40200"/>
    <x v="0"/>
    <x v="2"/>
    <x v="2"/>
    <s v="Livrée"/>
    <x v="235"/>
    <n v="402000"/>
    <n v="120000"/>
    <n v="0.22988505747126436"/>
    <x v="6"/>
  </r>
  <r>
    <s v="V00650"/>
    <x v="298"/>
    <s v="CL0064"/>
    <s v="Client 170"/>
    <x v="3"/>
    <s v="Mao"/>
    <x v="0"/>
    <x v="11"/>
    <n v="2"/>
    <n v="85000"/>
    <n v="62000"/>
    <x v="7"/>
    <x v="1"/>
    <x v="0"/>
    <s v="Livrée"/>
    <x v="121"/>
    <n v="124000"/>
    <n v="46000"/>
    <n v="0.27058823529411763"/>
    <x v="10"/>
  </r>
  <r>
    <s v="V00651"/>
    <x v="108"/>
    <s v="CL0091"/>
    <s v="Client 044"/>
    <x v="6"/>
    <s v="Pala"/>
    <x v="1"/>
    <x v="12"/>
    <n v="10"/>
    <n v="31500"/>
    <n v="19000"/>
    <x v="1"/>
    <x v="1"/>
    <x v="0"/>
    <s v="Annulée"/>
    <x v="62"/>
    <n v="190000"/>
    <n v="125000"/>
    <n v="0.3968253968253968"/>
    <x v="11"/>
  </r>
  <r>
    <s v="V00652"/>
    <x v="294"/>
    <s v="CL0408"/>
    <s v="Client 115"/>
    <x v="0"/>
    <s v="N'Djamena"/>
    <x v="1"/>
    <x v="7"/>
    <n v="6"/>
    <n v="10500"/>
    <n v="6000"/>
    <x v="4"/>
    <x v="2"/>
    <x v="0"/>
    <s v="Livrée"/>
    <x v="74"/>
    <n v="36000"/>
    <n v="27000"/>
    <n v="0.42857142857142855"/>
    <x v="9"/>
  </r>
  <r>
    <s v="V00653"/>
    <x v="6"/>
    <s v="CL0483"/>
    <s v="Client 089"/>
    <x v="6"/>
    <s v="Pala"/>
    <x v="2"/>
    <x v="13"/>
    <n v="5"/>
    <n v="152000"/>
    <n v="120000"/>
    <x v="2"/>
    <x v="3"/>
    <x v="1"/>
    <s v="En cours"/>
    <x v="122"/>
    <n v="600000"/>
    <n v="160000"/>
    <n v="0.21052631578947367"/>
    <x v="2"/>
  </r>
  <r>
    <s v="V00654"/>
    <x v="190"/>
    <s v="CL0334"/>
    <s v="Client 274"/>
    <x v="0"/>
    <s v="N'Djamena"/>
    <x v="1"/>
    <x v="1"/>
    <n v="10"/>
    <n v="6600"/>
    <n v="4000"/>
    <x v="7"/>
    <x v="3"/>
    <x v="1"/>
    <s v="Livrée"/>
    <x v="300"/>
    <n v="40000"/>
    <n v="26000"/>
    <n v="0.39393939393939392"/>
    <x v="5"/>
  </r>
  <r>
    <s v="V00655"/>
    <x v="299"/>
    <s v="CL0039"/>
    <s v="Client 465"/>
    <x v="5"/>
    <s v="Massaguet"/>
    <x v="2"/>
    <x v="9"/>
    <n v="8"/>
    <n v="171000"/>
    <n v="131000"/>
    <x v="7"/>
    <x v="2"/>
    <x v="0"/>
    <s v="Livrée"/>
    <x v="109"/>
    <n v="1048000"/>
    <n v="320000"/>
    <n v="0.23391812865497075"/>
    <x v="1"/>
  </r>
  <r>
    <s v="V00656"/>
    <x v="241"/>
    <s v="CL0353"/>
    <s v="Client 393"/>
    <x v="3"/>
    <s v="Mao"/>
    <x v="2"/>
    <x v="10"/>
    <n v="3"/>
    <n v="450000"/>
    <n v="370000"/>
    <x v="4"/>
    <x v="1"/>
    <x v="1"/>
    <s v="En cours"/>
    <x v="113"/>
    <n v="1110000"/>
    <n v="240000"/>
    <n v="0.17777777777777778"/>
    <x v="2"/>
  </r>
  <r>
    <s v="V00657"/>
    <x v="221"/>
    <s v="CL0166"/>
    <s v="Client 170"/>
    <x v="2"/>
    <s v="Doba"/>
    <x v="3"/>
    <x v="3"/>
    <n v="7"/>
    <n v="15000"/>
    <n v="9500"/>
    <x v="2"/>
    <x v="3"/>
    <x v="2"/>
    <s v="Livrée"/>
    <x v="65"/>
    <n v="66500"/>
    <n v="38500"/>
    <n v="0.36666666666666664"/>
    <x v="11"/>
  </r>
  <r>
    <s v="V00658"/>
    <x v="300"/>
    <s v="CL0358"/>
    <s v="Client 078"/>
    <x v="0"/>
    <s v="N'Djamena"/>
    <x v="1"/>
    <x v="12"/>
    <n v="7"/>
    <n v="28500"/>
    <n v="19600"/>
    <x v="4"/>
    <x v="3"/>
    <x v="0"/>
    <s v="Livrée"/>
    <x v="301"/>
    <n v="137200"/>
    <n v="62300"/>
    <n v="0.31228070175438599"/>
    <x v="8"/>
  </r>
  <r>
    <s v="V00659"/>
    <x v="301"/>
    <s v="CL0489"/>
    <s v="Client 221"/>
    <x v="0"/>
    <s v="N'Djamena"/>
    <x v="3"/>
    <x v="17"/>
    <n v="1"/>
    <n v="18000"/>
    <n v="12500"/>
    <x v="5"/>
    <x v="2"/>
    <x v="0"/>
    <s v="Livrée"/>
    <x v="213"/>
    <n v="12500"/>
    <n v="5500"/>
    <n v="0.30555555555555558"/>
    <x v="0"/>
  </r>
  <r>
    <s v="V00660"/>
    <x v="179"/>
    <s v="CL0292"/>
    <s v="Client 262"/>
    <x v="7"/>
    <s v="Bol"/>
    <x v="0"/>
    <x v="5"/>
    <n v="6"/>
    <n v="220000"/>
    <n v="160000"/>
    <x v="6"/>
    <x v="0"/>
    <x v="2"/>
    <s v="Livrée"/>
    <x v="72"/>
    <n v="960000"/>
    <n v="360000"/>
    <n v="0.27272727272727271"/>
    <x v="7"/>
  </r>
  <r>
    <s v="V00661"/>
    <x v="106"/>
    <s v="CL0113"/>
    <s v="Client 341"/>
    <x v="0"/>
    <s v="N'Djamena"/>
    <x v="3"/>
    <x v="15"/>
    <n v="8"/>
    <n v="7600"/>
    <n v="5000"/>
    <x v="5"/>
    <x v="2"/>
    <x v="0"/>
    <s v="Livrée"/>
    <x v="226"/>
    <n v="40000"/>
    <n v="20800"/>
    <n v="0.34210526315789475"/>
    <x v="8"/>
  </r>
  <r>
    <s v="V00662"/>
    <x v="65"/>
    <s v="CL0288"/>
    <s v="Client 407"/>
    <x v="0"/>
    <s v="N'Djamena"/>
    <x v="2"/>
    <x v="10"/>
    <n v="9"/>
    <n v="450000"/>
    <n v="381100"/>
    <x v="6"/>
    <x v="2"/>
    <x v="0"/>
    <s v="Livrée"/>
    <x v="205"/>
    <n v="3429900"/>
    <n v="620100"/>
    <n v="0.15311111111111111"/>
    <x v="10"/>
  </r>
  <r>
    <s v="V00663"/>
    <x v="239"/>
    <s v="CL0451"/>
    <s v="Client 415"/>
    <x v="5"/>
    <s v="Massaguet"/>
    <x v="3"/>
    <x v="3"/>
    <n v="7"/>
    <n v="15000"/>
    <n v="9500"/>
    <x v="6"/>
    <x v="2"/>
    <x v="1"/>
    <s v="Livrée"/>
    <x v="65"/>
    <n v="66500"/>
    <n v="38500"/>
    <n v="0.36666666666666664"/>
    <x v="2"/>
  </r>
  <r>
    <s v="V00664"/>
    <x v="244"/>
    <s v="CL0167"/>
    <s v="Client 270"/>
    <x v="1"/>
    <s v="Abéché"/>
    <x v="3"/>
    <x v="3"/>
    <n v="9"/>
    <n v="15800"/>
    <n v="9800"/>
    <x v="6"/>
    <x v="2"/>
    <x v="1"/>
    <s v="Livrée"/>
    <x v="302"/>
    <n v="88200"/>
    <n v="54000"/>
    <n v="0.379746835443038"/>
    <x v="10"/>
  </r>
  <r>
    <s v="V00665"/>
    <x v="174"/>
    <s v="CL0445"/>
    <s v="Client 125"/>
    <x v="1"/>
    <s v="Abéché"/>
    <x v="3"/>
    <x v="4"/>
    <n v="8"/>
    <n v="8600"/>
    <n v="5800"/>
    <x v="4"/>
    <x v="3"/>
    <x v="0"/>
    <s v="Annulée"/>
    <x v="303"/>
    <n v="46400"/>
    <n v="22400"/>
    <n v="0.32558139534883723"/>
    <x v="5"/>
  </r>
  <r>
    <s v="V00666"/>
    <x v="159"/>
    <s v="CL0434"/>
    <s v="Client 098"/>
    <x v="3"/>
    <s v="Mao"/>
    <x v="2"/>
    <x v="9"/>
    <n v="1"/>
    <n v="171000"/>
    <n v="131000"/>
    <x v="3"/>
    <x v="3"/>
    <x v="0"/>
    <s v="Livrée"/>
    <x v="106"/>
    <n v="131000"/>
    <n v="40000"/>
    <n v="0.23391812865497075"/>
    <x v="1"/>
  </r>
  <r>
    <s v="V00667"/>
    <x v="302"/>
    <s v="CL0039"/>
    <s v="Client 359"/>
    <x v="7"/>
    <s v="Bol"/>
    <x v="1"/>
    <x v="7"/>
    <n v="10"/>
    <n v="10000"/>
    <n v="6200"/>
    <x v="0"/>
    <x v="0"/>
    <x v="0"/>
    <s v="Livrée"/>
    <x v="8"/>
    <n v="62000"/>
    <n v="38000"/>
    <n v="0.38"/>
    <x v="6"/>
  </r>
  <r>
    <s v="V00668"/>
    <x v="13"/>
    <s v="CL0297"/>
    <s v="Client 448"/>
    <x v="4"/>
    <s v="Ati"/>
    <x v="1"/>
    <x v="7"/>
    <n v="3"/>
    <n v="10000"/>
    <n v="6400"/>
    <x v="6"/>
    <x v="3"/>
    <x v="1"/>
    <s v="Annulée"/>
    <x v="5"/>
    <n v="19200"/>
    <n v="10800"/>
    <n v="0.36"/>
    <x v="2"/>
  </r>
  <r>
    <s v="V00669"/>
    <x v="261"/>
    <s v="CL0390"/>
    <s v="Client 154"/>
    <x v="5"/>
    <s v="Massaguet"/>
    <x v="2"/>
    <x v="10"/>
    <n v="10"/>
    <n v="427500"/>
    <n v="381100"/>
    <x v="4"/>
    <x v="3"/>
    <x v="0"/>
    <s v="Livrée"/>
    <x v="304"/>
    <n v="3811000"/>
    <n v="464000"/>
    <n v="0.10853801169590643"/>
    <x v="7"/>
  </r>
  <r>
    <s v="V00670"/>
    <x v="252"/>
    <s v="CL0440"/>
    <s v="Client 359"/>
    <x v="0"/>
    <s v="N'Djamena"/>
    <x v="3"/>
    <x v="15"/>
    <n v="8"/>
    <n v="8000"/>
    <n v="4800"/>
    <x v="0"/>
    <x v="0"/>
    <x v="1"/>
    <s v="Livrée"/>
    <x v="305"/>
    <n v="38400"/>
    <n v="25600"/>
    <n v="0.4"/>
    <x v="9"/>
  </r>
  <r>
    <s v="V00671"/>
    <x v="21"/>
    <s v="CL0334"/>
    <s v="Client 479"/>
    <x v="3"/>
    <s v="Mao"/>
    <x v="2"/>
    <x v="2"/>
    <n v="6"/>
    <n v="52200"/>
    <n v="40200"/>
    <x v="6"/>
    <x v="2"/>
    <x v="1"/>
    <s v="Livrée"/>
    <x v="209"/>
    <n v="241200"/>
    <n v="72000"/>
    <n v="0.22988505747126436"/>
    <x v="9"/>
  </r>
  <r>
    <s v="V00672"/>
    <x v="303"/>
    <s v="CL0079"/>
    <s v="Client 118"/>
    <x v="0"/>
    <s v="N'Djamena"/>
    <x v="2"/>
    <x v="13"/>
    <n v="5"/>
    <n v="168000"/>
    <n v="116400"/>
    <x v="6"/>
    <x v="2"/>
    <x v="1"/>
    <s v="Livrée"/>
    <x v="54"/>
    <n v="582000"/>
    <n v="258000"/>
    <n v="0.30714285714285716"/>
    <x v="3"/>
  </r>
  <r>
    <s v="V00673"/>
    <x v="8"/>
    <s v="CL0187"/>
    <s v="Client 100"/>
    <x v="0"/>
    <s v="N'Djamena"/>
    <x v="1"/>
    <x v="18"/>
    <n v="7"/>
    <n v="26200"/>
    <n v="16000"/>
    <x v="5"/>
    <x v="1"/>
    <x v="0"/>
    <s v="Livrée"/>
    <x v="96"/>
    <n v="112000"/>
    <n v="71400"/>
    <n v="0.38931297709923662"/>
    <x v="4"/>
  </r>
  <r>
    <s v="V00674"/>
    <x v="136"/>
    <s v="CL0310"/>
    <s v="Client 244"/>
    <x v="0"/>
    <s v="N'Djamena"/>
    <x v="3"/>
    <x v="3"/>
    <n v="5"/>
    <n v="15000"/>
    <n v="9500"/>
    <x v="1"/>
    <x v="3"/>
    <x v="0"/>
    <s v="Livrée"/>
    <x v="81"/>
    <n v="47500"/>
    <n v="27500"/>
    <n v="0.36666666666666664"/>
    <x v="7"/>
  </r>
  <r>
    <s v="V00675"/>
    <x v="249"/>
    <s v="CL0195"/>
    <s v="Client 110"/>
    <x v="1"/>
    <s v="Abéché"/>
    <x v="3"/>
    <x v="4"/>
    <n v="5"/>
    <n v="9000"/>
    <n v="6000"/>
    <x v="2"/>
    <x v="2"/>
    <x v="0"/>
    <s v="Livrée"/>
    <x v="128"/>
    <n v="30000"/>
    <n v="15000"/>
    <n v="0.33333333333333331"/>
    <x v="5"/>
  </r>
  <r>
    <s v="V00676"/>
    <x v="87"/>
    <s v="CL0500"/>
    <s v="Client 484"/>
    <x v="1"/>
    <s v="Abéché"/>
    <x v="1"/>
    <x v="1"/>
    <n v="9"/>
    <n v="6600"/>
    <n v="4100"/>
    <x v="4"/>
    <x v="3"/>
    <x v="0"/>
    <s v="En cours"/>
    <x v="273"/>
    <n v="36900"/>
    <n v="22500"/>
    <n v="0.37878787878787878"/>
    <x v="1"/>
  </r>
  <r>
    <s v="V00677"/>
    <x v="304"/>
    <s v="CL0180"/>
    <s v="Client 259"/>
    <x v="6"/>
    <s v="Pala"/>
    <x v="0"/>
    <x v="5"/>
    <n v="2"/>
    <n v="209000"/>
    <n v="155200"/>
    <x v="7"/>
    <x v="3"/>
    <x v="1"/>
    <s v="Annulée"/>
    <x v="306"/>
    <n v="310400"/>
    <n v="107600"/>
    <n v="0.25741626794258371"/>
    <x v="8"/>
  </r>
  <r>
    <s v="V00678"/>
    <x v="149"/>
    <s v="CL0363"/>
    <s v="Client 246"/>
    <x v="5"/>
    <s v="Massaguet"/>
    <x v="0"/>
    <x v="11"/>
    <n v="8"/>
    <n v="85000"/>
    <n v="62000"/>
    <x v="3"/>
    <x v="0"/>
    <x v="1"/>
    <s v="En cours"/>
    <x v="64"/>
    <n v="496000"/>
    <n v="184000"/>
    <n v="0.27058823529411763"/>
    <x v="9"/>
  </r>
  <r>
    <s v="V00679"/>
    <x v="152"/>
    <s v="CL0369"/>
    <s v="Client 273"/>
    <x v="6"/>
    <s v="Pala"/>
    <x v="1"/>
    <x v="6"/>
    <n v="10"/>
    <n v="12600"/>
    <n v="7700"/>
    <x v="7"/>
    <x v="2"/>
    <x v="0"/>
    <s v="Annulée"/>
    <x v="178"/>
    <n v="77000"/>
    <n v="49000"/>
    <n v="0.3888888888888889"/>
    <x v="8"/>
  </r>
  <r>
    <s v="V00680"/>
    <x v="287"/>
    <s v="CL0266"/>
    <s v="Client 120"/>
    <x v="5"/>
    <s v="Massaguet"/>
    <x v="3"/>
    <x v="8"/>
    <n v="7"/>
    <n v="5700"/>
    <n v="4100"/>
    <x v="2"/>
    <x v="1"/>
    <x v="1"/>
    <s v="Livrée"/>
    <x v="204"/>
    <n v="28700"/>
    <n v="11200"/>
    <n v="0.2807017543859649"/>
    <x v="7"/>
  </r>
  <r>
    <s v="V00681"/>
    <x v="305"/>
    <s v="CL0004"/>
    <s v="Client 161"/>
    <x v="0"/>
    <s v="N'Djamena"/>
    <x v="0"/>
    <x v="5"/>
    <n v="8"/>
    <n v="220000"/>
    <n v="160000"/>
    <x v="4"/>
    <x v="3"/>
    <x v="0"/>
    <s v="Livrée"/>
    <x v="231"/>
    <n v="1280000"/>
    <n v="480000"/>
    <n v="0.27272727272727271"/>
    <x v="11"/>
  </r>
  <r>
    <s v="V00682"/>
    <x v="306"/>
    <s v="CL0016"/>
    <s v="Client 211"/>
    <x v="0"/>
    <s v="N'Djamena"/>
    <x v="2"/>
    <x v="13"/>
    <n v="6"/>
    <n v="168000"/>
    <n v="116400"/>
    <x v="7"/>
    <x v="2"/>
    <x v="0"/>
    <s v="Livrée"/>
    <x v="141"/>
    <n v="698400"/>
    <n v="309600"/>
    <n v="0.30714285714285716"/>
    <x v="11"/>
  </r>
  <r>
    <s v="V00683"/>
    <x v="86"/>
    <s v="CL0291"/>
    <s v="Client 313"/>
    <x v="5"/>
    <s v="Massaguet"/>
    <x v="2"/>
    <x v="10"/>
    <n v="10"/>
    <n v="450000"/>
    <n v="370000"/>
    <x v="1"/>
    <x v="2"/>
    <x v="1"/>
    <s v="Livrée"/>
    <x v="261"/>
    <n v="3700000"/>
    <n v="800000"/>
    <n v="0.17777777777777778"/>
    <x v="11"/>
  </r>
  <r>
    <s v="V00684"/>
    <x v="266"/>
    <s v="CL0318"/>
    <s v="Client 395"/>
    <x v="5"/>
    <s v="Massaguet"/>
    <x v="2"/>
    <x v="2"/>
    <n v="10"/>
    <n v="55000"/>
    <n v="39000"/>
    <x v="2"/>
    <x v="1"/>
    <x v="1"/>
    <s v="Livrée"/>
    <x v="13"/>
    <n v="390000"/>
    <n v="160000"/>
    <n v="0.29090909090909089"/>
    <x v="8"/>
  </r>
  <r>
    <s v="V00685"/>
    <x v="273"/>
    <s v="CL0088"/>
    <s v="Client 163"/>
    <x v="1"/>
    <s v="Abéché"/>
    <x v="2"/>
    <x v="14"/>
    <n v="1"/>
    <n v="99800"/>
    <n v="67900"/>
    <x v="0"/>
    <x v="3"/>
    <x v="0"/>
    <s v="Annulée"/>
    <x v="307"/>
    <n v="67900"/>
    <n v="31900"/>
    <n v="0.31963927855711421"/>
    <x v="9"/>
  </r>
  <r>
    <s v="V00687"/>
    <x v="307"/>
    <s v="CL0438"/>
    <s v="Client 135"/>
    <x v="0"/>
    <s v="N'Djamena"/>
    <x v="2"/>
    <x v="9"/>
    <n v="9"/>
    <n v="180000"/>
    <n v="139000"/>
    <x v="3"/>
    <x v="3"/>
    <x v="1"/>
    <s v="Livrée"/>
    <x v="83"/>
    <n v="1251000"/>
    <n v="369000"/>
    <n v="0.22777777777777777"/>
    <x v="1"/>
  </r>
  <r>
    <s v="V00688"/>
    <x v="308"/>
    <s v="CL0494"/>
    <s v="Client 193"/>
    <x v="7"/>
    <s v="Bol"/>
    <x v="3"/>
    <x v="17"/>
    <n v="6"/>
    <n v="18000"/>
    <n v="12500"/>
    <x v="3"/>
    <x v="2"/>
    <x v="2"/>
    <s v="Annulée"/>
    <x v="124"/>
    <n v="75000"/>
    <n v="33000"/>
    <n v="0.30555555555555558"/>
    <x v="3"/>
  </r>
  <r>
    <s v="V00689"/>
    <x v="188"/>
    <s v="CL0284"/>
    <s v="Client 465"/>
    <x v="6"/>
    <s v="Moundou"/>
    <x v="0"/>
    <x v="16"/>
    <n v="3"/>
    <n v="133000"/>
    <n v="97000"/>
    <x v="5"/>
    <x v="2"/>
    <x v="1"/>
    <s v="Livrée"/>
    <x v="308"/>
    <n v="291000"/>
    <n v="108000"/>
    <n v="0.27067669172932329"/>
    <x v="9"/>
  </r>
  <r>
    <s v="V00690"/>
    <x v="181"/>
    <s v="CL0078"/>
    <s v="Client 077"/>
    <x v="6"/>
    <s v="Moundou"/>
    <x v="0"/>
    <x v="11"/>
    <n v="6"/>
    <n v="89200"/>
    <n v="63900"/>
    <x v="3"/>
    <x v="3"/>
    <x v="0"/>
    <s v="Livrée"/>
    <x v="263"/>
    <n v="383400"/>
    <n v="151800"/>
    <n v="0.28363228699551568"/>
    <x v="11"/>
  </r>
  <r>
    <s v="V00691"/>
    <x v="182"/>
    <s v="CL0387"/>
    <s v="Client 426"/>
    <x v="1"/>
    <s v="Abéché"/>
    <x v="3"/>
    <x v="15"/>
    <n v="2"/>
    <n v="8000"/>
    <n v="5000"/>
    <x v="6"/>
    <x v="3"/>
    <x v="0"/>
    <s v="Livrée"/>
    <x v="138"/>
    <n v="10000"/>
    <n v="6000"/>
    <n v="0.375"/>
    <x v="5"/>
  </r>
  <r>
    <s v="V00692"/>
    <x v="195"/>
    <s v="CL0068"/>
    <s v="Client 279"/>
    <x v="4"/>
    <s v="Ati"/>
    <x v="3"/>
    <x v="8"/>
    <n v="6"/>
    <n v="5700"/>
    <n v="4200"/>
    <x v="2"/>
    <x v="3"/>
    <x v="1"/>
    <s v="En cours"/>
    <x v="246"/>
    <n v="25200"/>
    <n v="9000"/>
    <n v="0.26315789473684209"/>
    <x v="2"/>
  </r>
  <r>
    <s v="V00693"/>
    <x v="230"/>
    <s v="CL0471"/>
    <s v="Client 112"/>
    <x v="0"/>
    <s v="N'Djamena"/>
    <x v="2"/>
    <x v="14"/>
    <n v="1"/>
    <n v="99800"/>
    <n v="67900"/>
    <x v="0"/>
    <x v="2"/>
    <x v="0"/>
    <s v="En cours"/>
    <x v="307"/>
    <n v="67900"/>
    <n v="31900"/>
    <n v="0.31963927855711421"/>
    <x v="1"/>
  </r>
  <r>
    <s v="V00694"/>
    <x v="143"/>
    <s v="CL0070"/>
    <s v="Client 132"/>
    <x v="6"/>
    <s v="Moundou"/>
    <x v="3"/>
    <x v="17"/>
    <n v="4"/>
    <n v="18000"/>
    <n v="12500"/>
    <x v="6"/>
    <x v="2"/>
    <x v="0"/>
    <s v="Livrée"/>
    <x v="196"/>
    <n v="50000"/>
    <n v="22000"/>
    <n v="0.30555555555555558"/>
    <x v="8"/>
  </r>
  <r>
    <s v="V00695"/>
    <x v="192"/>
    <s v="CL0146"/>
    <s v="Client 406"/>
    <x v="0"/>
    <s v="N'Djamena"/>
    <x v="0"/>
    <x v="11"/>
    <n v="3"/>
    <n v="85000"/>
    <n v="62000"/>
    <x v="6"/>
    <x v="3"/>
    <x v="1"/>
    <s v="Livrée"/>
    <x v="35"/>
    <n v="186000"/>
    <n v="69000"/>
    <n v="0.27058823529411763"/>
    <x v="6"/>
  </r>
  <r>
    <s v="V00696"/>
    <x v="168"/>
    <s v="CL0188"/>
    <s v="Client 499"/>
    <x v="4"/>
    <s v="Ati"/>
    <x v="3"/>
    <x v="17"/>
    <n v="4"/>
    <n v="17100"/>
    <n v="12500"/>
    <x v="4"/>
    <x v="2"/>
    <x v="0"/>
    <s v="En cours"/>
    <x v="237"/>
    <n v="50000"/>
    <n v="18400"/>
    <n v="0.26900584795321636"/>
    <x v="6"/>
  </r>
  <r>
    <s v="V00697"/>
    <x v="99"/>
    <s v="CL0309"/>
    <s v="Client 349"/>
    <x v="0"/>
    <s v="N'Djamena"/>
    <x v="1"/>
    <x v="1"/>
    <n v="1"/>
    <n v="7000"/>
    <n v="4000"/>
    <x v="3"/>
    <x v="1"/>
    <x v="1"/>
    <s v="En cours"/>
    <x v="309"/>
    <n v="4000"/>
    <n v="3000"/>
    <n v="0.42857142857142855"/>
    <x v="6"/>
  </r>
  <r>
    <s v="V00698"/>
    <x v="66"/>
    <s v="CL0434"/>
    <s v="Client 068"/>
    <x v="6"/>
    <s v="Pala"/>
    <x v="3"/>
    <x v="4"/>
    <n v="1"/>
    <n v="9000"/>
    <n v="5600"/>
    <x v="2"/>
    <x v="1"/>
    <x v="0"/>
    <s v="Livrée"/>
    <x v="4"/>
    <n v="5600"/>
    <n v="3400"/>
    <n v="0.37777777777777777"/>
    <x v="5"/>
  </r>
  <r>
    <s v="V00699"/>
    <x v="253"/>
    <s v="CL0274"/>
    <s v="Client 412"/>
    <x v="0"/>
    <s v="N'Djamena"/>
    <x v="3"/>
    <x v="3"/>
    <n v="8"/>
    <n v="14200"/>
    <n v="9500"/>
    <x v="4"/>
    <x v="2"/>
    <x v="2"/>
    <s v="Livrée"/>
    <x v="120"/>
    <n v="76000"/>
    <n v="37600"/>
    <n v="0.33098591549295775"/>
    <x v="4"/>
  </r>
  <r>
    <s v="V00700"/>
    <x v="71"/>
    <s v="CL0315"/>
    <s v="Client 215"/>
    <x v="7"/>
    <s v="Bol"/>
    <x v="2"/>
    <x v="10"/>
    <n v="6"/>
    <n v="450000"/>
    <n v="370000"/>
    <x v="2"/>
    <x v="3"/>
    <x v="0"/>
    <s v="Livrée"/>
    <x v="85"/>
    <n v="2220000"/>
    <n v="480000"/>
    <n v="0.17777777777777778"/>
    <x v="3"/>
  </r>
  <r>
    <s v="V00701"/>
    <x v="110"/>
    <s v="CL0435"/>
    <s v="Client 322"/>
    <x v="0"/>
    <s v="N'Djamena"/>
    <x v="3"/>
    <x v="3"/>
    <n v="7"/>
    <n v="15000"/>
    <n v="9800"/>
    <x v="5"/>
    <x v="0"/>
    <x v="0"/>
    <s v="Annulée"/>
    <x v="65"/>
    <n v="68600"/>
    <n v="36400"/>
    <n v="0.34666666666666668"/>
    <x v="2"/>
  </r>
  <r>
    <s v="V00702"/>
    <x v="43"/>
    <s v="CL0314"/>
    <s v="Client 351"/>
    <x v="0"/>
    <s v="N'Djamena"/>
    <x v="3"/>
    <x v="4"/>
    <n v="6"/>
    <n v="9000"/>
    <n v="6000"/>
    <x v="3"/>
    <x v="3"/>
    <x v="1"/>
    <s v="Livrée"/>
    <x v="77"/>
    <n v="36000"/>
    <n v="18000"/>
    <n v="0.33333333333333331"/>
    <x v="8"/>
  </r>
  <r>
    <s v="V00703"/>
    <x v="14"/>
    <s v="CL0319"/>
    <s v="Client 196"/>
    <x v="0"/>
    <s v="N'Djamena"/>
    <x v="2"/>
    <x v="10"/>
    <n v="9"/>
    <n v="427500"/>
    <n v="358900"/>
    <x v="1"/>
    <x v="0"/>
    <x v="2"/>
    <s v="Livrée"/>
    <x v="63"/>
    <n v="3230100"/>
    <n v="617400"/>
    <n v="0.16046783625730995"/>
    <x v="0"/>
  </r>
  <r>
    <s v="V00704"/>
    <x v="32"/>
    <s v="CL0461"/>
    <s v="Client 075"/>
    <x v="7"/>
    <s v="Bol"/>
    <x v="2"/>
    <x v="14"/>
    <n v="3"/>
    <n v="99800"/>
    <n v="70000"/>
    <x v="7"/>
    <x v="0"/>
    <x v="1"/>
    <s v="Livrée"/>
    <x v="245"/>
    <n v="210000"/>
    <n v="89400"/>
    <n v="0.29859719438877758"/>
    <x v="1"/>
  </r>
  <r>
    <s v="V00705"/>
    <x v="309"/>
    <s v="CL0244"/>
    <s v="Client 087"/>
    <x v="4"/>
    <s v="Ati"/>
    <x v="3"/>
    <x v="4"/>
    <n v="6"/>
    <n v="9400"/>
    <n v="6000"/>
    <x v="3"/>
    <x v="2"/>
    <x v="0"/>
    <s v="Livrée"/>
    <x v="310"/>
    <n v="36000"/>
    <n v="20400"/>
    <n v="0.36170212765957449"/>
    <x v="3"/>
  </r>
  <r>
    <s v="V00706"/>
    <x v="310"/>
    <s v="CL0032"/>
    <s v="Client 394"/>
    <x v="5"/>
    <s v="Massaguet"/>
    <x v="2"/>
    <x v="10"/>
    <n v="8"/>
    <n v="450000"/>
    <n v="381100"/>
    <x v="4"/>
    <x v="3"/>
    <x v="0"/>
    <s v="Annulée"/>
    <x v="102"/>
    <n v="3048800"/>
    <n v="551200"/>
    <n v="0.15311111111111111"/>
    <x v="4"/>
  </r>
  <r>
    <s v="V00707"/>
    <x v="35"/>
    <s v="CL0375"/>
    <s v="Client 111"/>
    <x v="0"/>
    <s v="N'Djamena"/>
    <x v="2"/>
    <x v="10"/>
    <n v="1"/>
    <n v="427500"/>
    <n v="358900"/>
    <x v="4"/>
    <x v="2"/>
    <x v="0"/>
    <s v="Livrée"/>
    <x v="275"/>
    <n v="358900"/>
    <n v="68600"/>
    <n v="0.16046783625730995"/>
    <x v="0"/>
  </r>
  <r>
    <s v="V00708"/>
    <x v="142"/>
    <s v="CL0187"/>
    <s v="Client 278"/>
    <x v="0"/>
    <s v="N'Djamena"/>
    <x v="3"/>
    <x v="3"/>
    <n v="3"/>
    <n v="15000"/>
    <n v="9200"/>
    <x v="2"/>
    <x v="1"/>
    <x v="1"/>
    <s v="Livrée"/>
    <x v="128"/>
    <n v="27600"/>
    <n v="17400"/>
    <n v="0.38666666666666666"/>
    <x v="3"/>
  </r>
  <r>
    <s v="V00709"/>
    <x v="149"/>
    <s v="CL0181"/>
    <s v="Client 024"/>
    <x v="3"/>
    <s v="Mao"/>
    <x v="2"/>
    <x v="13"/>
    <n v="1"/>
    <n v="168000"/>
    <n v="120000"/>
    <x v="1"/>
    <x v="3"/>
    <x v="1"/>
    <s v="Livrée"/>
    <x v="197"/>
    <n v="120000"/>
    <n v="48000"/>
    <n v="0.2857142857142857"/>
    <x v="9"/>
  </r>
  <r>
    <s v="V00710"/>
    <x v="16"/>
    <s v="CL0085"/>
    <s v="Client 334"/>
    <x v="0"/>
    <s v="N'Djamena"/>
    <x v="3"/>
    <x v="8"/>
    <n v="3"/>
    <n v="6300"/>
    <n v="4100"/>
    <x v="5"/>
    <x v="3"/>
    <x v="0"/>
    <s v="Livrée"/>
    <x v="311"/>
    <n v="12300"/>
    <n v="6600"/>
    <n v="0.34920634920634919"/>
    <x v="6"/>
  </r>
  <r>
    <s v="V00711"/>
    <x v="203"/>
    <s v="CL0479"/>
    <s v="Client 450"/>
    <x v="3"/>
    <s v="Mao"/>
    <x v="2"/>
    <x v="13"/>
    <n v="6"/>
    <n v="152000"/>
    <n v="116400"/>
    <x v="0"/>
    <x v="1"/>
    <x v="1"/>
    <s v="Annulée"/>
    <x v="267"/>
    <n v="698400"/>
    <n v="213600"/>
    <n v="0.23421052631578948"/>
    <x v="8"/>
  </r>
  <r>
    <s v="V00712"/>
    <x v="105"/>
    <s v="CL0074"/>
    <s v="Client 072"/>
    <x v="6"/>
    <s v="Moundou"/>
    <x v="3"/>
    <x v="15"/>
    <n v="5"/>
    <n v="8000"/>
    <n v="5000"/>
    <x v="1"/>
    <x v="3"/>
    <x v="0"/>
    <s v="Livrée"/>
    <x v="294"/>
    <n v="25000"/>
    <n v="15000"/>
    <n v="0.375"/>
    <x v="4"/>
  </r>
  <r>
    <s v="V00713"/>
    <x v="24"/>
    <s v="CL0139"/>
    <s v="Client 354"/>
    <x v="6"/>
    <s v="Pala"/>
    <x v="1"/>
    <x v="1"/>
    <n v="9"/>
    <n v="7000"/>
    <n v="4000"/>
    <x v="5"/>
    <x v="2"/>
    <x v="0"/>
    <s v="Annulée"/>
    <x v="74"/>
    <n v="36000"/>
    <n v="27000"/>
    <n v="0.42857142857142855"/>
    <x v="1"/>
  </r>
  <r>
    <s v="V00714"/>
    <x v="233"/>
    <s v="CL0186"/>
    <s v="Client 379"/>
    <x v="0"/>
    <s v="N'Djamena"/>
    <x v="2"/>
    <x v="9"/>
    <n v="9"/>
    <n v="180000"/>
    <n v="135000"/>
    <x v="3"/>
    <x v="3"/>
    <x v="1"/>
    <s v="Annulée"/>
    <x v="83"/>
    <n v="1215000"/>
    <n v="405000"/>
    <n v="0.25"/>
    <x v="9"/>
  </r>
  <r>
    <s v="V00715"/>
    <x v="311"/>
    <s v="CL0398"/>
    <s v="Client 172"/>
    <x v="0"/>
    <s v="N'Djamena"/>
    <x v="3"/>
    <x v="15"/>
    <n v="3"/>
    <n v="8400"/>
    <n v="5000"/>
    <x v="1"/>
    <x v="2"/>
    <x v="1"/>
    <s v="Livrée"/>
    <x v="222"/>
    <n v="15000"/>
    <n v="10200"/>
    <n v="0.40476190476190477"/>
    <x v="10"/>
  </r>
  <r>
    <s v="V00716"/>
    <x v="257"/>
    <s v="CL0135"/>
    <s v="Client 460"/>
    <x v="0"/>
    <s v="N'Djamena"/>
    <x v="2"/>
    <x v="9"/>
    <n v="2"/>
    <n v="180000"/>
    <n v="139000"/>
    <x v="2"/>
    <x v="1"/>
    <x v="0"/>
    <s v="Livrée"/>
    <x v="24"/>
    <n v="278000"/>
    <n v="82000"/>
    <n v="0.22777777777777777"/>
    <x v="5"/>
  </r>
  <r>
    <s v="V00717"/>
    <x v="81"/>
    <s v="CL0168"/>
    <s v="Client 179"/>
    <x v="5"/>
    <s v="Massaguet"/>
    <x v="1"/>
    <x v="1"/>
    <n v="1"/>
    <n v="7000"/>
    <n v="3900"/>
    <x v="0"/>
    <x v="0"/>
    <x v="0"/>
    <s v="Livrée"/>
    <x v="309"/>
    <n v="3900"/>
    <n v="3100"/>
    <n v="0.44285714285714284"/>
    <x v="8"/>
  </r>
  <r>
    <s v="V00718"/>
    <x v="107"/>
    <s v="CL0342"/>
    <s v="Client 280"/>
    <x v="5"/>
    <s v="Massaguet"/>
    <x v="1"/>
    <x v="18"/>
    <n v="6"/>
    <n v="26200"/>
    <n v="15500"/>
    <x v="6"/>
    <x v="3"/>
    <x v="1"/>
    <s v="Livrée"/>
    <x v="312"/>
    <n v="93000"/>
    <n v="64200"/>
    <n v="0.40839694656488551"/>
    <x v="6"/>
  </r>
  <r>
    <s v="V00719"/>
    <x v="312"/>
    <s v="CL0315"/>
    <s v="Client 117"/>
    <x v="0"/>
    <s v="N'Djamena"/>
    <x v="1"/>
    <x v="12"/>
    <n v="1"/>
    <n v="30000"/>
    <n v="19600"/>
    <x v="5"/>
    <x v="3"/>
    <x v="1"/>
    <s v="Livrée"/>
    <x v="5"/>
    <n v="19600"/>
    <n v="10400"/>
    <n v="0.34666666666666668"/>
    <x v="4"/>
  </r>
  <r>
    <s v="V00720"/>
    <x v="143"/>
    <s v="CL0260"/>
    <s v="Client 342"/>
    <x v="7"/>
    <s v="Bol"/>
    <x v="2"/>
    <x v="13"/>
    <n v="8"/>
    <n v="160000"/>
    <n v="120000"/>
    <x v="0"/>
    <x v="1"/>
    <x v="1"/>
    <s v="Livrée"/>
    <x v="23"/>
    <n v="960000"/>
    <n v="320000"/>
    <n v="0.25"/>
    <x v="8"/>
  </r>
  <r>
    <s v="V00721"/>
    <x v="180"/>
    <s v="CL0392"/>
    <s v="Client 308"/>
    <x v="2"/>
    <s v="Doba"/>
    <x v="1"/>
    <x v="7"/>
    <n v="9"/>
    <n v="10500"/>
    <n v="6200"/>
    <x v="7"/>
    <x v="1"/>
    <x v="0"/>
    <s v="Livrée"/>
    <x v="276"/>
    <n v="55800"/>
    <n v="38700"/>
    <n v="0.40952380952380951"/>
    <x v="2"/>
  </r>
  <r>
    <s v="V00722"/>
    <x v="197"/>
    <s v="CL0463"/>
    <s v="Client 474"/>
    <x v="1"/>
    <s v="Abéché"/>
    <x v="1"/>
    <x v="7"/>
    <n v="1"/>
    <n v="10000"/>
    <n v="6200"/>
    <x v="2"/>
    <x v="3"/>
    <x v="0"/>
    <s v="Livrée"/>
    <x v="264"/>
    <n v="6200"/>
    <n v="3800"/>
    <n v="0.38"/>
    <x v="5"/>
  </r>
  <r>
    <s v="V00723"/>
    <x v="57"/>
    <s v="CL0156"/>
    <s v="Client 372"/>
    <x v="7"/>
    <s v="Bol"/>
    <x v="3"/>
    <x v="4"/>
    <n v="7"/>
    <n v="9400"/>
    <n v="5600"/>
    <x v="4"/>
    <x v="2"/>
    <x v="0"/>
    <s v="Annulée"/>
    <x v="313"/>
    <n v="39200"/>
    <n v="26600"/>
    <n v="0.40425531914893614"/>
    <x v="7"/>
  </r>
  <r>
    <s v="V00724"/>
    <x v="313"/>
    <s v="CL0247"/>
    <s v="Client 101"/>
    <x v="4"/>
    <s v="Ati"/>
    <x v="2"/>
    <x v="9"/>
    <n v="8"/>
    <n v="171000"/>
    <n v="131000"/>
    <x v="6"/>
    <x v="2"/>
    <x v="0"/>
    <s v="Livrée"/>
    <x v="109"/>
    <n v="1048000"/>
    <n v="320000"/>
    <n v="0.23391812865497075"/>
    <x v="1"/>
  </r>
  <r>
    <s v="V00725"/>
    <x v="38"/>
    <s v="CL0345"/>
    <s v="Client 042"/>
    <x v="3"/>
    <s v="Mao"/>
    <x v="2"/>
    <x v="13"/>
    <n v="1"/>
    <n v="152000"/>
    <n v="120000"/>
    <x v="4"/>
    <x v="2"/>
    <x v="0"/>
    <s v="Livrée"/>
    <x v="84"/>
    <n v="120000"/>
    <n v="32000"/>
    <n v="0.21052631578947367"/>
    <x v="2"/>
  </r>
  <r>
    <s v="V00726"/>
    <x v="314"/>
    <s v="CL0399"/>
    <s v="Client 424"/>
    <x v="7"/>
    <s v="Bol"/>
    <x v="0"/>
    <x v="16"/>
    <n v="2"/>
    <n v="140000"/>
    <n v="103000"/>
    <x v="5"/>
    <x v="1"/>
    <x v="1"/>
    <s v="Livrée"/>
    <x v="76"/>
    <n v="206000"/>
    <n v="74000"/>
    <n v="0.26428571428571429"/>
    <x v="8"/>
  </r>
  <r>
    <s v="V00727"/>
    <x v="224"/>
    <s v="CL0256"/>
    <s v="Client 004"/>
    <x v="6"/>
    <s v="Moundou"/>
    <x v="0"/>
    <x v="0"/>
    <n v="3"/>
    <n v="65000"/>
    <n v="46400"/>
    <x v="7"/>
    <x v="1"/>
    <x v="0"/>
    <s v="Livrée"/>
    <x v="314"/>
    <n v="139200"/>
    <n v="55800"/>
    <n v="0.28615384615384615"/>
    <x v="10"/>
  </r>
  <r>
    <s v="V00728"/>
    <x v="240"/>
    <s v="CL0243"/>
    <s v="Client 265"/>
    <x v="7"/>
    <s v="Bol"/>
    <x v="2"/>
    <x v="14"/>
    <n v="5"/>
    <n v="95000"/>
    <n v="70000"/>
    <x v="6"/>
    <x v="1"/>
    <x v="2"/>
    <s v="Livrée"/>
    <x v="103"/>
    <n v="350000"/>
    <n v="125000"/>
    <n v="0.26315789473684209"/>
    <x v="9"/>
  </r>
  <r>
    <s v="V00729"/>
    <x v="273"/>
    <s v="CL0045"/>
    <s v="Client 038"/>
    <x v="7"/>
    <s v="Bol"/>
    <x v="1"/>
    <x v="18"/>
    <n v="10"/>
    <n v="25000"/>
    <n v="16000"/>
    <x v="7"/>
    <x v="2"/>
    <x v="0"/>
    <s v="Livrée"/>
    <x v="315"/>
    <n v="160000"/>
    <n v="90000"/>
    <n v="0.36"/>
    <x v="9"/>
  </r>
  <r>
    <s v="V00730"/>
    <x v="315"/>
    <s v="CL0152"/>
    <s v="Client 387"/>
    <x v="0"/>
    <s v="N'Djamena"/>
    <x v="3"/>
    <x v="8"/>
    <n v="1"/>
    <n v="6000"/>
    <n v="4100"/>
    <x v="1"/>
    <x v="3"/>
    <x v="2"/>
    <s v="Livrée"/>
    <x v="282"/>
    <n v="4100"/>
    <n v="1900"/>
    <n v="0.31666666666666665"/>
    <x v="5"/>
  </r>
  <r>
    <s v="V00731"/>
    <x v="11"/>
    <s v="CL0095"/>
    <s v="Client 162"/>
    <x v="0"/>
    <s v="N'Djamena"/>
    <x v="3"/>
    <x v="4"/>
    <n v="4"/>
    <n v="9000"/>
    <n v="5600"/>
    <x v="5"/>
    <x v="3"/>
    <x v="1"/>
    <s v="Livrée"/>
    <x v="193"/>
    <n v="22400"/>
    <n v="13600"/>
    <n v="0.37777777777777777"/>
    <x v="6"/>
  </r>
  <r>
    <s v="V00732"/>
    <x v="302"/>
    <s v="CL0234"/>
    <s v="Client 458"/>
    <x v="0"/>
    <s v="N'Djamena"/>
    <x v="1"/>
    <x v="7"/>
    <n v="8"/>
    <n v="10500"/>
    <n v="6400"/>
    <x v="4"/>
    <x v="3"/>
    <x v="1"/>
    <s v="Livrée"/>
    <x v="37"/>
    <n v="51200"/>
    <n v="32800"/>
    <n v="0.39047619047619048"/>
    <x v="6"/>
  </r>
  <r>
    <s v="V00733"/>
    <x v="242"/>
    <s v="CL0025"/>
    <s v="Client 055"/>
    <x v="0"/>
    <s v="N'Djamena"/>
    <x v="1"/>
    <x v="18"/>
    <n v="9"/>
    <n v="26200"/>
    <n v="15500"/>
    <x v="4"/>
    <x v="2"/>
    <x v="0"/>
    <s v="Livrée"/>
    <x v="115"/>
    <n v="139500"/>
    <n v="96300"/>
    <n v="0.40839694656488551"/>
    <x v="11"/>
  </r>
  <r>
    <s v="V00734"/>
    <x v="271"/>
    <s v="CL0054"/>
    <s v="Client 315"/>
    <x v="0"/>
    <s v="N'Djamena"/>
    <x v="1"/>
    <x v="18"/>
    <n v="1"/>
    <n v="23800"/>
    <n v="16000"/>
    <x v="6"/>
    <x v="3"/>
    <x v="0"/>
    <s v="Livrée"/>
    <x v="229"/>
    <n v="16000"/>
    <n v="7800"/>
    <n v="0.32773109243697479"/>
    <x v="5"/>
  </r>
  <r>
    <s v="V00735"/>
    <x v="313"/>
    <s v="CL0269"/>
    <s v="Client 155"/>
    <x v="2"/>
    <s v="Doba"/>
    <x v="1"/>
    <x v="12"/>
    <n v="4"/>
    <n v="28500"/>
    <n v="18400"/>
    <x v="4"/>
    <x v="3"/>
    <x v="2"/>
    <s v="Annulée"/>
    <x v="20"/>
    <n v="73600"/>
    <n v="40400"/>
    <n v="0.35438596491228069"/>
    <x v="1"/>
  </r>
  <r>
    <s v="V00736"/>
    <x v="276"/>
    <s v="CL0076"/>
    <s v="Client 151"/>
    <x v="0"/>
    <s v="N'Djamena"/>
    <x v="1"/>
    <x v="18"/>
    <n v="6"/>
    <n v="25000"/>
    <n v="16000"/>
    <x v="4"/>
    <x v="2"/>
    <x v="0"/>
    <s v="Livrée"/>
    <x v="145"/>
    <n v="96000"/>
    <n v="54000"/>
    <n v="0.36"/>
    <x v="2"/>
  </r>
  <r>
    <s v="V00737"/>
    <x v="300"/>
    <s v="CL0065"/>
    <s v="Client 374"/>
    <x v="1"/>
    <s v="Abéché"/>
    <x v="0"/>
    <x v="5"/>
    <n v="4"/>
    <n v="220000"/>
    <n v="164800"/>
    <x v="0"/>
    <x v="1"/>
    <x v="0"/>
    <s v="Livrée"/>
    <x v="316"/>
    <n v="659200"/>
    <n v="220800"/>
    <n v="0.25090909090909091"/>
    <x v="8"/>
  </r>
  <r>
    <s v="V00738"/>
    <x v="279"/>
    <s v="CL0291"/>
    <s v="Client 160"/>
    <x v="6"/>
    <s v="Moundou"/>
    <x v="2"/>
    <x v="9"/>
    <n v="6"/>
    <n v="171000"/>
    <n v="135000"/>
    <x v="0"/>
    <x v="1"/>
    <x v="1"/>
    <s v="Livrée"/>
    <x v="202"/>
    <n v="810000"/>
    <n v="216000"/>
    <n v="0.21052631578947367"/>
    <x v="3"/>
  </r>
  <r>
    <s v="V00739"/>
    <x v="232"/>
    <s v="CL0336"/>
    <s v="Client 331"/>
    <x v="5"/>
    <s v="Massaguet"/>
    <x v="0"/>
    <x v="16"/>
    <n v="3"/>
    <n v="133000"/>
    <n v="103000"/>
    <x v="4"/>
    <x v="0"/>
    <x v="2"/>
    <s v="Livrée"/>
    <x v="308"/>
    <n v="309000"/>
    <n v="90000"/>
    <n v="0.22556390977443608"/>
    <x v="5"/>
  </r>
  <r>
    <s v="V00740"/>
    <x v="179"/>
    <s v="CL0409"/>
    <s v="Client 150"/>
    <x v="0"/>
    <s v="N'Djamena"/>
    <x v="0"/>
    <x v="16"/>
    <n v="8"/>
    <n v="133000"/>
    <n v="97000"/>
    <x v="3"/>
    <x v="2"/>
    <x v="2"/>
    <s v="Livrée"/>
    <x v="92"/>
    <n v="776000"/>
    <n v="288000"/>
    <n v="0.27067669172932329"/>
    <x v="7"/>
  </r>
  <r>
    <s v="V00741"/>
    <x v="284"/>
    <s v="CL0430"/>
    <s v="Client 495"/>
    <x v="7"/>
    <s v="Bol"/>
    <x v="3"/>
    <x v="8"/>
    <n v="5"/>
    <n v="6000"/>
    <n v="4300"/>
    <x v="7"/>
    <x v="2"/>
    <x v="0"/>
    <s v="Annulée"/>
    <x v="5"/>
    <n v="21500"/>
    <n v="8500"/>
    <n v="0.28333333333333333"/>
    <x v="0"/>
  </r>
  <r>
    <s v="V00742"/>
    <x v="316"/>
    <s v="CL0264"/>
    <s v="Client 487"/>
    <x v="4"/>
    <s v="Ati"/>
    <x v="1"/>
    <x v="7"/>
    <n v="2"/>
    <n v="10000"/>
    <n v="6400"/>
    <x v="0"/>
    <x v="2"/>
    <x v="0"/>
    <s v="Livrée"/>
    <x v="151"/>
    <n v="12800"/>
    <n v="7200"/>
    <n v="0.36"/>
    <x v="10"/>
  </r>
  <r>
    <s v="V00743"/>
    <x v="196"/>
    <s v="CL0078"/>
    <s v="Client 205"/>
    <x v="0"/>
    <s v="N'Djamena"/>
    <x v="3"/>
    <x v="8"/>
    <n v="6"/>
    <n v="5700"/>
    <n v="4200"/>
    <x v="7"/>
    <x v="3"/>
    <x v="1"/>
    <s v="Annulée"/>
    <x v="246"/>
    <n v="25200"/>
    <n v="9000"/>
    <n v="0.26315789473684209"/>
    <x v="11"/>
  </r>
  <r>
    <s v="V00744"/>
    <x v="317"/>
    <s v="CL0322"/>
    <s v="Client 343"/>
    <x v="6"/>
    <s v="Pala"/>
    <x v="1"/>
    <x v="18"/>
    <n v="7"/>
    <n v="26200"/>
    <n v="16000"/>
    <x v="0"/>
    <x v="2"/>
    <x v="0"/>
    <s v="Livrée"/>
    <x v="96"/>
    <n v="112000"/>
    <n v="71400"/>
    <n v="0.38931297709923662"/>
    <x v="9"/>
  </r>
  <r>
    <s v="V00745"/>
    <x v="162"/>
    <s v="CL0391"/>
    <s v="Client 231"/>
    <x v="7"/>
    <s v="Bol"/>
    <x v="2"/>
    <x v="9"/>
    <n v="5"/>
    <n v="189000"/>
    <n v="139000"/>
    <x v="7"/>
    <x v="0"/>
    <x v="1"/>
    <s v="Livrée"/>
    <x v="79"/>
    <n v="695000"/>
    <n v="250000"/>
    <n v="0.26455026455026454"/>
    <x v="4"/>
  </r>
  <r>
    <s v="V00746"/>
    <x v="158"/>
    <s v="CL0073"/>
    <s v="Client 285"/>
    <x v="3"/>
    <s v="Mao"/>
    <x v="2"/>
    <x v="13"/>
    <n v="1"/>
    <n v="160000"/>
    <n v="123600"/>
    <x v="0"/>
    <x v="2"/>
    <x v="0"/>
    <s v="Livrée"/>
    <x v="31"/>
    <n v="123600"/>
    <n v="36400"/>
    <n v="0.22750000000000001"/>
    <x v="0"/>
  </r>
  <r>
    <s v="V00747"/>
    <x v="147"/>
    <s v="CL0046"/>
    <s v="Client 121"/>
    <x v="5"/>
    <s v="Massaguet"/>
    <x v="2"/>
    <x v="13"/>
    <n v="6"/>
    <n v="152000"/>
    <n v="120000"/>
    <x v="0"/>
    <x v="2"/>
    <x v="1"/>
    <s v="Annulée"/>
    <x v="267"/>
    <n v="720000"/>
    <n v="192000"/>
    <n v="0.21052631578947367"/>
    <x v="2"/>
  </r>
  <r>
    <s v="V00748"/>
    <x v="239"/>
    <s v="CL0219"/>
    <s v="Client 095"/>
    <x v="4"/>
    <s v="Ati"/>
    <x v="2"/>
    <x v="10"/>
    <n v="2"/>
    <n v="450000"/>
    <n v="370000"/>
    <x v="5"/>
    <x v="0"/>
    <x v="1"/>
    <s v="Livrée"/>
    <x v="101"/>
    <n v="740000"/>
    <n v="160000"/>
    <n v="0.17777777777777778"/>
    <x v="2"/>
  </r>
  <r>
    <s v="V00749"/>
    <x v="249"/>
    <s v="CL0402"/>
    <s v="Client 393"/>
    <x v="4"/>
    <s v="Ati"/>
    <x v="3"/>
    <x v="8"/>
    <n v="2"/>
    <n v="6000"/>
    <n v="4300"/>
    <x v="4"/>
    <x v="2"/>
    <x v="0"/>
    <s v="En cours"/>
    <x v="22"/>
    <n v="8600"/>
    <n v="3400"/>
    <n v="0.28333333333333333"/>
    <x v="5"/>
  </r>
  <r>
    <s v="V00750"/>
    <x v="206"/>
    <s v="CL0088"/>
    <s v="Client 259"/>
    <x v="0"/>
    <s v="N'Djamena"/>
    <x v="2"/>
    <x v="9"/>
    <n v="5"/>
    <n v="180000"/>
    <n v="139000"/>
    <x v="0"/>
    <x v="1"/>
    <x v="0"/>
    <s v="Livrée"/>
    <x v="101"/>
    <n v="695000"/>
    <n v="205000"/>
    <n v="0.22777777777777777"/>
    <x v="11"/>
  </r>
  <r>
    <s v="V00751"/>
    <x v="254"/>
    <s v="CL0257"/>
    <s v="Client 241"/>
    <x v="0"/>
    <s v="N'Djamena"/>
    <x v="3"/>
    <x v="8"/>
    <n v="8"/>
    <n v="5700"/>
    <n v="4300"/>
    <x v="3"/>
    <x v="1"/>
    <x v="2"/>
    <s v="En cours"/>
    <x v="7"/>
    <n v="34400"/>
    <n v="11200"/>
    <n v="0.24561403508771928"/>
    <x v="8"/>
  </r>
  <r>
    <s v="V00752"/>
    <x v="111"/>
    <s v="CL0306"/>
    <s v="Client 263"/>
    <x v="0"/>
    <s v="N'Djamena"/>
    <x v="2"/>
    <x v="14"/>
    <n v="5"/>
    <n v="95000"/>
    <n v="70000"/>
    <x v="1"/>
    <x v="2"/>
    <x v="0"/>
    <s v="Livrée"/>
    <x v="103"/>
    <n v="350000"/>
    <n v="125000"/>
    <n v="0.26315789473684209"/>
    <x v="0"/>
  </r>
  <r>
    <s v="V00753"/>
    <x v="134"/>
    <s v="CL0087"/>
    <s v="Client 182"/>
    <x v="6"/>
    <s v="Pala"/>
    <x v="0"/>
    <x v="11"/>
    <n v="2"/>
    <n v="80800"/>
    <n v="62000"/>
    <x v="7"/>
    <x v="2"/>
    <x v="1"/>
    <s v="Livrée"/>
    <x v="271"/>
    <n v="124000"/>
    <n v="37600"/>
    <n v="0.23267326732673269"/>
    <x v="3"/>
  </r>
  <r>
    <s v="V00754"/>
    <x v="284"/>
    <s v="CL0253"/>
    <s v="Client 202"/>
    <x v="6"/>
    <s v="Moundou"/>
    <x v="0"/>
    <x v="16"/>
    <n v="7"/>
    <n v="133000"/>
    <n v="97000"/>
    <x v="5"/>
    <x v="2"/>
    <x v="0"/>
    <s v="Livrée"/>
    <x v="104"/>
    <n v="679000"/>
    <n v="252000"/>
    <n v="0.27067669172932329"/>
    <x v="0"/>
  </r>
  <r>
    <s v="V00755"/>
    <x v="27"/>
    <s v="CL0414"/>
    <s v="Client 418"/>
    <x v="1"/>
    <s v="Abéché"/>
    <x v="2"/>
    <x v="10"/>
    <n v="1"/>
    <n v="450000"/>
    <n v="370000"/>
    <x v="6"/>
    <x v="0"/>
    <x v="1"/>
    <s v="Livrée"/>
    <x v="317"/>
    <n v="370000"/>
    <n v="80000"/>
    <n v="0.17777777777777778"/>
    <x v="7"/>
  </r>
  <r>
    <s v="V00756"/>
    <x v="317"/>
    <s v="CL0092"/>
    <s v="Client 094"/>
    <x v="7"/>
    <s v="Bol"/>
    <x v="1"/>
    <x v="6"/>
    <n v="10"/>
    <n v="12600"/>
    <n v="7300"/>
    <x v="3"/>
    <x v="2"/>
    <x v="1"/>
    <s v="Livrée"/>
    <x v="178"/>
    <n v="73000"/>
    <n v="53000"/>
    <n v="0.42063492063492064"/>
    <x v="9"/>
  </r>
  <r>
    <s v="V00757"/>
    <x v="90"/>
    <s v="CL0244"/>
    <s v="Client 229"/>
    <x v="3"/>
    <s v="Mao"/>
    <x v="2"/>
    <x v="10"/>
    <n v="3"/>
    <n v="427500"/>
    <n v="358900"/>
    <x v="5"/>
    <x v="3"/>
    <x v="1"/>
    <s v="Annulée"/>
    <x v="257"/>
    <n v="1076700"/>
    <n v="205800"/>
    <n v="0.16046783625730995"/>
    <x v="7"/>
  </r>
  <r>
    <s v="V00758"/>
    <x v="304"/>
    <s v="CL0019"/>
    <s v="Client 168"/>
    <x v="4"/>
    <s v="Ati"/>
    <x v="2"/>
    <x v="10"/>
    <n v="6"/>
    <n v="472500"/>
    <n v="370000"/>
    <x v="7"/>
    <x v="0"/>
    <x v="2"/>
    <s v="Livrée"/>
    <x v="225"/>
    <n v="2220000"/>
    <n v="615000"/>
    <n v="0.21693121693121692"/>
    <x v="8"/>
  </r>
  <r>
    <s v="V00759"/>
    <x v="290"/>
    <s v="CL0051"/>
    <s v="Client 480"/>
    <x v="0"/>
    <s v="N'Djamena"/>
    <x v="2"/>
    <x v="2"/>
    <n v="9"/>
    <n v="55000"/>
    <n v="37800"/>
    <x v="7"/>
    <x v="3"/>
    <x v="2"/>
    <s v="En cours"/>
    <x v="48"/>
    <n v="340200"/>
    <n v="154800"/>
    <n v="0.31272727272727274"/>
    <x v="11"/>
  </r>
  <r>
    <s v="V00760"/>
    <x v="318"/>
    <s v="CL0227"/>
    <s v="Client 410"/>
    <x v="2"/>
    <s v="Doba"/>
    <x v="0"/>
    <x v="0"/>
    <n v="8"/>
    <n v="65000"/>
    <n v="45000"/>
    <x v="7"/>
    <x v="3"/>
    <x v="0"/>
    <s v="Livrée"/>
    <x v="11"/>
    <n v="360000"/>
    <n v="160000"/>
    <n v="0.30769230769230771"/>
    <x v="1"/>
  </r>
  <r>
    <s v="V00761"/>
    <x v="114"/>
    <s v="CL0342"/>
    <s v="Client 367"/>
    <x v="3"/>
    <s v="Mao"/>
    <x v="3"/>
    <x v="17"/>
    <n v="1"/>
    <n v="18900"/>
    <n v="12900"/>
    <x v="5"/>
    <x v="2"/>
    <x v="1"/>
    <s v="Livrée"/>
    <x v="311"/>
    <n v="12900"/>
    <n v="6000"/>
    <n v="0.31746031746031744"/>
    <x v="7"/>
  </r>
  <r>
    <s v="V00762"/>
    <x v="94"/>
    <s v="CL0238"/>
    <s v="Client 274"/>
    <x v="4"/>
    <s v="Ati"/>
    <x v="1"/>
    <x v="12"/>
    <n v="3"/>
    <n v="28500"/>
    <n v="19600"/>
    <x v="0"/>
    <x v="0"/>
    <x v="2"/>
    <s v="Livrée"/>
    <x v="279"/>
    <n v="58800"/>
    <n v="26700"/>
    <n v="0.31228070175438599"/>
    <x v="5"/>
  </r>
  <r>
    <s v="V00763"/>
    <x v="220"/>
    <s v="CL0080"/>
    <s v="Client 214"/>
    <x v="2"/>
    <s v="Doba"/>
    <x v="2"/>
    <x v="10"/>
    <n v="9"/>
    <n v="450000"/>
    <n v="370000"/>
    <x v="0"/>
    <x v="2"/>
    <x v="2"/>
    <s v="En cours"/>
    <x v="205"/>
    <n v="3330000"/>
    <n v="720000"/>
    <n v="0.17777777777777778"/>
    <x v="1"/>
  </r>
  <r>
    <s v="V00764"/>
    <x v="319"/>
    <s v="CL0119"/>
    <s v="Client 310"/>
    <x v="0"/>
    <s v="N'Djamena"/>
    <x v="3"/>
    <x v="8"/>
    <n v="10"/>
    <n v="5700"/>
    <n v="4200"/>
    <x v="0"/>
    <x v="0"/>
    <x v="2"/>
    <s v="En cours"/>
    <x v="159"/>
    <n v="42000"/>
    <n v="15000"/>
    <n v="0.26315789473684209"/>
    <x v="3"/>
  </r>
  <r>
    <s v="V00765"/>
    <x v="270"/>
    <s v="CL0358"/>
    <s v="Client 398"/>
    <x v="1"/>
    <s v="Abéché"/>
    <x v="2"/>
    <x v="10"/>
    <n v="4"/>
    <n v="450000"/>
    <n v="381100"/>
    <x v="6"/>
    <x v="3"/>
    <x v="1"/>
    <s v="Livrée"/>
    <x v="139"/>
    <n v="1524400"/>
    <n v="275600"/>
    <n v="0.15311111111111111"/>
    <x v="2"/>
  </r>
  <r>
    <s v="V00766"/>
    <x v="131"/>
    <s v="CL0493"/>
    <s v="Client 249"/>
    <x v="0"/>
    <s v="N'Djamena"/>
    <x v="2"/>
    <x v="9"/>
    <n v="3"/>
    <n v="171000"/>
    <n v="131000"/>
    <x v="0"/>
    <x v="0"/>
    <x v="1"/>
    <s v="Livrée"/>
    <x v="201"/>
    <n v="393000"/>
    <n v="120000"/>
    <n v="0.23391812865497075"/>
    <x v="1"/>
  </r>
  <r>
    <s v="V00767"/>
    <x v="317"/>
    <s v="CL0220"/>
    <s v="Client 352"/>
    <x v="3"/>
    <s v="Mao"/>
    <x v="1"/>
    <x v="1"/>
    <n v="2"/>
    <n v="6600"/>
    <n v="4100"/>
    <x v="5"/>
    <x v="2"/>
    <x v="0"/>
    <s v="Livrée"/>
    <x v="318"/>
    <n v="8200"/>
    <n v="5000"/>
    <n v="0.37878787878787878"/>
    <x v="9"/>
  </r>
  <r>
    <s v="V00768"/>
    <x v="320"/>
    <s v="CL0154"/>
    <s v="Client 421"/>
    <x v="0"/>
    <s v="N'Djamena"/>
    <x v="3"/>
    <x v="15"/>
    <n v="10"/>
    <n v="8000"/>
    <n v="5200"/>
    <x v="1"/>
    <x v="1"/>
    <x v="0"/>
    <s v="Livrée"/>
    <x v="61"/>
    <n v="52000"/>
    <n v="28000"/>
    <n v="0.35"/>
    <x v="3"/>
  </r>
  <r>
    <s v="V00769"/>
    <x v="17"/>
    <s v="CL0008"/>
    <s v="Client 263"/>
    <x v="0"/>
    <s v="N'Djamena"/>
    <x v="1"/>
    <x v="6"/>
    <n v="3"/>
    <n v="12600"/>
    <n v="7500"/>
    <x v="6"/>
    <x v="2"/>
    <x v="0"/>
    <s v="Livrée"/>
    <x v="58"/>
    <n v="22500"/>
    <n v="15300"/>
    <n v="0.40476190476190477"/>
    <x v="6"/>
  </r>
  <r>
    <s v="V00770"/>
    <x v="132"/>
    <s v="CL0012"/>
    <s v="Client 424"/>
    <x v="4"/>
    <s v="Ati"/>
    <x v="2"/>
    <x v="13"/>
    <n v="2"/>
    <n v="160000"/>
    <n v="123600"/>
    <x v="6"/>
    <x v="3"/>
    <x v="1"/>
    <s v="Annulée"/>
    <x v="149"/>
    <n v="247200"/>
    <n v="72800"/>
    <n v="0.22750000000000001"/>
    <x v="6"/>
  </r>
  <r>
    <s v="V00771"/>
    <x v="314"/>
    <s v="CL0216"/>
    <s v="Client 268"/>
    <x v="0"/>
    <s v="N'Djamena"/>
    <x v="3"/>
    <x v="15"/>
    <n v="7"/>
    <n v="8000"/>
    <n v="5200"/>
    <x v="5"/>
    <x v="1"/>
    <x v="2"/>
    <s v="Livrée"/>
    <x v="107"/>
    <n v="36400"/>
    <n v="19600"/>
    <n v="0.35"/>
    <x v="8"/>
  </r>
  <r>
    <s v="V00772"/>
    <x v="236"/>
    <s v="CL0101"/>
    <s v="Client 416"/>
    <x v="0"/>
    <s v="N'Djamena"/>
    <x v="1"/>
    <x v="18"/>
    <n v="1"/>
    <n v="26200"/>
    <n v="16000"/>
    <x v="5"/>
    <x v="3"/>
    <x v="2"/>
    <s v="Annulée"/>
    <x v="319"/>
    <n v="16000"/>
    <n v="10200"/>
    <n v="0.38931297709923662"/>
    <x v="8"/>
  </r>
  <r>
    <s v="V00774"/>
    <x v="193"/>
    <s v="CL0281"/>
    <s v="Client 067"/>
    <x v="0"/>
    <s v="N'Djamena"/>
    <x v="1"/>
    <x v="7"/>
    <n v="2"/>
    <n v="10500"/>
    <n v="6200"/>
    <x v="4"/>
    <x v="0"/>
    <x v="0"/>
    <s v="Livrée"/>
    <x v="1"/>
    <n v="12400"/>
    <n v="8600"/>
    <n v="0.40952380952380951"/>
    <x v="8"/>
  </r>
  <r>
    <s v="V00775"/>
    <x v="271"/>
    <s v="CL0045"/>
    <s v="Client 049"/>
    <x v="0"/>
    <s v="N'Djamena"/>
    <x v="1"/>
    <x v="18"/>
    <n v="8"/>
    <n v="23800"/>
    <n v="16500"/>
    <x v="5"/>
    <x v="2"/>
    <x v="0"/>
    <s v="Livrée"/>
    <x v="299"/>
    <n v="132000"/>
    <n v="58400"/>
    <n v="0.30672268907563027"/>
    <x v="5"/>
  </r>
  <r>
    <s v="V00776"/>
    <x v="30"/>
    <s v="CL0094"/>
    <s v="Client 364"/>
    <x v="3"/>
    <s v="Mao"/>
    <x v="0"/>
    <x v="5"/>
    <n v="2"/>
    <n v="209000"/>
    <n v="164800"/>
    <x v="3"/>
    <x v="0"/>
    <x v="0"/>
    <s v="Livrée"/>
    <x v="306"/>
    <n v="329600"/>
    <n v="88400"/>
    <n v="0.21148325358851675"/>
    <x v="0"/>
  </r>
  <r>
    <s v="V00777"/>
    <x v="321"/>
    <s v="CL0396"/>
    <s v="Client 444"/>
    <x v="2"/>
    <s v="Doba"/>
    <x v="3"/>
    <x v="8"/>
    <n v="4"/>
    <n v="6000"/>
    <n v="4200"/>
    <x v="0"/>
    <x v="2"/>
    <x v="2"/>
    <s v="Livrée"/>
    <x v="191"/>
    <n v="16800"/>
    <n v="7200"/>
    <n v="0.3"/>
    <x v="3"/>
  </r>
  <r>
    <s v="V00778"/>
    <x v="124"/>
    <s v="CL0480"/>
    <s v="Client 440"/>
    <x v="0"/>
    <s v="N'Djamena"/>
    <x v="2"/>
    <x v="10"/>
    <n v="7"/>
    <n v="450000"/>
    <n v="370000"/>
    <x v="6"/>
    <x v="0"/>
    <x v="1"/>
    <s v="Livrée"/>
    <x v="12"/>
    <n v="2590000"/>
    <n v="560000"/>
    <n v="0.17777777777777778"/>
    <x v="5"/>
  </r>
  <r>
    <s v="V00779"/>
    <x v="60"/>
    <s v="CL0211"/>
    <s v="Client 004"/>
    <x v="0"/>
    <s v="N'Djamena"/>
    <x v="2"/>
    <x v="9"/>
    <n v="4"/>
    <n v="180000"/>
    <n v="135000"/>
    <x v="7"/>
    <x v="2"/>
    <x v="0"/>
    <s v="Livrée"/>
    <x v="169"/>
    <n v="540000"/>
    <n v="180000"/>
    <n v="0.25"/>
    <x v="4"/>
  </r>
  <r>
    <s v="V00780"/>
    <x v="7"/>
    <s v="CL0161"/>
    <s v="Client 061"/>
    <x v="2"/>
    <s v="Doba"/>
    <x v="0"/>
    <x v="0"/>
    <n v="1"/>
    <n v="61800"/>
    <n v="43600"/>
    <x v="3"/>
    <x v="0"/>
    <x v="0"/>
    <s v="Livrée"/>
    <x v="16"/>
    <n v="43600"/>
    <n v="18200"/>
    <n v="0.29449838187702265"/>
    <x v="1"/>
  </r>
  <r>
    <s v="V00781"/>
    <x v="285"/>
    <s v="CL0296"/>
    <s v="Client 094"/>
    <x v="2"/>
    <s v="Doba"/>
    <x v="2"/>
    <x v="10"/>
    <n v="3"/>
    <n v="450000"/>
    <n v="381100"/>
    <x v="3"/>
    <x v="3"/>
    <x v="1"/>
    <s v="Livrée"/>
    <x v="113"/>
    <n v="1143300"/>
    <n v="206700"/>
    <n v="0.15311111111111111"/>
    <x v="1"/>
  </r>
  <r>
    <s v="V00782"/>
    <x v="84"/>
    <s v="CL0360"/>
    <s v="Client 480"/>
    <x v="7"/>
    <s v="Bol"/>
    <x v="2"/>
    <x v="10"/>
    <n v="10"/>
    <n v="472500"/>
    <n v="358900"/>
    <x v="5"/>
    <x v="3"/>
    <x v="1"/>
    <s v="Livrée"/>
    <x v="152"/>
    <n v="3589000"/>
    <n v="1136000"/>
    <n v="0.24042328042328043"/>
    <x v="7"/>
  </r>
  <r>
    <s v="V00783"/>
    <x v="43"/>
    <s v="CL0220"/>
    <s v="Client 057"/>
    <x v="2"/>
    <s v="Doba"/>
    <x v="2"/>
    <x v="2"/>
    <n v="4"/>
    <n v="55000"/>
    <n v="39000"/>
    <x v="2"/>
    <x v="2"/>
    <x v="1"/>
    <s v="Livrée"/>
    <x v="112"/>
    <n v="156000"/>
    <n v="64000"/>
    <n v="0.29090909090909089"/>
    <x v="8"/>
  </r>
  <r>
    <s v="V00784"/>
    <x v="73"/>
    <s v="CL0042"/>
    <s v="Client 492"/>
    <x v="4"/>
    <s v="Ati"/>
    <x v="2"/>
    <x v="2"/>
    <n v="2"/>
    <n v="55000"/>
    <n v="37800"/>
    <x v="0"/>
    <x v="3"/>
    <x v="1"/>
    <s v="Livrée"/>
    <x v="320"/>
    <n v="75600"/>
    <n v="34400"/>
    <n v="0.31272727272727274"/>
    <x v="10"/>
  </r>
  <r>
    <s v="V00785"/>
    <x v="208"/>
    <s v="CL0318"/>
    <s v="Client 126"/>
    <x v="4"/>
    <s v="Ati"/>
    <x v="2"/>
    <x v="14"/>
    <n v="9"/>
    <n v="90200"/>
    <n v="70000"/>
    <x v="3"/>
    <x v="2"/>
    <x v="2"/>
    <s v="Livrée"/>
    <x v="321"/>
    <n v="630000"/>
    <n v="181800"/>
    <n v="0.22394678492239467"/>
    <x v="1"/>
  </r>
  <r>
    <s v="V00786"/>
    <x v="322"/>
    <s v="CL0287"/>
    <s v="Client 290"/>
    <x v="0"/>
    <s v="N'Djamena"/>
    <x v="1"/>
    <x v="1"/>
    <n v="1"/>
    <n v="7000"/>
    <n v="4100"/>
    <x v="4"/>
    <x v="3"/>
    <x v="2"/>
    <s v="En cours"/>
    <x v="309"/>
    <n v="4100"/>
    <n v="2900"/>
    <n v="0.41428571428571431"/>
    <x v="10"/>
  </r>
  <r>
    <s v="V00787"/>
    <x v="90"/>
    <s v="CL0089"/>
    <s v="Client 460"/>
    <x v="6"/>
    <s v="Moundou"/>
    <x v="2"/>
    <x v="10"/>
    <n v="1"/>
    <n v="472500"/>
    <n v="358900"/>
    <x v="6"/>
    <x v="2"/>
    <x v="0"/>
    <s v="Livrée"/>
    <x v="218"/>
    <n v="358900"/>
    <n v="113600"/>
    <n v="0.24042328042328043"/>
    <x v="7"/>
  </r>
  <r>
    <s v="V00788"/>
    <x v="38"/>
    <s v="CL0259"/>
    <s v="Client 373"/>
    <x v="4"/>
    <s v="Ati"/>
    <x v="3"/>
    <x v="3"/>
    <n v="5"/>
    <n v="15800"/>
    <n v="9200"/>
    <x v="7"/>
    <x v="2"/>
    <x v="0"/>
    <s v="Livrée"/>
    <x v="322"/>
    <n v="46000"/>
    <n v="33000"/>
    <n v="0.41772151898734178"/>
    <x v="2"/>
  </r>
  <r>
    <s v="V00789"/>
    <x v="105"/>
    <s v="CL0234"/>
    <s v="Client 293"/>
    <x v="5"/>
    <s v="Massaguet"/>
    <x v="0"/>
    <x v="0"/>
    <n v="9"/>
    <n v="61800"/>
    <n v="43600"/>
    <x v="3"/>
    <x v="3"/>
    <x v="0"/>
    <s v="Livrée"/>
    <x v="66"/>
    <n v="392400"/>
    <n v="163800"/>
    <n v="0.29449838187702265"/>
    <x v="4"/>
  </r>
  <r>
    <s v="V00790"/>
    <x v="46"/>
    <s v="CL0446"/>
    <s v="Client 455"/>
    <x v="7"/>
    <s v="Bol"/>
    <x v="0"/>
    <x v="11"/>
    <n v="4"/>
    <n v="85000"/>
    <n v="62000"/>
    <x v="0"/>
    <x v="2"/>
    <x v="2"/>
    <s v="Livrée"/>
    <x v="43"/>
    <n v="248000"/>
    <n v="92000"/>
    <n v="0.27058823529411763"/>
    <x v="10"/>
  </r>
  <r>
    <s v="V00791"/>
    <x v="214"/>
    <s v="CL0497"/>
    <s v="Client 051"/>
    <x v="0"/>
    <s v="N'Djamena"/>
    <x v="2"/>
    <x v="10"/>
    <n v="6"/>
    <n v="450000"/>
    <n v="381100"/>
    <x v="2"/>
    <x v="1"/>
    <x v="1"/>
    <s v="Livrée"/>
    <x v="85"/>
    <n v="2286600"/>
    <n v="413400"/>
    <n v="0.15311111111111111"/>
    <x v="3"/>
  </r>
  <r>
    <s v="V00792"/>
    <x v="250"/>
    <s v="CL0026"/>
    <s v="Client 457"/>
    <x v="5"/>
    <s v="Massaguet"/>
    <x v="2"/>
    <x v="10"/>
    <n v="3"/>
    <n v="450000"/>
    <n v="381100"/>
    <x v="1"/>
    <x v="1"/>
    <x v="1"/>
    <s v="Livrée"/>
    <x v="113"/>
    <n v="1143300"/>
    <n v="206700"/>
    <n v="0.15311111111111111"/>
    <x v="4"/>
  </r>
  <r>
    <s v="V00793"/>
    <x v="252"/>
    <s v="CL0088"/>
    <s v="Client 420"/>
    <x v="5"/>
    <s v="Massaguet"/>
    <x v="2"/>
    <x v="13"/>
    <n v="10"/>
    <n v="152000"/>
    <n v="120000"/>
    <x v="0"/>
    <x v="2"/>
    <x v="0"/>
    <s v="Annulée"/>
    <x v="323"/>
    <n v="1200000"/>
    <n v="320000"/>
    <n v="0.21052631578947367"/>
    <x v="9"/>
  </r>
  <r>
    <s v="V00794"/>
    <x v="18"/>
    <s v="CL0095"/>
    <s v="Client 492"/>
    <x v="1"/>
    <s v="Abéché"/>
    <x v="2"/>
    <x v="2"/>
    <n v="2"/>
    <n v="55000"/>
    <n v="40200"/>
    <x v="1"/>
    <x v="1"/>
    <x v="0"/>
    <s v="Annulée"/>
    <x v="320"/>
    <n v="80400"/>
    <n v="29600"/>
    <n v="0.2690909090909091"/>
    <x v="8"/>
  </r>
  <r>
    <s v="V00795"/>
    <x v="323"/>
    <s v="CL0362"/>
    <s v="Client 308"/>
    <x v="0"/>
    <s v="N'Djamena"/>
    <x v="0"/>
    <x v="11"/>
    <n v="2"/>
    <n v="80800"/>
    <n v="63900"/>
    <x v="2"/>
    <x v="2"/>
    <x v="2"/>
    <s v="Livrée"/>
    <x v="271"/>
    <n v="127800"/>
    <n v="33800"/>
    <n v="0.20915841584158415"/>
    <x v="0"/>
  </r>
  <r>
    <s v="V00796"/>
    <x v="248"/>
    <s v="CL0167"/>
    <s v="Client 369"/>
    <x v="7"/>
    <s v="Bol"/>
    <x v="3"/>
    <x v="17"/>
    <n v="1"/>
    <n v="18000"/>
    <n v="12500"/>
    <x v="7"/>
    <x v="0"/>
    <x v="0"/>
    <s v="Livrée"/>
    <x v="213"/>
    <n v="12500"/>
    <n v="5500"/>
    <n v="0.30555555555555558"/>
    <x v="2"/>
  </r>
  <r>
    <s v="V00797"/>
    <x v="324"/>
    <s v="CL0020"/>
    <s v="Client 425"/>
    <x v="5"/>
    <s v="Massaguet"/>
    <x v="2"/>
    <x v="13"/>
    <n v="2"/>
    <n v="152000"/>
    <n v="120000"/>
    <x v="4"/>
    <x v="0"/>
    <x v="1"/>
    <s v="Livrée"/>
    <x v="55"/>
    <n v="240000"/>
    <n v="64000"/>
    <n v="0.21052631578947367"/>
    <x v="0"/>
  </r>
  <r>
    <s v="V00798"/>
    <x v="325"/>
    <s v="CL0214"/>
    <s v="Client 302"/>
    <x v="7"/>
    <s v="Bol"/>
    <x v="1"/>
    <x v="12"/>
    <n v="2"/>
    <n v="30000"/>
    <n v="19600"/>
    <x v="3"/>
    <x v="3"/>
    <x v="2"/>
    <s v="Livrée"/>
    <x v="69"/>
    <n v="39200"/>
    <n v="20800"/>
    <n v="0.34666666666666668"/>
    <x v="9"/>
  </r>
  <r>
    <s v="V00799"/>
    <x v="229"/>
    <s v="CL0134"/>
    <s v="Client 396"/>
    <x v="0"/>
    <s v="N'Djamena"/>
    <x v="1"/>
    <x v="7"/>
    <n v="1"/>
    <n v="9500"/>
    <n v="6200"/>
    <x v="4"/>
    <x v="3"/>
    <x v="0"/>
    <s v="Livrée"/>
    <x v="324"/>
    <n v="6200"/>
    <n v="3300"/>
    <n v="0.3473684210526316"/>
    <x v="7"/>
  </r>
  <r>
    <s v="V00800"/>
    <x v="50"/>
    <s v="CL0329"/>
    <s v="Client 406"/>
    <x v="4"/>
    <s v="Ati"/>
    <x v="2"/>
    <x v="9"/>
    <n v="4"/>
    <n v="180000"/>
    <n v="135000"/>
    <x v="1"/>
    <x v="1"/>
    <x v="1"/>
    <s v="En cours"/>
    <x v="169"/>
    <n v="540000"/>
    <n v="180000"/>
    <n v="0.25"/>
    <x v="2"/>
  </r>
  <r>
    <s v="V00801"/>
    <x v="326"/>
    <s v="CL0352"/>
    <s v="Client 078"/>
    <x v="0"/>
    <s v="N'Djamena"/>
    <x v="1"/>
    <x v="7"/>
    <n v="5"/>
    <n v="10000"/>
    <n v="6200"/>
    <x v="4"/>
    <x v="2"/>
    <x v="1"/>
    <s v="Livrée"/>
    <x v="182"/>
    <n v="31000"/>
    <n v="19000"/>
    <n v="0.38"/>
    <x v="2"/>
  </r>
  <r>
    <s v="V00802"/>
    <x v="266"/>
    <s v="CL0465"/>
    <s v="Client 284"/>
    <x v="3"/>
    <s v="Mao"/>
    <x v="1"/>
    <x v="12"/>
    <n v="7"/>
    <n v="30000"/>
    <n v="18400"/>
    <x v="4"/>
    <x v="1"/>
    <x v="0"/>
    <s v="Livrée"/>
    <x v="325"/>
    <n v="128800"/>
    <n v="81200"/>
    <n v="0.38666666666666666"/>
    <x v="8"/>
  </r>
  <r>
    <s v="V00803"/>
    <x v="318"/>
    <s v="CL0015"/>
    <s v="Client 308"/>
    <x v="2"/>
    <s v="Doba"/>
    <x v="3"/>
    <x v="17"/>
    <n v="8"/>
    <n v="18000"/>
    <n v="12100"/>
    <x v="4"/>
    <x v="1"/>
    <x v="1"/>
    <s v="Annulée"/>
    <x v="210"/>
    <n v="96800"/>
    <n v="47200"/>
    <n v="0.32777777777777778"/>
    <x v="1"/>
  </r>
  <r>
    <s v="V00804"/>
    <x v="76"/>
    <s v="CL0059"/>
    <s v="Client 130"/>
    <x v="0"/>
    <s v="N'Djamena"/>
    <x v="2"/>
    <x v="9"/>
    <n v="7"/>
    <n v="180000"/>
    <n v="131000"/>
    <x v="2"/>
    <x v="3"/>
    <x v="1"/>
    <s v="Livrée"/>
    <x v="94"/>
    <n v="917000"/>
    <n v="343000"/>
    <n v="0.2722222222222222"/>
    <x v="11"/>
  </r>
  <r>
    <s v="V00805"/>
    <x v="283"/>
    <s v="CL0060"/>
    <s v="Client 272"/>
    <x v="1"/>
    <s v="Abéché"/>
    <x v="2"/>
    <x v="2"/>
    <n v="9"/>
    <n v="55000"/>
    <n v="40200"/>
    <x v="4"/>
    <x v="0"/>
    <x v="0"/>
    <s v="Livrée"/>
    <x v="48"/>
    <n v="361800"/>
    <n v="133200"/>
    <n v="0.2690909090909091"/>
    <x v="2"/>
  </r>
  <r>
    <s v="V00806"/>
    <x v="137"/>
    <s v="CL0103"/>
    <s v="Client 030"/>
    <x v="0"/>
    <s v="N'Djamena"/>
    <x v="2"/>
    <x v="14"/>
    <n v="7"/>
    <n v="99800"/>
    <n v="67900"/>
    <x v="4"/>
    <x v="2"/>
    <x v="0"/>
    <s v="Annulée"/>
    <x v="292"/>
    <n v="475300"/>
    <n v="223300"/>
    <n v="0.31963927855711421"/>
    <x v="0"/>
  </r>
  <r>
    <s v="V00807"/>
    <x v="117"/>
    <s v="CL0476"/>
    <s v="Client 458"/>
    <x v="7"/>
    <s v="Bol"/>
    <x v="2"/>
    <x v="2"/>
    <n v="7"/>
    <n v="55000"/>
    <n v="39000"/>
    <x v="2"/>
    <x v="2"/>
    <x v="2"/>
    <s v="Livrée"/>
    <x v="206"/>
    <n v="273000"/>
    <n v="112000"/>
    <n v="0.29090909090909089"/>
    <x v="1"/>
  </r>
  <r>
    <s v="V00808"/>
    <x v="327"/>
    <s v="CL0469"/>
    <s v="Client 332"/>
    <x v="0"/>
    <s v="N'Djamena"/>
    <x v="3"/>
    <x v="3"/>
    <n v="3"/>
    <n v="15800"/>
    <n v="9500"/>
    <x v="5"/>
    <x v="0"/>
    <x v="0"/>
    <s v="Livrée"/>
    <x v="70"/>
    <n v="28500"/>
    <n v="18900"/>
    <n v="0.39873417721518989"/>
    <x v="8"/>
  </r>
  <r>
    <s v="V00809"/>
    <x v="185"/>
    <s v="CL0057"/>
    <s v="Client 246"/>
    <x v="0"/>
    <s v="N'Djamena"/>
    <x v="1"/>
    <x v="18"/>
    <n v="8"/>
    <n v="25000"/>
    <n v="15500"/>
    <x v="6"/>
    <x v="0"/>
    <x v="0"/>
    <s v="Livrée"/>
    <x v="164"/>
    <n v="124000"/>
    <n v="76000"/>
    <n v="0.38"/>
    <x v="5"/>
  </r>
  <r>
    <s v="V00810"/>
    <x v="311"/>
    <s v="CL0196"/>
    <s v="Client 350"/>
    <x v="2"/>
    <s v="Doba"/>
    <x v="2"/>
    <x v="13"/>
    <n v="6"/>
    <n v="160000"/>
    <n v="123600"/>
    <x v="7"/>
    <x v="3"/>
    <x v="0"/>
    <s v="Livrée"/>
    <x v="98"/>
    <n v="741600"/>
    <n v="218400"/>
    <n v="0.22750000000000001"/>
    <x v="10"/>
  </r>
  <r>
    <s v="V00811"/>
    <x v="47"/>
    <s v="CL0244"/>
    <s v="Client 407"/>
    <x v="2"/>
    <s v="Doba"/>
    <x v="1"/>
    <x v="6"/>
    <n v="7"/>
    <n v="12600"/>
    <n v="7300"/>
    <x v="3"/>
    <x v="2"/>
    <x v="0"/>
    <s v="Livrée"/>
    <x v="326"/>
    <n v="51100"/>
    <n v="37100"/>
    <n v="0.42063492063492064"/>
    <x v="0"/>
  </r>
  <r>
    <s v="V00812"/>
    <x v="57"/>
    <s v="CL0034"/>
    <s v="Client 264"/>
    <x v="0"/>
    <s v="N'Djamena"/>
    <x v="1"/>
    <x v="12"/>
    <n v="4"/>
    <n v="30000"/>
    <n v="19000"/>
    <x v="6"/>
    <x v="2"/>
    <x v="2"/>
    <s v="Livrée"/>
    <x v="95"/>
    <n v="76000"/>
    <n v="44000"/>
    <n v="0.36666666666666664"/>
    <x v="7"/>
  </r>
  <r>
    <s v="V00813"/>
    <x v="328"/>
    <s v="CL0453"/>
    <s v="Client 145"/>
    <x v="2"/>
    <s v="Doba"/>
    <x v="2"/>
    <x v="9"/>
    <n v="2"/>
    <n v="180000"/>
    <n v="131000"/>
    <x v="0"/>
    <x v="1"/>
    <x v="2"/>
    <s v="Livrée"/>
    <x v="24"/>
    <n v="262000"/>
    <n v="98000"/>
    <n v="0.2722222222222222"/>
    <x v="2"/>
  </r>
  <r>
    <s v="V00814"/>
    <x v="249"/>
    <s v="CL0039"/>
    <s v="Client 117"/>
    <x v="2"/>
    <s v="Doba"/>
    <x v="2"/>
    <x v="13"/>
    <n v="10"/>
    <n v="160000"/>
    <n v="120000"/>
    <x v="0"/>
    <x v="1"/>
    <x v="1"/>
    <s v="Livrée"/>
    <x v="132"/>
    <n v="1200000"/>
    <n v="400000"/>
    <n v="0.25"/>
    <x v="5"/>
  </r>
  <r>
    <s v="V00815"/>
    <x v="329"/>
    <s v="CL0213"/>
    <s v="Client 228"/>
    <x v="1"/>
    <s v="Abéché"/>
    <x v="2"/>
    <x v="10"/>
    <n v="9"/>
    <n v="450000"/>
    <n v="358900"/>
    <x v="7"/>
    <x v="3"/>
    <x v="2"/>
    <s v="En cours"/>
    <x v="205"/>
    <n v="3230100"/>
    <n v="819900"/>
    <n v="0.20244444444444445"/>
    <x v="9"/>
  </r>
  <r>
    <s v="V00816"/>
    <x v="330"/>
    <s v="CL0233"/>
    <s v="Client 361"/>
    <x v="6"/>
    <s v="Pala"/>
    <x v="3"/>
    <x v="3"/>
    <n v="1"/>
    <n v="15000"/>
    <n v="9200"/>
    <x v="6"/>
    <x v="3"/>
    <x v="2"/>
    <s v="Livrée"/>
    <x v="127"/>
    <n v="9200"/>
    <n v="5800"/>
    <n v="0.38666666666666666"/>
    <x v="5"/>
  </r>
  <r>
    <s v="V00817"/>
    <x v="99"/>
    <s v="CL0337"/>
    <s v="Client 374"/>
    <x v="0"/>
    <s v="N'Djamena"/>
    <x v="0"/>
    <x v="11"/>
    <n v="5"/>
    <n v="80800"/>
    <n v="60100"/>
    <x v="4"/>
    <x v="2"/>
    <x v="1"/>
    <s v="En cours"/>
    <x v="327"/>
    <n v="300500"/>
    <n v="103500"/>
    <n v="0.25618811881188119"/>
    <x v="6"/>
  </r>
  <r>
    <s v="V00818"/>
    <x v="331"/>
    <s v="CL0210"/>
    <s v="Client 462"/>
    <x v="1"/>
    <s v="Abéché"/>
    <x v="1"/>
    <x v="7"/>
    <n v="3"/>
    <n v="10000"/>
    <n v="6200"/>
    <x v="6"/>
    <x v="1"/>
    <x v="2"/>
    <s v="Livrée"/>
    <x v="5"/>
    <n v="18600"/>
    <n v="11400"/>
    <n v="0.38"/>
    <x v="10"/>
  </r>
  <r>
    <s v="V00819"/>
    <x v="297"/>
    <s v="CL0127"/>
    <s v="Client 233"/>
    <x v="0"/>
    <s v="N'Djamena"/>
    <x v="1"/>
    <x v="7"/>
    <n v="3"/>
    <n v="10000"/>
    <n v="6000"/>
    <x v="2"/>
    <x v="3"/>
    <x v="0"/>
    <s v="Livrée"/>
    <x v="5"/>
    <n v="18000"/>
    <n v="12000"/>
    <n v="0.4"/>
    <x v="3"/>
  </r>
  <r>
    <s v="V00820"/>
    <x v="31"/>
    <s v="CL0429"/>
    <s v="Client 465"/>
    <x v="0"/>
    <s v="N'Djamena"/>
    <x v="0"/>
    <x v="5"/>
    <n v="5"/>
    <n v="209000"/>
    <n v="164800"/>
    <x v="5"/>
    <x v="0"/>
    <x v="0"/>
    <s v="Livrée"/>
    <x v="68"/>
    <n v="824000"/>
    <n v="221000"/>
    <n v="0.21148325358851675"/>
    <x v="0"/>
  </r>
  <r>
    <s v="V00821"/>
    <x v="90"/>
    <s v="CL0461"/>
    <s v="Client 142"/>
    <x v="1"/>
    <s v="Abéché"/>
    <x v="0"/>
    <x v="11"/>
    <n v="10"/>
    <n v="85000"/>
    <n v="62000"/>
    <x v="4"/>
    <x v="1"/>
    <x v="0"/>
    <s v="Livrée"/>
    <x v="328"/>
    <n v="620000"/>
    <n v="230000"/>
    <n v="0.27058823529411763"/>
    <x v="7"/>
  </r>
  <r>
    <s v="V00822"/>
    <x v="55"/>
    <s v="CL0053"/>
    <s v="Client 032"/>
    <x v="4"/>
    <s v="Ati"/>
    <x v="2"/>
    <x v="2"/>
    <n v="8"/>
    <n v="52200"/>
    <n v="39000"/>
    <x v="0"/>
    <x v="1"/>
    <x v="0"/>
    <s v="Livrée"/>
    <x v="329"/>
    <n v="312000"/>
    <n v="105600"/>
    <n v="0.25287356321839083"/>
    <x v="3"/>
  </r>
  <r>
    <s v="V00823"/>
    <x v="53"/>
    <s v="CL0487"/>
    <s v="Client 106"/>
    <x v="6"/>
    <s v="Pala"/>
    <x v="2"/>
    <x v="10"/>
    <n v="1"/>
    <n v="450000"/>
    <n v="358900"/>
    <x v="3"/>
    <x v="3"/>
    <x v="0"/>
    <s v="Livrée"/>
    <x v="317"/>
    <n v="358900"/>
    <n v="91100"/>
    <n v="0.20244444444444445"/>
    <x v="4"/>
  </r>
  <r>
    <s v="V00824"/>
    <x v="6"/>
    <s v="CL0295"/>
    <s v="Client 099"/>
    <x v="1"/>
    <s v="Abéché"/>
    <x v="3"/>
    <x v="15"/>
    <n v="5"/>
    <n v="8000"/>
    <n v="4800"/>
    <x v="4"/>
    <x v="1"/>
    <x v="0"/>
    <s v="Annulée"/>
    <x v="294"/>
    <n v="24000"/>
    <n v="16000"/>
    <n v="0.4"/>
    <x v="2"/>
  </r>
  <r>
    <s v="V00825"/>
    <x v="108"/>
    <s v="CL0448"/>
    <s v="Client 210"/>
    <x v="5"/>
    <s v="Massaguet"/>
    <x v="2"/>
    <x v="14"/>
    <n v="5"/>
    <n v="99800"/>
    <n v="72100"/>
    <x v="6"/>
    <x v="3"/>
    <x v="0"/>
    <s v="Livrée"/>
    <x v="234"/>
    <n v="360500"/>
    <n v="138500"/>
    <n v="0.27755511022044088"/>
    <x v="11"/>
  </r>
  <r>
    <s v="V00826"/>
    <x v="66"/>
    <s v="CL0351"/>
    <s v="Client 426"/>
    <x v="6"/>
    <s v="Pala"/>
    <x v="3"/>
    <x v="17"/>
    <n v="3"/>
    <n v="17100"/>
    <n v="12100"/>
    <x v="6"/>
    <x v="3"/>
    <x v="2"/>
    <s v="Livrée"/>
    <x v="215"/>
    <n v="36300"/>
    <n v="15000"/>
    <n v="0.29239766081871343"/>
    <x v="5"/>
  </r>
  <r>
    <s v="V00827"/>
    <x v="220"/>
    <s v="CL0054"/>
    <s v="Client 058"/>
    <x v="3"/>
    <s v="Mao"/>
    <x v="3"/>
    <x v="4"/>
    <n v="7"/>
    <n v="9400"/>
    <n v="6000"/>
    <x v="5"/>
    <x v="3"/>
    <x v="0"/>
    <s v="Livrée"/>
    <x v="313"/>
    <n v="42000"/>
    <n v="23800"/>
    <n v="0.36170212765957449"/>
    <x v="1"/>
  </r>
  <r>
    <s v="V00828"/>
    <x v="316"/>
    <s v="CL0312"/>
    <s v="Client 452"/>
    <x v="6"/>
    <s v="Moundou"/>
    <x v="3"/>
    <x v="3"/>
    <n v="5"/>
    <n v="15800"/>
    <n v="9200"/>
    <x v="2"/>
    <x v="3"/>
    <x v="1"/>
    <s v="Livrée"/>
    <x v="322"/>
    <n v="46000"/>
    <n v="33000"/>
    <n v="0.41772151898734178"/>
    <x v="10"/>
  </r>
  <r>
    <s v="V00829"/>
    <x v="101"/>
    <s v="CL0109"/>
    <s v="Client 466"/>
    <x v="0"/>
    <s v="N'Djamena"/>
    <x v="2"/>
    <x v="13"/>
    <n v="6"/>
    <n v="168000"/>
    <n v="120000"/>
    <x v="3"/>
    <x v="2"/>
    <x v="1"/>
    <s v="Livrée"/>
    <x v="141"/>
    <n v="720000"/>
    <n v="288000"/>
    <n v="0.2857142857142857"/>
    <x v="6"/>
  </r>
  <r>
    <s v="V00830"/>
    <x v="44"/>
    <s v="CL0345"/>
    <s v="Client 046"/>
    <x v="6"/>
    <s v="Moundou"/>
    <x v="1"/>
    <x v="18"/>
    <n v="1"/>
    <n v="25000"/>
    <n v="16000"/>
    <x v="7"/>
    <x v="0"/>
    <x v="0"/>
    <s v="Livrée"/>
    <x v="330"/>
    <n v="16000"/>
    <n v="9000"/>
    <n v="0.36"/>
    <x v="10"/>
  </r>
  <r>
    <s v="V00831"/>
    <x v="268"/>
    <s v="CL0402"/>
    <s v="Client 154"/>
    <x v="0"/>
    <s v="N'Djamena"/>
    <x v="0"/>
    <x v="11"/>
    <n v="6"/>
    <n v="89200"/>
    <n v="60100"/>
    <x v="1"/>
    <x v="2"/>
    <x v="0"/>
    <s v="Livrée"/>
    <x v="263"/>
    <n v="360600"/>
    <n v="174600"/>
    <n v="0.32623318385650224"/>
    <x v="1"/>
  </r>
  <r>
    <s v="V00832"/>
    <x v="249"/>
    <s v="CL0173"/>
    <s v="Client 200"/>
    <x v="2"/>
    <s v="Doba"/>
    <x v="2"/>
    <x v="9"/>
    <n v="5"/>
    <n v="189000"/>
    <n v="135000"/>
    <x v="2"/>
    <x v="3"/>
    <x v="1"/>
    <s v="Livrée"/>
    <x v="79"/>
    <n v="675000"/>
    <n v="270000"/>
    <n v="0.2857142857142857"/>
    <x v="5"/>
  </r>
  <r>
    <s v="V00833"/>
    <x v="21"/>
    <s v="CL0491"/>
    <s v="Client 449"/>
    <x v="2"/>
    <s v="Doba"/>
    <x v="1"/>
    <x v="18"/>
    <n v="6"/>
    <n v="25000"/>
    <n v="15500"/>
    <x v="7"/>
    <x v="2"/>
    <x v="1"/>
    <s v="En cours"/>
    <x v="145"/>
    <n v="93000"/>
    <n v="57000"/>
    <n v="0.38"/>
    <x v="9"/>
  </r>
  <r>
    <s v="V00834"/>
    <x v="154"/>
    <s v="CL0473"/>
    <s v="Client 162"/>
    <x v="1"/>
    <s v="Abéché"/>
    <x v="2"/>
    <x v="2"/>
    <n v="3"/>
    <n v="55000"/>
    <n v="39000"/>
    <x v="2"/>
    <x v="0"/>
    <x v="0"/>
    <s v="Livrée"/>
    <x v="214"/>
    <n v="117000"/>
    <n v="48000"/>
    <n v="0.29090909090909089"/>
    <x v="0"/>
  </r>
  <r>
    <s v="V00835"/>
    <x v="332"/>
    <s v="CL0486"/>
    <s v="Client 431"/>
    <x v="6"/>
    <s v="Moundou"/>
    <x v="3"/>
    <x v="8"/>
    <n v="5"/>
    <n v="6000"/>
    <n v="4100"/>
    <x v="5"/>
    <x v="1"/>
    <x v="0"/>
    <s v="En cours"/>
    <x v="5"/>
    <n v="20500"/>
    <n v="9500"/>
    <n v="0.31666666666666665"/>
    <x v="9"/>
  </r>
  <r>
    <s v="V00836"/>
    <x v="24"/>
    <s v="CL0300"/>
    <s v="Client 418"/>
    <x v="0"/>
    <s v="N'Djamena"/>
    <x v="0"/>
    <x v="0"/>
    <n v="8"/>
    <n v="65000"/>
    <n v="45000"/>
    <x v="4"/>
    <x v="2"/>
    <x v="1"/>
    <s v="Livrée"/>
    <x v="11"/>
    <n v="360000"/>
    <n v="160000"/>
    <n v="0.30769230769230771"/>
    <x v="1"/>
  </r>
  <r>
    <s v="V00837"/>
    <x v="327"/>
    <s v="CL0135"/>
    <s v="Client 280"/>
    <x v="0"/>
    <s v="N'Djamena"/>
    <x v="3"/>
    <x v="3"/>
    <n v="8"/>
    <n v="15000"/>
    <n v="9800"/>
    <x v="1"/>
    <x v="2"/>
    <x v="0"/>
    <s v="En cours"/>
    <x v="95"/>
    <n v="78400"/>
    <n v="41600"/>
    <n v="0.34666666666666668"/>
    <x v="8"/>
  </r>
  <r>
    <s v="V00838"/>
    <x v="14"/>
    <s v="CL0314"/>
    <s v="Client 474"/>
    <x v="1"/>
    <s v="Abéché"/>
    <x v="0"/>
    <x v="5"/>
    <n v="7"/>
    <n v="220000"/>
    <n v="164800"/>
    <x v="3"/>
    <x v="1"/>
    <x v="2"/>
    <s v="Livrée"/>
    <x v="251"/>
    <n v="1153600"/>
    <n v="386400"/>
    <n v="0.25090909090909091"/>
    <x v="0"/>
  </r>
  <r>
    <s v="V00839"/>
    <x v="121"/>
    <s v="CL0282"/>
    <s v="Client 123"/>
    <x v="3"/>
    <s v="Mao"/>
    <x v="1"/>
    <x v="7"/>
    <n v="5"/>
    <n v="10000"/>
    <n v="6000"/>
    <x v="7"/>
    <x v="3"/>
    <x v="1"/>
    <s v="Livrée"/>
    <x v="182"/>
    <n v="30000"/>
    <n v="20000"/>
    <n v="0.4"/>
    <x v="11"/>
  </r>
  <r>
    <s v="V00840"/>
    <x v="104"/>
    <s v="CL0083"/>
    <s v="Client 229"/>
    <x v="0"/>
    <s v="N'Djamena"/>
    <x v="3"/>
    <x v="4"/>
    <n v="4"/>
    <n v="8600"/>
    <n v="5600"/>
    <x v="1"/>
    <x v="3"/>
    <x v="0"/>
    <s v="Livrée"/>
    <x v="256"/>
    <n v="22400"/>
    <n v="12000"/>
    <n v="0.34883720930232559"/>
    <x v="7"/>
  </r>
  <r>
    <s v="V00841"/>
    <x v="161"/>
    <s v="CL0010"/>
    <s v="Client 276"/>
    <x v="3"/>
    <s v="Mao"/>
    <x v="2"/>
    <x v="9"/>
    <n v="8"/>
    <n v="171000"/>
    <n v="135000"/>
    <x v="2"/>
    <x v="1"/>
    <x v="0"/>
    <s v="Livrée"/>
    <x v="109"/>
    <n v="1080000"/>
    <n v="288000"/>
    <n v="0.21052631578947367"/>
    <x v="4"/>
  </r>
  <r>
    <s v="V00842"/>
    <x v="48"/>
    <s v="CL0119"/>
    <s v="Client 255"/>
    <x v="2"/>
    <s v="Doba"/>
    <x v="0"/>
    <x v="16"/>
    <n v="3"/>
    <n v="133000"/>
    <n v="97000"/>
    <x v="7"/>
    <x v="0"/>
    <x v="1"/>
    <s v="Livrée"/>
    <x v="308"/>
    <n v="291000"/>
    <n v="108000"/>
    <n v="0.27067669172932329"/>
    <x v="8"/>
  </r>
  <r>
    <s v="V00843"/>
    <x v="34"/>
    <s v="CL0199"/>
    <s v="Client 411"/>
    <x v="0"/>
    <s v="N'Djamena"/>
    <x v="2"/>
    <x v="9"/>
    <n v="10"/>
    <n v="180000"/>
    <n v="139000"/>
    <x v="4"/>
    <x v="1"/>
    <x v="0"/>
    <s v="Livrée"/>
    <x v="139"/>
    <n v="1390000"/>
    <n v="410000"/>
    <n v="0.22777777777777777"/>
    <x v="5"/>
  </r>
  <r>
    <s v="V00844"/>
    <x v="333"/>
    <s v="CL0475"/>
    <s v="Client 196"/>
    <x v="6"/>
    <s v="Moundou"/>
    <x v="0"/>
    <x v="0"/>
    <n v="3"/>
    <n v="65000"/>
    <n v="46400"/>
    <x v="2"/>
    <x v="2"/>
    <x v="0"/>
    <s v="Livrée"/>
    <x v="314"/>
    <n v="139200"/>
    <n v="55800"/>
    <n v="0.28615384615384615"/>
    <x v="0"/>
  </r>
  <r>
    <s v="V00845"/>
    <x v="85"/>
    <s v="CL0199"/>
    <s v="Client 375"/>
    <x v="6"/>
    <s v="Pala"/>
    <x v="3"/>
    <x v="15"/>
    <n v="6"/>
    <n v="8400"/>
    <n v="5200"/>
    <x v="2"/>
    <x v="0"/>
    <x v="0"/>
    <s v="Livrée"/>
    <x v="297"/>
    <n v="31200"/>
    <n v="19200"/>
    <n v="0.38095238095238093"/>
    <x v="2"/>
  </r>
  <r>
    <s v="V00846"/>
    <x v="136"/>
    <s v="CL0485"/>
    <s v="Client 499"/>
    <x v="0"/>
    <s v="N'Djamena"/>
    <x v="2"/>
    <x v="9"/>
    <n v="2"/>
    <n v="189000"/>
    <n v="139000"/>
    <x v="3"/>
    <x v="3"/>
    <x v="1"/>
    <s v="Livrée"/>
    <x v="187"/>
    <n v="278000"/>
    <n v="100000"/>
    <n v="0.26455026455026454"/>
    <x v="7"/>
  </r>
  <r>
    <s v="V00847"/>
    <x v="225"/>
    <s v="CL0166"/>
    <s v="Client 376"/>
    <x v="0"/>
    <s v="N'Djamena"/>
    <x v="0"/>
    <x v="5"/>
    <n v="9"/>
    <n v="231000"/>
    <n v="155200"/>
    <x v="0"/>
    <x v="2"/>
    <x v="2"/>
    <s v="Livrée"/>
    <x v="33"/>
    <n v="1396800"/>
    <n v="682200"/>
    <n v="0.32813852813852812"/>
    <x v="0"/>
  </r>
  <r>
    <s v="V00848"/>
    <x v="75"/>
    <s v="CL0249"/>
    <s v="Client 397"/>
    <x v="2"/>
    <s v="Doba"/>
    <x v="3"/>
    <x v="4"/>
    <n v="9"/>
    <n v="9000"/>
    <n v="5800"/>
    <x v="2"/>
    <x v="0"/>
    <x v="1"/>
    <s v="Livrée"/>
    <x v="119"/>
    <n v="52200"/>
    <n v="28800"/>
    <n v="0.35555555555555557"/>
    <x v="7"/>
  </r>
  <r>
    <s v="V00849"/>
    <x v="81"/>
    <s v="CL0078"/>
    <s v="Client 373"/>
    <x v="5"/>
    <s v="Massaguet"/>
    <x v="0"/>
    <x v="11"/>
    <n v="7"/>
    <n v="80800"/>
    <n v="63900"/>
    <x v="5"/>
    <x v="0"/>
    <x v="0"/>
    <s v="Livrée"/>
    <x v="331"/>
    <n v="447300"/>
    <n v="118300"/>
    <n v="0.20915841584158415"/>
    <x v="8"/>
  </r>
  <r>
    <s v="V00850"/>
    <x v="207"/>
    <s v="CL0003"/>
    <s v="Client 216"/>
    <x v="0"/>
    <s v="N'Djamena"/>
    <x v="1"/>
    <x v="18"/>
    <n v="2"/>
    <n v="25000"/>
    <n v="15500"/>
    <x v="1"/>
    <x v="1"/>
    <x v="1"/>
    <s v="En cours"/>
    <x v="182"/>
    <n v="31000"/>
    <n v="19000"/>
    <n v="0.38"/>
    <x v="4"/>
  </r>
  <r>
    <s v="V00851"/>
    <x v="137"/>
    <s v="CL0074"/>
    <s v="Client 290"/>
    <x v="5"/>
    <s v="Massaguet"/>
    <x v="2"/>
    <x v="13"/>
    <n v="9"/>
    <n v="160000"/>
    <n v="120000"/>
    <x v="4"/>
    <x v="2"/>
    <x v="2"/>
    <s v="Livrée"/>
    <x v="157"/>
    <n v="1080000"/>
    <n v="360000"/>
    <n v="0.25"/>
    <x v="0"/>
  </r>
  <r>
    <s v="V00852"/>
    <x v="181"/>
    <s v="CL0370"/>
    <s v="Client 178"/>
    <x v="2"/>
    <s v="Doba"/>
    <x v="1"/>
    <x v="18"/>
    <n v="10"/>
    <n v="23800"/>
    <n v="15500"/>
    <x v="5"/>
    <x v="3"/>
    <x v="0"/>
    <s v="En cours"/>
    <x v="130"/>
    <n v="155000"/>
    <n v="83000"/>
    <n v="0.34873949579831931"/>
    <x v="11"/>
  </r>
  <r>
    <s v="V00853"/>
    <x v="30"/>
    <s v="CL0089"/>
    <s v="Client 201"/>
    <x v="4"/>
    <s v="Ati"/>
    <x v="2"/>
    <x v="10"/>
    <n v="2"/>
    <n v="450000"/>
    <n v="358900"/>
    <x v="6"/>
    <x v="3"/>
    <x v="2"/>
    <s v="Livrée"/>
    <x v="101"/>
    <n v="717800"/>
    <n v="182200"/>
    <n v="0.20244444444444445"/>
    <x v="0"/>
  </r>
  <r>
    <s v="V00854"/>
    <x v="334"/>
    <s v="CL0319"/>
    <s v="Client 093"/>
    <x v="0"/>
    <s v="N'Djamena"/>
    <x v="0"/>
    <x v="0"/>
    <n v="2"/>
    <n v="61800"/>
    <n v="43600"/>
    <x v="0"/>
    <x v="3"/>
    <x v="1"/>
    <s v="Livrée"/>
    <x v="176"/>
    <n v="87200"/>
    <n v="36400"/>
    <n v="0.29449838187702265"/>
    <x v="6"/>
  </r>
  <r>
    <s v="V00855"/>
    <x v="154"/>
    <s v="CL0485"/>
    <s v="Client 088"/>
    <x v="6"/>
    <s v="Pala"/>
    <x v="2"/>
    <x v="2"/>
    <n v="5"/>
    <n v="55000"/>
    <n v="39000"/>
    <x v="2"/>
    <x v="2"/>
    <x v="1"/>
    <s v="Annulée"/>
    <x v="332"/>
    <n v="195000"/>
    <n v="80000"/>
    <n v="0.29090909090909089"/>
    <x v="0"/>
  </r>
  <r>
    <s v="V00856"/>
    <x v="3"/>
    <s v="CL0410"/>
    <s v="Client 399"/>
    <x v="1"/>
    <s v="Abéché"/>
    <x v="3"/>
    <x v="8"/>
    <n v="9"/>
    <n v="6000"/>
    <n v="4200"/>
    <x v="7"/>
    <x v="0"/>
    <x v="1"/>
    <s v="Livrée"/>
    <x v="77"/>
    <n v="37800"/>
    <n v="16200"/>
    <n v="0.3"/>
    <x v="3"/>
  </r>
  <r>
    <s v="V00857"/>
    <x v="163"/>
    <s v="CL0005"/>
    <s v="Client 267"/>
    <x v="5"/>
    <s v="Massaguet"/>
    <x v="0"/>
    <x v="11"/>
    <n v="8"/>
    <n v="85000"/>
    <n v="60100"/>
    <x v="5"/>
    <x v="2"/>
    <x v="2"/>
    <s v="Livrée"/>
    <x v="64"/>
    <n v="480800"/>
    <n v="199200"/>
    <n v="0.29294117647058826"/>
    <x v="10"/>
  </r>
  <r>
    <s v="V00858"/>
    <x v="192"/>
    <s v="CL0176"/>
    <s v="Client 121"/>
    <x v="2"/>
    <s v="Doba"/>
    <x v="0"/>
    <x v="11"/>
    <n v="6"/>
    <n v="89200"/>
    <n v="62000"/>
    <x v="6"/>
    <x v="1"/>
    <x v="1"/>
    <s v="Livrée"/>
    <x v="263"/>
    <n v="372000"/>
    <n v="163200"/>
    <n v="0.30493273542600896"/>
    <x v="6"/>
  </r>
  <r>
    <s v="V00859"/>
    <x v="132"/>
    <s v="CL0376"/>
    <s v="Client 153"/>
    <x v="5"/>
    <s v="Massaguet"/>
    <x v="3"/>
    <x v="15"/>
    <n v="5"/>
    <n v="8000"/>
    <n v="5200"/>
    <x v="4"/>
    <x v="3"/>
    <x v="0"/>
    <s v="Livrée"/>
    <x v="294"/>
    <n v="26000"/>
    <n v="14000"/>
    <n v="0.35"/>
    <x v="6"/>
  </r>
  <r>
    <s v="V00860"/>
    <x v="139"/>
    <s v="CL0352"/>
    <s v="Client 103"/>
    <x v="6"/>
    <s v="Moundou"/>
    <x v="1"/>
    <x v="12"/>
    <n v="3"/>
    <n v="30000"/>
    <n v="19000"/>
    <x v="0"/>
    <x v="0"/>
    <x v="1"/>
    <s v="Livrée"/>
    <x v="185"/>
    <n v="57000"/>
    <n v="33000"/>
    <n v="0.36666666666666664"/>
    <x v="9"/>
  </r>
  <r>
    <s v="V00861"/>
    <x v="222"/>
    <s v="CL0056"/>
    <s v="Client 138"/>
    <x v="1"/>
    <s v="Abéché"/>
    <x v="2"/>
    <x v="13"/>
    <n v="3"/>
    <n v="152000"/>
    <n v="116400"/>
    <x v="1"/>
    <x v="0"/>
    <x v="0"/>
    <s v="En cours"/>
    <x v="333"/>
    <n v="349200"/>
    <n v="106800"/>
    <n v="0.23421052631578948"/>
    <x v="10"/>
  </r>
  <r>
    <s v="V00862"/>
    <x v="145"/>
    <s v="CL0021"/>
    <s v="Client 303"/>
    <x v="6"/>
    <s v="Moundou"/>
    <x v="3"/>
    <x v="17"/>
    <n v="5"/>
    <n v="18000"/>
    <n v="12900"/>
    <x v="4"/>
    <x v="3"/>
    <x v="0"/>
    <s v="En cours"/>
    <x v="185"/>
    <n v="64500"/>
    <n v="25500"/>
    <n v="0.28333333333333333"/>
    <x v="7"/>
  </r>
  <r>
    <s v="V00863"/>
    <x v="221"/>
    <s v="CL0500"/>
    <s v="Client 494"/>
    <x v="6"/>
    <s v="Pala"/>
    <x v="2"/>
    <x v="2"/>
    <n v="8"/>
    <n v="52200"/>
    <n v="39000"/>
    <x v="1"/>
    <x v="3"/>
    <x v="0"/>
    <s v="Livrée"/>
    <x v="329"/>
    <n v="312000"/>
    <n v="105600"/>
    <n v="0.25287356321839083"/>
    <x v="11"/>
  </r>
  <r>
    <s v="V00864"/>
    <x v="151"/>
    <s v="CL0049"/>
    <s v="Client 191"/>
    <x v="0"/>
    <s v="N'Djamena"/>
    <x v="3"/>
    <x v="15"/>
    <n v="6"/>
    <n v="8000"/>
    <n v="5000"/>
    <x v="6"/>
    <x v="2"/>
    <x v="2"/>
    <s v="Annulée"/>
    <x v="36"/>
    <n v="30000"/>
    <n v="18000"/>
    <n v="0.375"/>
    <x v="5"/>
  </r>
  <r>
    <s v="V00865"/>
    <x v="335"/>
    <s v="CL0258"/>
    <s v="Client 068"/>
    <x v="6"/>
    <s v="Moundou"/>
    <x v="3"/>
    <x v="3"/>
    <n v="7"/>
    <n v="15000"/>
    <n v="9800"/>
    <x v="3"/>
    <x v="2"/>
    <x v="1"/>
    <s v="Livrée"/>
    <x v="65"/>
    <n v="68600"/>
    <n v="36400"/>
    <n v="0.34666666666666668"/>
    <x v="2"/>
  </r>
  <r>
    <s v="V00866"/>
    <x v="183"/>
    <s v="CL0251"/>
    <s v="Client 341"/>
    <x v="0"/>
    <s v="N'Djamena"/>
    <x v="2"/>
    <x v="13"/>
    <n v="7"/>
    <n v="160000"/>
    <n v="120000"/>
    <x v="5"/>
    <x v="2"/>
    <x v="1"/>
    <s v="Livrée"/>
    <x v="30"/>
    <n v="840000"/>
    <n v="280000"/>
    <n v="0.25"/>
    <x v="7"/>
  </r>
  <r>
    <s v="V00867"/>
    <x v="216"/>
    <s v="CL0468"/>
    <s v="Client 235"/>
    <x v="3"/>
    <s v="Mao"/>
    <x v="0"/>
    <x v="11"/>
    <n v="3"/>
    <n v="89200"/>
    <n v="60100"/>
    <x v="0"/>
    <x v="2"/>
    <x v="0"/>
    <s v="Livrée"/>
    <x v="15"/>
    <n v="180300"/>
    <n v="87300"/>
    <n v="0.32623318385650224"/>
    <x v="5"/>
  </r>
  <r>
    <s v="V00868"/>
    <x v="178"/>
    <s v="CL0167"/>
    <s v="Client 221"/>
    <x v="1"/>
    <s v="Abéché"/>
    <x v="2"/>
    <x v="13"/>
    <n v="10"/>
    <n v="152000"/>
    <n v="116400"/>
    <x v="3"/>
    <x v="3"/>
    <x v="0"/>
    <s v="Livrée"/>
    <x v="323"/>
    <n v="1164000"/>
    <n v="356000"/>
    <n v="0.23421052631578948"/>
    <x v="3"/>
  </r>
  <r>
    <s v="V00869"/>
    <x v="313"/>
    <s v="CL0127"/>
    <s v="Client 370"/>
    <x v="0"/>
    <s v="N'Djamena"/>
    <x v="1"/>
    <x v="12"/>
    <n v="5"/>
    <n v="30000"/>
    <n v="19600"/>
    <x v="4"/>
    <x v="1"/>
    <x v="1"/>
    <s v="Livrée"/>
    <x v="145"/>
    <n v="98000"/>
    <n v="52000"/>
    <n v="0.34666666666666668"/>
    <x v="1"/>
  </r>
  <r>
    <s v="V00870"/>
    <x v="296"/>
    <s v="CL0379"/>
    <s v="Client 096"/>
    <x v="6"/>
    <s v="Pala"/>
    <x v="3"/>
    <x v="3"/>
    <n v="5"/>
    <n v="15000"/>
    <n v="9500"/>
    <x v="7"/>
    <x v="1"/>
    <x v="1"/>
    <s v="Livrée"/>
    <x v="81"/>
    <n v="47500"/>
    <n v="27500"/>
    <n v="0.36666666666666664"/>
    <x v="2"/>
  </r>
  <r>
    <s v="V00871"/>
    <x v="166"/>
    <s v="CL0500"/>
    <s v="Client 286"/>
    <x v="0"/>
    <s v="N'Djamena"/>
    <x v="1"/>
    <x v="7"/>
    <n v="5"/>
    <n v="10500"/>
    <n v="6000"/>
    <x v="6"/>
    <x v="3"/>
    <x v="0"/>
    <s v="En cours"/>
    <x v="334"/>
    <n v="30000"/>
    <n v="22500"/>
    <n v="0.42857142857142855"/>
    <x v="1"/>
  </r>
  <r>
    <s v="V00872"/>
    <x v="88"/>
    <s v="CL0383"/>
    <s v="Client 208"/>
    <x v="4"/>
    <s v="Ati"/>
    <x v="1"/>
    <x v="6"/>
    <n v="6"/>
    <n v="12000"/>
    <n v="7500"/>
    <x v="4"/>
    <x v="2"/>
    <x v="2"/>
    <s v="Livrée"/>
    <x v="196"/>
    <n v="45000"/>
    <n v="27000"/>
    <n v="0.375"/>
    <x v="7"/>
  </r>
  <r>
    <s v="V00873"/>
    <x v="70"/>
    <s v="CL0227"/>
    <s v="Client 312"/>
    <x v="0"/>
    <s v="N'Djamena"/>
    <x v="2"/>
    <x v="14"/>
    <n v="4"/>
    <n v="90200"/>
    <n v="70000"/>
    <x v="1"/>
    <x v="0"/>
    <x v="0"/>
    <s v="Livrée"/>
    <x v="203"/>
    <n v="280000"/>
    <n v="80800"/>
    <n v="0.22394678492239467"/>
    <x v="11"/>
  </r>
  <r>
    <s v="V00874"/>
    <x v="64"/>
    <s v="CL0449"/>
    <s v="Client 449"/>
    <x v="0"/>
    <s v="N'Djamena"/>
    <x v="2"/>
    <x v="9"/>
    <n v="4"/>
    <n v="189000"/>
    <n v="131000"/>
    <x v="7"/>
    <x v="0"/>
    <x v="1"/>
    <s v="Livrée"/>
    <x v="134"/>
    <n v="524000"/>
    <n v="232000"/>
    <n v="0.30687830687830686"/>
    <x v="10"/>
  </r>
  <r>
    <s v="V00875"/>
    <x v="126"/>
    <s v="CL0318"/>
    <s v="Client 396"/>
    <x v="2"/>
    <s v="Doba"/>
    <x v="3"/>
    <x v="4"/>
    <n v="10"/>
    <n v="9000"/>
    <n v="5800"/>
    <x v="6"/>
    <x v="2"/>
    <x v="0"/>
    <s v="Livrée"/>
    <x v="185"/>
    <n v="58000"/>
    <n v="32000"/>
    <n v="0.35555555555555557"/>
    <x v="4"/>
  </r>
  <r>
    <s v="V00876"/>
    <x v="5"/>
    <s v="CL0361"/>
    <s v="Client 015"/>
    <x v="0"/>
    <s v="N'Djamena"/>
    <x v="3"/>
    <x v="17"/>
    <n v="4"/>
    <n v="18900"/>
    <n v="12500"/>
    <x v="0"/>
    <x v="2"/>
    <x v="1"/>
    <s v="Livrée"/>
    <x v="220"/>
    <n v="50000"/>
    <n v="25600"/>
    <n v="0.33862433862433861"/>
    <x v="5"/>
  </r>
  <r>
    <s v="V00877"/>
    <x v="198"/>
    <s v="CL0115"/>
    <s v="Client 248"/>
    <x v="4"/>
    <s v="Ati"/>
    <x v="1"/>
    <x v="6"/>
    <n v="2"/>
    <n v="11400"/>
    <n v="7700"/>
    <x v="3"/>
    <x v="2"/>
    <x v="0"/>
    <s v="Livrée"/>
    <x v="9"/>
    <n v="15400"/>
    <n v="7400"/>
    <n v="0.32456140350877194"/>
    <x v="10"/>
  </r>
  <r>
    <s v="V00878"/>
    <x v="150"/>
    <s v="CL0314"/>
    <s v="Client 483"/>
    <x v="0"/>
    <s v="N'Djamena"/>
    <x v="2"/>
    <x v="14"/>
    <n v="1"/>
    <n v="95000"/>
    <n v="67900"/>
    <x v="3"/>
    <x v="2"/>
    <x v="0"/>
    <s v="Livrée"/>
    <x v="335"/>
    <n v="67900"/>
    <n v="27100"/>
    <n v="0.28526315789473683"/>
    <x v="0"/>
  </r>
  <r>
    <s v="V00879"/>
    <x v="68"/>
    <s v="CL0085"/>
    <s v="Client 346"/>
    <x v="2"/>
    <s v="Doba"/>
    <x v="3"/>
    <x v="8"/>
    <n v="3"/>
    <n v="6300"/>
    <n v="4100"/>
    <x v="2"/>
    <x v="2"/>
    <x v="0"/>
    <s v="Livrée"/>
    <x v="311"/>
    <n v="12300"/>
    <n v="6600"/>
    <n v="0.34920634920634919"/>
    <x v="8"/>
  </r>
  <r>
    <s v="V00880"/>
    <x v="57"/>
    <s v="CL0081"/>
    <s v="Client 325"/>
    <x v="0"/>
    <s v="N'Djamena"/>
    <x v="1"/>
    <x v="12"/>
    <n v="9"/>
    <n v="28500"/>
    <n v="18400"/>
    <x v="6"/>
    <x v="2"/>
    <x v="0"/>
    <s v="Livrée"/>
    <x v="268"/>
    <n v="165600"/>
    <n v="90900"/>
    <n v="0.35438596491228069"/>
    <x v="7"/>
  </r>
  <r>
    <s v="V00881"/>
    <x v="75"/>
    <s v="CL0417"/>
    <s v="Client 273"/>
    <x v="0"/>
    <s v="N'Djamena"/>
    <x v="2"/>
    <x v="10"/>
    <n v="6"/>
    <n v="472500"/>
    <n v="370000"/>
    <x v="0"/>
    <x v="3"/>
    <x v="0"/>
    <s v="Livrée"/>
    <x v="225"/>
    <n v="2220000"/>
    <n v="615000"/>
    <n v="0.21693121693121692"/>
    <x v="7"/>
  </r>
  <r>
    <s v="V00882"/>
    <x v="336"/>
    <s v="CL0129"/>
    <s v="Client 078"/>
    <x v="0"/>
    <s v="N'Djamena"/>
    <x v="3"/>
    <x v="15"/>
    <n v="1"/>
    <n v="7600"/>
    <n v="5200"/>
    <x v="0"/>
    <x v="3"/>
    <x v="1"/>
    <s v="En cours"/>
    <x v="260"/>
    <n v="5200"/>
    <n v="2400"/>
    <n v="0.31578947368421051"/>
    <x v="8"/>
  </r>
  <r>
    <s v="V00883"/>
    <x v="53"/>
    <s v="CL0479"/>
    <s v="Client 042"/>
    <x v="1"/>
    <s v="Abéché"/>
    <x v="2"/>
    <x v="9"/>
    <n v="1"/>
    <n v="180000"/>
    <n v="131000"/>
    <x v="1"/>
    <x v="1"/>
    <x v="1"/>
    <s v="Livrée"/>
    <x v="88"/>
    <n v="131000"/>
    <n v="49000"/>
    <n v="0.2722222222222222"/>
    <x v="4"/>
  </r>
  <r>
    <s v="V00884"/>
    <x v="298"/>
    <s v="CL0491"/>
    <s v="Client 056"/>
    <x v="0"/>
    <s v="N'Djamena"/>
    <x v="3"/>
    <x v="8"/>
    <n v="10"/>
    <n v="6300"/>
    <n v="4300"/>
    <x v="1"/>
    <x v="1"/>
    <x v="1"/>
    <s v="Livrée"/>
    <x v="74"/>
    <n v="43000"/>
    <n v="20000"/>
    <n v="0.31746031746031744"/>
    <x v="10"/>
  </r>
  <r>
    <s v="V00885"/>
    <x v="232"/>
    <s v="CL0277"/>
    <s v="Client 198"/>
    <x v="5"/>
    <s v="Massaguet"/>
    <x v="2"/>
    <x v="14"/>
    <n v="10"/>
    <n v="95000"/>
    <n v="70000"/>
    <x v="7"/>
    <x v="2"/>
    <x v="2"/>
    <s v="Annulée"/>
    <x v="167"/>
    <n v="700000"/>
    <n v="250000"/>
    <n v="0.26315789473684209"/>
    <x v="5"/>
  </r>
  <r>
    <s v="V00886"/>
    <x v="307"/>
    <s v="CL0189"/>
    <s v="Client 151"/>
    <x v="0"/>
    <s v="N'Djamena"/>
    <x v="2"/>
    <x v="14"/>
    <n v="9"/>
    <n v="99800"/>
    <n v="67900"/>
    <x v="7"/>
    <x v="0"/>
    <x v="0"/>
    <s v="En cours"/>
    <x v="46"/>
    <n v="611100"/>
    <n v="287100"/>
    <n v="0.31963927855711421"/>
    <x v="1"/>
  </r>
  <r>
    <s v="V00887"/>
    <x v="286"/>
    <s v="CL0226"/>
    <s v="Client 420"/>
    <x v="2"/>
    <s v="Doba"/>
    <x v="0"/>
    <x v="5"/>
    <n v="2"/>
    <n v="231000"/>
    <n v="155200"/>
    <x v="1"/>
    <x v="3"/>
    <x v="1"/>
    <s v="Annulée"/>
    <x v="336"/>
    <n v="310400"/>
    <n v="151600"/>
    <n v="0.32813852813852812"/>
    <x v="9"/>
  </r>
  <r>
    <s v="V00888"/>
    <x v="20"/>
    <s v="CL0009"/>
    <s v="Client 061"/>
    <x v="3"/>
    <s v="Mao"/>
    <x v="2"/>
    <x v="13"/>
    <n v="6"/>
    <n v="168000"/>
    <n v="123600"/>
    <x v="3"/>
    <x v="3"/>
    <x v="1"/>
    <s v="Livrée"/>
    <x v="141"/>
    <n v="741600"/>
    <n v="266400"/>
    <n v="0.26428571428571429"/>
    <x v="4"/>
  </r>
  <r>
    <s v="V00889"/>
    <x v="205"/>
    <s v="CL0355"/>
    <s v="Client 292"/>
    <x v="5"/>
    <s v="Massaguet"/>
    <x v="3"/>
    <x v="15"/>
    <n v="9"/>
    <n v="8400"/>
    <n v="4800"/>
    <x v="3"/>
    <x v="2"/>
    <x v="0"/>
    <s v="Livrée"/>
    <x v="220"/>
    <n v="43200"/>
    <n v="32400"/>
    <n v="0.42857142857142855"/>
    <x v="4"/>
  </r>
  <r>
    <s v="V00890"/>
    <x v="50"/>
    <s v="CL0166"/>
    <s v="Client 118"/>
    <x v="2"/>
    <s v="Doba"/>
    <x v="3"/>
    <x v="17"/>
    <n v="8"/>
    <n v="18000"/>
    <n v="12900"/>
    <x v="0"/>
    <x v="0"/>
    <x v="1"/>
    <s v="Annulée"/>
    <x v="210"/>
    <n v="103200"/>
    <n v="40800"/>
    <n v="0.28333333333333333"/>
    <x v="2"/>
  </r>
  <r>
    <s v="V00891"/>
    <x v="138"/>
    <s v="CL0315"/>
    <s v="Client 218"/>
    <x v="0"/>
    <s v="N'Djamena"/>
    <x v="1"/>
    <x v="7"/>
    <n v="5"/>
    <n v="10500"/>
    <n v="6000"/>
    <x v="2"/>
    <x v="2"/>
    <x v="2"/>
    <s v="Livrée"/>
    <x v="334"/>
    <n v="30000"/>
    <n v="22500"/>
    <n v="0.42857142857142855"/>
    <x v="6"/>
  </r>
  <r>
    <s v="V00892"/>
    <x v="337"/>
    <s v="CL0495"/>
    <s v="Client 295"/>
    <x v="4"/>
    <s v="Ati"/>
    <x v="0"/>
    <x v="5"/>
    <n v="7"/>
    <n v="231000"/>
    <n v="155200"/>
    <x v="4"/>
    <x v="2"/>
    <x v="0"/>
    <s v="Livrée"/>
    <x v="337"/>
    <n v="1086400"/>
    <n v="530600"/>
    <n v="0.32813852813852812"/>
    <x v="4"/>
  </r>
  <r>
    <s v="V00893"/>
    <x v="228"/>
    <s v="CL0060"/>
    <s v="Client 338"/>
    <x v="0"/>
    <s v="N'Djamena"/>
    <x v="2"/>
    <x v="2"/>
    <n v="1"/>
    <n v="52200"/>
    <n v="39000"/>
    <x v="6"/>
    <x v="1"/>
    <x v="1"/>
    <s v="Livrée"/>
    <x v="161"/>
    <n v="39000"/>
    <n v="13200"/>
    <n v="0.25287356321839083"/>
    <x v="10"/>
  </r>
  <r>
    <s v="V00894"/>
    <x v="199"/>
    <s v="CL0056"/>
    <s v="Client 176"/>
    <x v="4"/>
    <s v="Ati"/>
    <x v="2"/>
    <x v="9"/>
    <n v="4"/>
    <n v="171000"/>
    <n v="139000"/>
    <x v="1"/>
    <x v="2"/>
    <x v="2"/>
    <s v="Livrée"/>
    <x v="111"/>
    <n v="556000"/>
    <n v="128000"/>
    <n v="0.1871345029239766"/>
    <x v="2"/>
  </r>
  <r>
    <s v="V00895"/>
    <x v="66"/>
    <s v="CL0089"/>
    <s v="Client 305"/>
    <x v="4"/>
    <s v="Ati"/>
    <x v="0"/>
    <x v="0"/>
    <n v="8"/>
    <n v="68200"/>
    <n v="46400"/>
    <x v="0"/>
    <x v="1"/>
    <x v="0"/>
    <s v="En cours"/>
    <x v="274"/>
    <n v="371200"/>
    <n v="174400"/>
    <n v="0.31964809384164222"/>
    <x v="5"/>
  </r>
  <r>
    <s v="V00896"/>
    <x v="99"/>
    <s v="CL0118"/>
    <s v="Client 326"/>
    <x v="0"/>
    <s v="N'Djamena"/>
    <x v="3"/>
    <x v="17"/>
    <n v="2"/>
    <n v="18000"/>
    <n v="12900"/>
    <x v="0"/>
    <x v="3"/>
    <x v="1"/>
    <s v="Livrée"/>
    <x v="193"/>
    <n v="25800"/>
    <n v="10200"/>
    <n v="0.28333333333333333"/>
    <x v="6"/>
  </r>
  <r>
    <s v="V00897"/>
    <x v="217"/>
    <s v="CL0167"/>
    <s v="Client 214"/>
    <x v="6"/>
    <s v="Pala"/>
    <x v="3"/>
    <x v="3"/>
    <n v="2"/>
    <n v="14200"/>
    <n v="9800"/>
    <x v="7"/>
    <x v="2"/>
    <x v="0"/>
    <s v="Livrée"/>
    <x v="338"/>
    <n v="19600"/>
    <n v="8800"/>
    <n v="0.30985915492957744"/>
    <x v="1"/>
  </r>
  <r>
    <s v="V00898"/>
    <x v="26"/>
    <s v="CL0446"/>
    <s v="Client 495"/>
    <x v="5"/>
    <s v="Massaguet"/>
    <x v="2"/>
    <x v="13"/>
    <n v="6"/>
    <n v="160000"/>
    <n v="120000"/>
    <x v="6"/>
    <x v="0"/>
    <x v="1"/>
    <s v="Livrée"/>
    <x v="98"/>
    <n v="720000"/>
    <n v="240000"/>
    <n v="0.25"/>
    <x v="10"/>
  </r>
  <r>
    <s v="V00899"/>
    <x v="46"/>
    <s v="CL0113"/>
    <s v="Client 198"/>
    <x v="3"/>
    <s v="Mao"/>
    <x v="2"/>
    <x v="10"/>
    <n v="3"/>
    <n v="450000"/>
    <n v="358900"/>
    <x v="2"/>
    <x v="3"/>
    <x v="0"/>
    <s v="Livrée"/>
    <x v="113"/>
    <n v="1076700"/>
    <n v="273300"/>
    <n v="0.20244444444444445"/>
    <x v="10"/>
  </r>
  <r>
    <s v="V00900"/>
    <x v="205"/>
    <s v="CL0125"/>
    <s v="Client 312"/>
    <x v="2"/>
    <s v="Doba"/>
    <x v="0"/>
    <x v="11"/>
    <n v="3"/>
    <n v="80800"/>
    <n v="63900"/>
    <x v="6"/>
    <x v="0"/>
    <x v="0"/>
    <s v="Livrée"/>
    <x v="339"/>
    <n v="191700"/>
    <n v="50700"/>
    <n v="0.20915841584158415"/>
    <x v="4"/>
  </r>
  <r>
    <s v="V00901"/>
    <x v="12"/>
    <s v="CL0203"/>
    <s v="Client 351"/>
    <x v="0"/>
    <s v="N'Djamena"/>
    <x v="1"/>
    <x v="6"/>
    <n v="9"/>
    <n v="12000"/>
    <n v="7500"/>
    <x v="5"/>
    <x v="0"/>
    <x v="1"/>
    <s v="Livrée"/>
    <x v="124"/>
    <n v="67500"/>
    <n v="40500"/>
    <n v="0.375"/>
    <x v="7"/>
  </r>
  <r>
    <s v="V00902"/>
    <x v="192"/>
    <s v="CL0371"/>
    <s v="Client 237"/>
    <x v="5"/>
    <s v="Massaguet"/>
    <x v="1"/>
    <x v="18"/>
    <n v="1"/>
    <n v="26200"/>
    <n v="15500"/>
    <x v="0"/>
    <x v="2"/>
    <x v="2"/>
    <s v="Livrée"/>
    <x v="319"/>
    <n v="15500"/>
    <n v="10700"/>
    <n v="0.40839694656488551"/>
    <x v="6"/>
  </r>
  <r>
    <s v="V00903"/>
    <x v="44"/>
    <s v="CL0380"/>
    <s v="Client 144"/>
    <x v="2"/>
    <s v="Doba"/>
    <x v="0"/>
    <x v="16"/>
    <n v="2"/>
    <n v="140000"/>
    <n v="100000"/>
    <x v="2"/>
    <x v="3"/>
    <x v="1"/>
    <s v="En cours"/>
    <x v="76"/>
    <n v="200000"/>
    <n v="80000"/>
    <n v="0.2857142857142857"/>
    <x v="10"/>
  </r>
  <r>
    <s v="V00904"/>
    <x v="87"/>
    <s v="CL0327"/>
    <s v="Client 040"/>
    <x v="4"/>
    <s v="Ati"/>
    <x v="0"/>
    <x v="0"/>
    <n v="1"/>
    <n v="65000"/>
    <n v="45000"/>
    <x v="3"/>
    <x v="0"/>
    <x v="0"/>
    <s v="Livrée"/>
    <x v="0"/>
    <n v="45000"/>
    <n v="20000"/>
    <n v="0.30769230769230771"/>
    <x v="1"/>
  </r>
  <r>
    <s v="V00905"/>
    <x v="329"/>
    <s v="CL0160"/>
    <s v="Client 218"/>
    <x v="0"/>
    <s v="N'Djamena"/>
    <x v="3"/>
    <x v="3"/>
    <n v="5"/>
    <n v="15800"/>
    <n v="9500"/>
    <x v="0"/>
    <x v="3"/>
    <x v="2"/>
    <s v="Annulée"/>
    <x v="322"/>
    <n v="47500"/>
    <n v="31500"/>
    <n v="0.39873417721518989"/>
    <x v="9"/>
  </r>
  <r>
    <s v="V00906"/>
    <x v="72"/>
    <s v="CL0134"/>
    <s v="Client 214"/>
    <x v="7"/>
    <s v="Bol"/>
    <x v="0"/>
    <x v="11"/>
    <n v="8"/>
    <n v="85000"/>
    <n v="62000"/>
    <x v="7"/>
    <x v="3"/>
    <x v="1"/>
    <s v="En cours"/>
    <x v="64"/>
    <n v="496000"/>
    <n v="184000"/>
    <n v="0.27058823529411763"/>
    <x v="2"/>
  </r>
  <r>
    <s v="V00907"/>
    <x v="338"/>
    <s v="CL0298"/>
    <s v="Client 095"/>
    <x v="4"/>
    <s v="Ati"/>
    <x v="0"/>
    <x v="11"/>
    <n v="10"/>
    <n v="89200"/>
    <n v="60100"/>
    <x v="3"/>
    <x v="1"/>
    <x v="2"/>
    <s v="En cours"/>
    <x v="340"/>
    <n v="601000"/>
    <n v="291000"/>
    <n v="0.32623318385650224"/>
    <x v="11"/>
  </r>
  <r>
    <s v="V00908"/>
    <x v="330"/>
    <s v="CL0281"/>
    <s v="Client 438"/>
    <x v="0"/>
    <s v="N'Djamena"/>
    <x v="0"/>
    <x v="5"/>
    <n v="5"/>
    <n v="220000"/>
    <n v="160000"/>
    <x v="5"/>
    <x v="0"/>
    <x v="0"/>
    <s v="Annulée"/>
    <x v="80"/>
    <n v="800000"/>
    <n v="300000"/>
    <n v="0.27272727272727271"/>
    <x v="5"/>
  </r>
  <r>
    <s v="V00909"/>
    <x v="134"/>
    <s v="CL0313"/>
    <s v="Client 027"/>
    <x v="5"/>
    <s v="Massaguet"/>
    <x v="0"/>
    <x v="16"/>
    <n v="7"/>
    <n v="140000"/>
    <n v="97000"/>
    <x v="1"/>
    <x v="3"/>
    <x v="0"/>
    <s v="En cours"/>
    <x v="146"/>
    <n v="679000"/>
    <n v="301000"/>
    <n v="0.30714285714285716"/>
    <x v="3"/>
  </r>
  <r>
    <s v="V00910"/>
    <x v="185"/>
    <s v="CL0482"/>
    <s v="Client 493"/>
    <x v="0"/>
    <s v="N'Djamena"/>
    <x v="2"/>
    <x v="14"/>
    <n v="2"/>
    <n v="95000"/>
    <n v="72100"/>
    <x v="7"/>
    <x v="2"/>
    <x v="0"/>
    <s v="Livrée"/>
    <x v="28"/>
    <n v="144200"/>
    <n v="45800"/>
    <n v="0.24105263157894738"/>
    <x v="5"/>
  </r>
  <r>
    <s v="V00911"/>
    <x v="3"/>
    <s v="CL0458"/>
    <s v="Client 413"/>
    <x v="0"/>
    <s v="N'Djamena"/>
    <x v="1"/>
    <x v="12"/>
    <n v="5"/>
    <n v="30000"/>
    <n v="18400"/>
    <x v="6"/>
    <x v="3"/>
    <x v="2"/>
    <s v="Annulée"/>
    <x v="145"/>
    <n v="92000"/>
    <n v="58000"/>
    <n v="0.38666666666666666"/>
    <x v="3"/>
  </r>
  <r>
    <s v="V00912"/>
    <x v="176"/>
    <s v="CL0249"/>
    <s v="Client 151"/>
    <x v="0"/>
    <s v="N'Djamena"/>
    <x v="2"/>
    <x v="14"/>
    <n v="6"/>
    <n v="90200"/>
    <n v="72100"/>
    <x v="1"/>
    <x v="2"/>
    <x v="2"/>
    <s v="Livrée"/>
    <x v="192"/>
    <n v="432600"/>
    <n v="108600"/>
    <n v="0.20066518847006651"/>
    <x v="9"/>
  </r>
  <r>
    <s v="V00913"/>
    <x v="339"/>
    <s v="CL0327"/>
    <s v="Client 155"/>
    <x v="7"/>
    <s v="Bol"/>
    <x v="0"/>
    <x v="5"/>
    <n v="5"/>
    <n v="209000"/>
    <n v="155200"/>
    <x v="3"/>
    <x v="2"/>
    <x v="0"/>
    <s v="En cours"/>
    <x v="68"/>
    <n v="776000"/>
    <n v="269000"/>
    <n v="0.25741626794258371"/>
    <x v="0"/>
  </r>
  <r>
    <s v="V00914"/>
    <x v="75"/>
    <s v="CL0455"/>
    <s v="Client 132"/>
    <x v="7"/>
    <s v="Bol"/>
    <x v="1"/>
    <x v="12"/>
    <n v="2"/>
    <n v="28500"/>
    <n v="18400"/>
    <x v="2"/>
    <x v="2"/>
    <x v="0"/>
    <s v="Livrée"/>
    <x v="159"/>
    <n v="36800"/>
    <n v="20200"/>
    <n v="0.35438596491228069"/>
    <x v="7"/>
  </r>
  <r>
    <s v="V00916"/>
    <x v="340"/>
    <s v="CL0406"/>
    <s v="Client 256"/>
    <x v="2"/>
    <s v="Doba"/>
    <x v="3"/>
    <x v="8"/>
    <n v="2"/>
    <n v="5700"/>
    <n v="4100"/>
    <x v="1"/>
    <x v="0"/>
    <x v="1"/>
    <s v="Livrée"/>
    <x v="298"/>
    <n v="8200"/>
    <n v="3200"/>
    <n v="0.2807017543859649"/>
    <x v="2"/>
  </r>
  <r>
    <s v="V00917"/>
    <x v="239"/>
    <s v="CL0034"/>
    <s v="Client 475"/>
    <x v="0"/>
    <s v="N'Djamena"/>
    <x v="0"/>
    <x v="11"/>
    <n v="7"/>
    <n v="85000"/>
    <n v="62000"/>
    <x v="7"/>
    <x v="0"/>
    <x v="1"/>
    <s v="En cours"/>
    <x v="199"/>
    <n v="434000"/>
    <n v="161000"/>
    <n v="0.27058823529411763"/>
    <x v="2"/>
  </r>
  <r>
    <s v="V00918"/>
    <x v="201"/>
    <s v="CL0389"/>
    <s v="Client 147"/>
    <x v="0"/>
    <s v="N'Djamena"/>
    <x v="2"/>
    <x v="10"/>
    <n v="9"/>
    <n v="450000"/>
    <n v="381100"/>
    <x v="7"/>
    <x v="1"/>
    <x v="1"/>
    <s v="Livrée"/>
    <x v="205"/>
    <n v="3429900"/>
    <n v="620100"/>
    <n v="0.15311111111111111"/>
    <x v="2"/>
  </r>
  <r>
    <s v="V00919"/>
    <x v="51"/>
    <s v="CL0176"/>
    <s v="Client 378"/>
    <x v="5"/>
    <s v="Massaguet"/>
    <x v="1"/>
    <x v="6"/>
    <n v="6"/>
    <n v="11400"/>
    <n v="7700"/>
    <x v="1"/>
    <x v="3"/>
    <x v="1"/>
    <s v="Livrée"/>
    <x v="237"/>
    <n v="46200"/>
    <n v="22200"/>
    <n v="0.32456140350877194"/>
    <x v="0"/>
  </r>
  <r>
    <s v="V00920"/>
    <x v="176"/>
    <s v="CL0017"/>
    <s v="Client 297"/>
    <x v="0"/>
    <s v="N'Djamena"/>
    <x v="0"/>
    <x v="16"/>
    <n v="8"/>
    <n v="140000"/>
    <n v="103000"/>
    <x v="4"/>
    <x v="3"/>
    <x v="2"/>
    <s v="Livrée"/>
    <x v="30"/>
    <n v="824000"/>
    <n v="296000"/>
    <n v="0.26428571428571429"/>
    <x v="9"/>
  </r>
  <r>
    <s v="V00921"/>
    <x v="93"/>
    <s v="CL0273"/>
    <s v="Client 348"/>
    <x v="6"/>
    <s v="Pala"/>
    <x v="2"/>
    <x v="2"/>
    <n v="2"/>
    <n v="52200"/>
    <n v="39000"/>
    <x v="6"/>
    <x v="2"/>
    <x v="1"/>
    <s v="Livrée"/>
    <x v="97"/>
    <n v="78000"/>
    <n v="26400"/>
    <n v="0.25287356321839083"/>
    <x v="3"/>
  </r>
  <r>
    <s v="V00922"/>
    <x v="173"/>
    <s v="CL0138"/>
    <s v="Client 154"/>
    <x v="5"/>
    <s v="Massaguet"/>
    <x v="2"/>
    <x v="13"/>
    <n v="9"/>
    <n v="168000"/>
    <n v="123600"/>
    <x v="0"/>
    <x v="0"/>
    <x v="1"/>
    <s v="Annulée"/>
    <x v="168"/>
    <n v="1112400"/>
    <n v="399600"/>
    <n v="0.26428571428571429"/>
    <x v="2"/>
  </r>
  <r>
    <s v="V00923"/>
    <x v="273"/>
    <s v="CL0123"/>
    <s v="Client 404"/>
    <x v="5"/>
    <s v="Massaguet"/>
    <x v="2"/>
    <x v="14"/>
    <n v="8"/>
    <n v="90200"/>
    <n v="72100"/>
    <x v="2"/>
    <x v="1"/>
    <x v="0"/>
    <s v="Livrée"/>
    <x v="131"/>
    <n v="576800"/>
    <n v="144800"/>
    <n v="0.20066518847006651"/>
    <x v="9"/>
  </r>
  <r>
    <s v="V00924"/>
    <x v="136"/>
    <s v="CL0361"/>
    <s v="Client 261"/>
    <x v="0"/>
    <s v="N'Djamena"/>
    <x v="0"/>
    <x v="16"/>
    <n v="10"/>
    <n v="140000"/>
    <n v="97000"/>
    <x v="2"/>
    <x v="2"/>
    <x v="1"/>
    <s v="En cours"/>
    <x v="341"/>
    <n v="970000"/>
    <n v="430000"/>
    <n v="0.30714285714285716"/>
    <x v="7"/>
  </r>
  <r>
    <s v="V00925"/>
    <x v="125"/>
    <s v="CL0227"/>
    <s v="Client 050"/>
    <x v="4"/>
    <s v="Ati"/>
    <x v="1"/>
    <x v="12"/>
    <n v="7"/>
    <n v="31500"/>
    <n v="19000"/>
    <x v="1"/>
    <x v="3"/>
    <x v="1"/>
    <s v="Livrée"/>
    <x v="129"/>
    <n v="133000"/>
    <n v="87500"/>
    <n v="0.3968253968253968"/>
    <x v="7"/>
  </r>
  <r>
    <s v="V00926"/>
    <x v="194"/>
    <s v="CL0297"/>
    <s v="Client 225"/>
    <x v="2"/>
    <s v="Doba"/>
    <x v="2"/>
    <x v="14"/>
    <n v="3"/>
    <n v="95000"/>
    <n v="72100"/>
    <x v="5"/>
    <x v="0"/>
    <x v="1"/>
    <s v="Livrée"/>
    <x v="40"/>
    <n v="216300"/>
    <n v="68700"/>
    <n v="0.24105263157894738"/>
    <x v="10"/>
  </r>
  <r>
    <s v="V00927"/>
    <x v="322"/>
    <s v="CL0347"/>
    <s v="Client 144"/>
    <x v="7"/>
    <s v="Bol"/>
    <x v="0"/>
    <x v="11"/>
    <n v="7"/>
    <n v="85000"/>
    <n v="60100"/>
    <x v="6"/>
    <x v="2"/>
    <x v="2"/>
    <s v="Livrée"/>
    <x v="199"/>
    <n v="420700"/>
    <n v="174300"/>
    <n v="0.29294117647058826"/>
    <x v="10"/>
  </r>
  <r>
    <s v="V00928"/>
    <x v="192"/>
    <s v="CL0385"/>
    <s v="Client 306"/>
    <x v="0"/>
    <s v="N'Djamena"/>
    <x v="2"/>
    <x v="9"/>
    <n v="1"/>
    <n v="171000"/>
    <n v="131000"/>
    <x v="4"/>
    <x v="2"/>
    <x v="1"/>
    <s v="Annulée"/>
    <x v="106"/>
    <n v="131000"/>
    <n v="40000"/>
    <n v="0.23391812865497075"/>
    <x v="6"/>
  </r>
  <r>
    <s v="V00929"/>
    <x v="341"/>
    <s v="CL0274"/>
    <s v="Client 213"/>
    <x v="5"/>
    <s v="Massaguet"/>
    <x v="3"/>
    <x v="17"/>
    <n v="8"/>
    <n v="18000"/>
    <n v="12100"/>
    <x v="3"/>
    <x v="1"/>
    <x v="1"/>
    <s v="Livrée"/>
    <x v="210"/>
    <n v="96800"/>
    <n v="47200"/>
    <n v="0.32777777777777778"/>
    <x v="0"/>
  </r>
  <r>
    <s v="V00930"/>
    <x v="132"/>
    <s v="CL0236"/>
    <s v="Client 158"/>
    <x v="1"/>
    <s v="Abéché"/>
    <x v="1"/>
    <x v="7"/>
    <n v="4"/>
    <n v="9500"/>
    <n v="6200"/>
    <x v="4"/>
    <x v="0"/>
    <x v="1"/>
    <s v="Livrée"/>
    <x v="342"/>
    <n v="24800"/>
    <n v="13200"/>
    <n v="0.3473684210526316"/>
    <x v="6"/>
  </r>
  <r>
    <s v="V00931"/>
    <x v="319"/>
    <s v="CL0463"/>
    <s v="Client 015"/>
    <x v="0"/>
    <s v="N'Djamena"/>
    <x v="2"/>
    <x v="2"/>
    <n v="2"/>
    <n v="57800"/>
    <n v="40200"/>
    <x v="4"/>
    <x v="0"/>
    <x v="2"/>
    <s v="En cours"/>
    <x v="232"/>
    <n v="80400"/>
    <n v="35200"/>
    <n v="0.30449826989619377"/>
    <x v="3"/>
  </r>
  <r>
    <s v="V00932"/>
    <x v="62"/>
    <s v="CL0249"/>
    <s v="Client 003"/>
    <x v="2"/>
    <s v="Doba"/>
    <x v="1"/>
    <x v="6"/>
    <n v="3"/>
    <n v="11400"/>
    <n v="7500"/>
    <x v="0"/>
    <x v="2"/>
    <x v="1"/>
    <s v="Annulée"/>
    <x v="246"/>
    <n v="22500"/>
    <n v="11700"/>
    <n v="0.34210526315789475"/>
    <x v="2"/>
  </r>
  <r>
    <s v="V00933"/>
    <x v="239"/>
    <s v="CL0192"/>
    <s v="Client 307"/>
    <x v="0"/>
    <s v="N'Djamena"/>
    <x v="2"/>
    <x v="14"/>
    <n v="4"/>
    <n v="95000"/>
    <n v="70000"/>
    <x v="3"/>
    <x v="0"/>
    <x v="2"/>
    <s v="Livrée"/>
    <x v="89"/>
    <n v="280000"/>
    <n v="100000"/>
    <n v="0.26315789473684209"/>
    <x v="2"/>
  </r>
  <r>
    <s v="V00934"/>
    <x v="192"/>
    <s v="CL0208"/>
    <s v="Client 342"/>
    <x v="2"/>
    <s v="Doba"/>
    <x v="2"/>
    <x v="2"/>
    <n v="6"/>
    <n v="55000"/>
    <n v="37800"/>
    <x v="0"/>
    <x v="3"/>
    <x v="1"/>
    <s v="Livrée"/>
    <x v="194"/>
    <n v="226800"/>
    <n v="103200"/>
    <n v="0.31272727272727274"/>
    <x v="6"/>
  </r>
  <r>
    <s v="V00935"/>
    <x v="134"/>
    <s v="CL0157"/>
    <s v="Client 112"/>
    <x v="1"/>
    <s v="Abéché"/>
    <x v="0"/>
    <x v="16"/>
    <n v="2"/>
    <n v="133000"/>
    <n v="103000"/>
    <x v="3"/>
    <x v="0"/>
    <x v="0"/>
    <s v="Livrée"/>
    <x v="343"/>
    <n v="206000"/>
    <n v="60000"/>
    <n v="0.22556390977443608"/>
    <x v="3"/>
  </r>
  <r>
    <s v="V00936"/>
    <x v="342"/>
    <s v="CL0207"/>
    <s v="Client 418"/>
    <x v="5"/>
    <s v="Massaguet"/>
    <x v="0"/>
    <x v="16"/>
    <n v="9"/>
    <n v="133000"/>
    <n v="103000"/>
    <x v="2"/>
    <x v="2"/>
    <x v="2"/>
    <s v="Livrée"/>
    <x v="344"/>
    <n v="927000"/>
    <n v="270000"/>
    <n v="0.22556390977443608"/>
    <x v="9"/>
  </r>
  <r>
    <s v="V00937"/>
    <x v="211"/>
    <s v="CL0467"/>
    <s v="Client 073"/>
    <x v="4"/>
    <s v="Ati"/>
    <x v="3"/>
    <x v="8"/>
    <n v="7"/>
    <n v="6300"/>
    <n v="4100"/>
    <x v="7"/>
    <x v="2"/>
    <x v="1"/>
    <s v="Annulée"/>
    <x v="345"/>
    <n v="28700"/>
    <n v="15400"/>
    <n v="0.34920634920634919"/>
    <x v="5"/>
  </r>
  <r>
    <s v="V00938"/>
    <x v="45"/>
    <s v="CL0495"/>
    <s v="Client 030"/>
    <x v="1"/>
    <s v="Abéché"/>
    <x v="2"/>
    <x v="2"/>
    <n v="10"/>
    <n v="57800"/>
    <n v="39000"/>
    <x v="0"/>
    <x v="2"/>
    <x v="0"/>
    <s v="Livrée"/>
    <x v="136"/>
    <n v="390000"/>
    <n v="188000"/>
    <n v="0.32525951557093424"/>
    <x v="10"/>
  </r>
  <r>
    <s v="V00939"/>
    <x v="298"/>
    <s v="CL0092"/>
    <s v="Client 024"/>
    <x v="6"/>
    <s v="Moundou"/>
    <x v="2"/>
    <x v="14"/>
    <n v="6"/>
    <n v="95000"/>
    <n v="67900"/>
    <x v="2"/>
    <x v="2"/>
    <x v="1"/>
    <s v="Livrée"/>
    <x v="41"/>
    <n v="407400"/>
    <n v="162600"/>
    <n v="0.28526315789473683"/>
    <x v="10"/>
  </r>
  <r>
    <s v="V00940"/>
    <x v="189"/>
    <s v="CL0421"/>
    <s v="Client 415"/>
    <x v="7"/>
    <s v="Bol"/>
    <x v="0"/>
    <x v="11"/>
    <n v="2"/>
    <n v="89200"/>
    <n v="60100"/>
    <x v="3"/>
    <x v="3"/>
    <x v="0"/>
    <s v="Livrée"/>
    <x v="18"/>
    <n v="120200"/>
    <n v="58200"/>
    <n v="0.32623318385650224"/>
    <x v="6"/>
  </r>
  <r>
    <s v="V00941"/>
    <x v="304"/>
    <s v="CL0438"/>
    <s v="Client 162"/>
    <x v="1"/>
    <s v="Abéché"/>
    <x v="2"/>
    <x v="10"/>
    <n v="6"/>
    <n v="450000"/>
    <n v="381100"/>
    <x v="4"/>
    <x v="0"/>
    <x v="1"/>
    <s v="Livrée"/>
    <x v="85"/>
    <n v="2286600"/>
    <n v="413400"/>
    <n v="0.15311111111111111"/>
    <x v="8"/>
  </r>
  <r>
    <s v="V00942"/>
    <x v="169"/>
    <s v="CL0386"/>
    <s v="Client 127"/>
    <x v="0"/>
    <s v="N'Djamena"/>
    <x v="0"/>
    <x v="5"/>
    <n v="10"/>
    <n v="220000"/>
    <n v="160000"/>
    <x v="3"/>
    <x v="2"/>
    <x v="0"/>
    <s v="Livrée"/>
    <x v="6"/>
    <n v="1600000"/>
    <n v="600000"/>
    <n v="0.27272727272727271"/>
    <x v="9"/>
  </r>
  <r>
    <s v="V00943"/>
    <x v="233"/>
    <s v="CL0377"/>
    <s v="Client 251"/>
    <x v="0"/>
    <s v="N'Djamena"/>
    <x v="1"/>
    <x v="18"/>
    <n v="8"/>
    <n v="23800"/>
    <n v="16500"/>
    <x v="7"/>
    <x v="2"/>
    <x v="0"/>
    <s v="Livrée"/>
    <x v="299"/>
    <n v="132000"/>
    <n v="58400"/>
    <n v="0.30672268907563027"/>
    <x v="9"/>
  </r>
  <r>
    <s v="V00944"/>
    <x v="31"/>
    <s v="CL0261"/>
    <s v="Client 459"/>
    <x v="1"/>
    <s v="Abéché"/>
    <x v="3"/>
    <x v="3"/>
    <n v="5"/>
    <n v="15000"/>
    <n v="9800"/>
    <x v="5"/>
    <x v="2"/>
    <x v="1"/>
    <s v="Livrée"/>
    <x v="81"/>
    <n v="49000"/>
    <n v="26000"/>
    <n v="0.34666666666666668"/>
    <x v="0"/>
  </r>
  <r>
    <s v="V00945"/>
    <x v="65"/>
    <s v="CL0247"/>
    <s v="Client 010"/>
    <x v="6"/>
    <s v="Moundou"/>
    <x v="2"/>
    <x v="10"/>
    <n v="7"/>
    <n v="450000"/>
    <n v="370000"/>
    <x v="6"/>
    <x v="2"/>
    <x v="0"/>
    <s v="Annulée"/>
    <x v="12"/>
    <n v="2590000"/>
    <n v="560000"/>
    <n v="0.17777777777777778"/>
    <x v="10"/>
  </r>
  <r>
    <s v="V00946"/>
    <x v="343"/>
    <s v="CL0487"/>
    <s v="Client 291"/>
    <x v="0"/>
    <s v="N'Djamena"/>
    <x v="3"/>
    <x v="15"/>
    <n v="2"/>
    <n v="8400"/>
    <n v="5200"/>
    <x v="3"/>
    <x v="3"/>
    <x v="2"/>
    <s v="Annulée"/>
    <x v="47"/>
    <n v="10400"/>
    <n v="6400"/>
    <n v="0.38095238095238093"/>
    <x v="6"/>
  </r>
  <r>
    <s v="V00947"/>
    <x v="344"/>
    <s v="CL0378"/>
    <s v="Client 005"/>
    <x v="3"/>
    <s v="Mao"/>
    <x v="2"/>
    <x v="13"/>
    <n v="8"/>
    <n v="160000"/>
    <n v="116400"/>
    <x v="2"/>
    <x v="2"/>
    <x v="1"/>
    <s v="Livrée"/>
    <x v="23"/>
    <n v="931200"/>
    <n v="348800"/>
    <n v="0.27250000000000002"/>
    <x v="5"/>
  </r>
  <r>
    <s v="V00948"/>
    <x v="277"/>
    <s v="CL0059"/>
    <s v="Client 376"/>
    <x v="1"/>
    <s v="Abéché"/>
    <x v="3"/>
    <x v="4"/>
    <n v="2"/>
    <n v="9000"/>
    <n v="5800"/>
    <x v="6"/>
    <x v="2"/>
    <x v="1"/>
    <s v="En cours"/>
    <x v="213"/>
    <n v="11600"/>
    <n v="6400"/>
    <n v="0.35555555555555557"/>
    <x v="2"/>
  </r>
  <r>
    <s v="V00949"/>
    <x v="334"/>
    <s v="CL0046"/>
    <s v="Client 411"/>
    <x v="6"/>
    <s v="Moundou"/>
    <x v="2"/>
    <x v="13"/>
    <n v="4"/>
    <n v="168000"/>
    <n v="120000"/>
    <x v="1"/>
    <x v="2"/>
    <x v="0"/>
    <s v="Livrée"/>
    <x v="144"/>
    <n v="480000"/>
    <n v="192000"/>
    <n v="0.2857142857142857"/>
    <x v="6"/>
  </r>
  <r>
    <s v="V00950"/>
    <x v="146"/>
    <s v="CL0384"/>
    <s v="Client 118"/>
    <x v="0"/>
    <s v="N'Djamena"/>
    <x v="2"/>
    <x v="9"/>
    <n v="1"/>
    <n v="171000"/>
    <n v="135000"/>
    <x v="7"/>
    <x v="3"/>
    <x v="1"/>
    <s v="Livrée"/>
    <x v="106"/>
    <n v="135000"/>
    <n v="36000"/>
    <n v="0.21052631578947367"/>
    <x v="9"/>
  </r>
  <r>
    <s v="V00951"/>
    <x v="183"/>
    <s v="CL0330"/>
    <s v="Client 443"/>
    <x v="7"/>
    <s v="Bol"/>
    <x v="2"/>
    <x v="10"/>
    <n v="1"/>
    <n v="427500"/>
    <n v="370000"/>
    <x v="7"/>
    <x v="2"/>
    <x v="1"/>
    <s v="Livrée"/>
    <x v="275"/>
    <n v="370000"/>
    <n v="57500"/>
    <n v="0.13450292397660818"/>
    <x v="7"/>
  </r>
  <r>
    <s v="V00952"/>
    <x v="312"/>
    <s v="CL0377"/>
    <s v="Client 096"/>
    <x v="1"/>
    <s v="Abéché"/>
    <x v="1"/>
    <x v="12"/>
    <n v="7"/>
    <n v="28500"/>
    <n v="19000"/>
    <x v="0"/>
    <x v="2"/>
    <x v="0"/>
    <s v="Livrée"/>
    <x v="301"/>
    <n v="133000"/>
    <n v="66500"/>
    <n v="0.33333333333333331"/>
    <x v="4"/>
  </r>
  <r>
    <s v="V00953"/>
    <x v="187"/>
    <s v="CL0161"/>
    <s v="Client 259"/>
    <x v="0"/>
    <s v="N'Djamena"/>
    <x v="2"/>
    <x v="13"/>
    <n v="9"/>
    <n v="160000"/>
    <n v="116400"/>
    <x v="0"/>
    <x v="0"/>
    <x v="1"/>
    <s v="Livrée"/>
    <x v="157"/>
    <n v="1047600"/>
    <n v="392400"/>
    <n v="0.27250000000000002"/>
    <x v="8"/>
  </r>
  <r>
    <s v="V00954"/>
    <x v="315"/>
    <s v="CL0247"/>
    <s v="Client 298"/>
    <x v="0"/>
    <s v="N'Djamena"/>
    <x v="3"/>
    <x v="17"/>
    <n v="7"/>
    <n v="17100"/>
    <n v="12900"/>
    <x v="1"/>
    <x v="1"/>
    <x v="0"/>
    <s v="Livrée"/>
    <x v="230"/>
    <n v="90300"/>
    <n v="29400"/>
    <n v="0.24561403508771928"/>
    <x v="5"/>
  </r>
  <r>
    <s v="V00955"/>
    <x v="202"/>
    <s v="CL0215"/>
    <s v="Client 091"/>
    <x v="5"/>
    <s v="Massaguet"/>
    <x v="0"/>
    <x v="16"/>
    <n v="2"/>
    <n v="140000"/>
    <n v="103000"/>
    <x v="2"/>
    <x v="2"/>
    <x v="0"/>
    <s v="Annulée"/>
    <x v="76"/>
    <n v="206000"/>
    <n v="74000"/>
    <n v="0.26428571428571429"/>
    <x v="11"/>
  </r>
  <r>
    <s v="V00956"/>
    <x v="249"/>
    <s v="CL0302"/>
    <s v="Client 019"/>
    <x v="0"/>
    <s v="N'Djamena"/>
    <x v="3"/>
    <x v="8"/>
    <n v="1"/>
    <n v="6000"/>
    <n v="4100"/>
    <x v="3"/>
    <x v="0"/>
    <x v="0"/>
    <s v="Annulée"/>
    <x v="282"/>
    <n v="4100"/>
    <n v="1900"/>
    <n v="0.31666666666666665"/>
    <x v="5"/>
  </r>
  <r>
    <s v="V00957"/>
    <x v="194"/>
    <s v="CL0248"/>
    <s v="Client 492"/>
    <x v="0"/>
    <s v="N'Djamena"/>
    <x v="3"/>
    <x v="8"/>
    <n v="3"/>
    <n v="6000"/>
    <n v="4300"/>
    <x v="5"/>
    <x v="0"/>
    <x v="0"/>
    <s v="Livrée"/>
    <x v="213"/>
    <n v="12900"/>
    <n v="5100"/>
    <n v="0.28333333333333333"/>
    <x v="10"/>
  </r>
  <r>
    <s v="V00958"/>
    <x v="74"/>
    <s v="CL0281"/>
    <s v="Client 060"/>
    <x v="2"/>
    <s v="Doba"/>
    <x v="2"/>
    <x v="10"/>
    <n v="2"/>
    <n v="472500"/>
    <n v="358900"/>
    <x v="1"/>
    <x v="1"/>
    <x v="0"/>
    <s v="Livrée"/>
    <x v="79"/>
    <n v="717800"/>
    <n v="227200"/>
    <n v="0.24042328042328043"/>
    <x v="7"/>
  </r>
  <r>
    <s v="V00959"/>
    <x v="345"/>
    <s v="CL0150"/>
    <s v="Client 110"/>
    <x v="0"/>
    <s v="N'Djamena"/>
    <x v="2"/>
    <x v="10"/>
    <n v="5"/>
    <n v="450000"/>
    <n v="381100"/>
    <x v="2"/>
    <x v="1"/>
    <x v="1"/>
    <s v="Livrée"/>
    <x v="172"/>
    <n v="1905500"/>
    <n v="344500"/>
    <n v="0.15311111111111111"/>
    <x v="9"/>
  </r>
  <r>
    <s v="V00960"/>
    <x v="220"/>
    <s v="CL0157"/>
    <s v="Client 180"/>
    <x v="0"/>
    <s v="N'Djamena"/>
    <x v="2"/>
    <x v="2"/>
    <n v="1"/>
    <n v="55000"/>
    <n v="37800"/>
    <x v="7"/>
    <x v="3"/>
    <x v="1"/>
    <s v="Livrée"/>
    <x v="2"/>
    <n v="37800"/>
    <n v="17200"/>
    <n v="0.31272727272727274"/>
    <x v="1"/>
  </r>
  <r>
    <s v="V00961"/>
    <x v="195"/>
    <s v="CL0037"/>
    <s v="Client 311"/>
    <x v="2"/>
    <s v="Doba"/>
    <x v="3"/>
    <x v="15"/>
    <n v="7"/>
    <n v="8400"/>
    <n v="5000"/>
    <x v="1"/>
    <x v="1"/>
    <x v="1"/>
    <s v="Livrée"/>
    <x v="346"/>
    <n v="35000"/>
    <n v="23800"/>
    <n v="0.40476190476190477"/>
    <x v="2"/>
  </r>
  <r>
    <s v="V00962"/>
    <x v="346"/>
    <s v="CL0323"/>
    <s v="Client 163"/>
    <x v="2"/>
    <s v="Doba"/>
    <x v="1"/>
    <x v="12"/>
    <n v="4"/>
    <n v="31500"/>
    <n v="19000"/>
    <x v="2"/>
    <x v="3"/>
    <x v="0"/>
    <s v="Livrée"/>
    <x v="178"/>
    <n v="76000"/>
    <n v="50000"/>
    <n v="0.3968253968253968"/>
    <x v="6"/>
  </r>
  <r>
    <s v="V00963"/>
    <x v="281"/>
    <s v="CL0108"/>
    <s v="Client 402"/>
    <x v="0"/>
    <s v="N'Djamena"/>
    <x v="3"/>
    <x v="8"/>
    <n v="9"/>
    <n v="5700"/>
    <n v="4200"/>
    <x v="1"/>
    <x v="2"/>
    <x v="0"/>
    <s v="En cours"/>
    <x v="215"/>
    <n v="37800"/>
    <n v="13500"/>
    <n v="0.26315789473684209"/>
    <x v="2"/>
  </r>
  <r>
    <s v="V00964"/>
    <x v="226"/>
    <s v="CL0466"/>
    <s v="Client 235"/>
    <x v="6"/>
    <s v="Moundou"/>
    <x v="0"/>
    <x v="11"/>
    <n v="5"/>
    <n v="80800"/>
    <n v="60100"/>
    <x v="5"/>
    <x v="2"/>
    <x v="2"/>
    <s v="Livrée"/>
    <x v="327"/>
    <n v="300500"/>
    <n v="103500"/>
    <n v="0.25618811881188119"/>
    <x v="6"/>
  </r>
  <r>
    <s v="V00965"/>
    <x v="24"/>
    <s v="CL0472"/>
    <s v="Client 125"/>
    <x v="5"/>
    <s v="Massaguet"/>
    <x v="0"/>
    <x v="16"/>
    <n v="5"/>
    <n v="140000"/>
    <n v="97000"/>
    <x v="3"/>
    <x v="1"/>
    <x v="1"/>
    <s v="En cours"/>
    <x v="142"/>
    <n v="485000"/>
    <n v="215000"/>
    <n v="0.30714285714285716"/>
    <x v="1"/>
  </r>
  <r>
    <s v="V00966"/>
    <x v="155"/>
    <s v="CL0001"/>
    <s v="Client 455"/>
    <x v="4"/>
    <s v="Ati"/>
    <x v="2"/>
    <x v="13"/>
    <n v="6"/>
    <n v="160000"/>
    <n v="116400"/>
    <x v="5"/>
    <x v="0"/>
    <x v="0"/>
    <s v="Livrée"/>
    <x v="98"/>
    <n v="698400"/>
    <n v="261600"/>
    <n v="0.27250000000000002"/>
    <x v="11"/>
  </r>
  <r>
    <s v="V00967"/>
    <x v="157"/>
    <s v="CL0059"/>
    <s v="Client 388"/>
    <x v="0"/>
    <s v="N'Djamena"/>
    <x v="0"/>
    <x v="16"/>
    <n v="7"/>
    <n v="140000"/>
    <n v="103000"/>
    <x v="3"/>
    <x v="0"/>
    <x v="0"/>
    <s v="En cours"/>
    <x v="146"/>
    <n v="721000"/>
    <n v="259000"/>
    <n v="0.26428571428571429"/>
    <x v="8"/>
  </r>
  <r>
    <s v="V00968"/>
    <x v="262"/>
    <s v="CL0397"/>
    <s v="Client 423"/>
    <x v="1"/>
    <s v="Abéché"/>
    <x v="1"/>
    <x v="18"/>
    <n v="2"/>
    <n v="23800"/>
    <n v="16000"/>
    <x v="7"/>
    <x v="3"/>
    <x v="1"/>
    <s v="Livrée"/>
    <x v="347"/>
    <n v="32000"/>
    <n v="15600"/>
    <n v="0.32773109243697479"/>
    <x v="6"/>
  </r>
  <r>
    <s v="V00969"/>
    <x v="240"/>
    <s v="CL0410"/>
    <s v="Client 191"/>
    <x v="0"/>
    <s v="N'Djamena"/>
    <x v="0"/>
    <x v="5"/>
    <n v="4"/>
    <n v="209000"/>
    <n v="164800"/>
    <x v="0"/>
    <x v="2"/>
    <x v="1"/>
    <s v="Livrée"/>
    <x v="348"/>
    <n v="659200"/>
    <n v="176800"/>
    <n v="0.21148325358851675"/>
    <x v="9"/>
  </r>
  <r>
    <s v="V00970"/>
    <x v="203"/>
    <s v="CL0397"/>
    <s v="Client 395"/>
    <x v="5"/>
    <s v="Massaguet"/>
    <x v="1"/>
    <x v="7"/>
    <n v="1"/>
    <n v="10000"/>
    <n v="6000"/>
    <x v="0"/>
    <x v="2"/>
    <x v="0"/>
    <s v="Livrée"/>
    <x v="264"/>
    <n v="6000"/>
    <n v="4000"/>
    <n v="0.4"/>
    <x v="8"/>
  </r>
  <r>
    <s v="V00971"/>
    <x v="66"/>
    <s v="CL0235"/>
    <s v="Client 301"/>
    <x v="7"/>
    <s v="Bol"/>
    <x v="2"/>
    <x v="10"/>
    <n v="6"/>
    <n v="450000"/>
    <n v="370000"/>
    <x v="0"/>
    <x v="3"/>
    <x v="2"/>
    <s v="En cours"/>
    <x v="85"/>
    <n v="2220000"/>
    <n v="480000"/>
    <n v="0.17777777777777778"/>
    <x v="5"/>
  </r>
  <r>
    <s v="V00972"/>
    <x v="162"/>
    <s v="CL0158"/>
    <s v="Client 395"/>
    <x v="0"/>
    <s v="N'Djamena"/>
    <x v="3"/>
    <x v="15"/>
    <n v="1"/>
    <n v="8000"/>
    <n v="5000"/>
    <x v="6"/>
    <x v="1"/>
    <x v="0"/>
    <s v="Livrée"/>
    <x v="221"/>
    <n v="5000"/>
    <n v="3000"/>
    <n v="0.375"/>
    <x v="4"/>
  </r>
  <r>
    <s v="V00973"/>
    <x v="171"/>
    <s v="CL0279"/>
    <s v="Client 383"/>
    <x v="3"/>
    <s v="Mao"/>
    <x v="0"/>
    <x v="16"/>
    <n v="2"/>
    <n v="133000"/>
    <n v="97000"/>
    <x v="1"/>
    <x v="3"/>
    <x v="1"/>
    <s v="Livrée"/>
    <x v="343"/>
    <n v="194000"/>
    <n v="72000"/>
    <n v="0.27067669172932329"/>
    <x v="10"/>
  </r>
  <r>
    <s v="V00974"/>
    <x v="57"/>
    <s v="CL0372"/>
    <s v="Client 445"/>
    <x v="0"/>
    <s v="N'Djamena"/>
    <x v="2"/>
    <x v="14"/>
    <n v="6"/>
    <n v="90200"/>
    <n v="72100"/>
    <x v="2"/>
    <x v="3"/>
    <x v="2"/>
    <s v="Livrée"/>
    <x v="192"/>
    <n v="432600"/>
    <n v="108600"/>
    <n v="0.20066518847006651"/>
    <x v="7"/>
  </r>
  <r>
    <s v="V00975"/>
    <x v="167"/>
    <s v="CL0362"/>
    <s v="Client 179"/>
    <x v="2"/>
    <s v="Doba"/>
    <x v="3"/>
    <x v="3"/>
    <n v="1"/>
    <n v="15000"/>
    <n v="9200"/>
    <x v="3"/>
    <x v="2"/>
    <x v="1"/>
    <s v="Livrée"/>
    <x v="127"/>
    <n v="9200"/>
    <n v="5800"/>
    <n v="0.38666666666666666"/>
    <x v="3"/>
  </r>
  <r>
    <s v="V00976"/>
    <x v="194"/>
    <s v="CL0454"/>
    <s v="Client 463"/>
    <x v="1"/>
    <s v="Abéché"/>
    <x v="2"/>
    <x v="13"/>
    <n v="9"/>
    <n v="152000"/>
    <n v="116400"/>
    <x v="3"/>
    <x v="2"/>
    <x v="2"/>
    <s v="En cours"/>
    <x v="109"/>
    <n v="1047600"/>
    <n v="320400"/>
    <n v="0.23421052631578948"/>
    <x v="10"/>
  </r>
  <r>
    <s v="V00977"/>
    <x v="27"/>
    <s v="CL0304"/>
    <s v="Client 250"/>
    <x v="3"/>
    <s v="Mao"/>
    <x v="2"/>
    <x v="13"/>
    <n v="1"/>
    <n v="168000"/>
    <n v="120000"/>
    <x v="6"/>
    <x v="2"/>
    <x v="0"/>
    <s v="Livrée"/>
    <x v="197"/>
    <n v="120000"/>
    <n v="48000"/>
    <n v="0.2857142857142857"/>
    <x v="7"/>
  </r>
  <r>
    <s v="V00978"/>
    <x v="294"/>
    <s v="CL0287"/>
    <s v="Client 294"/>
    <x v="4"/>
    <s v="Ati"/>
    <x v="3"/>
    <x v="3"/>
    <n v="5"/>
    <n v="15000"/>
    <n v="9500"/>
    <x v="6"/>
    <x v="0"/>
    <x v="0"/>
    <s v="Livrée"/>
    <x v="81"/>
    <n v="47500"/>
    <n v="27500"/>
    <n v="0.36666666666666664"/>
    <x v="9"/>
  </r>
  <r>
    <s v="V00979"/>
    <x v="98"/>
    <s v="CL0349"/>
    <s v="Client 328"/>
    <x v="4"/>
    <s v="Ati"/>
    <x v="0"/>
    <x v="16"/>
    <n v="9"/>
    <n v="133000"/>
    <n v="97000"/>
    <x v="2"/>
    <x v="1"/>
    <x v="1"/>
    <s v="En cours"/>
    <x v="344"/>
    <n v="873000"/>
    <n v="324000"/>
    <n v="0.27067669172932329"/>
    <x v="9"/>
  </r>
  <r>
    <s v="V00980"/>
    <x v="146"/>
    <s v="CL0397"/>
    <s v="Client 006"/>
    <x v="0"/>
    <s v="N'Djamena"/>
    <x v="2"/>
    <x v="2"/>
    <n v="3"/>
    <n v="52200"/>
    <n v="39000"/>
    <x v="3"/>
    <x v="0"/>
    <x v="2"/>
    <s v="En cours"/>
    <x v="188"/>
    <n v="117000"/>
    <n v="39600"/>
    <n v="0.25287356321839083"/>
    <x v="9"/>
  </r>
  <r>
    <s v="V00981"/>
    <x v="234"/>
    <s v="CL0443"/>
    <s v="Client 437"/>
    <x v="0"/>
    <s v="N'Djamena"/>
    <x v="2"/>
    <x v="10"/>
    <n v="8"/>
    <n v="427500"/>
    <n v="370000"/>
    <x v="5"/>
    <x v="3"/>
    <x v="1"/>
    <s v="Annulée"/>
    <x v="349"/>
    <n v="2960000"/>
    <n v="460000"/>
    <n v="0.13450292397660818"/>
    <x v="11"/>
  </r>
  <r>
    <s v="V00982"/>
    <x v="125"/>
    <s v="CL0375"/>
    <s v="Client 361"/>
    <x v="0"/>
    <s v="N'Djamena"/>
    <x v="2"/>
    <x v="10"/>
    <n v="4"/>
    <n v="450000"/>
    <n v="370000"/>
    <x v="6"/>
    <x v="3"/>
    <x v="2"/>
    <s v="Livrée"/>
    <x v="139"/>
    <n v="1480000"/>
    <n v="320000"/>
    <n v="0.17777777777777778"/>
    <x v="7"/>
  </r>
  <r>
    <s v="V00983"/>
    <x v="261"/>
    <s v="CL0337"/>
    <s v="Client 461"/>
    <x v="2"/>
    <s v="Doba"/>
    <x v="3"/>
    <x v="3"/>
    <n v="10"/>
    <n v="15800"/>
    <n v="9800"/>
    <x v="5"/>
    <x v="2"/>
    <x v="0"/>
    <s v="Livrée"/>
    <x v="350"/>
    <n v="98000"/>
    <n v="60000"/>
    <n v="0.379746835443038"/>
    <x v="7"/>
  </r>
  <r>
    <s v="V00984"/>
    <x v="238"/>
    <s v="CL0399"/>
    <s v="Client 017"/>
    <x v="5"/>
    <s v="Massaguet"/>
    <x v="0"/>
    <x v="5"/>
    <n v="5"/>
    <n v="220000"/>
    <n v="155200"/>
    <x v="1"/>
    <x v="3"/>
    <x v="1"/>
    <s v="Livrée"/>
    <x v="80"/>
    <n v="776000"/>
    <n v="324000"/>
    <n v="0.29454545454545455"/>
    <x v="5"/>
  </r>
  <r>
    <s v="V00985"/>
    <x v="40"/>
    <s v="CL0393"/>
    <s v="Client 419"/>
    <x v="6"/>
    <s v="Moundou"/>
    <x v="2"/>
    <x v="10"/>
    <n v="8"/>
    <n v="450000"/>
    <n v="381100"/>
    <x v="1"/>
    <x v="2"/>
    <x v="0"/>
    <s v="Livrée"/>
    <x v="102"/>
    <n v="3048800"/>
    <n v="551200"/>
    <n v="0.15311111111111111"/>
    <x v="3"/>
  </r>
  <r>
    <s v="V00986"/>
    <x v="138"/>
    <s v="CL0203"/>
    <s v="Client 049"/>
    <x v="6"/>
    <s v="Moundou"/>
    <x v="2"/>
    <x v="9"/>
    <n v="9"/>
    <n v="180000"/>
    <n v="131000"/>
    <x v="4"/>
    <x v="2"/>
    <x v="0"/>
    <s v="Livrée"/>
    <x v="83"/>
    <n v="1179000"/>
    <n v="441000"/>
    <n v="0.2722222222222222"/>
    <x v="6"/>
  </r>
  <r>
    <s v="V00987"/>
    <x v="87"/>
    <s v="CL0286"/>
    <s v="Client 431"/>
    <x v="7"/>
    <s v="Bol"/>
    <x v="0"/>
    <x v="16"/>
    <n v="4"/>
    <n v="147000"/>
    <n v="97000"/>
    <x v="6"/>
    <x v="2"/>
    <x v="0"/>
    <s v="Livrée"/>
    <x v="150"/>
    <n v="388000"/>
    <n v="200000"/>
    <n v="0.3401360544217687"/>
    <x v="1"/>
  </r>
  <r>
    <s v="V00988"/>
    <x v="284"/>
    <s v="CL0076"/>
    <s v="Client 340"/>
    <x v="1"/>
    <s v="Abéché"/>
    <x v="2"/>
    <x v="2"/>
    <n v="3"/>
    <n v="52200"/>
    <n v="39000"/>
    <x v="2"/>
    <x v="1"/>
    <x v="0"/>
    <s v="En cours"/>
    <x v="188"/>
    <n v="117000"/>
    <n v="39600"/>
    <n v="0.25287356321839083"/>
    <x v="0"/>
  </r>
  <r>
    <s v="V00989"/>
    <x v="215"/>
    <s v="CL0118"/>
    <s v="Client 093"/>
    <x v="7"/>
    <s v="Bol"/>
    <x v="2"/>
    <x v="14"/>
    <n v="2"/>
    <n v="95000"/>
    <n v="67900"/>
    <x v="1"/>
    <x v="0"/>
    <x v="0"/>
    <s v="Annulée"/>
    <x v="28"/>
    <n v="135800"/>
    <n v="54200"/>
    <n v="0.28526315789473683"/>
    <x v="0"/>
  </r>
  <r>
    <s v="V00990"/>
    <x v="289"/>
    <s v="CL0020"/>
    <s v="Client 059"/>
    <x v="0"/>
    <s v="N'Djamena"/>
    <x v="1"/>
    <x v="6"/>
    <n v="1"/>
    <n v="12600"/>
    <n v="7300"/>
    <x v="6"/>
    <x v="2"/>
    <x v="2"/>
    <s v="En cours"/>
    <x v="295"/>
    <n v="7300"/>
    <n v="5300"/>
    <n v="0.42063492063492064"/>
    <x v="9"/>
  </r>
  <r>
    <s v="V00991"/>
    <x v="223"/>
    <s v="CL0408"/>
    <s v="Client 441"/>
    <x v="1"/>
    <s v="Abéché"/>
    <x v="1"/>
    <x v="18"/>
    <n v="4"/>
    <n v="23800"/>
    <n v="16500"/>
    <x v="7"/>
    <x v="2"/>
    <x v="1"/>
    <s v="Livrée"/>
    <x v="351"/>
    <n v="66000"/>
    <n v="29200"/>
    <n v="0.30672268907563027"/>
    <x v="9"/>
  </r>
  <r>
    <s v="V00992"/>
    <x v="53"/>
    <s v="CL0341"/>
    <s v="Client 468"/>
    <x v="3"/>
    <s v="Mao"/>
    <x v="0"/>
    <x v="0"/>
    <n v="3"/>
    <n v="65000"/>
    <n v="46400"/>
    <x v="5"/>
    <x v="2"/>
    <x v="0"/>
    <s v="Livrée"/>
    <x v="314"/>
    <n v="139200"/>
    <n v="55800"/>
    <n v="0.28615384615384615"/>
    <x v="4"/>
  </r>
  <r>
    <s v="V00993"/>
    <x v="97"/>
    <s v="CL0484"/>
    <s v="Client 021"/>
    <x v="4"/>
    <s v="Ati"/>
    <x v="2"/>
    <x v="10"/>
    <n v="8"/>
    <n v="450000"/>
    <n v="381100"/>
    <x v="6"/>
    <x v="3"/>
    <x v="0"/>
    <s v="Livrée"/>
    <x v="102"/>
    <n v="3048800"/>
    <n v="551200"/>
    <n v="0.15311111111111111"/>
    <x v="9"/>
  </r>
  <r>
    <s v="V00994"/>
    <x v="347"/>
    <s v="CL0275"/>
    <s v="Client 032"/>
    <x v="0"/>
    <s v="N'Djamena"/>
    <x v="2"/>
    <x v="13"/>
    <n v="6"/>
    <n v="168000"/>
    <n v="120000"/>
    <x v="0"/>
    <x v="0"/>
    <x v="1"/>
    <s v="En cours"/>
    <x v="141"/>
    <n v="720000"/>
    <n v="288000"/>
    <n v="0.2857142857142857"/>
    <x v="5"/>
  </r>
  <r>
    <s v="V00995"/>
    <x v="131"/>
    <s v="CL0088"/>
    <s v="Client 409"/>
    <x v="0"/>
    <s v="N'Djamena"/>
    <x v="3"/>
    <x v="3"/>
    <n v="7"/>
    <n v="15000"/>
    <n v="9200"/>
    <x v="1"/>
    <x v="0"/>
    <x v="0"/>
    <s v="Livrée"/>
    <x v="65"/>
    <n v="64400"/>
    <n v="40600"/>
    <n v="0.38666666666666666"/>
    <x v="1"/>
  </r>
  <r>
    <s v="V00996"/>
    <x v="339"/>
    <s v="CL0464"/>
    <s v="Client 265"/>
    <x v="7"/>
    <s v="Bol"/>
    <x v="1"/>
    <x v="18"/>
    <n v="8"/>
    <n v="26200"/>
    <n v="16000"/>
    <x v="7"/>
    <x v="2"/>
    <x v="0"/>
    <s v="Livrée"/>
    <x v="181"/>
    <n v="128000"/>
    <n v="81600"/>
    <n v="0.38931297709923662"/>
    <x v="0"/>
  </r>
  <r>
    <s v="V00997"/>
    <x v="121"/>
    <s v="CL0250"/>
    <s v="Client 477"/>
    <x v="0"/>
    <s v="N'Djamena"/>
    <x v="2"/>
    <x v="10"/>
    <n v="4"/>
    <n v="450000"/>
    <n v="381100"/>
    <x v="4"/>
    <x v="3"/>
    <x v="0"/>
    <s v="Livrée"/>
    <x v="139"/>
    <n v="1524400"/>
    <n v="275600"/>
    <n v="0.15311111111111111"/>
    <x v="11"/>
  </r>
  <r>
    <s v="V00998"/>
    <x v="268"/>
    <s v="CL0277"/>
    <s v="Client 051"/>
    <x v="6"/>
    <s v="Moundou"/>
    <x v="2"/>
    <x v="10"/>
    <n v="3"/>
    <n v="450000"/>
    <n v="381100"/>
    <x v="6"/>
    <x v="1"/>
    <x v="1"/>
    <s v="Livrée"/>
    <x v="113"/>
    <n v="1143300"/>
    <n v="206700"/>
    <n v="0.15311111111111111"/>
    <x v="1"/>
  </r>
  <r>
    <s v="V00999"/>
    <x v="90"/>
    <s v="CL0157"/>
    <s v="Client 452"/>
    <x v="5"/>
    <s v="Massaguet"/>
    <x v="0"/>
    <x v="16"/>
    <n v="1"/>
    <n v="147000"/>
    <n v="103000"/>
    <x v="5"/>
    <x v="1"/>
    <x v="0"/>
    <s v="Livrée"/>
    <x v="236"/>
    <n v="103000"/>
    <n v="44000"/>
    <n v="0.29931972789115646"/>
    <x v="7"/>
  </r>
  <r>
    <s v="V01000"/>
    <x v="177"/>
    <s v="CL0331"/>
    <s v="Client 166"/>
    <x v="0"/>
    <s v="N'Djamena"/>
    <x v="2"/>
    <x v="2"/>
    <n v="7"/>
    <n v="55000"/>
    <n v="40200"/>
    <x v="0"/>
    <x v="0"/>
    <x v="0"/>
    <s v="Livrée"/>
    <x v="206"/>
    <n v="281400"/>
    <n v="103600"/>
    <n v="0.2690909090909091"/>
    <x v="1"/>
  </r>
  <r>
    <s v="V01001"/>
    <x v="52"/>
    <s v="CL0095"/>
    <s v="Client 288"/>
    <x v="0"/>
    <s v="N'Djamena"/>
    <x v="2"/>
    <x v="10"/>
    <n v="7"/>
    <n v="427500"/>
    <n v="381100"/>
    <x v="3"/>
    <x v="2"/>
    <x v="0"/>
    <s v="Livrée"/>
    <x v="352"/>
    <n v="2667700"/>
    <n v="324800"/>
    <n v="0.10853801169590643"/>
    <x v="8"/>
  </r>
  <r>
    <s v="V01002"/>
    <x v="309"/>
    <s v="CL0318"/>
    <s v="Client 312"/>
    <x v="5"/>
    <s v="Massaguet"/>
    <x v="3"/>
    <x v="15"/>
    <n v="2"/>
    <n v="8000"/>
    <n v="4800"/>
    <x v="0"/>
    <x v="2"/>
    <x v="2"/>
    <s v="Livrée"/>
    <x v="138"/>
    <n v="9600"/>
    <n v="6400"/>
    <n v="0.4"/>
    <x v="3"/>
  </r>
  <r>
    <s v="V01003"/>
    <x v="136"/>
    <s v="CL0111"/>
    <s v="Client 470"/>
    <x v="0"/>
    <s v="N'Djamena"/>
    <x v="3"/>
    <x v="15"/>
    <n v="6"/>
    <n v="8000"/>
    <n v="5000"/>
    <x v="0"/>
    <x v="3"/>
    <x v="0"/>
    <s v="En cours"/>
    <x v="36"/>
    <n v="30000"/>
    <n v="18000"/>
    <n v="0.375"/>
    <x v="7"/>
  </r>
  <r>
    <s v="V01004"/>
    <x v="247"/>
    <s v="CL0025"/>
    <s v="Client 144"/>
    <x v="1"/>
    <s v="Abéché"/>
    <x v="3"/>
    <x v="17"/>
    <n v="4"/>
    <n v="18000"/>
    <n v="12500"/>
    <x v="1"/>
    <x v="1"/>
    <x v="1"/>
    <s v="Livrée"/>
    <x v="196"/>
    <n v="50000"/>
    <n v="22000"/>
    <n v="0.30555555555555558"/>
    <x v="0"/>
  </r>
  <r>
    <s v="V01005"/>
    <x v="172"/>
    <s v="CL0371"/>
    <s v="Client 283"/>
    <x v="6"/>
    <s v="Moundou"/>
    <x v="3"/>
    <x v="3"/>
    <n v="8"/>
    <n v="14200"/>
    <n v="9800"/>
    <x v="4"/>
    <x v="1"/>
    <x v="0"/>
    <s v="Livrée"/>
    <x v="120"/>
    <n v="78400"/>
    <n v="35200"/>
    <n v="0.30985915492957744"/>
    <x v="1"/>
  </r>
  <r>
    <s v="V01006"/>
    <x v="10"/>
    <s v="CL0346"/>
    <s v="Client 449"/>
    <x v="4"/>
    <s v="Ati"/>
    <x v="0"/>
    <x v="5"/>
    <n v="5"/>
    <n v="231000"/>
    <n v="164800"/>
    <x v="6"/>
    <x v="2"/>
    <x v="1"/>
    <s v="Livrée"/>
    <x v="353"/>
    <n v="824000"/>
    <n v="331000"/>
    <n v="0.2865800865800866"/>
    <x v="1"/>
  </r>
  <r>
    <s v="V01007"/>
    <x v="276"/>
    <s v="CL0476"/>
    <s v="Client 139"/>
    <x v="6"/>
    <s v="Pala"/>
    <x v="3"/>
    <x v="3"/>
    <n v="1"/>
    <n v="15800"/>
    <n v="9500"/>
    <x v="2"/>
    <x v="2"/>
    <x v="1"/>
    <s v="Annulée"/>
    <x v="17"/>
    <n v="9500"/>
    <n v="6300"/>
    <n v="0.39873417721518989"/>
    <x v="2"/>
  </r>
  <r>
    <s v="V01008"/>
    <x v="40"/>
    <s v="CL0093"/>
    <s v="Client 205"/>
    <x v="0"/>
    <s v="N'Djamena"/>
    <x v="2"/>
    <x v="13"/>
    <n v="1"/>
    <n v="152000"/>
    <n v="123600"/>
    <x v="0"/>
    <x v="0"/>
    <x v="1"/>
    <s v="Annulée"/>
    <x v="84"/>
    <n v="123600"/>
    <n v="28400"/>
    <n v="0.18684210526315789"/>
    <x v="3"/>
  </r>
  <r>
    <s v="V01009"/>
    <x v="128"/>
    <s v="CL0418"/>
    <s v="Client 471"/>
    <x v="0"/>
    <s v="N'Djamena"/>
    <x v="3"/>
    <x v="8"/>
    <n v="3"/>
    <n v="6000"/>
    <n v="4200"/>
    <x v="4"/>
    <x v="2"/>
    <x v="1"/>
    <s v="Livrée"/>
    <x v="213"/>
    <n v="12600"/>
    <n v="5400"/>
    <n v="0.3"/>
    <x v="6"/>
  </r>
  <r>
    <s v="V01010"/>
    <x v="254"/>
    <s v="CL0174"/>
    <s v="Client 397"/>
    <x v="2"/>
    <s v="Doba"/>
    <x v="3"/>
    <x v="3"/>
    <n v="10"/>
    <n v="15000"/>
    <n v="9800"/>
    <x v="6"/>
    <x v="2"/>
    <x v="0"/>
    <s v="Livrée"/>
    <x v="145"/>
    <n v="98000"/>
    <n v="52000"/>
    <n v="0.34666666666666668"/>
    <x v="8"/>
  </r>
  <r>
    <s v="V01011"/>
    <x v="206"/>
    <s v="CL0113"/>
    <s v="Client 405"/>
    <x v="0"/>
    <s v="N'Djamena"/>
    <x v="2"/>
    <x v="13"/>
    <n v="6"/>
    <n v="152000"/>
    <n v="123600"/>
    <x v="0"/>
    <x v="0"/>
    <x v="0"/>
    <s v="Livrée"/>
    <x v="267"/>
    <n v="741600"/>
    <n v="170400"/>
    <n v="0.18684210526315789"/>
    <x v="11"/>
  </r>
  <r>
    <s v="V01012"/>
    <x v="334"/>
    <s v="CL0363"/>
    <s v="Client 391"/>
    <x v="0"/>
    <s v="N'Djamena"/>
    <x v="2"/>
    <x v="13"/>
    <n v="6"/>
    <n v="168000"/>
    <n v="116400"/>
    <x v="5"/>
    <x v="3"/>
    <x v="1"/>
    <s v="En cours"/>
    <x v="141"/>
    <n v="698400"/>
    <n v="309600"/>
    <n v="0.30714285714285716"/>
    <x v="6"/>
  </r>
  <r>
    <s v="V01013"/>
    <x v="287"/>
    <s v="CL0281"/>
    <s v="Client 071"/>
    <x v="0"/>
    <s v="N'Djamena"/>
    <x v="2"/>
    <x v="13"/>
    <n v="8"/>
    <n v="160000"/>
    <n v="123600"/>
    <x v="4"/>
    <x v="0"/>
    <x v="0"/>
    <s v="Livrée"/>
    <x v="23"/>
    <n v="988800"/>
    <n v="291200"/>
    <n v="0.22750000000000001"/>
    <x v="7"/>
  </r>
  <r>
    <s v="V01014"/>
    <x v="170"/>
    <s v="CL0104"/>
    <s v="Client 290"/>
    <x v="3"/>
    <s v="Mao"/>
    <x v="2"/>
    <x v="2"/>
    <n v="8"/>
    <n v="57800"/>
    <n v="40200"/>
    <x v="2"/>
    <x v="3"/>
    <x v="1"/>
    <s v="Livrée"/>
    <x v="233"/>
    <n v="321600"/>
    <n v="140800"/>
    <n v="0.30449826989619377"/>
    <x v="7"/>
  </r>
  <r>
    <s v="V01015"/>
    <x v="235"/>
    <s v="CL0214"/>
    <s v="Client 052"/>
    <x v="0"/>
    <s v="N'Djamena"/>
    <x v="2"/>
    <x v="14"/>
    <n v="5"/>
    <n v="95000"/>
    <n v="70000"/>
    <x v="4"/>
    <x v="2"/>
    <x v="1"/>
    <s v="Livrée"/>
    <x v="103"/>
    <n v="350000"/>
    <n v="125000"/>
    <n v="0.26315789473684209"/>
    <x v="4"/>
  </r>
  <r>
    <s v="V01016"/>
    <x v="303"/>
    <s v="CL0229"/>
    <s v="Client 104"/>
    <x v="3"/>
    <s v="Mao"/>
    <x v="2"/>
    <x v="13"/>
    <n v="9"/>
    <n v="168000"/>
    <n v="123600"/>
    <x v="4"/>
    <x v="2"/>
    <x v="1"/>
    <s v="Livrée"/>
    <x v="168"/>
    <n v="1112400"/>
    <n v="399600"/>
    <n v="0.26428571428571429"/>
    <x v="3"/>
  </r>
  <r>
    <s v="V01017"/>
    <x v="303"/>
    <s v="CL0384"/>
    <s v="Client 254"/>
    <x v="0"/>
    <s v="N'Djamena"/>
    <x v="1"/>
    <x v="6"/>
    <n v="4"/>
    <n v="12600"/>
    <n v="7300"/>
    <x v="6"/>
    <x v="1"/>
    <x v="1"/>
    <s v="Livrée"/>
    <x v="297"/>
    <n v="29200"/>
    <n v="21200"/>
    <n v="0.42063492063492064"/>
    <x v="3"/>
  </r>
  <r>
    <s v="V01018"/>
    <x v="11"/>
    <s v="CL0165"/>
    <s v="Client 429"/>
    <x v="0"/>
    <s v="N'Djamena"/>
    <x v="2"/>
    <x v="14"/>
    <n v="6"/>
    <n v="90200"/>
    <n v="67900"/>
    <x v="7"/>
    <x v="0"/>
    <x v="1"/>
    <s v="Livrée"/>
    <x v="192"/>
    <n v="407400"/>
    <n v="133800"/>
    <n v="0.24722838137472283"/>
    <x v="6"/>
  </r>
  <r>
    <s v="V01019"/>
    <x v="250"/>
    <s v="CL0138"/>
    <s v="Client 259"/>
    <x v="1"/>
    <s v="Abéché"/>
    <x v="2"/>
    <x v="2"/>
    <n v="3"/>
    <n v="55000"/>
    <n v="39000"/>
    <x v="2"/>
    <x v="0"/>
    <x v="1"/>
    <s v="En cours"/>
    <x v="214"/>
    <n v="117000"/>
    <n v="48000"/>
    <n v="0.29090909090909089"/>
    <x v="4"/>
  </r>
  <r>
    <s v="V01020"/>
    <x v="150"/>
    <s v="CL0308"/>
    <s v="Client 429"/>
    <x v="5"/>
    <s v="Massaguet"/>
    <x v="2"/>
    <x v="2"/>
    <n v="6"/>
    <n v="55000"/>
    <n v="40200"/>
    <x v="0"/>
    <x v="1"/>
    <x v="0"/>
    <s v="Livrée"/>
    <x v="194"/>
    <n v="241200"/>
    <n v="88800"/>
    <n v="0.2690909090909091"/>
    <x v="0"/>
  </r>
  <r>
    <s v="V01021"/>
    <x v="234"/>
    <s v="CL0009"/>
    <s v="Client 100"/>
    <x v="5"/>
    <s v="Massaguet"/>
    <x v="1"/>
    <x v="12"/>
    <n v="10"/>
    <n v="30000"/>
    <n v="19000"/>
    <x v="3"/>
    <x v="0"/>
    <x v="0"/>
    <s v="Livrée"/>
    <x v="283"/>
    <n v="190000"/>
    <n v="110000"/>
    <n v="0.36666666666666664"/>
    <x v="11"/>
  </r>
  <r>
    <s v="V01022"/>
    <x v="260"/>
    <s v="CL0059"/>
    <s v="Client 484"/>
    <x v="4"/>
    <s v="Ati"/>
    <x v="2"/>
    <x v="13"/>
    <n v="1"/>
    <n v="168000"/>
    <n v="116400"/>
    <x v="7"/>
    <x v="2"/>
    <x v="1"/>
    <s v="Livrée"/>
    <x v="197"/>
    <n v="116400"/>
    <n v="51600"/>
    <n v="0.30714285714285716"/>
    <x v="11"/>
  </r>
  <r>
    <s v="V01023"/>
    <x v="4"/>
    <s v="CL0114"/>
    <s v="Client 495"/>
    <x v="5"/>
    <s v="Massaguet"/>
    <x v="2"/>
    <x v="9"/>
    <n v="7"/>
    <n v="171000"/>
    <n v="131000"/>
    <x v="6"/>
    <x v="3"/>
    <x v="2"/>
    <s v="Livrée"/>
    <x v="344"/>
    <n v="917000"/>
    <n v="280000"/>
    <n v="0.23391812865497075"/>
    <x v="4"/>
  </r>
  <r>
    <s v="V01024"/>
    <x v="348"/>
    <s v="CL0465"/>
    <s v="Client 321"/>
    <x v="1"/>
    <s v="Abéché"/>
    <x v="3"/>
    <x v="4"/>
    <n v="9"/>
    <n v="9400"/>
    <n v="6000"/>
    <x v="4"/>
    <x v="0"/>
    <x v="0"/>
    <s v="En cours"/>
    <x v="354"/>
    <n v="54000"/>
    <n v="30600"/>
    <n v="0.36170212765957449"/>
    <x v="6"/>
  </r>
  <r>
    <s v="V01025"/>
    <x v="200"/>
    <s v="CL0120"/>
    <s v="Client 266"/>
    <x v="5"/>
    <s v="Massaguet"/>
    <x v="2"/>
    <x v="2"/>
    <n v="2"/>
    <n v="55000"/>
    <n v="37800"/>
    <x v="0"/>
    <x v="3"/>
    <x v="0"/>
    <s v="Livrée"/>
    <x v="320"/>
    <n v="75600"/>
    <n v="34400"/>
    <n v="0.31272727272727274"/>
    <x v="2"/>
  </r>
  <r>
    <s v="V01026"/>
    <x v="121"/>
    <s v="CL0087"/>
    <s v="Client 242"/>
    <x v="0"/>
    <s v="N'Djamena"/>
    <x v="1"/>
    <x v="18"/>
    <n v="2"/>
    <n v="26200"/>
    <n v="16000"/>
    <x v="3"/>
    <x v="2"/>
    <x v="1"/>
    <s v="Livrée"/>
    <x v="355"/>
    <n v="32000"/>
    <n v="20400"/>
    <n v="0.38931297709923662"/>
    <x v="11"/>
  </r>
  <r>
    <s v="V01027"/>
    <x v="244"/>
    <s v="CL0245"/>
    <s v="Client 158"/>
    <x v="0"/>
    <s v="N'Djamena"/>
    <x v="3"/>
    <x v="8"/>
    <n v="2"/>
    <n v="6000"/>
    <n v="4100"/>
    <x v="5"/>
    <x v="2"/>
    <x v="1"/>
    <s v="Livrée"/>
    <x v="22"/>
    <n v="8200"/>
    <n v="3800"/>
    <n v="0.31666666666666665"/>
    <x v="10"/>
  </r>
  <r>
    <s v="V01028"/>
    <x v="263"/>
    <s v="CL0113"/>
    <s v="Client 291"/>
    <x v="1"/>
    <s v="Abéché"/>
    <x v="2"/>
    <x v="9"/>
    <n v="10"/>
    <n v="180000"/>
    <n v="131000"/>
    <x v="5"/>
    <x v="3"/>
    <x v="0"/>
    <s v="Livrée"/>
    <x v="139"/>
    <n v="1310000"/>
    <n v="490000"/>
    <n v="0.2722222222222222"/>
    <x v="10"/>
  </r>
  <r>
    <s v="V01029"/>
    <x v="184"/>
    <s v="CL0500"/>
    <s v="Client 015"/>
    <x v="7"/>
    <s v="Bol"/>
    <x v="3"/>
    <x v="3"/>
    <n v="3"/>
    <n v="15000"/>
    <n v="9800"/>
    <x v="6"/>
    <x v="3"/>
    <x v="1"/>
    <s v="Livrée"/>
    <x v="128"/>
    <n v="29400"/>
    <n v="15600"/>
    <n v="0.34666666666666668"/>
    <x v="1"/>
  </r>
  <r>
    <s v="V01030"/>
    <x v="9"/>
    <s v="CL0468"/>
    <s v="Client 336"/>
    <x v="0"/>
    <s v="N'Djamena"/>
    <x v="3"/>
    <x v="3"/>
    <n v="5"/>
    <n v="15000"/>
    <n v="9800"/>
    <x v="4"/>
    <x v="3"/>
    <x v="0"/>
    <s v="Livrée"/>
    <x v="81"/>
    <n v="49000"/>
    <n v="26000"/>
    <n v="0.34666666666666668"/>
    <x v="6"/>
  </r>
  <r>
    <s v="V01031"/>
    <x v="38"/>
    <s v="CL0241"/>
    <s v="Client 191"/>
    <x v="7"/>
    <s v="Bol"/>
    <x v="2"/>
    <x v="13"/>
    <n v="6"/>
    <n v="160000"/>
    <n v="120000"/>
    <x v="7"/>
    <x v="1"/>
    <x v="1"/>
    <s v="Livrée"/>
    <x v="98"/>
    <n v="720000"/>
    <n v="240000"/>
    <n v="0.25"/>
    <x v="2"/>
  </r>
  <r>
    <s v="V01032"/>
    <x v="204"/>
    <s v="CL0203"/>
    <s v="Client 136"/>
    <x v="5"/>
    <s v="Massaguet"/>
    <x v="3"/>
    <x v="4"/>
    <n v="4"/>
    <n v="9400"/>
    <n v="5600"/>
    <x v="4"/>
    <x v="0"/>
    <x v="0"/>
    <s v="Livrée"/>
    <x v="356"/>
    <n v="22400"/>
    <n v="15200"/>
    <n v="0.40425531914893614"/>
    <x v="3"/>
  </r>
  <r>
    <s v="V01033"/>
    <x v="304"/>
    <s v="CL0337"/>
    <s v="Client 244"/>
    <x v="6"/>
    <s v="Pala"/>
    <x v="2"/>
    <x v="13"/>
    <n v="10"/>
    <n v="160000"/>
    <n v="116400"/>
    <x v="7"/>
    <x v="1"/>
    <x v="1"/>
    <s v="Livrée"/>
    <x v="132"/>
    <n v="1164000"/>
    <n v="436000"/>
    <n v="0.27250000000000002"/>
    <x v="8"/>
  </r>
  <r>
    <s v="V01034"/>
    <x v="169"/>
    <s v="CL0139"/>
    <s v="Client 091"/>
    <x v="7"/>
    <s v="Bol"/>
    <x v="2"/>
    <x v="14"/>
    <n v="4"/>
    <n v="95000"/>
    <n v="70000"/>
    <x v="4"/>
    <x v="3"/>
    <x v="0"/>
    <s v="Annulée"/>
    <x v="89"/>
    <n v="280000"/>
    <n v="100000"/>
    <n v="0.26315789473684209"/>
    <x v="9"/>
  </r>
  <r>
    <s v="V01035"/>
    <x v="349"/>
    <s v="CL0026"/>
    <s v="Client 207"/>
    <x v="0"/>
    <s v="N'Djamena"/>
    <x v="0"/>
    <x v="11"/>
    <n v="8"/>
    <n v="85000"/>
    <n v="60100"/>
    <x v="0"/>
    <x v="1"/>
    <x v="1"/>
    <s v="Livrée"/>
    <x v="64"/>
    <n v="480800"/>
    <n v="199200"/>
    <n v="0.29294117647058826"/>
    <x v="4"/>
  </r>
  <r>
    <s v="V01036"/>
    <x v="175"/>
    <s v="CL0394"/>
    <s v="Client 309"/>
    <x v="3"/>
    <s v="Mao"/>
    <x v="0"/>
    <x v="11"/>
    <n v="1"/>
    <n v="80800"/>
    <n v="60100"/>
    <x v="5"/>
    <x v="2"/>
    <x v="0"/>
    <s v="Livrée"/>
    <x v="357"/>
    <n v="60100"/>
    <n v="20700"/>
    <n v="0.25618811881188119"/>
    <x v="5"/>
  </r>
  <r>
    <s v="V01037"/>
    <x v="48"/>
    <s v="CL0192"/>
    <s v="Client 050"/>
    <x v="2"/>
    <s v="Doba"/>
    <x v="3"/>
    <x v="17"/>
    <n v="5"/>
    <n v="17100"/>
    <n v="12900"/>
    <x v="3"/>
    <x v="1"/>
    <x v="2"/>
    <s v="Livrée"/>
    <x v="279"/>
    <n v="64500"/>
    <n v="21000"/>
    <n v="0.24561403508771928"/>
    <x v="8"/>
  </r>
  <r>
    <s v="V01038"/>
    <x v="192"/>
    <s v="CL0262"/>
    <s v="Client 363"/>
    <x v="4"/>
    <s v="Ati"/>
    <x v="2"/>
    <x v="2"/>
    <n v="6"/>
    <n v="52200"/>
    <n v="39000"/>
    <x v="0"/>
    <x v="2"/>
    <x v="1"/>
    <s v="Livrée"/>
    <x v="209"/>
    <n v="234000"/>
    <n v="79200"/>
    <n v="0.25287356321839083"/>
    <x v="6"/>
  </r>
  <r>
    <s v="V01039"/>
    <x v="197"/>
    <s v="CL0310"/>
    <s v="Client 317"/>
    <x v="1"/>
    <s v="Abéché"/>
    <x v="3"/>
    <x v="15"/>
    <n v="9"/>
    <n v="8400"/>
    <n v="4800"/>
    <x v="5"/>
    <x v="2"/>
    <x v="0"/>
    <s v="Livrée"/>
    <x v="220"/>
    <n v="43200"/>
    <n v="32400"/>
    <n v="0.42857142857142855"/>
    <x v="5"/>
  </r>
  <r>
    <s v="V01040"/>
    <x v="350"/>
    <s v="CL0420"/>
    <s v="Client 236"/>
    <x v="0"/>
    <s v="N'Djamena"/>
    <x v="3"/>
    <x v="15"/>
    <n v="9"/>
    <n v="7600"/>
    <n v="4800"/>
    <x v="7"/>
    <x v="1"/>
    <x v="1"/>
    <s v="Livrée"/>
    <x v="237"/>
    <n v="43200"/>
    <n v="25200"/>
    <n v="0.36842105263157893"/>
    <x v="0"/>
  </r>
  <r>
    <s v="V01041"/>
    <x v="170"/>
    <s v="CL0189"/>
    <s v="Client 032"/>
    <x v="2"/>
    <s v="Doba"/>
    <x v="2"/>
    <x v="9"/>
    <n v="9"/>
    <n v="180000"/>
    <n v="131000"/>
    <x v="7"/>
    <x v="3"/>
    <x v="0"/>
    <s v="Livrée"/>
    <x v="83"/>
    <n v="1179000"/>
    <n v="441000"/>
    <n v="0.2722222222222222"/>
    <x v="7"/>
  </r>
  <r>
    <s v="V01042"/>
    <x v="33"/>
    <s v="CL0495"/>
    <s v="Client 478"/>
    <x v="7"/>
    <s v="Bol"/>
    <x v="3"/>
    <x v="4"/>
    <n v="1"/>
    <n v="9000"/>
    <n v="5800"/>
    <x v="1"/>
    <x v="3"/>
    <x v="0"/>
    <s v="Livrée"/>
    <x v="4"/>
    <n v="5800"/>
    <n v="3200"/>
    <n v="0.35555555555555557"/>
    <x v="10"/>
  </r>
  <r>
    <s v="V01043"/>
    <x v="3"/>
    <s v="CL0483"/>
    <s v="Client 252"/>
    <x v="0"/>
    <s v="N'Djamena"/>
    <x v="2"/>
    <x v="9"/>
    <n v="7"/>
    <n v="180000"/>
    <n v="135000"/>
    <x v="4"/>
    <x v="2"/>
    <x v="2"/>
    <s v="En cours"/>
    <x v="94"/>
    <n v="945000"/>
    <n v="315000"/>
    <n v="0.25"/>
    <x v="3"/>
  </r>
  <r>
    <s v="V01044"/>
    <x v="189"/>
    <s v="CL0200"/>
    <s v="Client 133"/>
    <x v="5"/>
    <s v="Massaguet"/>
    <x v="0"/>
    <x v="5"/>
    <n v="7"/>
    <n v="220000"/>
    <n v="164800"/>
    <x v="0"/>
    <x v="3"/>
    <x v="1"/>
    <s v="Annulée"/>
    <x v="251"/>
    <n v="1153600"/>
    <n v="386400"/>
    <n v="0.25090909090909091"/>
    <x v="6"/>
  </r>
  <r>
    <s v="V01045"/>
    <x v="232"/>
    <s v="CL0390"/>
    <s v="Client 161"/>
    <x v="5"/>
    <s v="Massaguet"/>
    <x v="2"/>
    <x v="14"/>
    <n v="9"/>
    <n v="99800"/>
    <n v="67900"/>
    <x v="6"/>
    <x v="1"/>
    <x v="1"/>
    <s v="Livrée"/>
    <x v="46"/>
    <n v="611100"/>
    <n v="287100"/>
    <n v="0.31963927855711421"/>
    <x v="5"/>
  </r>
  <r>
    <s v="V01046"/>
    <x v="274"/>
    <s v="CL0434"/>
    <s v="Client 119"/>
    <x v="7"/>
    <s v="Bol"/>
    <x v="2"/>
    <x v="10"/>
    <n v="9"/>
    <n v="450000"/>
    <n v="381100"/>
    <x v="4"/>
    <x v="0"/>
    <x v="1"/>
    <s v="Livrée"/>
    <x v="205"/>
    <n v="3429900"/>
    <n v="620100"/>
    <n v="0.15311111111111111"/>
    <x v="10"/>
  </r>
  <r>
    <s v="V01047"/>
    <x v="98"/>
    <s v="CL0214"/>
    <s v="Client 200"/>
    <x v="2"/>
    <s v="Doba"/>
    <x v="2"/>
    <x v="9"/>
    <n v="4"/>
    <n v="180000"/>
    <n v="131000"/>
    <x v="4"/>
    <x v="2"/>
    <x v="1"/>
    <s v="En cours"/>
    <x v="169"/>
    <n v="524000"/>
    <n v="196000"/>
    <n v="0.2722222222222222"/>
    <x v="9"/>
  </r>
  <r>
    <s v="V01048"/>
    <x v="182"/>
    <s v="CL0460"/>
    <s v="Client 394"/>
    <x v="0"/>
    <s v="N'Djamena"/>
    <x v="3"/>
    <x v="15"/>
    <n v="5"/>
    <n v="8000"/>
    <n v="5000"/>
    <x v="6"/>
    <x v="3"/>
    <x v="0"/>
    <s v="Livrée"/>
    <x v="294"/>
    <n v="25000"/>
    <n v="15000"/>
    <n v="0.375"/>
    <x v="5"/>
  </r>
  <r>
    <s v="V01049"/>
    <x v="102"/>
    <s v="CL0059"/>
    <s v="Client 273"/>
    <x v="6"/>
    <s v="Pala"/>
    <x v="0"/>
    <x v="16"/>
    <n v="2"/>
    <n v="147000"/>
    <n v="97000"/>
    <x v="0"/>
    <x v="1"/>
    <x v="1"/>
    <s v="Livrée"/>
    <x v="108"/>
    <n v="194000"/>
    <n v="100000"/>
    <n v="0.3401360544217687"/>
    <x v="8"/>
  </r>
  <r>
    <s v="V01050"/>
    <x v="165"/>
    <s v="CL0219"/>
    <s v="Client 185"/>
    <x v="0"/>
    <s v="N'Djamena"/>
    <x v="1"/>
    <x v="18"/>
    <n v="10"/>
    <n v="23800"/>
    <n v="16000"/>
    <x v="0"/>
    <x v="2"/>
    <x v="1"/>
    <s v="Livrée"/>
    <x v="130"/>
    <n v="160000"/>
    <n v="78000"/>
    <n v="0.32773109243697479"/>
    <x v="5"/>
  </r>
  <r>
    <s v="V01051"/>
    <x v="147"/>
    <s v="CL0186"/>
    <s v="Client 157"/>
    <x v="1"/>
    <s v="Abéché"/>
    <x v="1"/>
    <x v="1"/>
    <n v="3"/>
    <n v="7000"/>
    <n v="4000"/>
    <x v="1"/>
    <x v="0"/>
    <x v="0"/>
    <s v="Livrée"/>
    <x v="1"/>
    <n v="12000"/>
    <n v="9000"/>
    <n v="0.42857142857142855"/>
    <x v="2"/>
  </r>
  <r>
    <s v="V01052"/>
    <x v="134"/>
    <s v="CL0193"/>
    <s v="Client 469"/>
    <x v="0"/>
    <s v="N'Djamena"/>
    <x v="3"/>
    <x v="15"/>
    <n v="7"/>
    <n v="7600"/>
    <n v="5200"/>
    <x v="3"/>
    <x v="2"/>
    <x v="1"/>
    <s v="Livrée"/>
    <x v="259"/>
    <n v="36400"/>
    <n v="16800"/>
    <n v="0.31578947368421051"/>
    <x v="3"/>
  </r>
  <r>
    <s v="V01053"/>
    <x v="25"/>
    <s v="CL0070"/>
    <s v="Client 090"/>
    <x v="5"/>
    <s v="Massaguet"/>
    <x v="0"/>
    <x v="16"/>
    <n v="5"/>
    <n v="147000"/>
    <n v="100000"/>
    <x v="2"/>
    <x v="0"/>
    <x v="1"/>
    <s v="Livrée"/>
    <x v="358"/>
    <n v="500000"/>
    <n v="235000"/>
    <n v="0.31972789115646261"/>
    <x v="3"/>
  </r>
  <r>
    <s v="V01054"/>
    <x v="204"/>
    <s v="CL0252"/>
    <s v="Client 106"/>
    <x v="5"/>
    <s v="Massaguet"/>
    <x v="3"/>
    <x v="3"/>
    <n v="9"/>
    <n v="15000"/>
    <n v="9800"/>
    <x v="6"/>
    <x v="2"/>
    <x v="2"/>
    <s v="Annulée"/>
    <x v="212"/>
    <n v="88200"/>
    <n v="46800"/>
    <n v="0.34666666666666668"/>
    <x v="3"/>
  </r>
  <r>
    <s v="V01055"/>
    <x v="26"/>
    <s v="CL0460"/>
    <s v="Client 043"/>
    <x v="7"/>
    <s v="Bol"/>
    <x v="2"/>
    <x v="14"/>
    <n v="2"/>
    <n v="99800"/>
    <n v="72100"/>
    <x v="0"/>
    <x v="3"/>
    <x v="1"/>
    <s v="En cours"/>
    <x v="57"/>
    <n v="144200"/>
    <n v="55400"/>
    <n v="0.27755511022044088"/>
    <x v="10"/>
  </r>
  <r>
    <s v="V01056"/>
    <x v="79"/>
    <s v="CL0217"/>
    <s v="Client 466"/>
    <x v="7"/>
    <s v="Bol"/>
    <x v="3"/>
    <x v="15"/>
    <n v="10"/>
    <n v="8000"/>
    <n v="5000"/>
    <x v="6"/>
    <x v="2"/>
    <x v="0"/>
    <s v="Livrée"/>
    <x v="61"/>
    <n v="50000"/>
    <n v="30000"/>
    <n v="0.375"/>
    <x v="4"/>
  </r>
  <r>
    <s v="V01057"/>
    <x v="81"/>
    <s v="CL0259"/>
    <s v="Client 207"/>
    <x v="0"/>
    <s v="N'Djamena"/>
    <x v="3"/>
    <x v="17"/>
    <n v="9"/>
    <n v="18000"/>
    <n v="12100"/>
    <x v="1"/>
    <x v="3"/>
    <x v="0"/>
    <s v="Annulée"/>
    <x v="32"/>
    <n v="108900"/>
    <n v="53100"/>
    <n v="0.32777777777777778"/>
    <x v="8"/>
  </r>
  <r>
    <s v="V01058"/>
    <x v="255"/>
    <s v="CL0213"/>
    <s v="Client 121"/>
    <x v="6"/>
    <s v="Moundou"/>
    <x v="2"/>
    <x v="2"/>
    <n v="8"/>
    <n v="55000"/>
    <n v="37800"/>
    <x v="2"/>
    <x v="2"/>
    <x v="1"/>
    <s v="Annulée"/>
    <x v="19"/>
    <n v="302400"/>
    <n v="137600"/>
    <n v="0.31272727272727274"/>
    <x v="5"/>
  </r>
  <r>
    <s v="V01059"/>
    <x v="351"/>
    <s v="CL0423"/>
    <s v="Client 103"/>
    <x v="0"/>
    <s v="N'Djamena"/>
    <x v="0"/>
    <x v="16"/>
    <n v="5"/>
    <n v="140000"/>
    <n v="100000"/>
    <x v="7"/>
    <x v="0"/>
    <x v="1"/>
    <s v="Livrée"/>
    <x v="142"/>
    <n v="500000"/>
    <n v="200000"/>
    <n v="0.2857142857142857"/>
    <x v="10"/>
  </r>
  <r>
    <s v="V01060"/>
    <x v="82"/>
    <s v="CL0483"/>
    <s v="Client 026"/>
    <x v="2"/>
    <s v="Doba"/>
    <x v="2"/>
    <x v="9"/>
    <n v="7"/>
    <n v="171000"/>
    <n v="135000"/>
    <x v="0"/>
    <x v="0"/>
    <x v="1"/>
    <s v="Annulée"/>
    <x v="344"/>
    <n v="945000"/>
    <n v="252000"/>
    <n v="0.21052631578947367"/>
    <x v="11"/>
  </r>
  <r>
    <s v="V01061"/>
    <x v="40"/>
    <s v="CL0114"/>
    <s v="Client 287"/>
    <x v="0"/>
    <s v="N'Djamena"/>
    <x v="2"/>
    <x v="10"/>
    <n v="5"/>
    <n v="450000"/>
    <n v="370000"/>
    <x v="6"/>
    <x v="2"/>
    <x v="0"/>
    <s v="Livrée"/>
    <x v="172"/>
    <n v="1850000"/>
    <n v="400000"/>
    <n v="0.17777777777777778"/>
    <x v="3"/>
  </r>
  <r>
    <s v="V01062"/>
    <x v="11"/>
    <s v="CL0243"/>
    <s v="Client 135"/>
    <x v="1"/>
    <s v="Abéché"/>
    <x v="0"/>
    <x v="16"/>
    <n v="3"/>
    <n v="140000"/>
    <n v="97000"/>
    <x v="0"/>
    <x v="2"/>
    <x v="1"/>
    <s v="Livrée"/>
    <x v="291"/>
    <n v="291000"/>
    <n v="129000"/>
    <n v="0.30714285714285716"/>
    <x v="6"/>
  </r>
  <r>
    <s v="V01063"/>
    <x v="325"/>
    <s v="CL0342"/>
    <s v="Client 097"/>
    <x v="1"/>
    <s v="Abéché"/>
    <x v="2"/>
    <x v="2"/>
    <n v="10"/>
    <n v="52200"/>
    <n v="40200"/>
    <x v="5"/>
    <x v="3"/>
    <x v="0"/>
    <s v="Livrée"/>
    <x v="235"/>
    <n v="402000"/>
    <n v="120000"/>
    <n v="0.22988505747126436"/>
    <x v="9"/>
  </r>
  <r>
    <s v="V01064"/>
    <x v="83"/>
    <s v="CL0414"/>
    <s v="Client 048"/>
    <x v="0"/>
    <s v="N'Djamena"/>
    <x v="2"/>
    <x v="9"/>
    <n v="2"/>
    <n v="171000"/>
    <n v="131000"/>
    <x v="0"/>
    <x v="2"/>
    <x v="0"/>
    <s v="Annulée"/>
    <x v="135"/>
    <n v="262000"/>
    <n v="80000"/>
    <n v="0.23391812865497075"/>
    <x v="3"/>
  </r>
  <r>
    <s v="V01065"/>
    <x v="220"/>
    <s v="CL0452"/>
    <s v="Client 472"/>
    <x v="6"/>
    <s v="Pala"/>
    <x v="0"/>
    <x v="0"/>
    <n v="3"/>
    <n v="65000"/>
    <n v="45000"/>
    <x v="1"/>
    <x v="3"/>
    <x v="2"/>
    <s v="Livrée"/>
    <x v="314"/>
    <n v="135000"/>
    <n v="60000"/>
    <n v="0.30769230769230771"/>
    <x v="1"/>
  </r>
  <r>
    <s v="V01066"/>
    <x v="345"/>
    <s v="CL0440"/>
    <s v="Client 437"/>
    <x v="0"/>
    <s v="N'Djamena"/>
    <x v="2"/>
    <x v="10"/>
    <n v="1"/>
    <n v="472500"/>
    <n v="370000"/>
    <x v="3"/>
    <x v="2"/>
    <x v="2"/>
    <s v="Annulée"/>
    <x v="218"/>
    <n v="370000"/>
    <n v="102500"/>
    <n v="0.21693121693121692"/>
    <x v="9"/>
  </r>
  <r>
    <s v="V01067"/>
    <x v="352"/>
    <s v="CL0269"/>
    <s v="Client 465"/>
    <x v="0"/>
    <s v="N'Djamena"/>
    <x v="0"/>
    <x v="11"/>
    <n v="9"/>
    <n v="85000"/>
    <n v="62000"/>
    <x v="1"/>
    <x v="0"/>
    <x v="2"/>
    <s v="Livrée"/>
    <x v="359"/>
    <n v="558000"/>
    <n v="207000"/>
    <n v="0.27058823529411763"/>
    <x v="5"/>
  </r>
  <r>
    <s v="V01068"/>
    <x v="50"/>
    <s v="CL0111"/>
    <s v="Client 358"/>
    <x v="6"/>
    <s v="Pala"/>
    <x v="2"/>
    <x v="10"/>
    <n v="2"/>
    <n v="450000"/>
    <n v="370000"/>
    <x v="4"/>
    <x v="0"/>
    <x v="1"/>
    <s v="Annulée"/>
    <x v="101"/>
    <n v="740000"/>
    <n v="160000"/>
    <n v="0.17777777777777778"/>
    <x v="2"/>
  </r>
  <r>
    <s v="V01069"/>
    <x v="75"/>
    <s v="CL0171"/>
    <s v="Client 185"/>
    <x v="1"/>
    <s v="Abéché"/>
    <x v="1"/>
    <x v="6"/>
    <n v="10"/>
    <n v="12600"/>
    <n v="7700"/>
    <x v="7"/>
    <x v="2"/>
    <x v="1"/>
    <s v="Livrée"/>
    <x v="178"/>
    <n v="77000"/>
    <n v="49000"/>
    <n v="0.3888888888888889"/>
    <x v="7"/>
  </r>
  <r>
    <s v="V01070"/>
    <x v="285"/>
    <s v="CL0067"/>
    <s v="Client 054"/>
    <x v="1"/>
    <s v="Abéché"/>
    <x v="3"/>
    <x v="15"/>
    <n v="10"/>
    <n v="7600"/>
    <n v="5000"/>
    <x v="2"/>
    <x v="2"/>
    <x v="1"/>
    <s v="En cours"/>
    <x v="360"/>
    <n v="50000"/>
    <n v="26000"/>
    <n v="0.34210526315789475"/>
    <x v="1"/>
  </r>
  <r>
    <s v="V01071"/>
    <x v="222"/>
    <s v="CL0273"/>
    <s v="Client 343"/>
    <x v="2"/>
    <s v="Doba"/>
    <x v="2"/>
    <x v="13"/>
    <n v="8"/>
    <n v="160000"/>
    <n v="116400"/>
    <x v="7"/>
    <x v="2"/>
    <x v="0"/>
    <s v="Livrée"/>
    <x v="23"/>
    <n v="931200"/>
    <n v="348800"/>
    <n v="0.27250000000000002"/>
    <x v="10"/>
  </r>
  <r>
    <s v="V01072"/>
    <x v="214"/>
    <s v="CL0285"/>
    <s v="Client 439"/>
    <x v="4"/>
    <s v="N'Djamena"/>
    <x v="3"/>
    <x v="15"/>
    <n v="5"/>
    <n v="8000"/>
    <n v="5200"/>
    <x v="6"/>
    <x v="2"/>
    <x v="0"/>
    <s v="Livrée"/>
    <x v="294"/>
    <n v="26000"/>
    <n v="14000"/>
    <n v="0.35"/>
    <x v="3"/>
  </r>
  <r>
    <s v="V01073"/>
    <x v="267"/>
    <s v="CL0004"/>
    <s v="Client 212"/>
    <x v="1"/>
    <s v="Abéché"/>
    <x v="3"/>
    <x v="15"/>
    <n v="10"/>
    <n v="7600"/>
    <n v="5200"/>
    <x v="1"/>
    <x v="2"/>
    <x v="0"/>
    <s v="Livrée"/>
    <x v="360"/>
    <n v="52000"/>
    <n v="24000"/>
    <n v="0.31578947368421051"/>
    <x v="1"/>
  </r>
  <r>
    <s v="V01074"/>
    <x v="333"/>
    <s v="CL0499"/>
    <s v="Client 370"/>
    <x v="0"/>
    <s v="N'Djamena"/>
    <x v="3"/>
    <x v="15"/>
    <n v="3"/>
    <n v="8000"/>
    <n v="4800"/>
    <x v="2"/>
    <x v="3"/>
    <x v="0"/>
    <s v="Livrée"/>
    <x v="191"/>
    <n v="14400"/>
    <n v="9600"/>
    <n v="0.4"/>
    <x v="0"/>
  </r>
  <r>
    <s v="V01075"/>
    <x v="42"/>
    <s v="CL0078"/>
    <s v="Client 295"/>
    <x v="5"/>
    <s v="Massaguet"/>
    <x v="2"/>
    <x v="2"/>
    <n v="9"/>
    <n v="55000"/>
    <n v="40200"/>
    <x v="3"/>
    <x v="3"/>
    <x v="1"/>
    <s v="Livrée"/>
    <x v="48"/>
    <n v="361800"/>
    <n v="133200"/>
    <n v="0.2690909090909091"/>
    <x v="4"/>
  </r>
  <r>
    <s v="V01076"/>
    <x v="303"/>
    <s v="CL0068"/>
    <s v="Client 033"/>
    <x v="7"/>
    <s v="Bol"/>
    <x v="3"/>
    <x v="15"/>
    <n v="7"/>
    <n v="7600"/>
    <n v="5000"/>
    <x v="6"/>
    <x v="2"/>
    <x v="1"/>
    <s v="En cours"/>
    <x v="259"/>
    <n v="35000"/>
    <n v="18200"/>
    <n v="0.34210526315789475"/>
    <x v="3"/>
  </r>
  <r>
    <s v="V01077"/>
    <x v="351"/>
    <s v="CL0181"/>
    <s v="Client 394"/>
    <x v="0"/>
    <s v="N'Djamena"/>
    <x v="1"/>
    <x v="18"/>
    <n v="8"/>
    <n v="23800"/>
    <n v="16500"/>
    <x v="2"/>
    <x v="1"/>
    <x v="2"/>
    <s v="Annulée"/>
    <x v="299"/>
    <n v="132000"/>
    <n v="58400"/>
    <n v="0.30672268907563027"/>
    <x v="10"/>
  </r>
  <r>
    <s v="V01078"/>
    <x v="220"/>
    <s v="CL0340"/>
    <s v="Client 102"/>
    <x v="4"/>
    <s v="Ati"/>
    <x v="2"/>
    <x v="14"/>
    <n v="7"/>
    <n v="95000"/>
    <n v="67900"/>
    <x v="3"/>
    <x v="2"/>
    <x v="1"/>
    <s v="En cours"/>
    <x v="116"/>
    <n v="475300"/>
    <n v="189700"/>
    <n v="0.28526315789473683"/>
    <x v="1"/>
  </r>
  <r>
    <s v="V01079"/>
    <x v="47"/>
    <s v="CL0317"/>
    <s v="Client 484"/>
    <x v="6"/>
    <s v="Pala"/>
    <x v="2"/>
    <x v="9"/>
    <n v="3"/>
    <n v="171000"/>
    <n v="139000"/>
    <x v="6"/>
    <x v="2"/>
    <x v="0"/>
    <s v="Livrée"/>
    <x v="201"/>
    <n v="417000"/>
    <n v="96000"/>
    <n v="0.1871345029239766"/>
    <x v="0"/>
  </r>
  <r>
    <s v="V01080"/>
    <x v="326"/>
    <s v="CL0447"/>
    <s v="Client 198"/>
    <x v="1"/>
    <s v="Abéché"/>
    <x v="2"/>
    <x v="13"/>
    <n v="10"/>
    <n v="152000"/>
    <n v="116400"/>
    <x v="1"/>
    <x v="3"/>
    <x v="1"/>
    <s v="Livrée"/>
    <x v="323"/>
    <n v="1164000"/>
    <n v="356000"/>
    <n v="0.23421052631578948"/>
    <x v="2"/>
  </r>
  <r>
    <s v="V01081"/>
    <x v="345"/>
    <s v="CL0467"/>
    <s v="Client 434"/>
    <x v="5"/>
    <s v="Massaguet"/>
    <x v="0"/>
    <x v="11"/>
    <n v="1"/>
    <n v="89200"/>
    <n v="63900"/>
    <x v="0"/>
    <x v="1"/>
    <x v="1"/>
    <s v="Livrée"/>
    <x v="133"/>
    <n v="63900"/>
    <n v="25300"/>
    <n v="0.28363228699551568"/>
    <x v="9"/>
  </r>
  <r>
    <s v="V01082"/>
    <x v="227"/>
    <s v="CL0326"/>
    <s v="Client 222"/>
    <x v="6"/>
    <s v="Moundou"/>
    <x v="0"/>
    <x v="0"/>
    <n v="10"/>
    <n v="65000"/>
    <n v="46400"/>
    <x v="6"/>
    <x v="2"/>
    <x v="1"/>
    <s v="Annulée"/>
    <x v="361"/>
    <n v="464000"/>
    <n v="186000"/>
    <n v="0.28615384615384615"/>
    <x v="3"/>
  </r>
  <r>
    <s v="V01083"/>
    <x v="272"/>
    <s v="CL0105"/>
    <s v="Client 372"/>
    <x v="0"/>
    <s v="N'Djamena"/>
    <x v="2"/>
    <x v="13"/>
    <n v="5"/>
    <n v="160000"/>
    <n v="123600"/>
    <x v="7"/>
    <x v="0"/>
    <x v="0"/>
    <s v="Livrée"/>
    <x v="219"/>
    <n v="618000"/>
    <n v="182000"/>
    <n v="0.22750000000000001"/>
    <x v="5"/>
  </r>
  <r>
    <s v="V01084"/>
    <x v="233"/>
    <s v="CL0482"/>
    <s v="Client 120"/>
    <x v="2"/>
    <s v="Doba"/>
    <x v="1"/>
    <x v="6"/>
    <n v="7"/>
    <n v="11400"/>
    <n v="7300"/>
    <x v="3"/>
    <x v="3"/>
    <x v="1"/>
    <s v="En cours"/>
    <x v="362"/>
    <n v="51100"/>
    <n v="28700"/>
    <n v="0.35964912280701755"/>
    <x v="9"/>
  </r>
  <r>
    <s v="V01085"/>
    <x v="186"/>
    <s v="CL0388"/>
    <s v="Client 090"/>
    <x v="5"/>
    <s v="Massaguet"/>
    <x v="2"/>
    <x v="9"/>
    <n v="3"/>
    <n v="171000"/>
    <n v="135000"/>
    <x v="1"/>
    <x v="2"/>
    <x v="0"/>
    <s v="Livrée"/>
    <x v="201"/>
    <n v="405000"/>
    <n v="108000"/>
    <n v="0.21052631578947367"/>
    <x v="4"/>
  </r>
  <r>
    <s v="V01086"/>
    <x v="295"/>
    <s v="CL0020"/>
    <s v="Client 010"/>
    <x v="0"/>
    <s v="N'Djamena"/>
    <x v="1"/>
    <x v="6"/>
    <n v="1"/>
    <n v="12000"/>
    <n v="7300"/>
    <x v="1"/>
    <x v="0"/>
    <x v="1"/>
    <s v="Livrée"/>
    <x v="22"/>
    <n v="7300"/>
    <n v="4700"/>
    <n v="0.39166666666666666"/>
    <x v="6"/>
  </r>
  <r>
    <s v="V01087"/>
    <x v="312"/>
    <s v="CL0008"/>
    <s v="Client 032"/>
    <x v="0"/>
    <s v="N'Djamena"/>
    <x v="0"/>
    <x v="16"/>
    <n v="2"/>
    <n v="140000"/>
    <n v="100000"/>
    <x v="0"/>
    <x v="3"/>
    <x v="0"/>
    <s v="Livrée"/>
    <x v="76"/>
    <n v="200000"/>
    <n v="80000"/>
    <n v="0.2857142857142857"/>
    <x v="4"/>
  </r>
  <r>
    <s v="V01088"/>
    <x v="314"/>
    <s v="CL0446"/>
    <s v="Client 322"/>
    <x v="2"/>
    <s v="Doba"/>
    <x v="2"/>
    <x v="14"/>
    <n v="10"/>
    <n v="95000"/>
    <n v="72100"/>
    <x v="1"/>
    <x v="3"/>
    <x v="1"/>
    <s v="Annulée"/>
    <x v="167"/>
    <n v="721000"/>
    <n v="229000"/>
    <n v="0.24105263157894738"/>
    <x v="8"/>
  </r>
  <r>
    <s v="V01089"/>
    <x v="332"/>
    <s v="CL0211"/>
    <s v="Client 269"/>
    <x v="5"/>
    <s v="Massaguet"/>
    <x v="0"/>
    <x v="5"/>
    <n v="4"/>
    <n v="220000"/>
    <n v="160000"/>
    <x v="0"/>
    <x v="3"/>
    <x v="0"/>
    <s v="Livrée"/>
    <x v="316"/>
    <n v="640000"/>
    <n v="240000"/>
    <n v="0.27272727272727271"/>
    <x v="9"/>
  </r>
  <r>
    <s v="V01090"/>
    <x v="240"/>
    <s v="CL0391"/>
    <s v="Client 245"/>
    <x v="6"/>
    <s v="Pala"/>
    <x v="1"/>
    <x v="7"/>
    <n v="7"/>
    <n v="10000"/>
    <n v="6400"/>
    <x v="2"/>
    <x v="1"/>
    <x v="2"/>
    <s v="En cours"/>
    <x v="166"/>
    <n v="44800"/>
    <n v="25200"/>
    <n v="0.36"/>
    <x v="9"/>
  </r>
  <r>
    <s v="V01091"/>
    <x v="68"/>
    <s v="CL0169"/>
    <s v="Client 157"/>
    <x v="1"/>
    <s v="Abéché"/>
    <x v="1"/>
    <x v="1"/>
    <n v="10"/>
    <n v="7400"/>
    <n v="4000"/>
    <x v="0"/>
    <x v="2"/>
    <x v="0"/>
    <s v="Livrée"/>
    <x v="363"/>
    <n v="40000"/>
    <n v="34000"/>
    <n v="0.45945945945945948"/>
    <x v="8"/>
  </r>
  <r>
    <s v="V01092"/>
    <x v="87"/>
    <s v="CL0164"/>
    <s v="Client 124"/>
    <x v="6"/>
    <s v="Pala"/>
    <x v="1"/>
    <x v="6"/>
    <n v="5"/>
    <n v="11400"/>
    <n v="7500"/>
    <x v="3"/>
    <x v="2"/>
    <x v="1"/>
    <s v="Annulée"/>
    <x v="159"/>
    <n v="37500"/>
    <n v="19500"/>
    <n v="0.34210526315789475"/>
    <x v="1"/>
  </r>
  <r>
    <s v="V01093"/>
    <x v="99"/>
    <s v="CL0240"/>
    <s v="Client 403"/>
    <x v="6"/>
    <s v="Moundou"/>
    <x v="2"/>
    <x v="9"/>
    <n v="8"/>
    <n v="171000"/>
    <n v="131000"/>
    <x v="6"/>
    <x v="3"/>
    <x v="0"/>
    <s v="Livrée"/>
    <x v="109"/>
    <n v="1048000"/>
    <n v="320000"/>
    <n v="0.23391812865497075"/>
    <x v="6"/>
  </r>
  <r>
    <s v="V01094"/>
    <x v="200"/>
    <s v="CL0425"/>
    <s v="Client 068"/>
    <x v="3"/>
    <s v="Mao"/>
    <x v="3"/>
    <x v="3"/>
    <n v="10"/>
    <n v="15000"/>
    <n v="9500"/>
    <x v="2"/>
    <x v="2"/>
    <x v="1"/>
    <s v="Annulée"/>
    <x v="145"/>
    <n v="95000"/>
    <n v="55000"/>
    <n v="0.36666666666666664"/>
    <x v="2"/>
  </r>
  <r>
    <s v="V01095"/>
    <x v="80"/>
    <s v="CL0186"/>
    <s v="Client 302"/>
    <x v="1"/>
    <s v="Abéché"/>
    <x v="1"/>
    <x v="12"/>
    <n v="2"/>
    <n v="30000"/>
    <n v="18400"/>
    <x v="2"/>
    <x v="2"/>
    <x v="2"/>
    <s v="En cours"/>
    <x v="69"/>
    <n v="36800"/>
    <n v="23200"/>
    <n v="0.38666666666666666"/>
    <x v="9"/>
  </r>
  <r>
    <s v="V01096"/>
    <x v="68"/>
    <s v="CL0140"/>
    <s v="Client 405"/>
    <x v="4"/>
    <s v="Ati"/>
    <x v="0"/>
    <x v="11"/>
    <n v="5"/>
    <n v="89200"/>
    <n v="60100"/>
    <x v="5"/>
    <x v="2"/>
    <x v="0"/>
    <s v="Livrée"/>
    <x v="364"/>
    <n v="300500"/>
    <n v="145500"/>
    <n v="0.32623318385650224"/>
    <x v="8"/>
  </r>
  <r>
    <s v="V01097"/>
    <x v="353"/>
    <s v="CL0293"/>
    <s v="Client 191"/>
    <x v="1"/>
    <s v="Abéché"/>
    <x v="3"/>
    <x v="4"/>
    <n v="5"/>
    <n v="9400"/>
    <n v="5800"/>
    <x v="4"/>
    <x v="1"/>
    <x v="0"/>
    <s v="Livrée"/>
    <x v="365"/>
    <n v="29000"/>
    <n v="18000"/>
    <n v="0.38297872340425532"/>
    <x v="7"/>
  </r>
  <r>
    <s v="V01098"/>
    <x v="66"/>
    <s v="CL0115"/>
    <s v="Client 014"/>
    <x v="0"/>
    <s v="N'Djamena"/>
    <x v="2"/>
    <x v="14"/>
    <n v="3"/>
    <n v="99800"/>
    <n v="70000"/>
    <x v="7"/>
    <x v="3"/>
    <x v="0"/>
    <s v="Livrée"/>
    <x v="245"/>
    <n v="210000"/>
    <n v="89400"/>
    <n v="0.29859719438877758"/>
    <x v="5"/>
  </r>
  <r>
    <s v="V01099"/>
    <x v="327"/>
    <s v="CL0338"/>
    <s v="Client 417"/>
    <x v="2"/>
    <s v="Doba"/>
    <x v="1"/>
    <x v="12"/>
    <n v="9"/>
    <n v="30000"/>
    <n v="19600"/>
    <x v="6"/>
    <x v="0"/>
    <x v="0"/>
    <s v="Annulée"/>
    <x v="25"/>
    <n v="176400"/>
    <n v="93600"/>
    <n v="0.34666666666666668"/>
    <x v="8"/>
  </r>
  <r>
    <s v="V01100"/>
    <x v="191"/>
    <s v="CL0389"/>
    <s v="Client 338"/>
    <x v="7"/>
    <s v="Bol"/>
    <x v="2"/>
    <x v="10"/>
    <n v="6"/>
    <n v="450000"/>
    <n v="381100"/>
    <x v="5"/>
    <x v="3"/>
    <x v="1"/>
    <s v="Livrée"/>
    <x v="85"/>
    <n v="2286600"/>
    <n v="413400"/>
    <n v="0.15311111111111111"/>
    <x v="6"/>
  </r>
  <r>
    <s v="V01102"/>
    <x v="317"/>
    <s v="CL0494"/>
    <s v="Client 316"/>
    <x v="6"/>
    <s v="Moundou"/>
    <x v="2"/>
    <x v="2"/>
    <n v="8"/>
    <n v="52200"/>
    <n v="39000"/>
    <x v="6"/>
    <x v="2"/>
    <x v="2"/>
    <s v="En cours"/>
    <x v="329"/>
    <n v="312000"/>
    <n v="105600"/>
    <n v="0.25287356321839083"/>
    <x v="9"/>
  </r>
  <r>
    <s v="V01103"/>
    <x v="177"/>
    <s v="CL0316"/>
    <s v="Client 377"/>
    <x v="2"/>
    <s v="Doba"/>
    <x v="2"/>
    <x v="14"/>
    <n v="7"/>
    <n v="95000"/>
    <n v="67900"/>
    <x v="7"/>
    <x v="1"/>
    <x v="0"/>
    <s v="En cours"/>
    <x v="116"/>
    <n v="475300"/>
    <n v="189700"/>
    <n v="0.28526315789473683"/>
    <x v="1"/>
  </r>
  <r>
    <s v="V01104"/>
    <x v="190"/>
    <s v="CL0301"/>
    <s v="Client 125"/>
    <x v="0"/>
    <s v="N'Djamena"/>
    <x v="2"/>
    <x v="13"/>
    <n v="9"/>
    <n v="168000"/>
    <n v="123600"/>
    <x v="1"/>
    <x v="3"/>
    <x v="2"/>
    <s v="En cours"/>
    <x v="168"/>
    <n v="1112400"/>
    <n v="399600"/>
    <n v="0.26428571428571429"/>
    <x v="5"/>
  </r>
  <r>
    <s v="V01105"/>
    <x v="348"/>
    <s v="CL0354"/>
    <s v="Client 217"/>
    <x v="2"/>
    <s v="Doba"/>
    <x v="0"/>
    <x v="11"/>
    <n v="7"/>
    <n v="89200"/>
    <n v="62000"/>
    <x v="7"/>
    <x v="2"/>
    <x v="2"/>
    <s v="Livrée"/>
    <x v="366"/>
    <n v="434000"/>
    <n v="190400"/>
    <n v="0.30493273542600896"/>
    <x v="6"/>
  </r>
  <r>
    <s v="V01106"/>
    <x v="233"/>
    <s v="CL0414"/>
    <s v="Client 400"/>
    <x v="5"/>
    <s v="N'Djamena"/>
    <x v="0"/>
    <x v="16"/>
    <n v="8"/>
    <n v="147000"/>
    <n v="103000"/>
    <x v="0"/>
    <x v="2"/>
    <x v="2"/>
    <s v="Livrée"/>
    <x v="117"/>
    <n v="824000"/>
    <n v="352000"/>
    <n v="0.29931972789115646"/>
    <x v="9"/>
  </r>
  <r>
    <s v="V01107"/>
    <x v="80"/>
    <s v="CL0487"/>
    <s v="Client 214"/>
    <x v="0"/>
    <s v="N'Djamena"/>
    <x v="2"/>
    <x v="10"/>
    <n v="8"/>
    <n v="427500"/>
    <n v="358900"/>
    <x v="7"/>
    <x v="2"/>
    <x v="0"/>
    <s v="Livrée"/>
    <x v="349"/>
    <n v="2871200"/>
    <n v="548800"/>
    <n v="0.16046783625730995"/>
    <x v="9"/>
  </r>
  <r>
    <s v="V01108"/>
    <x v="46"/>
    <s v="CL0217"/>
    <s v="Client 014"/>
    <x v="0"/>
    <s v="N'Djamena"/>
    <x v="0"/>
    <x v="0"/>
    <n v="2"/>
    <n v="68200"/>
    <n v="45000"/>
    <x v="6"/>
    <x v="2"/>
    <x v="0"/>
    <s v="Livrée"/>
    <x v="258"/>
    <n v="90000"/>
    <n v="46400"/>
    <n v="0.34017595307917886"/>
    <x v="10"/>
  </r>
  <r>
    <s v="V01109"/>
    <x v="110"/>
    <s v="CL0186"/>
    <s v="Client 411"/>
    <x v="5"/>
    <s v="Massaguet"/>
    <x v="0"/>
    <x v="5"/>
    <n v="10"/>
    <n v="220000"/>
    <n v="155200"/>
    <x v="2"/>
    <x v="2"/>
    <x v="0"/>
    <s v="Annulée"/>
    <x v="6"/>
    <n v="1552000"/>
    <n v="648000"/>
    <n v="0.29454545454545455"/>
    <x v="2"/>
  </r>
  <r>
    <s v="V01110"/>
    <x v="295"/>
    <s v="CL0407"/>
    <s v="Client 473"/>
    <x v="7"/>
    <s v="Bol"/>
    <x v="2"/>
    <x v="14"/>
    <n v="2"/>
    <n v="99800"/>
    <n v="67900"/>
    <x v="5"/>
    <x v="1"/>
    <x v="1"/>
    <s v="Livrée"/>
    <x v="57"/>
    <n v="135800"/>
    <n v="63800"/>
    <n v="0.31963927855711421"/>
    <x v="6"/>
  </r>
  <r>
    <s v="V01111"/>
    <x v="80"/>
    <s v="CL0291"/>
    <s v="Client 444"/>
    <x v="0"/>
    <s v="N'Djamena"/>
    <x v="2"/>
    <x v="14"/>
    <n v="7"/>
    <n v="99800"/>
    <n v="67900"/>
    <x v="3"/>
    <x v="3"/>
    <x v="1"/>
    <s v="Livrée"/>
    <x v="292"/>
    <n v="475300"/>
    <n v="223300"/>
    <n v="0.31963927855711421"/>
    <x v="9"/>
  </r>
  <r>
    <s v="V01112"/>
    <x v="72"/>
    <s v="CL0121"/>
    <s v="Client 103"/>
    <x v="0"/>
    <s v="N'Djamena"/>
    <x v="2"/>
    <x v="2"/>
    <n v="10"/>
    <n v="52200"/>
    <n v="40200"/>
    <x v="5"/>
    <x v="1"/>
    <x v="0"/>
    <s v="En cours"/>
    <x v="235"/>
    <n v="402000"/>
    <n v="120000"/>
    <n v="0.22988505747126436"/>
    <x v="2"/>
  </r>
  <r>
    <s v="V01113"/>
    <x v="95"/>
    <s v="CL0100"/>
    <s v="Client 182"/>
    <x v="0"/>
    <s v="N'Djamena"/>
    <x v="1"/>
    <x v="1"/>
    <n v="6"/>
    <n v="7000"/>
    <n v="4100"/>
    <x v="6"/>
    <x v="2"/>
    <x v="2"/>
    <s v="Livrée"/>
    <x v="125"/>
    <n v="24600"/>
    <n v="17400"/>
    <n v="0.41428571428571431"/>
    <x v="11"/>
  </r>
  <r>
    <s v="V01114"/>
    <x v="31"/>
    <s v="CL0081"/>
    <s v="Client 164"/>
    <x v="6"/>
    <s v="Pala"/>
    <x v="2"/>
    <x v="14"/>
    <n v="6"/>
    <n v="90200"/>
    <n v="72100"/>
    <x v="7"/>
    <x v="2"/>
    <x v="1"/>
    <s v="Livrée"/>
    <x v="192"/>
    <n v="432600"/>
    <n v="108600"/>
    <n v="0.20066518847006651"/>
    <x v="0"/>
  </r>
  <r>
    <s v="V01115"/>
    <x v="160"/>
    <s v="CL0048"/>
    <s v="Client 351"/>
    <x v="3"/>
    <s v="Mao"/>
    <x v="2"/>
    <x v="9"/>
    <n v="3"/>
    <n v="180000"/>
    <n v="135000"/>
    <x v="4"/>
    <x v="3"/>
    <x v="1"/>
    <s v="Livrée"/>
    <x v="254"/>
    <n v="405000"/>
    <n v="135000"/>
    <n v="0.25"/>
    <x v="11"/>
  </r>
  <r>
    <s v="V01116"/>
    <x v="11"/>
    <s v="CL0427"/>
    <s v="Client 425"/>
    <x v="1"/>
    <s v="Abéché"/>
    <x v="3"/>
    <x v="8"/>
    <n v="8"/>
    <n v="6000"/>
    <n v="4300"/>
    <x v="2"/>
    <x v="2"/>
    <x v="0"/>
    <s v="Annulée"/>
    <x v="36"/>
    <n v="34400"/>
    <n v="13600"/>
    <n v="0.28333333333333333"/>
    <x v="6"/>
  </r>
  <r>
    <s v="V01117"/>
    <x v="154"/>
    <s v="CL0436"/>
    <s v="Client 323"/>
    <x v="2"/>
    <s v="Doba"/>
    <x v="0"/>
    <x v="16"/>
    <n v="6"/>
    <n v="147000"/>
    <n v="100000"/>
    <x v="6"/>
    <x v="2"/>
    <x v="1"/>
    <s v="Livrée"/>
    <x v="367"/>
    <n v="600000"/>
    <n v="282000"/>
    <n v="0.31972789115646261"/>
    <x v="0"/>
  </r>
  <r>
    <s v="V01118"/>
    <x v="24"/>
    <s v="CL0056"/>
    <s v="Client 137"/>
    <x v="7"/>
    <s v="Bol"/>
    <x v="2"/>
    <x v="9"/>
    <n v="6"/>
    <n v="180000"/>
    <n v="135000"/>
    <x v="1"/>
    <x v="2"/>
    <x v="0"/>
    <s v="Livrée"/>
    <x v="243"/>
    <n v="810000"/>
    <n v="270000"/>
    <n v="0.25"/>
    <x v="1"/>
  </r>
  <r>
    <s v="V01119"/>
    <x v="325"/>
    <s v="CL0032"/>
    <s v="Client 163"/>
    <x v="0"/>
    <s v="N'Djamena"/>
    <x v="2"/>
    <x v="9"/>
    <n v="5"/>
    <n v="180000"/>
    <n v="139000"/>
    <x v="4"/>
    <x v="3"/>
    <x v="0"/>
    <s v="Annulée"/>
    <x v="101"/>
    <n v="695000"/>
    <n v="205000"/>
    <n v="0.22777777777777777"/>
    <x v="9"/>
  </r>
  <r>
    <s v="V01120"/>
    <x v="219"/>
    <s v="CL0001"/>
    <s v="Client 088"/>
    <x v="3"/>
    <s v="Mao"/>
    <x v="2"/>
    <x v="9"/>
    <n v="1"/>
    <n v="180000"/>
    <n v="131000"/>
    <x v="4"/>
    <x v="3"/>
    <x v="0"/>
    <s v="Livrée"/>
    <x v="88"/>
    <n v="131000"/>
    <n v="49000"/>
    <n v="0.2722222222222222"/>
    <x v="8"/>
  </r>
  <r>
    <s v="V01121"/>
    <x v="93"/>
    <s v="CL0243"/>
    <s v="Client 299"/>
    <x v="0"/>
    <s v="N'Djamena"/>
    <x v="0"/>
    <x v="5"/>
    <n v="4"/>
    <n v="220000"/>
    <n v="155200"/>
    <x v="7"/>
    <x v="3"/>
    <x v="0"/>
    <s v="Livrée"/>
    <x v="316"/>
    <n v="620800"/>
    <n v="259200"/>
    <n v="0.29454545454545455"/>
    <x v="3"/>
  </r>
  <r>
    <s v="V01122"/>
    <x v="265"/>
    <s v="CL0294"/>
    <s v="Client 052"/>
    <x v="1"/>
    <s v="Abéché"/>
    <x v="2"/>
    <x v="14"/>
    <n v="7"/>
    <n v="95000"/>
    <n v="67900"/>
    <x v="6"/>
    <x v="2"/>
    <x v="0"/>
    <s v="Livrée"/>
    <x v="116"/>
    <n v="475300"/>
    <n v="189700"/>
    <n v="0.28526315789473683"/>
    <x v="10"/>
  </r>
  <r>
    <s v="V01123"/>
    <x v="211"/>
    <s v="CL0237"/>
    <s v="Client 265"/>
    <x v="0"/>
    <s v="N'Djamena"/>
    <x v="0"/>
    <x v="16"/>
    <n v="1"/>
    <n v="140000"/>
    <n v="103000"/>
    <x v="4"/>
    <x v="3"/>
    <x v="0"/>
    <s v="Livrée"/>
    <x v="87"/>
    <n v="103000"/>
    <n v="37000"/>
    <n v="0.26428571428571429"/>
    <x v="5"/>
  </r>
  <r>
    <s v="V01124"/>
    <x v="131"/>
    <s v="CL0424"/>
    <s v="Client 006"/>
    <x v="2"/>
    <s v="Doba"/>
    <x v="1"/>
    <x v="1"/>
    <n v="3"/>
    <n v="7400"/>
    <n v="3900"/>
    <x v="3"/>
    <x v="3"/>
    <x v="0"/>
    <s v="Livrée"/>
    <x v="368"/>
    <n v="11700"/>
    <n v="10500"/>
    <n v="0.47297297297297297"/>
    <x v="1"/>
  </r>
  <r>
    <s v="V01125"/>
    <x v="99"/>
    <s v="CL0434"/>
    <s v="Client 194"/>
    <x v="6"/>
    <s v="Pala"/>
    <x v="2"/>
    <x v="10"/>
    <n v="1"/>
    <n v="450000"/>
    <n v="381100"/>
    <x v="0"/>
    <x v="2"/>
    <x v="0"/>
    <s v="En cours"/>
    <x v="317"/>
    <n v="381100"/>
    <n v="68900"/>
    <n v="0.15311111111111111"/>
    <x v="6"/>
  </r>
  <r>
    <s v="V01126"/>
    <x v="354"/>
    <s v="CL0233"/>
    <s v="Client 408"/>
    <x v="1"/>
    <s v="Abéché"/>
    <x v="2"/>
    <x v="13"/>
    <n v="5"/>
    <n v="160000"/>
    <n v="120000"/>
    <x v="2"/>
    <x v="3"/>
    <x v="2"/>
    <s v="Livrée"/>
    <x v="219"/>
    <n v="600000"/>
    <n v="200000"/>
    <n v="0.25"/>
    <x v="9"/>
  </r>
  <r>
    <s v="V01127"/>
    <x v="202"/>
    <s v="CL0105"/>
    <s v="Client 389"/>
    <x v="0"/>
    <s v="N'Djamena"/>
    <x v="3"/>
    <x v="4"/>
    <n v="9"/>
    <n v="8600"/>
    <n v="5800"/>
    <x v="0"/>
    <x v="2"/>
    <x v="0"/>
    <s v="Livrée"/>
    <x v="369"/>
    <n v="52200"/>
    <n v="25200"/>
    <n v="0.32558139534883723"/>
    <x v="11"/>
  </r>
  <r>
    <s v="V01128"/>
    <x v="25"/>
    <s v="CL0218"/>
    <s v="Client 479"/>
    <x v="4"/>
    <s v="Ati"/>
    <x v="2"/>
    <x v="9"/>
    <n v="10"/>
    <n v="171000"/>
    <n v="139000"/>
    <x v="3"/>
    <x v="3"/>
    <x v="1"/>
    <s v="Livrée"/>
    <x v="265"/>
    <n v="1390000"/>
    <n v="320000"/>
    <n v="0.1871345029239766"/>
    <x v="3"/>
  </r>
  <r>
    <s v="V01129"/>
    <x v="234"/>
    <s v="CL0381"/>
    <s v="Client 281"/>
    <x v="0"/>
    <s v="N'Djamena"/>
    <x v="2"/>
    <x v="2"/>
    <n v="7"/>
    <n v="52200"/>
    <n v="39000"/>
    <x v="3"/>
    <x v="2"/>
    <x v="1"/>
    <s v="Livrée"/>
    <x v="370"/>
    <n v="273000"/>
    <n v="92400"/>
    <n v="0.25287356321839083"/>
    <x v="11"/>
  </r>
  <r>
    <s v="V01130"/>
    <x v="260"/>
    <s v="CL0258"/>
    <s v="Client 373"/>
    <x v="1"/>
    <s v="Abéché"/>
    <x v="3"/>
    <x v="17"/>
    <n v="6"/>
    <n v="18000"/>
    <n v="12900"/>
    <x v="5"/>
    <x v="0"/>
    <x v="2"/>
    <s v="Livrée"/>
    <x v="124"/>
    <n v="77400"/>
    <n v="30600"/>
    <n v="0.28333333333333333"/>
    <x v="11"/>
  </r>
  <r>
    <s v="V01131"/>
    <x v="255"/>
    <s v="CL0286"/>
    <s v="Client 140"/>
    <x v="3"/>
    <s v="Mao"/>
    <x v="3"/>
    <x v="15"/>
    <n v="6"/>
    <n v="7600"/>
    <n v="5000"/>
    <x v="2"/>
    <x v="3"/>
    <x v="0"/>
    <s v="Livrée"/>
    <x v="7"/>
    <n v="30000"/>
    <n v="15600"/>
    <n v="0.34210526315789475"/>
    <x v="5"/>
  </r>
  <r>
    <s v="V01132"/>
    <x v="225"/>
    <s v="CL0478"/>
    <s v="Client 019"/>
    <x v="7"/>
    <s v="Bol"/>
    <x v="0"/>
    <x v="5"/>
    <n v="9"/>
    <n v="209000"/>
    <n v="160000"/>
    <x v="2"/>
    <x v="0"/>
    <x v="1"/>
    <s v="Livrée"/>
    <x v="269"/>
    <n v="1440000"/>
    <n v="441000"/>
    <n v="0.23444976076555024"/>
    <x v="0"/>
  </r>
  <r>
    <s v="V01133"/>
    <x v="199"/>
    <s v="CL0291"/>
    <s v="Client 013"/>
    <x v="2"/>
    <s v="Doba"/>
    <x v="3"/>
    <x v="17"/>
    <n v="10"/>
    <n v="18900"/>
    <n v="12900"/>
    <x v="1"/>
    <x v="2"/>
    <x v="0"/>
    <s v="Livrée"/>
    <x v="162"/>
    <n v="129000"/>
    <n v="60000"/>
    <n v="0.31746031746031744"/>
    <x v="2"/>
  </r>
  <r>
    <s v="V01134"/>
    <x v="351"/>
    <s v="CL0129"/>
    <s v="Client 232"/>
    <x v="0"/>
    <s v="N'Djamena"/>
    <x v="1"/>
    <x v="12"/>
    <n v="5"/>
    <n v="31500"/>
    <n v="19600"/>
    <x v="3"/>
    <x v="2"/>
    <x v="1"/>
    <s v="En cours"/>
    <x v="147"/>
    <n v="98000"/>
    <n v="59500"/>
    <n v="0.37777777777777777"/>
    <x v="10"/>
  </r>
  <r>
    <s v="V01135"/>
    <x v="123"/>
    <s v="CL0461"/>
    <s v="Client 117"/>
    <x v="1"/>
    <s v="Abéché"/>
    <x v="1"/>
    <x v="7"/>
    <n v="4"/>
    <n v="10500"/>
    <n v="6400"/>
    <x v="5"/>
    <x v="2"/>
    <x v="0"/>
    <s v="Livrée"/>
    <x v="125"/>
    <n v="25600"/>
    <n v="16400"/>
    <n v="0.39047619047619048"/>
    <x v="11"/>
  </r>
  <r>
    <s v="V01136"/>
    <x v="353"/>
    <s v="CL0133"/>
    <s v="Client 173"/>
    <x v="5"/>
    <s v="Massaguet"/>
    <x v="2"/>
    <x v="2"/>
    <n v="6"/>
    <n v="55000"/>
    <n v="37800"/>
    <x v="7"/>
    <x v="1"/>
    <x v="1"/>
    <s v="Livrée"/>
    <x v="194"/>
    <n v="226800"/>
    <n v="103200"/>
    <n v="0.31272727272727274"/>
    <x v="7"/>
  </r>
  <r>
    <s v="V01137"/>
    <x v="91"/>
    <s v="CL0439"/>
    <s v="Client 450"/>
    <x v="4"/>
    <s v="Ati"/>
    <x v="1"/>
    <x v="12"/>
    <n v="8"/>
    <n v="30000"/>
    <n v="19600"/>
    <x v="3"/>
    <x v="3"/>
    <x v="1"/>
    <s v="Livrée"/>
    <x v="371"/>
    <n v="156800"/>
    <n v="83200"/>
    <n v="0.34666666666666668"/>
    <x v="3"/>
  </r>
  <r>
    <s v="V01138"/>
    <x v="39"/>
    <s v="CL0093"/>
    <s v="Client 131"/>
    <x v="5"/>
    <s v="Massaguet"/>
    <x v="2"/>
    <x v="10"/>
    <n v="5"/>
    <n v="427500"/>
    <n v="358900"/>
    <x v="5"/>
    <x v="1"/>
    <x v="1"/>
    <s v="Livrée"/>
    <x v="200"/>
    <n v="1794500"/>
    <n v="343000"/>
    <n v="0.16046783625730995"/>
    <x v="3"/>
  </r>
  <r>
    <s v="V01139"/>
    <x v="129"/>
    <s v="CL0105"/>
    <s v="Client 209"/>
    <x v="3"/>
    <s v="Mao"/>
    <x v="3"/>
    <x v="17"/>
    <n v="10"/>
    <n v="18900"/>
    <n v="12900"/>
    <x v="0"/>
    <x v="2"/>
    <x v="0"/>
    <s v="Livrée"/>
    <x v="162"/>
    <n v="129000"/>
    <n v="60000"/>
    <n v="0.31746031746031744"/>
    <x v="0"/>
  </r>
  <r>
    <s v="V01140"/>
    <x v="90"/>
    <s v="CL0150"/>
    <s v="Client 360"/>
    <x v="0"/>
    <s v="N'Djamena"/>
    <x v="3"/>
    <x v="8"/>
    <n v="6"/>
    <n v="5700"/>
    <n v="4300"/>
    <x v="3"/>
    <x v="1"/>
    <x v="1"/>
    <s v="Livrée"/>
    <x v="246"/>
    <n v="25800"/>
    <n v="8400"/>
    <n v="0.24561403508771928"/>
    <x v="7"/>
  </r>
  <r>
    <s v="V01141"/>
    <x v="269"/>
    <s v="CL0411"/>
    <s v="Client 236"/>
    <x v="4"/>
    <s v="Ati"/>
    <x v="3"/>
    <x v="8"/>
    <n v="5"/>
    <n v="6300"/>
    <n v="4200"/>
    <x v="6"/>
    <x v="1"/>
    <x v="1"/>
    <s v="Annulée"/>
    <x v="195"/>
    <n v="21000"/>
    <n v="10500"/>
    <n v="0.33333333333333331"/>
    <x v="4"/>
  </r>
  <r>
    <s v="V01142"/>
    <x v="170"/>
    <s v="CL0067"/>
    <s v="Client 358"/>
    <x v="7"/>
    <s v="Bol"/>
    <x v="0"/>
    <x v="0"/>
    <n v="8"/>
    <n v="61800"/>
    <n v="45000"/>
    <x v="5"/>
    <x v="0"/>
    <x v="0"/>
    <s v="Livrée"/>
    <x v="285"/>
    <n v="360000"/>
    <n v="134400"/>
    <n v="0.27184466019417475"/>
    <x v="7"/>
  </r>
  <r>
    <s v="V01143"/>
    <x v="171"/>
    <s v="CL0481"/>
    <s v="Client 177"/>
    <x v="1"/>
    <s v="Abéché"/>
    <x v="3"/>
    <x v="15"/>
    <n v="8"/>
    <n v="7600"/>
    <n v="5200"/>
    <x v="0"/>
    <x v="3"/>
    <x v="0"/>
    <s v="Livrée"/>
    <x v="226"/>
    <n v="41600"/>
    <n v="19200"/>
    <n v="0.31578947368421051"/>
    <x v="10"/>
  </r>
  <r>
    <s v="V01144"/>
    <x v="354"/>
    <s v="CL0451"/>
    <s v="Client 434"/>
    <x v="4"/>
    <s v="Ati"/>
    <x v="3"/>
    <x v="3"/>
    <n v="4"/>
    <n v="15800"/>
    <n v="9200"/>
    <x v="7"/>
    <x v="0"/>
    <x v="2"/>
    <s v="Livrée"/>
    <x v="372"/>
    <n v="36800"/>
    <n v="26400"/>
    <n v="0.41772151898734178"/>
    <x v="9"/>
  </r>
  <r>
    <s v="V01145"/>
    <x v="158"/>
    <s v="CL0334"/>
    <s v="Client 371"/>
    <x v="2"/>
    <s v="Doba"/>
    <x v="2"/>
    <x v="10"/>
    <n v="8"/>
    <n v="450000"/>
    <n v="358900"/>
    <x v="2"/>
    <x v="2"/>
    <x v="1"/>
    <s v="Livrée"/>
    <x v="102"/>
    <n v="2871200"/>
    <n v="728800"/>
    <n v="0.20244444444444445"/>
    <x v="0"/>
  </r>
  <r>
    <s v="V01146"/>
    <x v="244"/>
    <s v="CL0006"/>
    <s v="Client 281"/>
    <x v="0"/>
    <s v="N'Djamena"/>
    <x v="1"/>
    <x v="6"/>
    <n v="4"/>
    <n v="12600"/>
    <n v="7500"/>
    <x v="5"/>
    <x v="0"/>
    <x v="1"/>
    <s v="Annulée"/>
    <x v="297"/>
    <n v="30000"/>
    <n v="20400"/>
    <n v="0.40476190476190477"/>
    <x v="10"/>
  </r>
  <r>
    <s v="V01147"/>
    <x v="326"/>
    <s v="CL0234"/>
    <s v="Client 256"/>
    <x v="0"/>
    <s v="N'Djamena"/>
    <x v="0"/>
    <x v="16"/>
    <n v="6"/>
    <n v="140000"/>
    <n v="103000"/>
    <x v="3"/>
    <x v="2"/>
    <x v="1"/>
    <s v="Livrée"/>
    <x v="54"/>
    <n v="618000"/>
    <n v="222000"/>
    <n v="0.26428571428571429"/>
    <x v="2"/>
  </r>
  <r>
    <s v="V01148"/>
    <x v="88"/>
    <s v="CL0233"/>
    <s v="Client 427"/>
    <x v="1"/>
    <s v="Abéché"/>
    <x v="0"/>
    <x v="16"/>
    <n v="7"/>
    <n v="133000"/>
    <n v="103000"/>
    <x v="4"/>
    <x v="3"/>
    <x v="1"/>
    <s v="Annulée"/>
    <x v="104"/>
    <n v="721000"/>
    <n v="210000"/>
    <n v="0.22556390977443608"/>
    <x v="7"/>
  </r>
  <r>
    <s v="V01149"/>
    <x v="323"/>
    <s v="CL0124"/>
    <s v="Client 070"/>
    <x v="6"/>
    <s v="Pala"/>
    <x v="0"/>
    <x v="5"/>
    <n v="4"/>
    <n v="220000"/>
    <n v="164800"/>
    <x v="3"/>
    <x v="2"/>
    <x v="0"/>
    <s v="Annulée"/>
    <x v="316"/>
    <n v="659200"/>
    <n v="220800"/>
    <n v="0.25090909090909091"/>
    <x v="0"/>
  </r>
  <r>
    <s v="V01150"/>
    <x v="254"/>
    <s v="CL0175"/>
    <s v="Client 398"/>
    <x v="5"/>
    <s v="Massaguet"/>
    <x v="2"/>
    <x v="9"/>
    <n v="6"/>
    <n v="180000"/>
    <n v="135000"/>
    <x v="3"/>
    <x v="0"/>
    <x v="0"/>
    <s v="En cours"/>
    <x v="243"/>
    <n v="810000"/>
    <n v="270000"/>
    <n v="0.25"/>
    <x v="8"/>
  </r>
  <r>
    <s v="V01151"/>
    <x v="179"/>
    <s v="CL0427"/>
    <s v="Client 069"/>
    <x v="0"/>
    <s v="N'Djamena"/>
    <x v="1"/>
    <x v="12"/>
    <n v="2"/>
    <n v="31500"/>
    <n v="19000"/>
    <x v="4"/>
    <x v="2"/>
    <x v="2"/>
    <s v="Annulée"/>
    <x v="74"/>
    <n v="38000"/>
    <n v="25000"/>
    <n v="0.3968253968253968"/>
    <x v="7"/>
  </r>
  <r>
    <s v="V01152"/>
    <x v="49"/>
    <s v="CL0250"/>
    <s v="Client 196"/>
    <x v="7"/>
    <s v="Bol"/>
    <x v="2"/>
    <x v="14"/>
    <n v="8"/>
    <n v="99800"/>
    <n v="70000"/>
    <x v="3"/>
    <x v="2"/>
    <x v="0"/>
    <s v="Livrée"/>
    <x v="44"/>
    <n v="560000"/>
    <n v="238400"/>
    <n v="0.29859719438877758"/>
    <x v="11"/>
  </r>
  <r>
    <s v="V01153"/>
    <x v="138"/>
    <s v="CL0355"/>
    <s v="Client 457"/>
    <x v="3"/>
    <s v="Mao"/>
    <x v="2"/>
    <x v="9"/>
    <n v="9"/>
    <n v="171000"/>
    <n v="139000"/>
    <x v="1"/>
    <x v="0"/>
    <x v="1"/>
    <s v="En cours"/>
    <x v="373"/>
    <n v="1251000"/>
    <n v="288000"/>
    <n v="0.1871345029239766"/>
    <x v="6"/>
  </r>
  <r>
    <s v="V01154"/>
    <x v="217"/>
    <s v="CL0383"/>
    <s v="Client 010"/>
    <x v="1"/>
    <s v="Abéché"/>
    <x v="2"/>
    <x v="10"/>
    <n v="1"/>
    <n v="450000"/>
    <n v="370000"/>
    <x v="4"/>
    <x v="2"/>
    <x v="2"/>
    <s v="En cours"/>
    <x v="317"/>
    <n v="370000"/>
    <n v="80000"/>
    <n v="0.17777777777777778"/>
    <x v="1"/>
  </r>
  <r>
    <s v="V01155"/>
    <x v="151"/>
    <s v="CL0061"/>
    <s v="Client 265"/>
    <x v="7"/>
    <s v="Bol"/>
    <x v="0"/>
    <x v="5"/>
    <n v="9"/>
    <n v="220000"/>
    <n v="155200"/>
    <x v="1"/>
    <x v="3"/>
    <x v="0"/>
    <s v="Livrée"/>
    <x v="249"/>
    <n v="1396800"/>
    <n v="583200"/>
    <n v="0.29454545454545455"/>
    <x v="5"/>
  </r>
  <r>
    <s v="V01156"/>
    <x v="43"/>
    <s v="CL0259"/>
    <s v="Client 347"/>
    <x v="4"/>
    <s v="Ati"/>
    <x v="3"/>
    <x v="8"/>
    <n v="4"/>
    <n v="6000"/>
    <n v="4300"/>
    <x v="1"/>
    <x v="2"/>
    <x v="1"/>
    <s v="En cours"/>
    <x v="191"/>
    <n v="17200"/>
    <n v="6800"/>
    <n v="0.28333333333333333"/>
    <x v="8"/>
  </r>
  <r>
    <s v="V01157"/>
    <x v="183"/>
    <s v="CL0078"/>
    <s v="Client 290"/>
    <x v="6"/>
    <s v="Moundou"/>
    <x v="3"/>
    <x v="4"/>
    <n v="2"/>
    <n v="9400"/>
    <n v="5800"/>
    <x v="7"/>
    <x v="3"/>
    <x v="1"/>
    <s v="Livrée"/>
    <x v="374"/>
    <n v="11600"/>
    <n v="7200"/>
    <n v="0.38297872340425532"/>
    <x v="7"/>
  </r>
  <r>
    <s v="V01158"/>
    <x v="249"/>
    <s v="CL0309"/>
    <s v="Client 158"/>
    <x v="1"/>
    <s v="Abéché"/>
    <x v="1"/>
    <x v="1"/>
    <n v="5"/>
    <n v="7400"/>
    <n v="3900"/>
    <x v="4"/>
    <x v="3"/>
    <x v="1"/>
    <s v="Livrée"/>
    <x v="211"/>
    <n v="19500"/>
    <n v="17500"/>
    <n v="0.47297297297297297"/>
    <x v="5"/>
  </r>
  <r>
    <s v="V01159"/>
    <x v="120"/>
    <s v="CL0500"/>
    <s v="Client 454"/>
    <x v="7"/>
    <s v="Bol"/>
    <x v="0"/>
    <x v="5"/>
    <n v="3"/>
    <n v="231000"/>
    <n v="164800"/>
    <x v="4"/>
    <x v="3"/>
    <x v="1"/>
    <s v="Annulée"/>
    <x v="375"/>
    <n v="494400"/>
    <n v="198600"/>
    <n v="0.2865800865800866"/>
    <x v="3"/>
  </r>
  <r>
    <s v="V01160"/>
    <x v="101"/>
    <s v="CL0056"/>
    <s v="Client 473"/>
    <x v="3"/>
    <s v="Mao"/>
    <x v="0"/>
    <x v="11"/>
    <n v="3"/>
    <n v="85000"/>
    <n v="60100"/>
    <x v="0"/>
    <x v="2"/>
    <x v="2"/>
    <s v="Livrée"/>
    <x v="35"/>
    <n v="180300"/>
    <n v="74700"/>
    <n v="0.29294117647058826"/>
    <x v="6"/>
  </r>
  <r>
    <s v="V01161"/>
    <x v="231"/>
    <s v="CL0250"/>
    <s v="Client 257"/>
    <x v="0"/>
    <s v="N'Djamena"/>
    <x v="1"/>
    <x v="7"/>
    <n v="3"/>
    <n v="10000"/>
    <n v="6000"/>
    <x v="2"/>
    <x v="1"/>
    <x v="1"/>
    <s v="Annulée"/>
    <x v="5"/>
    <n v="18000"/>
    <n v="12000"/>
    <n v="0.4"/>
    <x v="10"/>
  </r>
  <r>
    <s v="V01162"/>
    <x v="235"/>
    <s v="CL0282"/>
    <s v="Client 335"/>
    <x v="0"/>
    <s v="N'Djamena"/>
    <x v="3"/>
    <x v="8"/>
    <n v="3"/>
    <n v="6000"/>
    <n v="4200"/>
    <x v="6"/>
    <x v="2"/>
    <x v="0"/>
    <s v="En cours"/>
    <x v="213"/>
    <n v="12600"/>
    <n v="5400"/>
    <n v="0.3"/>
    <x v="4"/>
  </r>
  <r>
    <s v="V01163"/>
    <x v="53"/>
    <s v="CL0345"/>
    <s v="Client 364"/>
    <x v="3"/>
    <s v="Mao"/>
    <x v="1"/>
    <x v="6"/>
    <n v="3"/>
    <n v="11400"/>
    <n v="7500"/>
    <x v="7"/>
    <x v="2"/>
    <x v="1"/>
    <s v="Livrée"/>
    <x v="246"/>
    <n v="22500"/>
    <n v="11700"/>
    <n v="0.34210526315789475"/>
    <x v="4"/>
  </r>
  <r>
    <s v="V01164"/>
    <x v="320"/>
    <s v="CL0157"/>
    <s v="Client 099"/>
    <x v="1"/>
    <s v="Abéché"/>
    <x v="3"/>
    <x v="4"/>
    <n v="4"/>
    <n v="9000"/>
    <n v="5800"/>
    <x v="7"/>
    <x v="2"/>
    <x v="0"/>
    <s v="Annulée"/>
    <x v="193"/>
    <n v="23200"/>
    <n v="12800"/>
    <n v="0.35555555555555557"/>
    <x v="3"/>
  </r>
  <r>
    <s v="V01165"/>
    <x v="176"/>
    <s v="CL0062"/>
    <s v="Client 072"/>
    <x v="6"/>
    <s v="Pala"/>
    <x v="1"/>
    <x v="6"/>
    <n v="5"/>
    <n v="12000"/>
    <n v="7300"/>
    <x v="0"/>
    <x v="2"/>
    <x v="2"/>
    <s v="Livrée"/>
    <x v="69"/>
    <n v="36500"/>
    <n v="23500"/>
    <n v="0.39166666666666666"/>
    <x v="9"/>
  </r>
  <r>
    <s v="V01166"/>
    <x v="119"/>
    <s v="CL0294"/>
    <s v="Client 173"/>
    <x v="0"/>
    <s v="N'Djamena"/>
    <x v="1"/>
    <x v="1"/>
    <n v="7"/>
    <n v="7000"/>
    <n v="4100"/>
    <x v="6"/>
    <x v="2"/>
    <x v="0"/>
    <s v="Annulée"/>
    <x v="376"/>
    <n v="28700"/>
    <n v="20300"/>
    <n v="0.41428571428571431"/>
    <x v="8"/>
  </r>
  <r>
    <s v="V01167"/>
    <x v="137"/>
    <s v="CL0251"/>
    <s v="Client 217"/>
    <x v="0"/>
    <s v="N'Djamena"/>
    <x v="1"/>
    <x v="12"/>
    <n v="2"/>
    <n v="30000"/>
    <n v="18400"/>
    <x v="0"/>
    <x v="0"/>
    <x v="1"/>
    <s v="Livrée"/>
    <x v="69"/>
    <n v="36800"/>
    <n v="23200"/>
    <n v="0.38666666666666666"/>
    <x v="0"/>
  </r>
  <r>
    <s v="V01168"/>
    <x v="54"/>
    <s v="CL0205"/>
    <s v="Client 074"/>
    <x v="5"/>
    <s v="Massaguet"/>
    <x v="0"/>
    <x v="0"/>
    <n v="7"/>
    <n v="65000"/>
    <n v="43600"/>
    <x v="7"/>
    <x v="3"/>
    <x v="0"/>
    <s v="Livrée"/>
    <x v="377"/>
    <n v="305200"/>
    <n v="149800"/>
    <n v="0.32923076923076922"/>
    <x v="8"/>
  </r>
  <r>
    <s v="V01169"/>
    <x v="224"/>
    <s v="CL0026"/>
    <s v="Client 119"/>
    <x v="5"/>
    <s v="Massaguet"/>
    <x v="2"/>
    <x v="2"/>
    <n v="4"/>
    <n v="52200"/>
    <n v="40200"/>
    <x v="2"/>
    <x v="0"/>
    <x v="1"/>
    <s v="Livrée"/>
    <x v="198"/>
    <n v="160800"/>
    <n v="48000"/>
    <n v="0.22988505747126436"/>
    <x v="10"/>
  </r>
  <r>
    <s v="V01170"/>
    <x v="247"/>
    <s v="CL0097"/>
    <s v="Client 206"/>
    <x v="3"/>
    <s v="Mao"/>
    <x v="2"/>
    <x v="9"/>
    <n v="1"/>
    <n v="189000"/>
    <n v="135000"/>
    <x v="0"/>
    <x v="2"/>
    <x v="0"/>
    <s v="Livrée"/>
    <x v="162"/>
    <n v="135000"/>
    <n v="54000"/>
    <n v="0.2857142857142857"/>
    <x v="0"/>
  </r>
  <r>
    <s v="V01171"/>
    <x v="172"/>
    <s v="CL0117"/>
    <s v="Client 326"/>
    <x v="1"/>
    <s v="Abéché"/>
    <x v="3"/>
    <x v="15"/>
    <n v="9"/>
    <n v="7600"/>
    <n v="5200"/>
    <x v="6"/>
    <x v="2"/>
    <x v="0"/>
    <s v="Annulée"/>
    <x v="237"/>
    <n v="46800"/>
    <n v="21600"/>
    <n v="0.31578947368421051"/>
    <x v="1"/>
  </r>
  <r>
    <s v="V01172"/>
    <x v="100"/>
    <s v="CL0057"/>
    <s v="Client 071"/>
    <x v="0"/>
    <s v="N'Djamena"/>
    <x v="3"/>
    <x v="4"/>
    <n v="4"/>
    <n v="9000"/>
    <n v="6000"/>
    <x v="0"/>
    <x v="0"/>
    <x v="0"/>
    <s v="Livrée"/>
    <x v="193"/>
    <n v="24000"/>
    <n v="12000"/>
    <n v="0.33333333333333331"/>
    <x v="1"/>
  </r>
  <r>
    <s v="V01173"/>
    <x v="244"/>
    <s v="CL0087"/>
    <s v="Client 282"/>
    <x v="0"/>
    <s v="N'Djamena"/>
    <x v="1"/>
    <x v="7"/>
    <n v="2"/>
    <n v="10000"/>
    <n v="6000"/>
    <x v="5"/>
    <x v="1"/>
    <x v="1"/>
    <s v="Livrée"/>
    <x v="151"/>
    <n v="12000"/>
    <n v="8000"/>
    <n v="0.4"/>
    <x v="10"/>
  </r>
  <r>
    <s v="V01174"/>
    <x v="125"/>
    <s v="CL0413"/>
    <s v="Client 261"/>
    <x v="6"/>
    <s v="Pala"/>
    <x v="3"/>
    <x v="4"/>
    <n v="1"/>
    <n v="8600"/>
    <n v="6000"/>
    <x v="1"/>
    <x v="3"/>
    <x v="2"/>
    <s v="Livrée"/>
    <x v="91"/>
    <n v="6000"/>
    <n v="2600"/>
    <n v="0.30232558139534882"/>
    <x v="7"/>
  </r>
  <r>
    <s v="V01175"/>
    <x v="150"/>
    <s v="CL0026"/>
    <s v="Client 120"/>
    <x v="1"/>
    <s v="Abéché"/>
    <x v="2"/>
    <x v="10"/>
    <n v="4"/>
    <n v="450000"/>
    <n v="370000"/>
    <x v="2"/>
    <x v="0"/>
    <x v="0"/>
    <s v="Livrée"/>
    <x v="139"/>
    <n v="1480000"/>
    <n v="320000"/>
    <n v="0.17777777777777778"/>
    <x v="0"/>
  </r>
  <r>
    <s v="V01176"/>
    <x v="339"/>
    <s v="CL0066"/>
    <s v="Client 042"/>
    <x v="4"/>
    <s v="Ati"/>
    <x v="0"/>
    <x v="16"/>
    <n v="6"/>
    <n v="147000"/>
    <n v="100000"/>
    <x v="6"/>
    <x v="0"/>
    <x v="1"/>
    <s v="Livrée"/>
    <x v="367"/>
    <n v="600000"/>
    <n v="282000"/>
    <n v="0.31972789115646261"/>
    <x v="0"/>
  </r>
  <r>
    <s v="V01177"/>
    <x v="171"/>
    <s v="CL0125"/>
    <s v="Client 009"/>
    <x v="0"/>
    <s v="N'Djamena"/>
    <x v="1"/>
    <x v="7"/>
    <n v="6"/>
    <n v="10500"/>
    <n v="6400"/>
    <x v="3"/>
    <x v="3"/>
    <x v="0"/>
    <s v="En cours"/>
    <x v="74"/>
    <n v="38400"/>
    <n v="24600"/>
    <n v="0.39047619047619048"/>
    <x v="10"/>
  </r>
  <r>
    <s v="V01178"/>
    <x v="313"/>
    <s v="CL0207"/>
    <s v="Client 013"/>
    <x v="0"/>
    <s v="N'Djamena"/>
    <x v="3"/>
    <x v="15"/>
    <n v="5"/>
    <n v="8000"/>
    <n v="5200"/>
    <x v="3"/>
    <x v="3"/>
    <x v="1"/>
    <s v="Livrée"/>
    <x v="294"/>
    <n v="26000"/>
    <n v="14000"/>
    <n v="0.35"/>
    <x v="1"/>
  </r>
  <r>
    <s v="V01179"/>
    <x v="214"/>
    <s v="CL0175"/>
    <s v="Client 033"/>
    <x v="0"/>
    <s v="N'Djamena"/>
    <x v="2"/>
    <x v="10"/>
    <n v="10"/>
    <n v="450000"/>
    <n v="381100"/>
    <x v="6"/>
    <x v="2"/>
    <x v="1"/>
    <s v="Livrée"/>
    <x v="261"/>
    <n v="3811000"/>
    <n v="689000"/>
    <n v="0.15311111111111111"/>
    <x v="3"/>
  </r>
  <r>
    <s v="V01180"/>
    <x v="57"/>
    <s v="CL0296"/>
    <s v="Client 145"/>
    <x v="5"/>
    <s v="Massaguet"/>
    <x v="2"/>
    <x v="14"/>
    <n v="4"/>
    <n v="99800"/>
    <n v="72100"/>
    <x v="5"/>
    <x v="1"/>
    <x v="1"/>
    <s v="Livrée"/>
    <x v="189"/>
    <n v="288400"/>
    <n v="110800"/>
    <n v="0.27755511022044088"/>
    <x v="7"/>
  </r>
  <r>
    <s v="V01181"/>
    <x v="183"/>
    <s v="CL0140"/>
    <s v="Client 257"/>
    <x v="6"/>
    <s v="Pala"/>
    <x v="1"/>
    <x v="18"/>
    <n v="9"/>
    <n v="25000"/>
    <n v="15500"/>
    <x v="5"/>
    <x v="2"/>
    <x v="2"/>
    <s v="En cours"/>
    <x v="378"/>
    <n v="139500"/>
    <n v="85500"/>
    <n v="0.38"/>
    <x v="7"/>
  </r>
  <r>
    <s v="V01182"/>
    <x v="133"/>
    <s v="CL0245"/>
    <s v="Client 169"/>
    <x v="0"/>
    <s v="N'Djamena"/>
    <x v="2"/>
    <x v="10"/>
    <n v="5"/>
    <n v="450000"/>
    <n v="370000"/>
    <x v="1"/>
    <x v="2"/>
    <x v="2"/>
    <s v="Livrée"/>
    <x v="172"/>
    <n v="1850000"/>
    <n v="400000"/>
    <n v="0.17777777777777778"/>
    <x v="8"/>
  </r>
  <r>
    <s v="V01183"/>
    <x v="289"/>
    <s v="CL0460"/>
    <s v="Client 086"/>
    <x v="0"/>
    <s v="N'Djamena"/>
    <x v="1"/>
    <x v="12"/>
    <n v="9"/>
    <n v="30000"/>
    <n v="19600"/>
    <x v="1"/>
    <x v="3"/>
    <x v="2"/>
    <s v="Livrée"/>
    <x v="25"/>
    <n v="176400"/>
    <n v="93600"/>
    <n v="0.34666666666666668"/>
    <x v="9"/>
  </r>
  <r>
    <s v="V01184"/>
    <x v="72"/>
    <s v="CL0034"/>
    <s v="Client 024"/>
    <x v="5"/>
    <s v="Massaguet"/>
    <x v="3"/>
    <x v="3"/>
    <n v="6"/>
    <n v="15000"/>
    <n v="9800"/>
    <x v="5"/>
    <x v="2"/>
    <x v="1"/>
    <s v="Livrée"/>
    <x v="185"/>
    <n v="58800"/>
    <n v="31200"/>
    <n v="0.34666666666666668"/>
    <x v="2"/>
  </r>
  <r>
    <s v="V01185"/>
    <x v="169"/>
    <s v="CL0155"/>
    <s v="Client 412"/>
    <x v="0"/>
    <s v="N'Djamena"/>
    <x v="1"/>
    <x v="18"/>
    <n v="6"/>
    <n v="25000"/>
    <n v="16000"/>
    <x v="6"/>
    <x v="2"/>
    <x v="1"/>
    <s v="Livrée"/>
    <x v="145"/>
    <n v="96000"/>
    <n v="54000"/>
    <n v="0.36"/>
    <x v="9"/>
  </r>
  <r>
    <s v="V01186"/>
    <x v="292"/>
    <s v="CL0088"/>
    <s v="Client 326"/>
    <x v="7"/>
    <s v="Bol"/>
    <x v="2"/>
    <x v="13"/>
    <n v="5"/>
    <n v="160000"/>
    <n v="123600"/>
    <x v="7"/>
    <x v="3"/>
    <x v="0"/>
    <s v="Annulée"/>
    <x v="219"/>
    <n v="618000"/>
    <n v="182000"/>
    <n v="0.22750000000000001"/>
    <x v="8"/>
  </r>
  <r>
    <s v="V01187"/>
    <x v="14"/>
    <s v="CL0423"/>
    <s v="Client 061"/>
    <x v="1"/>
    <s v="Abéché"/>
    <x v="2"/>
    <x v="13"/>
    <n v="1"/>
    <n v="152000"/>
    <n v="120000"/>
    <x v="6"/>
    <x v="1"/>
    <x v="2"/>
    <s v="En cours"/>
    <x v="84"/>
    <n v="120000"/>
    <n v="32000"/>
    <n v="0.21052631578947367"/>
    <x v="0"/>
  </r>
  <r>
    <s v="V01188"/>
    <x v="201"/>
    <s v="CL0432"/>
    <s v="Client 481"/>
    <x v="1"/>
    <s v="Abéché"/>
    <x v="3"/>
    <x v="15"/>
    <n v="8"/>
    <n v="8000"/>
    <n v="4800"/>
    <x v="7"/>
    <x v="2"/>
    <x v="0"/>
    <s v="Livrée"/>
    <x v="305"/>
    <n v="38400"/>
    <n v="25600"/>
    <n v="0.4"/>
    <x v="2"/>
  </r>
  <r>
    <s v="V01189"/>
    <x v="77"/>
    <s v="CL0139"/>
    <s v="Client 147"/>
    <x v="0"/>
    <s v="N'Djamena"/>
    <x v="0"/>
    <x v="0"/>
    <n v="5"/>
    <n v="65000"/>
    <n v="45000"/>
    <x v="7"/>
    <x v="2"/>
    <x v="2"/>
    <s v="Annulée"/>
    <x v="379"/>
    <n v="225000"/>
    <n v="100000"/>
    <n v="0.30769230769230771"/>
    <x v="10"/>
  </r>
  <r>
    <s v="V01190"/>
    <x v="321"/>
    <s v="CL0349"/>
    <s v="Client 177"/>
    <x v="0"/>
    <s v="N'Djamena"/>
    <x v="0"/>
    <x v="0"/>
    <n v="3"/>
    <n v="61800"/>
    <n v="43600"/>
    <x v="7"/>
    <x v="1"/>
    <x v="0"/>
    <s v="Livrée"/>
    <x v="183"/>
    <n v="130800"/>
    <n v="54600"/>
    <n v="0.29449838187702265"/>
    <x v="3"/>
  </r>
  <r>
    <s v="V01191"/>
    <x v="266"/>
    <s v="CL0229"/>
    <s v="Client 013"/>
    <x v="7"/>
    <s v="Bol"/>
    <x v="3"/>
    <x v="3"/>
    <n v="4"/>
    <n v="14200"/>
    <n v="9200"/>
    <x v="0"/>
    <x v="2"/>
    <x v="1"/>
    <s v="Livrée"/>
    <x v="380"/>
    <n v="36800"/>
    <n v="20000"/>
    <n v="0.352112676056338"/>
    <x v="8"/>
  </r>
  <r>
    <s v="V01192"/>
    <x v="262"/>
    <s v="CL0179"/>
    <s v="Client 214"/>
    <x v="6"/>
    <s v="Moundou"/>
    <x v="3"/>
    <x v="3"/>
    <n v="6"/>
    <n v="14200"/>
    <n v="9800"/>
    <x v="2"/>
    <x v="3"/>
    <x v="1"/>
    <s v="Livrée"/>
    <x v="34"/>
    <n v="58800"/>
    <n v="26400"/>
    <n v="0.30985915492957744"/>
    <x v="6"/>
  </r>
  <r>
    <s v="V01193"/>
    <x v="86"/>
    <s v="CL0499"/>
    <s v="Client 274"/>
    <x v="0"/>
    <s v="N'Djamena"/>
    <x v="0"/>
    <x v="0"/>
    <n v="10"/>
    <n v="65000"/>
    <n v="46400"/>
    <x v="5"/>
    <x v="3"/>
    <x v="2"/>
    <s v="Livrée"/>
    <x v="361"/>
    <n v="464000"/>
    <n v="186000"/>
    <n v="0.28615384615384615"/>
    <x v="11"/>
  </r>
  <r>
    <s v="V01194"/>
    <x v="60"/>
    <s v="CL0187"/>
    <s v="Client 325"/>
    <x v="0"/>
    <s v="N'Djamena"/>
    <x v="3"/>
    <x v="8"/>
    <n v="8"/>
    <n v="6000"/>
    <n v="4100"/>
    <x v="5"/>
    <x v="3"/>
    <x v="1"/>
    <s v="Livrée"/>
    <x v="36"/>
    <n v="32800"/>
    <n v="15200"/>
    <n v="0.31666666666666665"/>
    <x v="4"/>
  </r>
  <r>
    <s v="V01195"/>
    <x v="208"/>
    <s v="CL0184"/>
    <s v="Client 177"/>
    <x v="5"/>
    <s v="Massaguet"/>
    <x v="2"/>
    <x v="14"/>
    <n v="10"/>
    <n v="95000"/>
    <n v="72100"/>
    <x v="5"/>
    <x v="1"/>
    <x v="1"/>
    <s v="Livrée"/>
    <x v="167"/>
    <n v="721000"/>
    <n v="229000"/>
    <n v="0.24105263157894738"/>
    <x v="1"/>
  </r>
  <r>
    <s v="V01196"/>
    <x v="311"/>
    <s v="CL0362"/>
    <s v="Client 426"/>
    <x v="0"/>
    <s v="N'Djamena"/>
    <x v="3"/>
    <x v="3"/>
    <n v="5"/>
    <n v="15800"/>
    <n v="9200"/>
    <x v="6"/>
    <x v="3"/>
    <x v="0"/>
    <s v="Livrée"/>
    <x v="322"/>
    <n v="46000"/>
    <n v="33000"/>
    <n v="0.41772151898734178"/>
    <x v="10"/>
  </r>
  <r>
    <s v="V01197"/>
    <x v="189"/>
    <s v="CL0340"/>
    <s v="Client 451"/>
    <x v="0"/>
    <s v="N'Djamena"/>
    <x v="2"/>
    <x v="13"/>
    <n v="4"/>
    <n v="152000"/>
    <n v="120000"/>
    <x v="2"/>
    <x v="3"/>
    <x v="1"/>
    <s v="Livrée"/>
    <x v="190"/>
    <n v="480000"/>
    <n v="128000"/>
    <n v="0.21052631578947367"/>
    <x v="6"/>
  </r>
  <r>
    <s v="V01198"/>
    <x v="13"/>
    <s v="CL0098"/>
    <s v="Client 211"/>
    <x v="6"/>
    <s v="Pala"/>
    <x v="1"/>
    <x v="1"/>
    <n v="9"/>
    <n v="7000"/>
    <n v="4100"/>
    <x v="7"/>
    <x v="3"/>
    <x v="2"/>
    <s v="Annulée"/>
    <x v="74"/>
    <n v="36900"/>
    <n v="26100"/>
    <n v="0.41428571428571431"/>
    <x v="2"/>
  </r>
  <r>
    <s v="V01199"/>
    <x v="310"/>
    <s v="CL0224"/>
    <s v="Client 420"/>
    <x v="2"/>
    <s v="Doba"/>
    <x v="3"/>
    <x v="15"/>
    <n v="8"/>
    <n v="8400"/>
    <n v="4800"/>
    <x v="4"/>
    <x v="3"/>
    <x v="0"/>
    <s v="Annulée"/>
    <x v="242"/>
    <n v="38400"/>
    <n v="28800"/>
    <n v="0.42857142857142855"/>
    <x v="4"/>
  </r>
  <r>
    <s v="V01200"/>
    <x v="144"/>
    <s v="CL0020"/>
    <s v="Client 188"/>
    <x v="0"/>
    <s v="N'Djamena"/>
    <x v="1"/>
    <x v="18"/>
    <n v="1"/>
    <n v="25000"/>
    <n v="16500"/>
    <x v="7"/>
    <x v="2"/>
    <x v="1"/>
    <s v="Livrée"/>
    <x v="330"/>
    <n v="16500"/>
    <n v="8500"/>
    <n v="0.34"/>
    <x v="11"/>
  </r>
  <r>
    <s v="V01201"/>
    <x v="74"/>
    <s v="CL0416"/>
    <s v="Client 315"/>
    <x v="5"/>
    <s v="Massaguet"/>
    <x v="1"/>
    <x v="6"/>
    <n v="9"/>
    <n v="12000"/>
    <n v="7300"/>
    <x v="7"/>
    <x v="2"/>
    <x v="1"/>
    <s v="Livrée"/>
    <x v="124"/>
    <n v="65700"/>
    <n v="42300"/>
    <n v="0.39166666666666666"/>
    <x v="7"/>
  </r>
  <r>
    <s v="V01202"/>
    <x v="268"/>
    <s v="CL0342"/>
    <s v="Client 495"/>
    <x v="0"/>
    <s v="N'Djamena"/>
    <x v="2"/>
    <x v="2"/>
    <n v="5"/>
    <n v="55000"/>
    <n v="37800"/>
    <x v="0"/>
    <x v="2"/>
    <x v="1"/>
    <s v="Livrée"/>
    <x v="332"/>
    <n v="189000"/>
    <n v="86000"/>
    <n v="0.31272727272727274"/>
    <x v="1"/>
  </r>
  <r>
    <s v="V01203"/>
    <x v="227"/>
    <s v="CL0409"/>
    <s v="Client 312"/>
    <x v="2"/>
    <s v="Doba"/>
    <x v="0"/>
    <x v="16"/>
    <n v="3"/>
    <n v="133000"/>
    <n v="100000"/>
    <x v="6"/>
    <x v="2"/>
    <x v="0"/>
    <s v="Livrée"/>
    <x v="308"/>
    <n v="300000"/>
    <n v="99000"/>
    <n v="0.24812030075187969"/>
    <x v="3"/>
  </r>
  <r>
    <s v="V01204"/>
    <x v="140"/>
    <s v="CL0134"/>
    <s v="Client 274"/>
    <x v="6"/>
    <s v="Pala"/>
    <x v="0"/>
    <x v="5"/>
    <n v="9"/>
    <n v="231000"/>
    <n v="164800"/>
    <x v="1"/>
    <x v="2"/>
    <x v="0"/>
    <s v="Livrée"/>
    <x v="33"/>
    <n v="1483200"/>
    <n v="595800"/>
    <n v="0.2865800865800866"/>
    <x v="3"/>
  </r>
  <r>
    <s v="V01205"/>
    <x v="316"/>
    <s v="CL0121"/>
    <s v="Client 289"/>
    <x v="6"/>
    <s v="Moundou"/>
    <x v="3"/>
    <x v="3"/>
    <n v="5"/>
    <n v="15800"/>
    <n v="9500"/>
    <x v="5"/>
    <x v="0"/>
    <x v="0"/>
    <s v="Livrée"/>
    <x v="322"/>
    <n v="47500"/>
    <n v="31500"/>
    <n v="0.39873417721518989"/>
    <x v="10"/>
  </r>
  <r>
    <s v="V01206"/>
    <x v="255"/>
    <s v="CL0444"/>
    <s v="Client 051"/>
    <x v="1"/>
    <s v="Abéché"/>
    <x v="2"/>
    <x v="10"/>
    <n v="4"/>
    <n v="450000"/>
    <n v="358900"/>
    <x v="4"/>
    <x v="2"/>
    <x v="0"/>
    <s v="Annulée"/>
    <x v="139"/>
    <n v="1435600"/>
    <n v="364400"/>
    <n v="0.20244444444444445"/>
    <x v="5"/>
  </r>
  <r>
    <s v="V01207"/>
    <x v="333"/>
    <s v="CL0259"/>
    <s v="Client 244"/>
    <x v="5"/>
    <s v="Massaguet"/>
    <x v="3"/>
    <x v="4"/>
    <n v="6"/>
    <n v="9000"/>
    <n v="5800"/>
    <x v="6"/>
    <x v="3"/>
    <x v="0"/>
    <s v="Livrée"/>
    <x v="77"/>
    <n v="34800"/>
    <n v="19200"/>
    <n v="0.35555555555555557"/>
    <x v="0"/>
  </r>
  <r>
    <s v="V01208"/>
    <x v="168"/>
    <s v="CL0097"/>
    <s v="Client 032"/>
    <x v="0"/>
    <s v="N'Djamena"/>
    <x v="2"/>
    <x v="9"/>
    <n v="3"/>
    <n v="189000"/>
    <n v="131000"/>
    <x v="7"/>
    <x v="0"/>
    <x v="2"/>
    <s v="Livrée"/>
    <x v="10"/>
    <n v="393000"/>
    <n v="174000"/>
    <n v="0.30687830687830686"/>
    <x v="6"/>
  </r>
  <r>
    <s v="V01209"/>
    <x v="226"/>
    <s v="CL0350"/>
    <s v="Client 272"/>
    <x v="2"/>
    <s v="Doba"/>
    <x v="2"/>
    <x v="13"/>
    <n v="4"/>
    <n v="160000"/>
    <n v="123600"/>
    <x v="4"/>
    <x v="2"/>
    <x v="1"/>
    <s v="Livrée"/>
    <x v="155"/>
    <n v="494400"/>
    <n v="145600"/>
    <n v="0.22750000000000001"/>
    <x v="6"/>
  </r>
  <r>
    <s v="V01210"/>
    <x v="328"/>
    <s v="CL0244"/>
    <s v="Client 351"/>
    <x v="0"/>
    <s v="N'Djamena"/>
    <x v="2"/>
    <x v="14"/>
    <n v="4"/>
    <n v="99800"/>
    <n v="70000"/>
    <x v="6"/>
    <x v="2"/>
    <x v="0"/>
    <s v="Livrée"/>
    <x v="189"/>
    <n v="280000"/>
    <n v="119200"/>
    <n v="0.29859719438877758"/>
    <x v="2"/>
  </r>
  <r>
    <s v="V01211"/>
    <x v="275"/>
    <s v="CL0129"/>
    <s v="Client 346"/>
    <x v="0"/>
    <s v="N'Djamena"/>
    <x v="2"/>
    <x v="10"/>
    <n v="5"/>
    <n v="472500"/>
    <n v="370000"/>
    <x v="7"/>
    <x v="2"/>
    <x v="0"/>
    <s v="Livrée"/>
    <x v="137"/>
    <n v="1850000"/>
    <n v="512500"/>
    <n v="0.21693121693121692"/>
    <x v="11"/>
  </r>
  <r>
    <s v="V01212"/>
    <x v="355"/>
    <s v="CL0428"/>
    <s v="Client 333"/>
    <x v="3"/>
    <s v="Mao"/>
    <x v="0"/>
    <x v="11"/>
    <n v="9"/>
    <n v="85000"/>
    <n v="62000"/>
    <x v="4"/>
    <x v="2"/>
    <x v="2"/>
    <s v="Livrée"/>
    <x v="359"/>
    <n v="558000"/>
    <n v="207000"/>
    <n v="0.27058823529411763"/>
    <x v="3"/>
  </r>
  <r>
    <s v="V01213"/>
    <x v="100"/>
    <s v="CL0019"/>
    <s v="Client 313"/>
    <x v="3"/>
    <s v="Mao"/>
    <x v="2"/>
    <x v="13"/>
    <n v="9"/>
    <n v="168000"/>
    <n v="116400"/>
    <x v="7"/>
    <x v="1"/>
    <x v="1"/>
    <s v="Livrée"/>
    <x v="168"/>
    <n v="1047600"/>
    <n v="464400"/>
    <n v="0.30714285714285716"/>
    <x v="1"/>
  </r>
  <r>
    <s v="V01214"/>
    <x v="212"/>
    <s v="CL0129"/>
    <s v="Client 201"/>
    <x v="7"/>
    <s v="Bol"/>
    <x v="0"/>
    <x v="11"/>
    <n v="1"/>
    <n v="80800"/>
    <n v="60100"/>
    <x v="4"/>
    <x v="2"/>
    <x v="0"/>
    <s v="Livrée"/>
    <x v="357"/>
    <n v="60100"/>
    <n v="20700"/>
    <n v="0.25618811881188119"/>
    <x v="6"/>
  </r>
  <r>
    <s v="V01215"/>
    <x v="97"/>
    <s v="CL0300"/>
    <s v="Client 278"/>
    <x v="3"/>
    <s v="Mao"/>
    <x v="3"/>
    <x v="8"/>
    <n v="3"/>
    <n v="6000"/>
    <n v="4300"/>
    <x v="1"/>
    <x v="3"/>
    <x v="1"/>
    <s v="En cours"/>
    <x v="213"/>
    <n v="12900"/>
    <n v="5100"/>
    <n v="0.28333333333333333"/>
    <x v="9"/>
  </r>
  <r>
    <s v="V01216"/>
    <x v="150"/>
    <s v="CL0262"/>
    <s v="Client 315"/>
    <x v="6"/>
    <s v="Pala"/>
    <x v="3"/>
    <x v="8"/>
    <n v="2"/>
    <n v="5700"/>
    <n v="4300"/>
    <x v="4"/>
    <x v="1"/>
    <x v="0"/>
    <s v="Livrée"/>
    <x v="298"/>
    <n v="8600"/>
    <n v="2800"/>
    <n v="0.24561403508771928"/>
    <x v="0"/>
  </r>
  <r>
    <s v="V01217"/>
    <x v="40"/>
    <s v="CL0154"/>
    <s v="Client 456"/>
    <x v="0"/>
    <s v="N'Djamena"/>
    <x v="1"/>
    <x v="18"/>
    <n v="4"/>
    <n v="23800"/>
    <n v="16500"/>
    <x v="5"/>
    <x v="0"/>
    <x v="1"/>
    <s v="Livrée"/>
    <x v="351"/>
    <n v="66000"/>
    <n v="29200"/>
    <n v="0.30672268907563027"/>
    <x v="3"/>
  </r>
  <r>
    <s v="V01218"/>
    <x v="76"/>
    <s v="CL0473"/>
    <s v="Client 234"/>
    <x v="4"/>
    <s v="Ati"/>
    <x v="2"/>
    <x v="13"/>
    <n v="4"/>
    <n v="160000"/>
    <n v="116400"/>
    <x v="7"/>
    <x v="2"/>
    <x v="1"/>
    <s v="Livrée"/>
    <x v="155"/>
    <n v="465600"/>
    <n v="174400"/>
    <n v="0.27250000000000002"/>
    <x v="11"/>
  </r>
  <r>
    <s v="V01219"/>
    <x v="347"/>
    <s v="CL0188"/>
    <s v="Client 145"/>
    <x v="0"/>
    <s v="N'Djamena"/>
    <x v="1"/>
    <x v="12"/>
    <n v="5"/>
    <n v="28500"/>
    <n v="18400"/>
    <x v="6"/>
    <x v="3"/>
    <x v="0"/>
    <s v="Livrée"/>
    <x v="381"/>
    <n v="92000"/>
    <n v="50500"/>
    <n v="0.35438596491228069"/>
    <x v="5"/>
  </r>
  <r>
    <s v="V01220"/>
    <x v="147"/>
    <s v="CL0156"/>
    <s v="Client 009"/>
    <x v="1"/>
    <s v="Abéché"/>
    <x v="2"/>
    <x v="13"/>
    <n v="6"/>
    <n v="152000"/>
    <n v="116400"/>
    <x v="5"/>
    <x v="2"/>
    <x v="0"/>
    <s v="Livrée"/>
    <x v="267"/>
    <n v="698400"/>
    <n v="213600"/>
    <n v="0.23421052631578948"/>
    <x v="2"/>
  </r>
  <r>
    <s v="V01221"/>
    <x v="2"/>
    <s v="CL0280"/>
    <s v="Client 456"/>
    <x v="0"/>
    <s v="N'Djamena"/>
    <x v="0"/>
    <x v="16"/>
    <n v="7"/>
    <n v="140000"/>
    <n v="103000"/>
    <x v="2"/>
    <x v="1"/>
    <x v="1"/>
    <s v="Livrée"/>
    <x v="146"/>
    <n v="721000"/>
    <n v="259000"/>
    <n v="0.26428571428571429"/>
    <x v="2"/>
  </r>
  <r>
    <s v="V01222"/>
    <x v="0"/>
    <s v="CL0372"/>
    <s v="Client 440"/>
    <x v="0"/>
    <s v="N'Djamena"/>
    <x v="2"/>
    <x v="10"/>
    <n v="1"/>
    <n v="450000"/>
    <n v="370000"/>
    <x v="5"/>
    <x v="3"/>
    <x v="1"/>
    <s v="Livrée"/>
    <x v="317"/>
    <n v="370000"/>
    <n v="80000"/>
    <n v="0.17777777777777778"/>
    <x v="0"/>
  </r>
  <r>
    <s v="V01223"/>
    <x v="283"/>
    <s v="CL0189"/>
    <s v="Client 268"/>
    <x v="4"/>
    <s v="Ati"/>
    <x v="3"/>
    <x v="3"/>
    <n v="1"/>
    <n v="15000"/>
    <n v="9500"/>
    <x v="0"/>
    <x v="2"/>
    <x v="1"/>
    <s v="Livrée"/>
    <x v="127"/>
    <n v="9500"/>
    <n v="5500"/>
    <n v="0.36666666666666664"/>
    <x v="2"/>
  </r>
  <r>
    <s v="V01224"/>
    <x v="125"/>
    <s v="CL0030"/>
    <s v="Client 365"/>
    <x v="7"/>
    <s v="Bol"/>
    <x v="0"/>
    <x v="11"/>
    <n v="6"/>
    <n v="80800"/>
    <n v="60100"/>
    <x v="6"/>
    <x v="3"/>
    <x v="2"/>
    <s v="Livrée"/>
    <x v="382"/>
    <n v="360600"/>
    <n v="124200"/>
    <n v="0.25618811881188119"/>
    <x v="7"/>
  </r>
  <r>
    <s v="V01225"/>
    <x v="62"/>
    <s v="CL0365"/>
    <s v="Client 015"/>
    <x v="6"/>
    <s v="Pala"/>
    <x v="0"/>
    <x v="11"/>
    <n v="8"/>
    <n v="85000"/>
    <n v="60100"/>
    <x v="0"/>
    <x v="2"/>
    <x v="2"/>
    <s v="Annulée"/>
    <x v="64"/>
    <n v="480800"/>
    <n v="199200"/>
    <n v="0.29294117647058826"/>
    <x v="2"/>
  </r>
  <r>
    <s v="V01226"/>
    <x v="286"/>
    <s v="CL0151"/>
    <s v="Client 447"/>
    <x v="3"/>
    <s v="Mao"/>
    <x v="3"/>
    <x v="17"/>
    <n v="3"/>
    <n v="17100"/>
    <n v="12100"/>
    <x v="6"/>
    <x v="1"/>
    <x v="1"/>
    <s v="Livrée"/>
    <x v="215"/>
    <n v="36300"/>
    <n v="15000"/>
    <n v="0.29239766081871343"/>
    <x v="9"/>
  </r>
  <r>
    <s v="V01227"/>
    <x v="351"/>
    <s v="CL0456"/>
    <s v="Client 005"/>
    <x v="0"/>
    <s v="N'Djamena"/>
    <x v="0"/>
    <x v="16"/>
    <n v="1"/>
    <n v="140000"/>
    <n v="100000"/>
    <x v="1"/>
    <x v="3"/>
    <x v="0"/>
    <s v="Livrée"/>
    <x v="87"/>
    <n v="100000"/>
    <n v="40000"/>
    <n v="0.2857142857142857"/>
    <x v="10"/>
  </r>
  <r>
    <s v="V01228"/>
    <x v="224"/>
    <s v="CL0112"/>
    <s v="Client 181"/>
    <x v="5"/>
    <s v="Massaguet"/>
    <x v="2"/>
    <x v="14"/>
    <n v="4"/>
    <n v="99800"/>
    <n v="72100"/>
    <x v="1"/>
    <x v="3"/>
    <x v="1"/>
    <s v="Annulée"/>
    <x v="189"/>
    <n v="288400"/>
    <n v="110800"/>
    <n v="0.27755511022044088"/>
    <x v="10"/>
  </r>
  <r>
    <s v="V01229"/>
    <x v="24"/>
    <s v="CL0342"/>
    <s v="Client 343"/>
    <x v="0"/>
    <s v="N'Djamena"/>
    <x v="0"/>
    <x v="11"/>
    <n v="3"/>
    <n v="85000"/>
    <n v="63900"/>
    <x v="6"/>
    <x v="2"/>
    <x v="1"/>
    <s v="Livrée"/>
    <x v="35"/>
    <n v="191700"/>
    <n v="63300"/>
    <n v="0.24823529411764705"/>
    <x v="1"/>
  </r>
  <r>
    <s v="V01230"/>
    <x v="333"/>
    <s v="CL0224"/>
    <s v="Client 362"/>
    <x v="0"/>
    <s v="N'Djamena"/>
    <x v="2"/>
    <x v="13"/>
    <n v="7"/>
    <n v="160000"/>
    <n v="116400"/>
    <x v="4"/>
    <x v="0"/>
    <x v="1"/>
    <s v="Annulée"/>
    <x v="30"/>
    <n v="814800"/>
    <n v="305200"/>
    <n v="0.27250000000000002"/>
    <x v="0"/>
  </r>
  <r>
    <s v="V01231"/>
    <x v="119"/>
    <s v="CL0155"/>
    <s v="Client 018"/>
    <x v="2"/>
    <s v="Doba"/>
    <x v="0"/>
    <x v="16"/>
    <n v="10"/>
    <n v="147000"/>
    <n v="100000"/>
    <x v="2"/>
    <x v="1"/>
    <x v="1"/>
    <s v="Livrée"/>
    <x v="105"/>
    <n v="1000000"/>
    <n v="470000"/>
    <n v="0.31972789115646261"/>
    <x v="8"/>
  </r>
  <r>
    <s v="V01232"/>
    <x v="356"/>
    <s v="CL0113"/>
    <s v="Client 271"/>
    <x v="6"/>
    <s v="Pala"/>
    <x v="3"/>
    <x v="3"/>
    <n v="7"/>
    <n v="15000"/>
    <n v="9500"/>
    <x v="7"/>
    <x v="3"/>
    <x v="1"/>
    <s v="Livrée"/>
    <x v="65"/>
    <n v="66500"/>
    <n v="38500"/>
    <n v="0.36666666666666664"/>
    <x v="1"/>
  </r>
  <r>
    <s v="V01233"/>
    <x v="257"/>
    <s v="CL0053"/>
    <s v="Client 456"/>
    <x v="6"/>
    <s v="Moundou"/>
    <x v="3"/>
    <x v="15"/>
    <n v="4"/>
    <n v="8000"/>
    <n v="4800"/>
    <x v="1"/>
    <x v="0"/>
    <x v="2"/>
    <s v="En cours"/>
    <x v="29"/>
    <n v="19200"/>
    <n v="12800"/>
    <n v="0.4"/>
    <x v="5"/>
  </r>
  <r>
    <s v="V01234"/>
    <x v="127"/>
    <s v="CL0310"/>
    <s v="Client 083"/>
    <x v="6"/>
    <s v="Moundou"/>
    <x v="1"/>
    <x v="1"/>
    <n v="9"/>
    <n v="7400"/>
    <n v="4100"/>
    <x v="4"/>
    <x v="2"/>
    <x v="2"/>
    <s v="Livrée"/>
    <x v="93"/>
    <n v="36900"/>
    <n v="29700"/>
    <n v="0.44594594594594594"/>
    <x v="7"/>
  </r>
  <r>
    <s v="V01235"/>
    <x v="302"/>
    <s v="CL0220"/>
    <s v="Client 410"/>
    <x v="6"/>
    <s v="Moundou"/>
    <x v="2"/>
    <x v="9"/>
    <n v="2"/>
    <n v="180000"/>
    <n v="131000"/>
    <x v="7"/>
    <x v="2"/>
    <x v="0"/>
    <s v="Livrée"/>
    <x v="24"/>
    <n v="262000"/>
    <n v="98000"/>
    <n v="0.2722222222222222"/>
    <x v="6"/>
  </r>
  <r>
    <s v="V01236"/>
    <x v="192"/>
    <s v="CL0197"/>
    <s v="Client 173"/>
    <x v="1"/>
    <s v="Abéché"/>
    <x v="2"/>
    <x v="14"/>
    <n v="8"/>
    <n v="95000"/>
    <n v="67900"/>
    <x v="6"/>
    <x v="2"/>
    <x v="0"/>
    <s v="Livrée"/>
    <x v="122"/>
    <n v="543200"/>
    <n v="216800"/>
    <n v="0.28526315789473683"/>
    <x v="6"/>
  </r>
  <r>
    <s v="V01237"/>
    <x v="104"/>
    <s v="CL0410"/>
    <s v="Client 379"/>
    <x v="0"/>
    <s v="N'Djamena"/>
    <x v="2"/>
    <x v="10"/>
    <n v="7"/>
    <n v="450000"/>
    <n v="358900"/>
    <x v="7"/>
    <x v="3"/>
    <x v="2"/>
    <s v="Annulée"/>
    <x v="12"/>
    <n v="2512300"/>
    <n v="637700"/>
    <n v="0.20244444444444445"/>
    <x v="7"/>
  </r>
  <r>
    <s v="V01238"/>
    <x v="297"/>
    <s v="CL0016"/>
    <s v="Client 321"/>
    <x v="0"/>
    <s v="N'Djamena"/>
    <x v="0"/>
    <x v="16"/>
    <n v="2"/>
    <n v="147000"/>
    <n v="100000"/>
    <x v="1"/>
    <x v="2"/>
    <x v="2"/>
    <s v="Livrée"/>
    <x v="108"/>
    <n v="200000"/>
    <n v="94000"/>
    <n v="0.31972789115646261"/>
    <x v="3"/>
  </r>
  <r>
    <s v="V01239"/>
    <x v="357"/>
    <s v="CL0111"/>
    <s v="Client 334"/>
    <x v="0"/>
    <s v="N'Djamena"/>
    <x v="1"/>
    <x v="7"/>
    <n v="9"/>
    <n v="10500"/>
    <n v="6200"/>
    <x v="4"/>
    <x v="3"/>
    <x v="0"/>
    <s v="Livrée"/>
    <x v="276"/>
    <n v="55800"/>
    <n v="38700"/>
    <n v="0.40952380952380951"/>
    <x v="9"/>
  </r>
  <r>
    <s v="V01241"/>
    <x v="141"/>
    <s v="CL0120"/>
    <s v="Client 140"/>
    <x v="0"/>
    <s v="N'Djamena"/>
    <x v="1"/>
    <x v="1"/>
    <n v="5"/>
    <n v="7400"/>
    <n v="4100"/>
    <x v="7"/>
    <x v="1"/>
    <x v="1"/>
    <s v="Annulée"/>
    <x v="211"/>
    <n v="20500"/>
    <n v="16500"/>
    <n v="0.44594594594594594"/>
    <x v="4"/>
  </r>
  <r>
    <s v="V01242"/>
    <x v="285"/>
    <s v="CL0233"/>
    <s v="Client 087"/>
    <x v="0"/>
    <s v="N'Djamena"/>
    <x v="1"/>
    <x v="7"/>
    <n v="7"/>
    <n v="9500"/>
    <n v="6400"/>
    <x v="0"/>
    <x v="3"/>
    <x v="0"/>
    <s v="Livrée"/>
    <x v="383"/>
    <n v="44800"/>
    <n v="21700"/>
    <n v="0.32631578947368423"/>
    <x v="1"/>
  </r>
  <r>
    <s v="V01243"/>
    <x v="333"/>
    <s v="CL0399"/>
    <s v="Client 324"/>
    <x v="0"/>
    <s v="N'Djamena"/>
    <x v="1"/>
    <x v="18"/>
    <n v="1"/>
    <n v="23800"/>
    <n v="15500"/>
    <x v="5"/>
    <x v="0"/>
    <x v="0"/>
    <s v="Livrée"/>
    <x v="229"/>
    <n v="15500"/>
    <n v="8300"/>
    <n v="0.34873949579831931"/>
    <x v="0"/>
  </r>
  <r>
    <s v="V01244"/>
    <x v="172"/>
    <s v="CL0440"/>
    <s v="Client 050"/>
    <x v="6"/>
    <s v="Pala"/>
    <x v="2"/>
    <x v="14"/>
    <n v="6"/>
    <n v="90200"/>
    <n v="67900"/>
    <x v="4"/>
    <x v="3"/>
    <x v="2"/>
    <s v="Livrée"/>
    <x v="192"/>
    <n v="407400"/>
    <n v="133800"/>
    <n v="0.24722838137472283"/>
    <x v="1"/>
  </r>
  <r>
    <s v="V01245"/>
    <x v="103"/>
    <s v="CL0292"/>
    <s v="Client 415"/>
    <x v="0"/>
    <s v="N'Djamena"/>
    <x v="1"/>
    <x v="12"/>
    <n v="9"/>
    <n v="30000"/>
    <n v="18400"/>
    <x v="2"/>
    <x v="1"/>
    <x v="0"/>
    <s v="Livrée"/>
    <x v="25"/>
    <n v="165600"/>
    <n v="104400"/>
    <n v="0.38666666666666666"/>
    <x v="6"/>
  </r>
  <r>
    <s v="V01246"/>
    <x v="57"/>
    <s v="CL0296"/>
    <s v="Client 153"/>
    <x v="1"/>
    <s v="Abéché"/>
    <x v="0"/>
    <x v="11"/>
    <n v="5"/>
    <n v="80800"/>
    <n v="60100"/>
    <x v="2"/>
    <x v="2"/>
    <x v="1"/>
    <s v="Annulée"/>
    <x v="327"/>
    <n v="300500"/>
    <n v="103500"/>
    <n v="0.25618811881188119"/>
    <x v="7"/>
  </r>
  <r>
    <s v="V01247"/>
    <x v="25"/>
    <s v="CL0028"/>
    <s v="Client 336"/>
    <x v="0"/>
    <s v="N'Djamena"/>
    <x v="2"/>
    <x v="2"/>
    <n v="6"/>
    <n v="57800"/>
    <n v="37800"/>
    <x v="7"/>
    <x v="3"/>
    <x v="0"/>
    <s v="Annulée"/>
    <x v="247"/>
    <n v="226800"/>
    <n v="120000"/>
    <n v="0.34602076124567471"/>
    <x v="3"/>
  </r>
  <r>
    <s v="V01248"/>
    <x v="179"/>
    <s v="CL0094"/>
    <s v="Client 174"/>
    <x v="7"/>
    <s v="Bol"/>
    <x v="2"/>
    <x v="9"/>
    <n v="2"/>
    <n v="180000"/>
    <n v="131000"/>
    <x v="3"/>
    <x v="3"/>
    <x v="0"/>
    <s v="Livrée"/>
    <x v="24"/>
    <n v="262000"/>
    <n v="98000"/>
    <n v="0.2722222222222222"/>
    <x v="7"/>
  </r>
  <r>
    <s v="V01249"/>
    <x v="231"/>
    <s v="CL0194"/>
    <s v="Client 140"/>
    <x v="7"/>
    <s v="Bol"/>
    <x v="3"/>
    <x v="15"/>
    <n v="7"/>
    <n v="8000"/>
    <n v="5200"/>
    <x v="7"/>
    <x v="3"/>
    <x v="1"/>
    <s v="Livrée"/>
    <x v="107"/>
    <n v="36400"/>
    <n v="19600"/>
    <n v="0.35"/>
    <x v="10"/>
  </r>
  <r>
    <s v="V01250"/>
    <x v="325"/>
    <s v="CL0225"/>
    <s v="Client 341"/>
    <x v="0"/>
    <s v="N'Djamena"/>
    <x v="3"/>
    <x v="3"/>
    <n v="6"/>
    <n v="14200"/>
    <n v="9200"/>
    <x v="6"/>
    <x v="1"/>
    <x v="0"/>
    <s v="Livrée"/>
    <x v="34"/>
    <n v="55200"/>
    <n v="30000"/>
    <n v="0.352112676056338"/>
    <x v="9"/>
  </r>
  <r>
    <s v="V01251"/>
    <x v="318"/>
    <s v="CL0255"/>
    <s v="Client 178"/>
    <x v="2"/>
    <s v="Doba"/>
    <x v="1"/>
    <x v="18"/>
    <n v="9"/>
    <n v="25000"/>
    <n v="16500"/>
    <x v="4"/>
    <x v="0"/>
    <x v="0"/>
    <s v="En cours"/>
    <x v="378"/>
    <n v="148500"/>
    <n v="76500"/>
    <n v="0.34"/>
    <x v="1"/>
  </r>
  <r>
    <s v="V01252"/>
    <x v="338"/>
    <s v="CL0329"/>
    <s v="Client 459"/>
    <x v="2"/>
    <s v="Doba"/>
    <x v="0"/>
    <x v="11"/>
    <n v="7"/>
    <n v="89200"/>
    <n v="62000"/>
    <x v="3"/>
    <x v="2"/>
    <x v="2"/>
    <s v="Annulée"/>
    <x v="366"/>
    <n v="434000"/>
    <n v="190400"/>
    <n v="0.30493273542600896"/>
    <x v="11"/>
  </r>
  <r>
    <s v="V01253"/>
    <x v="201"/>
    <s v="CL0469"/>
    <s v="Client 365"/>
    <x v="6"/>
    <s v="Moundou"/>
    <x v="2"/>
    <x v="2"/>
    <n v="3"/>
    <n v="52200"/>
    <n v="40200"/>
    <x v="5"/>
    <x v="2"/>
    <x v="1"/>
    <s v="En cours"/>
    <x v="188"/>
    <n v="120600"/>
    <n v="36000"/>
    <n v="0.22988505747126436"/>
    <x v="2"/>
  </r>
  <r>
    <s v="V01254"/>
    <x v="357"/>
    <s v="CL0105"/>
    <s v="Client 414"/>
    <x v="2"/>
    <s v="Doba"/>
    <x v="0"/>
    <x v="5"/>
    <n v="2"/>
    <n v="209000"/>
    <n v="164800"/>
    <x v="0"/>
    <x v="3"/>
    <x v="0"/>
    <s v="Livrée"/>
    <x v="306"/>
    <n v="329600"/>
    <n v="88400"/>
    <n v="0.21148325358851675"/>
    <x v="9"/>
  </r>
  <r>
    <s v="V01255"/>
    <x v="148"/>
    <s v="CL0335"/>
    <s v="Client 132"/>
    <x v="6"/>
    <s v="Moundou"/>
    <x v="0"/>
    <x v="11"/>
    <n v="2"/>
    <n v="85000"/>
    <n v="62000"/>
    <x v="5"/>
    <x v="2"/>
    <x v="1"/>
    <s v="Annulée"/>
    <x v="121"/>
    <n v="124000"/>
    <n v="46000"/>
    <n v="0.27058823529411763"/>
    <x v="0"/>
  </r>
  <r>
    <s v="V01256"/>
    <x v="342"/>
    <s v="CL0034"/>
    <s v="Client 405"/>
    <x v="4"/>
    <s v="Ati"/>
    <x v="3"/>
    <x v="3"/>
    <n v="4"/>
    <n v="14200"/>
    <n v="9800"/>
    <x v="2"/>
    <x v="1"/>
    <x v="1"/>
    <s v="Livrée"/>
    <x v="380"/>
    <n v="39200"/>
    <n v="17600"/>
    <n v="0.30985915492957744"/>
    <x v="9"/>
  </r>
  <r>
    <s v="V01257"/>
    <x v="2"/>
    <s v="CL0420"/>
    <s v="Client 460"/>
    <x v="2"/>
    <s v="Doba"/>
    <x v="3"/>
    <x v="4"/>
    <n v="9"/>
    <n v="9000"/>
    <n v="5600"/>
    <x v="0"/>
    <x v="2"/>
    <x v="0"/>
    <s v="Livrée"/>
    <x v="119"/>
    <n v="50400"/>
    <n v="30600"/>
    <n v="0.37777777777777777"/>
    <x v="2"/>
  </r>
  <r>
    <s v="V01258"/>
    <x v="310"/>
    <s v="CL0193"/>
    <s v="Client 283"/>
    <x v="7"/>
    <s v="Bol"/>
    <x v="2"/>
    <x v="2"/>
    <n v="9"/>
    <n v="55000"/>
    <n v="39000"/>
    <x v="3"/>
    <x v="1"/>
    <x v="1"/>
    <s v="Livrée"/>
    <x v="48"/>
    <n v="351000"/>
    <n v="144000"/>
    <n v="0.29090909090909089"/>
    <x v="4"/>
  </r>
  <r>
    <s v="V01259"/>
    <x v="151"/>
    <s v="CL0398"/>
    <s v="Client 385"/>
    <x v="0"/>
    <s v="N'Djamena"/>
    <x v="2"/>
    <x v="13"/>
    <n v="1"/>
    <n v="168000"/>
    <n v="123600"/>
    <x v="3"/>
    <x v="2"/>
    <x v="2"/>
    <s v="Livrée"/>
    <x v="197"/>
    <n v="123600"/>
    <n v="44400"/>
    <n v="0.26428571428571429"/>
    <x v="5"/>
  </r>
  <r>
    <s v="V01260"/>
    <x v="82"/>
    <s v="CL0166"/>
    <s v="Client 054"/>
    <x v="6"/>
    <s v="Pala"/>
    <x v="1"/>
    <x v="18"/>
    <n v="10"/>
    <n v="23800"/>
    <n v="16500"/>
    <x v="4"/>
    <x v="2"/>
    <x v="2"/>
    <s v="Livrée"/>
    <x v="130"/>
    <n v="165000"/>
    <n v="73000"/>
    <n v="0.30672268907563027"/>
    <x v="11"/>
  </r>
  <r>
    <s v="V01261"/>
    <x v="132"/>
    <s v="CL0071"/>
    <s v="Client 245"/>
    <x v="0"/>
    <s v="N'Djamena"/>
    <x v="1"/>
    <x v="18"/>
    <n v="9"/>
    <n v="25000"/>
    <n v="15500"/>
    <x v="5"/>
    <x v="3"/>
    <x v="1"/>
    <s v="Livrée"/>
    <x v="378"/>
    <n v="139500"/>
    <n v="85500"/>
    <n v="0.38"/>
    <x v="6"/>
  </r>
  <r>
    <s v="V01262"/>
    <x v="242"/>
    <s v="CL0082"/>
    <s v="Client 120"/>
    <x v="6"/>
    <s v="Moundou"/>
    <x v="2"/>
    <x v="13"/>
    <n v="6"/>
    <n v="168000"/>
    <n v="116400"/>
    <x v="6"/>
    <x v="1"/>
    <x v="1"/>
    <s v="Livrée"/>
    <x v="141"/>
    <n v="698400"/>
    <n v="309600"/>
    <n v="0.30714285714285716"/>
    <x v="11"/>
  </r>
  <r>
    <s v="V01263"/>
    <x v="89"/>
    <s v="CL0017"/>
    <s v="Client 048"/>
    <x v="2"/>
    <s v="Doba"/>
    <x v="2"/>
    <x v="2"/>
    <n v="8"/>
    <n v="52200"/>
    <n v="39000"/>
    <x v="7"/>
    <x v="2"/>
    <x v="0"/>
    <s v="Livrée"/>
    <x v="329"/>
    <n v="312000"/>
    <n v="105600"/>
    <n v="0.25287356321839083"/>
    <x v="9"/>
  </r>
  <r>
    <s v="V01264"/>
    <x v="109"/>
    <s v="CL0170"/>
    <s v="Client 401"/>
    <x v="5"/>
    <s v="Massaguet"/>
    <x v="0"/>
    <x v="11"/>
    <n v="5"/>
    <n v="89200"/>
    <n v="60100"/>
    <x v="6"/>
    <x v="3"/>
    <x v="0"/>
    <s v="Livrée"/>
    <x v="364"/>
    <n v="300500"/>
    <n v="145500"/>
    <n v="0.32623318385650224"/>
    <x v="6"/>
  </r>
  <r>
    <s v="V01265"/>
    <x v="15"/>
    <s v="CL0405"/>
    <s v="Client 373"/>
    <x v="0"/>
    <s v="N'Djamena"/>
    <x v="2"/>
    <x v="10"/>
    <n v="9"/>
    <n v="472500"/>
    <n v="370000"/>
    <x v="5"/>
    <x v="3"/>
    <x v="0"/>
    <s v="Livrée"/>
    <x v="384"/>
    <n v="3330000"/>
    <n v="922500"/>
    <n v="0.21693121693121692"/>
    <x v="4"/>
  </r>
  <r>
    <s v="V01266"/>
    <x v="103"/>
    <s v="CL0331"/>
    <s v="Client 491"/>
    <x v="0"/>
    <s v="N'Djamena"/>
    <x v="3"/>
    <x v="4"/>
    <n v="5"/>
    <n v="9400"/>
    <n v="5600"/>
    <x v="1"/>
    <x v="2"/>
    <x v="0"/>
    <s v="Annulée"/>
    <x v="365"/>
    <n v="28000"/>
    <n v="19000"/>
    <n v="0.40425531914893614"/>
    <x v="6"/>
  </r>
  <r>
    <s v="V01267"/>
    <x v="310"/>
    <s v="CL0273"/>
    <s v="Client 047"/>
    <x v="1"/>
    <s v="Abéché"/>
    <x v="3"/>
    <x v="3"/>
    <n v="9"/>
    <n v="15000"/>
    <n v="9500"/>
    <x v="6"/>
    <x v="2"/>
    <x v="0"/>
    <s v="En cours"/>
    <x v="212"/>
    <n v="85500"/>
    <n v="49500"/>
    <n v="0.36666666666666664"/>
    <x v="4"/>
  </r>
  <r>
    <s v="V01268"/>
    <x v="34"/>
    <s v="CL0401"/>
    <s v="Client 079"/>
    <x v="1"/>
    <s v="Abéché"/>
    <x v="1"/>
    <x v="1"/>
    <n v="1"/>
    <n v="7000"/>
    <n v="4000"/>
    <x v="1"/>
    <x v="1"/>
    <x v="0"/>
    <s v="Livrée"/>
    <x v="309"/>
    <n v="4000"/>
    <n v="3000"/>
    <n v="0.42857142857142855"/>
    <x v="5"/>
  </r>
  <r>
    <s v="V01269"/>
    <x v="358"/>
    <s v="CL0214"/>
    <s v="Client 164"/>
    <x v="5"/>
    <s v="Massaguet"/>
    <x v="0"/>
    <x v="0"/>
    <n v="3"/>
    <n v="61800"/>
    <n v="46400"/>
    <x v="6"/>
    <x v="3"/>
    <x v="0"/>
    <s v="Livrée"/>
    <x v="183"/>
    <n v="139200"/>
    <n v="46200"/>
    <n v="0.24919093851132687"/>
    <x v="5"/>
  </r>
  <r>
    <s v="V01270"/>
    <x v="326"/>
    <s v="CL0208"/>
    <s v="Client 200"/>
    <x v="6"/>
    <s v="Moundou"/>
    <x v="0"/>
    <x v="5"/>
    <n v="9"/>
    <n v="209000"/>
    <n v="155200"/>
    <x v="1"/>
    <x v="3"/>
    <x v="0"/>
    <s v="Livrée"/>
    <x v="269"/>
    <n v="1396800"/>
    <n v="484200"/>
    <n v="0.25741626794258371"/>
    <x v="2"/>
  </r>
  <r>
    <s v="V01271"/>
    <x v="178"/>
    <s v="CL0413"/>
    <s v="Client 390"/>
    <x v="1"/>
    <s v="Abéché"/>
    <x v="2"/>
    <x v="13"/>
    <n v="10"/>
    <n v="152000"/>
    <n v="120000"/>
    <x v="2"/>
    <x v="0"/>
    <x v="0"/>
    <s v="Livrée"/>
    <x v="323"/>
    <n v="1200000"/>
    <n v="320000"/>
    <n v="0.21052631578947367"/>
    <x v="3"/>
  </r>
  <r>
    <s v="V01272"/>
    <x v="191"/>
    <s v="CL0006"/>
    <s v="Client 365"/>
    <x v="7"/>
    <s v="Bol"/>
    <x v="0"/>
    <x v="16"/>
    <n v="5"/>
    <n v="133000"/>
    <n v="97000"/>
    <x v="4"/>
    <x v="2"/>
    <x v="1"/>
    <s v="Livrée"/>
    <x v="116"/>
    <n v="485000"/>
    <n v="180000"/>
    <n v="0.27067669172932329"/>
    <x v="6"/>
  </r>
  <r>
    <s v="V01273"/>
    <x v="141"/>
    <s v="CL0201"/>
    <s v="Client 303"/>
    <x v="0"/>
    <s v="N'Djamena"/>
    <x v="3"/>
    <x v="8"/>
    <n v="6"/>
    <n v="6000"/>
    <n v="4200"/>
    <x v="3"/>
    <x v="0"/>
    <x v="0"/>
    <s v="Livrée"/>
    <x v="193"/>
    <n v="25200"/>
    <n v="10800"/>
    <n v="0.3"/>
    <x v="4"/>
  </r>
  <r>
    <s v="V01274"/>
    <x v="275"/>
    <s v="CL0034"/>
    <s v="Client 101"/>
    <x v="0"/>
    <s v="N'Djamena"/>
    <x v="3"/>
    <x v="4"/>
    <n v="1"/>
    <n v="8600"/>
    <n v="6000"/>
    <x v="6"/>
    <x v="3"/>
    <x v="1"/>
    <s v="Livrée"/>
    <x v="91"/>
    <n v="6000"/>
    <n v="2600"/>
    <n v="0.30232558139534882"/>
    <x v="11"/>
  </r>
  <r>
    <s v="V01275"/>
    <x v="270"/>
    <s v="CL0480"/>
    <s v="Client 374"/>
    <x v="7"/>
    <s v="Bol"/>
    <x v="2"/>
    <x v="14"/>
    <n v="9"/>
    <n v="95000"/>
    <n v="72100"/>
    <x v="6"/>
    <x v="2"/>
    <x v="2"/>
    <s v="Livrée"/>
    <x v="165"/>
    <n v="648900"/>
    <n v="206100"/>
    <n v="0.24105263157894738"/>
    <x v="2"/>
  </r>
  <r>
    <s v="V01276"/>
    <x v="131"/>
    <s v="CL0341"/>
    <s v="Client 190"/>
    <x v="2"/>
    <s v="Doba"/>
    <x v="0"/>
    <x v="5"/>
    <n v="9"/>
    <n v="220000"/>
    <n v="164800"/>
    <x v="1"/>
    <x v="3"/>
    <x v="0"/>
    <s v="Livrée"/>
    <x v="249"/>
    <n v="1483200"/>
    <n v="496800"/>
    <n v="0.25090909090909091"/>
    <x v="1"/>
  </r>
  <r>
    <s v="V01277"/>
    <x v="5"/>
    <s v="CL0195"/>
    <s v="Client 383"/>
    <x v="6"/>
    <s v="Moundou"/>
    <x v="3"/>
    <x v="15"/>
    <n v="2"/>
    <n v="8000"/>
    <n v="4800"/>
    <x v="6"/>
    <x v="1"/>
    <x v="0"/>
    <s v="Annulée"/>
    <x v="138"/>
    <n v="9600"/>
    <n v="6400"/>
    <n v="0.4"/>
    <x v="5"/>
  </r>
  <r>
    <s v="V01278"/>
    <x v="165"/>
    <s v="CL0018"/>
    <s v="Client 313"/>
    <x v="0"/>
    <s v="N'Djamena"/>
    <x v="3"/>
    <x v="15"/>
    <n v="9"/>
    <n v="8000"/>
    <n v="5200"/>
    <x v="1"/>
    <x v="2"/>
    <x v="2"/>
    <s v="Livrée"/>
    <x v="196"/>
    <n v="46800"/>
    <n v="25200"/>
    <n v="0.35"/>
    <x v="5"/>
  </r>
  <r>
    <s v="V01279"/>
    <x v="334"/>
    <s v="CL0385"/>
    <s v="Client 242"/>
    <x v="5"/>
    <s v="Massaguet"/>
    <x v="3"/>
    <x v="15"/>
    <n v="4"/>
    <n v="8000"/>
    <n v="5200"/>
    <x v="6"/>
    <x v="1"/>
    <x v="0"/>
    <s v="Annulée"/>
    <x v="29"/>
    <n v="20800"/>
    <n v="11200"/>
    <n v="0.35"/>
    <x v="6"/>
  </r>
  <r>
    <s v="V01280"/>
    <x v="261"/>
    <s v="CL0152"/>
    <s v="Client 218"/>
    <x v="5"/>
    <s v="Massaguet"/>
    <x v="0"/>
    <x v="11"/>
    <n v="10"/>
    <n v="89200"/>
    <n v="63900"/>
    <x v="2"/>
    <x v="0"/>
    <x v="0"/>
    <s v="Annulée"/>
    <x v="340"/>
    <n v="639000"/>
    <n v="253000"/>
    <n v="0.28363228699551568"/>
    <x v="7"/>
  </r>
  <r>
    <s v="V01281"/>
    <x v="134"/>
    <s v="CL0098"/>
    <s v="Client 058"/>
    <x v="2"/>
    <s v="Doba"/>
    <x v="3"/>
    <x v="8"/>
    <n v="6"/>
    <n v="6000"/>
    <n v="4200"/>
    <x v="5"/>
    <x v="2"/>
    <x v="1"/>
    <s v="Livrée"/>
    <x v="193"/>
    <n v="25200"/>
    <n v="10800"/>
    <n v="0.3"/>
    <x v="3"/>
  </r>
  <r>
    <s v="V01282"/>
    <x v="63"/>
    <s v="CL0094"/>
    <s v="Client 467"/>
    <x v="7"/>
    <s v="Bol"/>
    <x v="1"/>
    <x v="18"/>
    <n v="5"/>
    <n v="26200"/>
    <n v="16000"/>
    <x v="0"/>
    <x v="3"/>
    <x v="2"/>
    <s v="Livrée"/>
    <x v="385"/>
    <n v="80000"/>
    <n v="51000"/>
    <n v="0.38931297709923662"/>
    <x v="11"/>
  </r>
  <r>
    <s v="V01283"/>
    <x v="97"/>
    <s v="CL0278"/>
    <s v="Client 089"/>
    <x v="0"/>
    <s v="N'Djamena"/>
    <x v="3"/>
    <x v="8"/>
    <n v="1"/>
    <n v="5700"/>
    <n v="4100"/>
    <x v="3"/>
    <x v="2"/>
    <x v="1"/>
    <s v="Livrée"/>
    <x v="386"/>
    <n v="4100"/>
    <n v="1600"/>
    <n v="0.2807017543859649"/>
    <x v="9"/>
  </r>
  <r>
    <s v="V01284"/>
    <x v="288"/>
    <s v="CL0275"/>
    <s v="Client 247"/>
    <x v="6"/>
    <s v="Moundou"/>
    <x v="3"/>
    <x v="4"/>
    <n v="2"/>
    <n v="9000"/>
    <n v="6000"/>
    <x v="5"/>
    <x v="2"/>
    <x v="1"/>
    <s v="Livrée"/>
    <x v="213"/>
    <n v="12000"/>
    <n v="6000"/>
    <n v="0.33333333333333331"/>
    <x v="7"/>
  </r>
  <r>
    <s v="V01285"/>
    <x v="110"/>
    <s v="CL0293"/>
    <s v="Client 184"/>
    <x v="3"/>
    <s v="Mao"/>
    <x v="3"/>
    <x v="4"/>
    <n v="2"/>
    <n v="9000"/>
    <n v="6000"/>
    <x v="4"/>
    <x v="2"/>
    <x v="0"/>
    <s v="Livrée"/>
    <x v="213"/>
    <n v="12000"/>
    <n v="6000"/>
    <n v="0.33333333333333331"/>
    <x v="2"/>
  </r>
  <r>
    <s v="V01286"/>
    <x v="80"/>
    <s v="CL0474"/>
    <s v="Client 484"/>
    <x v="2"/>
    <s v="Doba"/>
    <x v="2"/>
    <x v="14"/>
    <n v="8"/>
    <n v="90200"/>
    <n v="72100"/>
    <x v="5"/>
    <x v="1"/>
    <x v="1"/>
    <s v="Livrée"/>
    <x v="131"/>
    <n v="576800"/>
    <n v="144800"/>
    <n v="0.20066518847006651"/>
    <x v="9"/>
  </r>
  <r>
    <s v="V01287"/>
    <x v="13"/>
    <s v="CL0255"/>
    <s v="Client 398"/>
    <x v="0"/>
    <s v="N'Djamena"/>
    <x v="3"/>
    <x v="15"/>
    <n v="1"/>
    <n v="8400"/>
    <n v="5200"/>
    <x v="6"/>
    <x v="0"/>
    <x v="0"/>
    <s v="Annulée"/>
    <x v="387"/>
    <n v="5200"/>
    <n v="3200"/>
    <n v="0.38095238095238093"/>
    <x v="2"/>
  </r>
  <r>
    <s v="V01288"/>
    <x v="52"/>
    <s v="CL0244"/>
    <s v="Client 260"/>
    <x v="2"/>
    <s v="Doba"/>
    <x v="2"/>
    <x v="13"/>
    <n v="3"/>
    <n v="160000"/>
    <n v="123600"/>
    <x v="3"/>
    <x v="2"/>
    <x v="1"/>
    <s v="En cours"/>
    <x v="143"/>
    <n v="370800"/>
    <n v="109200"/>
    <n v="0.22750000000000001"/>
    <x v="8"/>
  </r>
  <r>
    <s v="V01289"/>
    <x v="334"/>
    <s v="CL0463"/>
    <s v="Client 415"/>
    <x v="0"/>
    <s v="N'Djamena"/>
    <x v="1"/>
    <x v="18"/>
    <n v="10"/>
    <n v="25000"/>
    <n v="16000"/>
    <x v="0"/>
    <x v="0"/>
    <x v="1"/>
    <s v="Livrée"/>
    <x v="315"/>
    <n v="160000"/>
    <n v="90000"/>
    <n v="0.36"/>
    <x v="6"/>
  </r>
  <r>
    <s v="V01290"/>
    <x v="258"/>
    <s v="CL0316"/>
    <s v="Client 312"/>
    <x v="6"/>
    <s v="Pala"/>
    <x v="2"/>
    <x v="13"/>
    <n v="9"/>
    <n v="168000"/>
    <n v="123600"/>
    <x v="5"/>
    <x v="3"/>
    <x v="1"/>
    <s v="Livrée"/>
    <x v="168"/>
    <n v="1112400"/>
    <n v="399600"/>
    <n v="0.26428571428571429"/>
    <x v="11"/>
  </r>
  <r>
    <s v="V01291"/>
    <x v="25"/>
    <s v="CL0045"/>
    <s v="Client 373"/>
    <x v="3"/>
    <s v="Mao"/>
    <x v="0"/>
    <x v="16"/>
    <n v="4"/>
    <n v="147000"/>
    <n v="103000"/>
    <x v="7"/>
    <x v="3"/>
    <x v="1"/>
    <s v="Livrée"/>
    <x v="150"/>
    <n v="412000"/>
    <n v="176000"/>
    <n v="0.29931972789115646"/>
    <x v="3"/>
  </r>
  <r>
    <s v="V01292"/>
    <x v="86"/>
    <s v="CL0339"/>
    <s v="Client 402"/>
    <x v="3"/>
    <s v="Mao"/>
    <x v="0"/>
    <x v="0"/>
    <n v="5"/>
    <n v="68200"/>
    <n v="43600"/>
    <x v="4"/>
    <x v="0"/>
    <x v="0"/>
    <s v="En cours"/>
    <x v="288"/>
    <n v="218000"/>
    <n v="123000"/>
    <n v="0.36070381231671556"/>
    <x v="11"/>
  </r>
  <r>
    <s v="V01293"/>
    <x v="240"/>
    <s v="CL0385"/>
    <s v="Client 344"/>
    <x v="0"/>
    <s v="N'Djamena"/>
    <x v="3"/>
    <x v="8"/>
    <n v="9"/>
    <n v="6300"/>
    <n v="4300"/>
    <x v="2"/>
    <x v="0"/>
    <x v="0"/>
    <s v="Livrée"/>
    <x v="45"/>
    <n v="38700"/>
    <n v="18000"/>
    <n v="0.31746031746031744"/>
    <x v="9"/>
  </r>
  <r>
    <s v="V01294"/>
    <x v="31"/>
    <s v="CL0083"/>
    <s v="Client 189"/>
    <x v="0"/>
    <s v="N'Djamena"/>
    <x v="1"/>
    <x v="1"/>
    <n v="9"/>
    <n v="7400"/>
    <n v="3900"/>
    <x v="3"/>
    <x v="2"/>
    <x v="1"/>
    <s v="En cours"/>
    <x v="93"/>
    <n v="35100"/>
    <n v="31500"/>
    <n v="0.47297297297297297"/>
    <x v="0"/>
  </r>
  <r>
    <s v="V01295"/>
    <x v="13"/>
    <s v="CL0133"/>
    <s v="Client 378"/>
    <x v="5"/>
    <s v="Massaguet"/>
    <x v="2"/>
    <x v="13"/>
    <n v="4"/>
    <n v="152000"/>
    <n v="116400"/>
    <x v="7"/>
    <x v="0"/>
    <x v="0"/>
    <s v="Livrée"/>
    <x v="190"/>
    <n v="465600"/>
    <n v="142400"/>
    <n v="0.23421052631578948"/>
    <x v="2"/>
  </r>
  <r>
    <s v="V01296"/>
    <x v="99"/>
    <s v="CL0128"/>
    <s v="Client 439"/>
    <x v="4"/>
    <s v="Ati"/>
    <x v="1"/>
    <x v="12"/>
    <n v="2"/>
    <n v="31500"/>
    <n v="19600"/>
    <x v="2"/>
    <x v="2"/>
    <x v="1"/>
    <s v="Livrée"/>
    <x v="74"/>
    <n v="39200"/>
    <n v="23800"/>
    <n v="0.37777777777777777"/>
    <x v="6"/>
  </r>
  <r>
    <s v="V01297"/>
    <x v="327"/>
    <s v="CL0001"/>
    <s v="Client 457"/>
    <x v="0"/>
    <s v="N'Djamena"/>
    <x v="1"/>
    <x v="18"/>
    <n v="5"/>
    <n v="25000"/>
    <n v="16500"/>
    <x v="3"/>
    <x v="3"/>
    <x v="1"/>
    <s v="Annulée"/>
    <x v="278"/>
    <n v="82500"/>
    <n v="42500"/>
    <n v="0.34"/>
    <x v="8"/>
  </r>
  <r>
    <s v="V01298"/>
    <x v="48"/>
    <s v="CL0387"/>
    <s v="Client 135"/>
    <x v="5"/>
    <s v="Massaguet"/>
    <x v="3"/>
    <x v="3"/>
    <n v="6"/>
    <n v="15000"/>
    <n v="9800"/>
    <x v="3"/>
    <x v="0"/>
    <x v="1"/>
    <s v="Livrée"/>
    <x v="185"/>
    <n v="58800"/>
    <n v="31200"/>
    <n v="0.34666666666666668"/>
    <x v="8"/>
  </r>
  <r>
    <s v="V01299"/>
    <x v="271"/>
    <s v="CL0023"/>
    <s v="Client 167"/>
    <x v="7"/>
    <s v="Bol"/>
    <x v="2"/>
    <x v="14"/>
    <n v="2"/>
    <n v="95000"/>
    <n v="70000"/>
    <x v="4"/>
    <x v="0"/>
    <x v="0"/>
    <s v="Livrée"/>
    <x v="28"/>
    <n v="140000"/>
    <n v="50000"/>
    <n v="0.26315789473684209"/>
    <x v="5"/>
  </r>
  <r>
    <s v="V01300"/>
    <x v="169"/>
    <s v="CL0493"/>
    <s v="Client 050"/>
    <x v="0"/>
    <s v="N'Djamena"/>
    <x v="2"/>
    <x v="13"/>
    <n v="6"/>
    <n v="160000"/>
    <n v="120000"/>
    <x v="1"/>
    <x v="1"/>
    <x v="2"/>
    <s v="Livrée"/>
    <x v="98"/>
    <n v="720000"/>
    <n v="240000"/>
    <n v="0.25"/>
    <x v="9"/>
  </r>
  <r>
    <s v="V01301"/>
    <x v="352"/>
    <s v="CL0111"/>
    <s v="Client 134"/>
    <x v="3"/>
    <s v="Mao"/>
    <x v="3"/>
    <x v="4"/>
    <n v="1"/>
    <n v="9400"/>
    <n v="6000"/>
    <x v="1"/>
    <x v="2"/>
    <x v="0"/>
    <s v="En cours"/>
    <x v="388"/>
    <n v="6000"/>
    <n v="3400"/>
    <n v="0.36170212765957449"/>
    <x v="5"/>
  </r>
  <r>
    <s v="V01302"/>
    <x v="303"/>
    <s v="CL0032"/>
    <s v="Client 321"/>
    <x v="2"/>
    <s v="Doba"/>
    <x v="1"/>
    <x v="1"/>
    <n v="10"/>
    <n v="7000"/>
    <n v="4000"/>
    <x v="7"/>
    <x v="3"/>
    <x v="2"/>
    <s v="Livrée"/>
    <x v="166"/>
    <n v="40000"/>
    <n v="30000"/>
    <n v="0.42857142857142855"/>
    <x v="3"/>
  </r>
  <r>
    <s v="V01303"/>
    <x v="169"/>
    <s v="CL0331"/>
    <s v="Client 330"/>
    <x v="0"/>
    <s v="N'Djamena"/>
    <x v="3"/>
    <x v="4"/>
    <n v="1"/>
    <n v="8600"/>
    <n v="5600"/>
    <x v="7"/>
    <x v="2"/>
    <x v="1"/>
    <s v="Livrée"/>
    <x v="91"/>
    <n v="5600"/>
    <n v="3000"/>
    <n v="0.34883720930232559"/>
    <x v="9"/>
  </r>
  <r>
    <s v="V01304"/>
    <x v="229"/>
    <s v="CL0167"/>
    <s v="Client 324"/>
    <x v="7"/>
    <s v="Bol"/>
    <x v="3"/>
    <x v="8"/>
    <n v="5"/>
    <n v="5700"/>
    <n v="4300"/>
    <x v="0"/>
    <x v="3"/>
    <x v="0"/>
    <s v="Livrée"/>
    <x v="175"/>
    <n v="21500"/>
    <n v="7000"/>
    <n v="0.24561403508771928"/>
    <x v="7"/>
  </r>
  <r>
    <s v="V01305"/>
    <x v="48"/>
    <s v="CL0281"/>
    <s v="Client 249"/>
    <x v="6"/>
    <s v="Moundou"/>
    <x v="1"/>
    <x v="7"/>
    <n v="6"/>
    <n v="10000"/>
    <n v="6200"/>
    <x v="3"/>
    <x v="2"/>
    <x v="0"/>
    <s v="Annulée"/>
    <x v="69"/>
    <n v="37200"/>
    <n v="22800"/>
    <n v="0.38"/>
    <x v="8"/>
  </r>
  <r>
    <s v="V01306"/>
    <x v="225"/>
    <s v="CL0204"/>
    <s v="Client 177"/>
    <x v="0"/>
    <s v="N'Djamena"/>
    <x v="1"/>
    <x v="12"/>
    <n v="4"/>
    <n v="30000"/>
    <n v="19600"/>
    <x v="5"/>
    <x v="2"/>
    <x v="0"/>
    <s v="Annulée"/>
    <x v="95"/>
    <n v="78400"/>
    <n v="41600"/>
    <n v="0.34666666666666668"/>
    <x v="0"/>
  </r>
  <r>
    <s v="V01307"/>
    <x v="31"/>
    <s v="CL0154"/>
    <s v="Client 363"/>
    <x v="5"/>
    <s v="Massaguet"/>
    <x v="3"/>
    <x v="15"/>
    <n v="10"/>
    <n v="8400"/>
    <n v="5000"/>
    <x v="5"/>
    <x v="3"/>
    <x v="0"/>
    <s v="Annulée"/>
    <x v="37"/>
    <n v="50000"/>
    <n v="34000"/>
    <n v="0.40476190476190477"/>
    <x v="0"/>
  </r>
  <r>
    <s v="V01308"/>
    <x v="326"/>
    <s v="CL0100"/>
    <s v="Client 290"/>
    <x v="4"/>
    <s v="Ati"/>
    <x v="1"/>
    <x v="7"/>
    <n v="5"/>
    <n v="10000"/>
    <n v="6200"/>
    <x v="5"/>
    <x v="0"/>
    <x v="0"/>
    <s v="Annulée"/>
    <x v="182"/>
    <n v="31000"/>
    <n v="19000"/>
    <n v="0.38"/>
    <x v="2"/>
  </r>
  <r>
    <s v="V01309"/>
    <x v="214"/>
    <s v="CL0175"/>
    <s v="Client 121"/>
    <x v="2"/>
    <s v="Doba"/>
    <x v="2"/>
    <x v="14"/>
    <n v="8"/>
    <n v="99800"/>
    <n v="72100"/>
    <x v="3"/>
    <x v="3"/>
    <x v="1"/>
    <s v="Livrée"/>
    <x v="44"/>
    <n v="576800"/>
    <n v="221600"/>
    <n v="0.27755511022044088"/>
    <x v="3"/>
  </r>
  <r>
    <s v="V01310"/>
    <x v="139"/>
    <s v="CL0129"/>
    <s v="Client 226"/>
    <x v="0"/>
    <s v="N'Djamena"/>
    <x v="3"/>
    <x v="17"/>
    <n v="6"/>
    <n v="18900"/>
    <n v="12900"/>
    <x v="5"/>
    <x v="3"/>
    <x v="0"/>
    <s v="Livrée"/>
    <x v="244"/>
    <n v="77400"/>
    <n v="36000"/>
    <n v="0.31746031746031744"/>
    <x v="9"/>
  </r>
  <r>
    <s v="V01311"/>
    <x v="334"/>
    <s v="CL0279"/>
    <s v="Client 287"/>
    <x v="1"/>
    <s v="Abéché"/>
    <x v="3"/>
    <x v="8"/>
    <n v="8"/>
    <n v="6000"/>
    <n v="4300"/>
    <x v="1"/>
    <x v="0"/>
    <x v="1"/>
    <s v="Livrée"/>
    <x v="36"/>
    <n v="34400"/>
    <n v="13600"/>
    <n v="0.28333333333333333"/>
    <x v="6"/>
  </r>
  <r>
    <s v="V01312"/>
    <x v="7"/>
    <s v="CL0247"/>
    <s v="Client 427"/>
    <x v="5"/>
    <s v="Massaguet"/>
    <x v="1"/>
    <x v="6"/>
    <n v="10"/>
    <n v="12000"/>
    <n v="7500"/>
    <x v="5"/>
    <x v="1"/>
    <x v="0"/>
    <s v="Livrée"/>
    <x v="95"/>
    <n v="75000"/>
    <n v="45000"/>
    <n v="0.375"/>
    <x v="1"/>
  </r>
  <r>
    <s v="V01313"/>
    <x v="32"/>
    <s v="CL0426"/>
    <s v="Client 086"/>
    <x v="2"/>
    <s v="Doba"/>
    <x v="2"/>
    <x v="14"/>
    <n v="4"/>
    <n v="90200"/>
    <n v="70000"/>
    <x v="3"/>
    <x v="0"/>
    <x v="0"/>
    <s v="Livrée"/>
    <x v="203"/>
    <n v="280000"/>
    <n v="80800"/>
    <n v="0.22394678492239467"/>
    <x v="1"/>
  </r>
  <r>
    <s v="V01314"/>
    <x v="65"/>
    <s v="CL0141"/>
    <s v="Client 378"/>
    <x v="0"/>
    <s v="N'Djamena"/>
    <x v="0"/>
    <x v="11"/>
    <n v="6"/>
    <n v="85000"/>
    <n v="62000"/>
    <x v="6"/>
    <x v="2"/>
    <x v="0"/>
    <s v="Livrée"/>
    <x v="270"/>
    <n v="372000"/>
    <n v="138000"/>
    <n v="0.27058823529411763"/>
    <x v="10"/>
  </r>
  <r>
    <s v="V01315"/>
    <x v="359"/>
    <s v="CL0350"/>
    <s v="Client 197"/>
    <x v="3"/>
    <s v="Mao"/>
    <x v="2"/>
    <x v="14"/>
    <n v="8"/>
    <n v="95000"/>
    <n v="67900"/>
    <x v="4"/>
    <x v="1"/>
    <x v="0"/>
    <s v="Livrée"/>
    <x v="122"/>
    <n v="543200"/>
    <n v="216800"/>
    <n v="0.28526315789473683"/>
    <x v="3"/>
  </r>
  <r>
    <s v="V01316"/>
    <x v="14"/>
    <s v="CL0479"/>
    <s v="Client 312"/>
    <x v="4"/>
    <s v="Ati"/>
    <x v="3"/>
    <x v="17"/>
    <n v="1"/>
    <n v="18000"/>
    <n v="12500"/>
    <x v="4"/>
    <x v="3"/>
    <x v="0"/>
    <s v="Livrée"/>
    <x v="213"/>
    <n v="12500"/>
    <n v="5500"/>
    <n v="0.30555555555555558"/>
    <x v="0"/>
  </r>
  <r>
    <s v="V01317"/>
    <x v="163"/>
    <s v="CL0354"/>
    <s v="Client 159"/>
    <x v="0"/>
    <s v="N'Djamena"/>
    <x v="3"/>
    <x v="15"/>
    <n v="9"/>
    <n v="8400"/>
    <n v="4800"/>
    <x v="3"/>
    <x v="1"/>
    <x v="2"/>
    <s v="Annulée"/>
    <x v="220"/>
    <n v="43200"/>
    <n v="32400"/>
    <n v="0.42857142857142855"/>
    <x v="10"/>
  </r>
  <r>
    <s v="V01318"/>
    <x v="261"/>
    <s v="CL0059"/>
    <s v="Client 479"/>
    <x v="0"/>
    <s v="N'Djamena"/>
    <x v="2"/>
    <x v="13"/>
    <n v="7"/>
    <n v="160000"/>
    <n v="120000"/>
    <x v="5"/>
    <x v="1"/>
    <x v="1"/>
    <s v="Annulée"/>
    <x v="30"/>
    <n v="840000"/>
    <n v="280000"/>
    <n v="0.25"/>
    <x v="7"/>
  </r>
  <r>
    <s v="V01319"/>
    <x v="230"/>
    <s v="CL0218"/>
    <s v="Client 339"/>
    <x v="5"/>
    <s v="Massaguet"/>
    <x v="2"/>
    <x v="13"/>
    <n v="3"/>
    <n v="160000"/>
    <n v="116400"/>
    <x v="0"/>
    <x v="3"/>
    <x v="2"/>
    <s v="En cours"/>
    <x v="143"/>
    <n v="349200"/>
    <n v="130800"/>
    <n v="0.27250000000000002"/>
    <x v="1"/>
  </r>
  <r>
    <s v="V01320"/>
    <x v="214"/>
    <s v="CL0228"/>
    <s v="Client 373"/>
    <x v="5"/>
    <s v="Massaguet"/>
    <x v="1"/>
    <x v="12"/>
    <n v="10"/>
    <n v="30000"/>
    <n v="19600"/>
    <x v="2"/>
    <x v="2"/>
    <x v="0"/>
    <s v="Livrée"/>
    <x v="283"/>
    <n v="196000"/>
    <n v="104000"/>
    <n v="0.34666666666666668"/>
    <x v="3"/>
  </r>
  <r>
    <s v="V01321"/>
    <x v="27"/>
    <s v="CL0342"/>
    <s v="Client 310"/>
    <x v="6"/>
    <s v="Pala"/>
    <x v="0"/>
    <x v="11"/>
    <n v="6"/>
    <n v="85000"/>
    <n v="62000"/>
    <x v="4"/>
    <x v="2"/>
    <x v="1"/>
    <s v="Livrée"/>
    <x v="270"/>
    <n v="372000"/>
    <n v="138000"/>
    <n v="0.27058823529411763"/>
    <x v="7"/>
  </r>
  <r>
    <s v="V01322"/>
    <x v="83"/>
    <s v="CL0173"/>
    <s v="Client 473"/>
    <x v="0"/>
    <s v="N'Djamena"/>
    <x v="3"/>
    <x v="4"/>
    <n v="10"/>
    <n v="9400"/>
    <n v="6000"/>
    <x v="7"/>
    <x v="3"/>
    <x v="0"/>
    <s v="Livrée"/>
    <x v="280"/>
    <n v="60000"/>
    <n v="34000"/>
    <n v="0.36170212765957449"/>
    <x v="3"/>
  </r>
  <r>
    <s v="V01323"/>
    <x v="219"/>
    <s v="CL0435"/>
    <s v="Client 082"/>
    <x v="3"/>
    <s v="Mao"/>
    <x v="2"/>
    <x v="2"/>
    <n v="8"/>
    <n v="55000"/>
    <n v="39000"/>
    <x v="3"/>
    <x v="2"/>
    <x v="2"/>
    <s v="Livrée"/>
    <x v="19"/>
    <n v="312000"/>
    <n v="128000"/>
    <n v="0.29090909090909089"/>
    <x v="8"/>
  </r>
  <r>
    <s v="V01324"/>
    <x v="227"/>
    <s v="CL0396"/>
    <s v="Client 345"/>
    <x v="6"/>
    <s v="Pala"/>
    <x v="0"/>
    <x v="16"/>
    <n v="1"/>
    <n v="147000"/>
    <n v="103000"/>
    <x v="4"/>
    <x v="1"/>
    <x v="2"/>
    <s v="Livrée"/>
    <x v="236"/>
    <n v="103000"/>
    <n v="44000"/>
    <n v="0.29931972789115646"/>
    <x v="3"/>
  </r>
  <r>
    <s v="V01325"/>
    <x v="129"/>
    <s v="CL0472"/>
    <s v="Client 013"/>
    <x v="0"/>
    <s v="N'Djamena"/>
    <x v="0"/>
    <x v="0"/>
    <n v="8"/>
    <n v="68200"/>
    <n v="43600"/>
    <x v="4"/>
    <x v="2"/>
    <x v="0"/>
    <s v="Annulée"/>
    <x v="274"/>
    <n v="348800"/>
    <n v="196800"/>
    <n v="0.36070381231671556"/>
    <x v="0"/>
  </r>
  <r>
    <s v="V01326"/>
    <x v="138"/>
    <s v="CL0250"/>
    <s v="Client 235"/>
    <x v="2"/>
    <s v="Doba"/>
    <x v="0"/>
    <x v="16"/>
    <n v="2"/>
    <n v="140000"/>
    <n v="103000"/>
    <x v="4"/>
    <x v="3"/>
    <x v="0"/>
    <s v="Livrée"/>
    <x v="76"/>
    <n v="206000"/>
    <n v="74000"/>
    <n v="0.26428571428571429"/>
    <x v="6"/>
  </r>
  <r>
    <s v="V01327"/>
    <x v="112"/>
    <s v="CL0310"/>
    <s v="Client 077"/>
    <x v="5"/>
    <s v="Massaguet"/>
    <x v="2"/>
    <x v="2"/>
    <n v="9"/>
    <n v="52200"/>
    <n v="39000"/>
    <x v="5"/>
    <x v="1"/>
    <x v="2"/>
    <s v="Livrée"/>
    <x v="389"/>
    <n v="351000"/>
    <n v="118800"/>
    <n v="0.25287356321839083"/>
    <x v="4"/>
  </r>
  <r>
    <s v="V01328"/>
    <x v="95"/>
    <s v="CL0445"/>
    <s v="Client 387"/>
    <x v="5"/>
    <s v="Massaguet"/>
    <x v="3"/>
    <x v="17"/>
    <n v="5"/>
    <n v="18000"/>
    <n v="12500"/>
    <x v="2"/>
    <x v="2"/>
    <x v="0"/>
    <s v="Livrée"/>
    <x v="185"/>
    <n v="62500"/>
    <n v="27500"/>
    <n v="0.30555555555555558"/>
    <x v="11"/>
  </r>
  <r>
    <s v="V01329"/>
    <x v="34"/>
    <s v="CL0278"/>
    <s v="Client 169"/>
    <x v="7"/>
    <s v="Bol"/>
    <x v="3"/>
    <x v="3"/>
    <n v="6"/>
    <n v="15800"/>
    <n v="9200"/>
    <x v="1"/>
    <x v="2"/>
    <x v="1"/>
    <s v="Livrée"/>
    <x v="71"/>
    <n v="55200"/>
    <n v="39600"/>
    <n v="0.41772151898734178"/>
    <x v="5"/>
  </r>
  <r>
    <s v="V01330"/>
    <x v="212"/>
    <s v="CL0178"/>
    <s v="Client 499"/>
    <x v="0"/>
    <s v="N'Djamena"/>
    <x v="1"/>
    <x v="7"/>
    <n v="5"/>
    <n v="10000"/>
    <n v="6400"/>
    <x v="1"/>
    <x v="3"/>
    <x v="1"/>
    <s v="Livrée"/>
    <x v="182"/>
    <n v="32000"/>
    <n v="18000"/>
    <n v="0.36"/>
    <x v="6"/>
  </r>
  <r>
    <s v="V01331"/>
    <x v="189"/>
    <s v="CL0431"/>
    <s v="Client 359"/>
    <x v="0"/>
    <s v="N'Djamena"/>
    <x v="2"/>
    <x v="14"/>
    <n v="5"/>
    <n v="95000"/>
    <n v="70000"/>
    <x v="1"/>
    <x v="0"/>
    <x v="1"/>
    <s v="Livrée"/>
    <x v="103"/>
    <n v="350000"/>
    <n v="125000"/>
    <n v="0.26315789473684209"/>
    <x v="6"/>
  </r>
  <r>
    <s v="V01332"/>
    <x v="58"/>
    <s v="CL0095"/>
    <s v="Client 343"/>
    <x v="6"/>
    <s v="Moundou"/>
    <x v="0"/>
    <x v="5"/>
    <n v="8"/>
    <n v="220000"/>
    <n v="160000"/>
    <x v="5"/>
    <x v="3"/>
    <x v="0"/>
    <s v="Livrée"/>
    <x v="231"/>
    <n v="1280000"/>
    <n v="480000"/>
    <n v="0.27272727272727271"/>
    <x v="9"/>
  </r>
  <r>
    <s v="V01333"/>
    <x v="27"/>
    <s v="CL0304"/>
    <s v="Client 207"/>
    <x v="4"/>
    <s v="Ati"/>
    <x v="3"/>
    <x v="8"/>
    <n v="7"/>
    <n v="6000"/>
    <n v="4200"/>
    <x v="1"/>
    <x v="0"/>
    <x v="1"/>
    <s v="Livrée"/>
    <x v="125"/>
    <n v="29400"/>
    <n v="12600"/>
    <n v="0.3"/>
    <x v="7"/>
  </r>
  <r>
    <s v="V01334"/>
    <x v="42"/>
    <s v="CL0234"/>
    <s v="Client 444"/>
    <x v="0"/>
    <s v="N'Djamena"/>
    <x v="0"/>
    <x v="0"/>
    <n v="6"/>
    <n v="65000"/>
    <n v="43600"/>
    <x v="7"/>
    <x v="1"/>
    <x v="1"/>
    <s v="Annulée"/>
    <x v="118"/>
    <n v="261600"/>
    <n v="128400"/>
    <n v="0.32923076923076922"/>
    <x v="4"/>
  </r>
  <r>
    <s v="V01335"/>
    <x v="87"/>
    <s v="CL0204"/>
    <s v="Client 453"/>
    <x v="7"/>
    <s v="Bol"/>
    <x v="1"/>
    <x v="12"/>
    <n v="2"/>
    <n v="30000"/>
    <n v="19600"/>
    <x v="2"/>
    <x v="1"/>
    <x v="0"/>
    <s v="Livrée"/>
    <x v="69"/>
    <n v="39200"/>
    <n v="20800"/>
    <n v="0.34666666666666668"/>
    <x v="1"/>
  </r>
  <r>
    <s v="V01336"/>
    <x v="10"/>
    <s v="CL0125"/>
    <s v="Client 304"/>
    <x v="0"/>
    <s v="N'Djamena"/>
    <x v="3"/>
    <x v="15"/>
    <n v="1"/>
    <n v="8000"/>
    <n v="5000"/>
    <x v="0"/>
    <x v="3"/>
    <x v="0"/>
    <s v="Livrée"/>
    <x v="221"/>
    <n v="5000"/>
    <n v="3000"/>
    <n v="0.375"/>
    <x v="1"/>
  </r>
  <r>
    <s v="V01337"/>
    <x v="43"/>
    <s v="CL0002"/>
    <s v="Client 030"/>
    <x v="0"/>
    <s v="N'Djamena"/>
    <x v="2"/>
    <x v="14"/>
    <n v="5"/>
    <n v="90200"/>
    <n v="70000"/>
    <x v="2"/>
    <x v="1"/>
    <x v="1"/>
    <s v="Livrée"/>
    <x v="390"/>
    <n v="350000"/>
    <n v="101000"/>
    <n v="0.22394678492239467"/>
    <x v="8"/>
  </r>
  <r>
    <s v="V01338"/>
    <x v="150"/>
    <s v="CL0410"/>
    <s v="Client 196"/>
    <x v="5"/>
    <s v="Massaguet"/>
    <x v="2"/>
    <x v="14"/>
    <n v="5"/>
    <n v="99800"/>
    <n v="70000"/>
    <x v="1"/>
    <x v="2"/>
    <x v="0"/>
    <s v="Livrée"/>
    <x v="234"/>
    <n v="350000"/>
    <n v="149000"/>
    <n v="0.29859719438877758"/>
    <x v="0"/>
  </r>
  <r>
    <s v="V01339"/>
    <x v="5"/>
    <s v="CL0260"/>
    <s v="Client 337"/>
    <x v="6"/>
    <s v="Moundou"/>
    <x v="2"/>
    <x v="13"/>
    <n v="8"/>
    <n v="160000"/>
    <n v="116400"/>
    <x v="1"/>
    <x v="2"/>
    <x v="0"/>
    <s v="En cours"/>
    <x v="23"/>
    <n v="931200"/>
    <n v="348800"/>
    <n v="0.27250000000000002"/>
    <x v="5"/>
  </r>
  <r>
    <s v="V01340"/>
    <x v="154"/>
    <s v="CL0492"/>
    <s v="Client 418"/>
    <x v="0"/>
    <s v="N'Djamena"/>
    <x v="0"/>
    <x v="16"/>
    <n v="9"/>
    <n v="140000"/>
    <n v="103000"/>
    <x v="5"/>
    <x v="3"/>
    <x v="2"/>
    <s v="Livrée"/>
    <x v="94"/>
    <n v="927000"/>
    <n v="333000"/>
    <n v="0.26428571428571429"/>
    <x v="0"/>
  </r>
  <r>
    <s v="V01341"/>
    <x v="158"/>
    <s v="CL0308"/>
    <s v="Client 188"/>
    <x v="5"/>
    <s v="Massaguet"/>
    <x v="0"/>
    <x v="0"/>
    <n v="10"/>
    <n v="65000"/>
    <n v="43600"/>
    <x v="7"/>
    <x v="3"/>
    <x v="2"/>
    <s v="Livrée"/>
    <x v="361"/>
    <n v="436000"/>
    <n v="214000"/>
    <n v="0.32923076923076922"/>
    <x v="0"/>
  </r>
  <r>
    <s v="V01342"/>
    <x v="253"/>
    <s v="CL0131"/>
    <s v="Client 339"/>
    <x v="3"/>
    <s v="Mao"/>
    <x v="0"/>
    <x v="0"/>
    <n v="5"/>
    <n v="68200"/>
    <n v="45000"/>
    <x v="6"/>
    <x v="0"/>
    <x v="1"/>
    <s v="En cours"/>
    <x v="288"/>
    <n v="225000"/>
    <n v="116000"/>
    <n v="0.34017595307917886"/>
    <x v="4"/>
  </r>
  <r>
    <s v="V01343"/>
    <x v="123"/>
    <s v="CL0324"/>
    <s v="Client 454"/>
    <x v="2"/>
    <s v="Doba"/>
    <x v="2"/>
    <x v="9"/>
    <n v="4"/>
    <n v="180000"/>
    <n v="135000"/>
    <x v="4"/>
    <x v="3"/>
    <x v="0"/>
    <s v="Livrée"/>
    <x v="169"/>
    <n v="540000"/>
    <n v="180000"/>
    <n v="0.25"/>
    <x v="11"/>
  </r>
  <r>
    <s v="V01344"/>
    <x v="268"/>
    <s v="CL0015"/>
    <s v="Client 327"/>
    <x v="6"/>
    <s v="Moundou"/>
    <x v="1"/>
    <x v="12"/>
    <n v="2"/>
    <n v="31500"/>
    <n v="19000"/>
    <x v="7"/>
    <x v="2"/>
    <x v="1"/>
    <s v="Annulée"/>
    <x v="74"/>
    <n v="38000"/>
    <n v="25000"/>
    <n v="0.3968253968253968"/>
    <x v="1"/>
  </r>
  <r>
    <s v="V01345"/>
    <x v="273"/>
    <s v="CL0276"/>
    <s v="Client 100"/>
    <x v="0"/>
    <s v="N'Djamena"/>
    <x v="3"/>
    <x v="15"/>
    <n v="5"/>
    <n v="8400"/>
    <n v="5000"/>
    <x v="4"/>
    <x v="3"/>
    <x v="2"/>
    <s v="Livrée"/>
    <x v="125"/>
    <n v="25000"/>
    <n v="17000"/>
    <n v="0.40476190476190477"/>
    <x v="9"/>
  </r>
  <r>
    <s v="V01346"/>
    <x v="221"/>
    <s v="CL0057"/>
    <s v="Client 266"/>
    <x v="2"/>
    <s v="Doba"/>
    <x v="0"/>
    <x v="0"/>
    <n v="1"/>
    <n v="65000"/>
    <n v="43600"/>
    <x v="1"/>
    <x v="3"/>
    <x v="0"/>
    <s v="Livrée"/>
    <x v="0"/>
    <n v="43600"/>
    <n v="21400"/>
    <n v="0.32923076923076922"/>
    <x v="11"/>
  </r>
  <r>
    <s v="V01347"/>
    <x v="149"/>
    <s v="CL0074"/>
    <s v="Client 310"/>
    <x v="0"/>
    <s v="N'Djamena"/>
    <x v="2"/>
    <x v="13"/>
    <n v="10"/>
    <n v="160000"/>
    <n v="120000"/>
    <x v="6"/>
    <x v="1"/>
    <x v="0"/>
    <s v="Livrée"/>
    <x v="132"/>
    <n v="1200000"/>
    <n v="400000"/>
    <n v="0.25"/>
    <x v="9"/>
  </r>
  <r>
    <s v="V01348"/>
    <x v="75"/>
    <s v="CL0041"/>
    <s v="Client 354"/>
    <x v="7"/>
    <s v="Bol"/>
    <x v="0"/>
    <x v="16"/>
    <n v="7"/>
    <n v="140000"/>
    <n v="100000"/>
    <x v="0"/>
    <x v="1"/>
    <x v="2"/>
    <s v="Annulée"/>
    <x v="146"/>
    <n v="700000"/>
    <n v="280000"/>
    <n v="0.2857142857142857"/>
    <x v="7"/>
  </r>
  <r>
    <s v="V01349"/>
    <x v="360"/>
    <s v="CL0069"/>
    <s v="Client 347"/>
    <x v="0"/>
    <s v="N'Djamena"/>
    <x v="0"/>
    <x v="5"/>
    <n v="3"/>
    <n v="231000"/>
    <n v="155200"/>
    <x v="4"/>
    <x v="1"/>
    <x v="1"/>
    <s v="Livrée"/>
    <x v="375"/>
    <n v="465600"/>
    <n v="227400"/>
    <n v="0.32813852813852812"/>
    <x v="0"/>
  </r>
  <r>
    <s v="V01350"/>
    <x v="361"/>
    <s v="CL0122"/>
    <s v="Client 477"/>
    <x v="2"/>
    <s v="Doba"/>
    <x v="2"/>
    <x v="2"/>
    <n v="10"/>
    <n v="52200"/>
    <n v="40200"/>
    <x v="3"/>
    <x v="2"/>
    <x v="0"/>
    <s v="Livrée"/>
    <x v="235"/>
    <n v="402000"/>
    <n v="120000"/>
    <n v="0.22988505747126436"/>
    <x v="8"/>
  </r>
  <r>
    <s v="V01351"/>
    <x v="238"/>
    <s v="CL0259"/>
    <s v="Client 276"/>
    <x v="2"/>
    <s v="Doba"/>
    <x v="3"/>
    <x v="17"/>
    <n v="1"/>
    <n v="17100"/>
    <n v="12500"/>
    <x v="2"/>
    <x v="2"/>
    <x v="0"/>
    <s v="Livrée"/>
    <x v="38"/>
    <n v="12500"/>
    <n v="4600"/>
    <n v="0.26900584795321636"/>
    <x v="5"/>
  </r>
  <r>
    <s v="V01352"/>
    <x v="61"/>
    <s v="CL0040"/>
    <s v="Client 188"/>
    <x v="1"/>
    <s v="Abéché"/>
    <x v="3"/>
    <x v="3"/>
    <n v="1"/>
    <n v="14200"/>
    <n v="9200"/>
    <x v="2"/>
    <x v="1"/>
    <x v="2"/>
    <s v="Annulée"/>
    <x v="391"/>
    <n v="9200"/>
    <n v="5000"/>
    <n v="0.352112676056338"/>
    <x v="7"/>
  </r>
  <r>
    <s v="V01353"/>
    <x v="100"/>
    <s v="CL0233"/>
    <s v="Client 229"/>
    <x v="3"/>
    <s v="Mao"/>
    <x v="1"/>
    <x v="18"/>
    <n v="1"/>
    <n v="23800"/>
    <n v="15500"/>
    <x v="1"/>
    <x v="3"/>
    <x v="2"/>
    <s v="En cours"/>
    <x v="229"/>
    <n v="15500"/>
    <n v="8300"/>
    <n v="0.34873949579831931"/>
    <x v="1"/>
  </r>
  <r>
    <s v="V01354"/>
    <x v="357"/>
    <s v="CL0401"/>
    <s v="Client 018"/>
    <x v="0"/>
    <s v="N'Djamena"/>
    <x v="2"/>
    <x v="13"/>
    <n v="4"/>
    <n v="168000"/>
    <n v="116400"/>
    <x v="0"/>
    <x v="3"/>
    <x v="1"/>
    <s v="Livrée"/>
    <x v="144"/>
    <n v="465600"/>
    <n v="206400"/>
    <n v="0.30714285714285716"/>
    <x v="9"/>
  </r>
  <r>
    <s v="V01355"/>
    <x v="279"/>
    <s v="CL0039"/>
    <s v="Client 290"/>
    <x v="0"/>
    <s v="N'Djamena"/>
    <x v="2"/>
    <x v="13"/>
    <n v="1"/>
    <n v="152000"/>
    <n v="120000"/>
    <x v="6"/>
    <x v="2"/>
    <x v="1"/>
    <s v="Livrée"/>
    <x v="84"/>
    <n v="120000"/>
    <n v="32000"/>
    <n v="0.21052631578947367"/>
    <x v="3"/>
  </r>
  <r>
    <s v="V01356"/>
    <x v="153"/>
    <s v="CL0251"/>
    <s v="Client 435"/>
    <x v="7"/>
    <s v="Bol"/>
    <x v="0"/>
    <x v="16"/>
    <n v="2"/>
    <n v="147000"/>
    <n v="103000"/>
    <x v="1"/>
    <x v="2"/>
    <x v="0"/>
    <s v="En cours"/>
    <x v="108"/>
    <n v="206000"/>
    <n v="88000"/>
    <n v="0.29931972789115646"/>
    <x v="11"/>
  </r>
  <r>
    <s v="V01357"/>
    <x v="328"/>
    <s v="CL0472"/>
    <s v="Client 267"/>
    <x v="0"/>
    <s v="N'Djamena"/>
    <x v="3"/>
    <x v="17"/>
    <n v="1"/>
    <n v="18000"/>
    <n v="12100"/>
    <x v="4"/>
    <x v="2"/>
    <x v="2"/>
    <s v="Livrée"/>
    <x v="213"/>
    <n v="12100"/>
    <n v="5900"/>
    <n v="0.32777777777777778"/>
    <x v="2"/>
  </r>
  <r>
    <s v="V01358"/>
    <x v="193"/>
    <s v="CL0360"/>
    <s v="Client 159"/>
    <x v="0"/>
    <s v="N'Djamena"/>
    <x v="2"/>
    <x v="10"/>
    <n v="8"/>
    <n v="450000"/>
    <n v="370000"/>
    <x v="4"/>
    <x v="2"/>
    <x v="0"/>
    <s v="Livrée"/>
    <x v="102"/>
    <n v="2960000"/>
    <n v="640000"/>
    <n v="0.17777777777777778"/>
    <x v="8"/>
  </r>
  <r>
    <s v="V01359"/>
    <x v="149"/>
    <s v="CL0094"/>
    <s v="Client 381"/>
    <x v="0"/>
    <s v="N'Djamena"/>
    <x v="0"/>
    <x v="0"/>
    <n v="1"/>
    <n v="65000"/>
    <n v="46400"/>
    <x v="7"/>
    <x v="2"/>
    <x v="1"/>
    <s v="Livrée"/>
    <x v="0"/>
    <n v="46400"/>
    <n v="18600"/>
    <n v="0.28615384615384615"/>
    <x v="9"/>
  </r>
  <r>
    <s v="V01360"/>
    <x v="338"/>
    <s v="CL0233"/>
    <s v="Client 271"/>
    <x v="5"/>
    <s v="Massaguet"/>
    <x v="3"/>
    <x v="8"/>
    <n v="7"/>
    <n v="6300"/>
    <n v="4200"/>
    <x v="5"/>
    <x v="0"/>
    <x v="0"/>
    <s v="En cours"/>
    <x v="345"/>
    <n v="29400"/>
    <n v="14700"/>
    <n v="0.33333333333333331"/>
    <x v="11"/>
  </r>
  <r>
    <s v="V01361"/>
    <x v="313"/>
    <s v="CL0423"/>
    <s v="Client 381"/>
    <x v="0"/>
    <s v="N'Djamena"/>
    <x v="1"/>
    <x v="18"/>
    <n v="4"/>
    <n v="26200"/>
    <n v="16000"/>
    <x v="2"/>
    <x v="3"/>
    <x v="1"/>
    <s v="Livrée"/>
    <x v="110"/>
    <n v="64000"/>
    <n v="40800"/>
    <n v="0.38931297709923662"/>
    <x v="1"/>
  </r>
  <r>
    <s v="V01362"/>
    <x v="270"/>
    <s v="CL0070"/>
    <s v="Client 320"/>
    <x v="0"/>
    <s v="N'Djamena"/>
    <x v="2"/>
    <x v="2"/>
    <n v="8"/>
    <n v="57800"/>
    <n v="39000"/>
    <x v="6"/>
    <x v="3"/>
    <x v="1"/>
    <s v="Livrée"/>
    <x v="233"/>
    <n v="312000"/>
    <n v="150400"/>
    <n v="0.32525951557093424"/>
    <x v="2"/>
  </r>
  <r>
    <s v="V01363"/>
    <x v="156"/>
    <s v="CL0188"/>
    <s v="Client 390"/>
    <x v="4"/>
    <s v="Ati"/>
    <x v="0"/>
    <x v="11"/>
    <n v="1"/>
    <n v="85000"/>
    <n v="62000"/>
    <x v="7"/>
    <x v="3"/>
    <x v="0"/>
    <s v="Livrée"/>
    <x v="123"/>
    <n v="62000"/>
    <n v="23000"/>
    <n v="0.27058823529411763"/>
    <x v="8"/>
  </r>
  <r>
    <s v="V01364"/>
    <x v="250"/>
    <s v="CL0091"/>
    <s v="Client 447"/>
    <x v="6"/>
    <s v="Pala"/>
    <x v="1"/>
    <x v="7"/>
    <n v="5"/>
    <n v="9500"/>
    <n v="6000"/>
    <x v="2"/>
    <x v="3"/>
    <x v="2"/>
    <s v="En cours"/>
    <x v="174"/>
    <n v="30000"/>
    <n v="17500"/>
    <n v="0.36842105263157893"/>
    <x v="4"/>
  </r>
  <r>
    <s v="V01365"/>
    <x v="280"/>
    <s v="CL0347"/>
    <s v="Client 266"/>
    <x v="2"/>
    <s v="Doba"/>
    <x v="2"/>
    <x v="14"/>
    <n v="10"/>
    <n v="95000"/>
    <n v="67900"/>
    <x v="4"/>
    <x v="3"/>
    <x v="1"/>
    <s v="Livrée"/>
    <x v="167"/>
    <n v="679000"/>
    <n v="271000"/>
    <n v="0.28526315789473683"/>
    <x v="9"/>
  </r>
  <r>
    <s v="V01366"/>
    <x v="2"/>
    <s v="CL0053"/>
    <s v="Client 372"/>
    <x v="5"/>
    <s v="N'Djamena"/>
    <x v="1"/>
    <x v="6"/>
    <n v="5"/>
    <n v="11400"/>
    <n v="7300"/>
    <x v="0"/>
    <x v="2"/>
    <x v="2"/>
    <s v="Livrée"/>
    <x v="159"/>
    <n v="36500"/>
    <n v="20500"/>
    <n v="0.35964912280701755"/>
    <x v="2"/>
  </r>
  <r>
    <s v="V01367"/>
    <x v="359"/>
    <s v="CL0491"/>
    <s v="Client 216"/>
    <x v="3"/>
    <s v="Mao"/>
    <x v="2"/>
    <x v="9"/>
    <n v="1"/>
    <n v="180000"/>
    <n v="139000"/>
    <x v="5"/>
    <x v="3"/>
    <x v="2"/>
    <s v="Livrée"/>
    <x v="88"/>
    <n v="139000"/>
    <n v="41000"/>
    <n v="0.22777777777777777"/>
    <x v="3"/>
  </r>
  <r>
    <s v="V01368"/>
    <x v="151"/>
    <s v="CL0381"/>
    <s v="Client 492"/>
    <x v="2"/>
    <s v="Doba"/>
    <x v="1"/>
    <x v="18"/>
    <n v="4"/>
    <n v="23800"/>
    <n v="16000"/>
    <x v="5"/>
    <x v="0"/>
    <x v="1"/>
    <s v="Livrée"/>
    <x v="351"/>
    <n v="64000"/>
    <n v="31200"/>
    <n v="0.32773109243697479"/>
    <x v="5"/>
  </r>
  <r>
    <s v="V01369"/>
    <x v="41"/>
    <s v="CL0131"/>
    <s v="Client 452"/>
    <x v="6"/>
    <s v="Moundou"/>
    <x v="2"/>
    <x v="9"/>
    <n v="5"/>
    <n v="180000"/>
    <n v="131000"/>
    <x v="0"/>
    <x v="2"/>
    <x v="0"/>
    <s v="Livrée"/>
    <x v="101"/>
    <n v="655000"/>
    <n v="245000"/>
    <n v="0.2722222222222222"/>
    <x v="7"/>
  </r>
  <r>
    <s v="V01370"/>
    <x v="48"/>
    <s v="CL0005"/>
    <s v="Client 381"/>
    <x v="0"/>
    <s v="N'Djamena"/>
    <x v="1"/>
    <x v="1"/>
    <n v="3"/>
    <n v="7000"/>
    <n v="4100"/>
    <x v="2"/>
    <x v="2"/>
    <x v="1"/>
    <s v="Livrée"/>
    <x v="1"/>
    <n v="12300"/>
    <n v="8700"/>
    <n v="0.41428571428571431"/>
    <x v="8"/>
  </r>
  <r>
    <s v="V01371"/>
    <x v="44"/>
    <s v="CL0440"/>
    <s v="Client 491"/>
    <x v="3"/>
    <s v="Mao"/>
    <x v="3"/>
    <x v="15"/>
    <n v="3"/>
    <n v="8400"/>
    <n v="5200"/>
    <x v="0"/>
    <x v="3"/>
    <x v="1"/>
    <s v="En cours"/>
    <x v="222"/>
    <n v="15600"/>
    <n v="9600"/>
    <n v="0.38095238095238093"/>
    <x v="10"/>
  </r>
  <r>
    <s v="V01372"/>
    <x v="108"/>
    <s v="CL0434"/>
    <s v="Client 422"/>
    <x v="3"/>
    <s v="Mao"/>
    <x v="1"/>
    <x v="12"/>
    <n v="5"/>
    <n v="30000"/>
    <n v="19600"/>
    <x v="0"/>
    <x v="2"/>
    <x v="0"/>
    <s v="Livrée"/>
    <x v="145"/>
    <n v="98000"/>
    <n v="52000"/>
    <n v="0.34666666666666668"/>
    <x v="11"/>
  </r>
  <r>
    <s v="V01373"/>
    <x v="136"/>
    <s v="CL0059"/>
    <s v="Client 194"/>
    <x v="0"/>
    <s v="N'Djamena"/>
    <x v="0"/>
    <x v="5"/>
    <n v="2"/>
    <n v="231000"/>
    <n v="155200"/>
    <x v="6"/>
    <x v="1"/>
    <x v="1"/>
    <s v="Livrée"/>
    <x v="336"/>
    <n v="310400"/>
    <n v="151600"/>
    <n v="0.32813852813852812"/>
    <x v="7"/>
  </r>
  <r>
    <s v="V01374"/>
    <x v="125"/>
    <s v="CL0152"/>
    <s v="Client 020"/>
    <x v="6"/>
    <s v="Moundou"/>
    <x v="2"/>
    <x v="9"/>
    <n v="10"/>
    <n v="171000"/>
    <n v="139000"/>
    <x v="4"/>
    <x v="2"/>
    <x v="0"/>
    <s v="Livrée"/>
    <x v="265"/>
    <n v="1390000"/>
    <n v="320000"/>
    <n v="0.1871345029239766"/>
    <x v="7"/>
  </r>
  <r>
    <s v="V01375"/>
    <x v="83"/>
    <s v="CL0241"/>
    <s v="Client 361"/>
    <x v="1"/>
    <s v="Abéché"/>
    <x v="1"/>
    <x v="1"/>
    <n v="1"/>
    <n v="6600"/>
    <n v="4000"/>
    <x v="7"/>
    <x v="2"/>
    <x v="2"/>
    <s v="Livrée"/>
    <x v="262"/>
    <n v="4000"/>
    <n v="2600"/>
    <n v="0.39393939393939392"/>
    <x v="3"/>
  </r>
  <r>
    <s v="V01376"/>
    <x v="37"/>
    <s v="CL0316"/>
    <s v="Client 481"/>
    <x v="0"/>
    <s v="N'Djamena"/>
    <x v="0"/>
    <x v="16"/>
    <n v="3"/>
    <n v="140000"/>
    <n v="103000"/>
    <x v="0"/>
    <x v="2"/>
    <x v="0"/>
    <s v="Livrée"/>
    <x v="291"/>
    <n v="309000"/>
    <n v="111000"/>
    <n v="0.26428571428571429"/>
    <x v="7"/>
  </r>
  <r>
    <s v="V01377"/>
    <x v="110"/>
    <s v="CL0336"/>
    <s v="Client 350"/>
    <x v="0"/>
    <s v="N'Djamena"/>
    <x v="3"/>
    <x v="17"/>
    <n v="1"/>
    <n v="17100"/>
    <n v="12500"/>
    <x v="4"/>
    <x v="2"/>
    <x v="0"/>
    <s v="Livrée"/>
    <x v="38"/>
    <n v="12500"/>
    <n v="4600"/>
    <n v="0.26900584795321636"/>
    <x v="2"/>
  </r>
  <r>
    <s v="V01378"/>
    <x v="331"/>
    <s v="CL0173"/>
    <s v="Client 476"/>
    <x v="4"/>
    <s v="Ati"/>
    <x v="1"/>
    <x v="1"/>
    <n v="6"/>
    <n v="7400"/>
    <n v="4100"/>
    <x v="4"/>
    <x v="3"/>
    <x v="0"/>
    <s v="Livrée"/>
    <x v="392"/>
    <n v="24600"/>
    <n v="19800"/>
    <n v="0.44594594594594594"/>
    <x v="10"/>
  </r>
  <r>
    <s v="V01379"/>
    <x v="314"/>
    <s v="CL0422"/>
    <s v="Client 291"/>
    <x v="0"/>
    <s v="N'Djamena"/>
    <x v="1"/>
    <x v="6"/>
    <n v="1"/>
    <n v="12000"/>
    <n v="7300"/>
    <x v="4"/>
    <x v="2"/>
    <x v="1"/>
    <s v="Livrée"/>
    <x v="22"/>
    <n v="7300"/>
    <n v="4700"/>
    <n v="0.39166666666666666"/>
    <x v="8"/>
  </r>
  <r>
    <s v="V01380"/>
    <x v="362"/>
    <s v="CL0143"/>
    <s v="Client 389"/>
    <x v="4"/>
    <s v="Ati"/>
    <x v="2"/>
    <x v="13"/>
    <n v="10"/>
    <n v="168000"/>
    <n v="116400"/>
    <x v="5"/>
    <x v="3"/>
    <x v="1"/>
    <s v="Livrée"/>
    <x v="170"/>
    <n v="1164000"/>
    <n v="516000"/>
    <n v="0.30714285714285716"/>
    <x v="1"/>
  </r>
  <r>
    <s v="V01381"/>
    <x v="160"/>
    <s v="CL0341"/>
    <s v="Client 347"/>
    <x v="6"/>
    <s v="Moundou"/>
    <x v="3"/>
    <x v="15"/>
    <n v="1"/>
    <n v="8000"/>
    <n v="5200"/>
    <x v="7"/>
    <x v="2"/>
    <x v="2"/>
    <s v="Livrée"/>
    <x v="221"/>
    <n v="5200"/>
    <n v="2800"/>
    <n v="0.35"/>
    <x v="11"/>
  </r>
  <r>
    <s v="V01382"/>
    <x v="256"/>
    <s v="CL0221"/>
    <s v="Client 242"/>
    <x v="4"/>
    <s v="Ati"/>
    <x v="3"/>
    <x v="4"/>
    <n v="6"/>
    <n v="8600"/>
    <n v="5800"/>
    <x v="3"/>
    <x v="0"/>
    <x v="0"/>
    <s v="En cours"/>
    <x v="393"/>
    <n v="34800"/>
    <n v="16800"/>
    <n v="0.32558139534883723"/>
    <x v="10"/>
  </r>
  <r>
    <s v="V01383"/>
    <x v="272"/>
    <s v="CL0334"/>
    <s v="Client 041"/>
    <x v="7"/>
    <s v="Bol"/>
    <x v="1"/>
    <x v="7"/>
    <n v="3"/>
    <n v="10000"/>
    <n v="6400"/>
    <x v="3"/>
    <x v="2"/>
    <x v="0"/>
    <s v="Livrée"/>
    <x v="5"/>
    <n v="19200"/>
    <n v="10800"/>
    <n v="0.36"/>
    <x v="5"/>
  </r>
  <r>
    <s v="V01384"/>
    <x v="179"/>
    <s v="CL0228"/>
    <s v="Client 325"/>
    <x v="0"/>
    <s v="N'Djamena"/>
    <x v="2"/>
    <x v="13"/>
    <n v="7"/>
    <n v="160000"/>
    <n v="116400"/>
    <x v="3"/>
    <x v="0"/>
    <x v="1"/>
    <s v="Livrée"/>
    <x v="30"/>
    <n v="814800"/>
    <n v="305200"/>
    <n v="0.27250000000000002"/>
    <x v="7"/>
  </r>
  <r>
    <s v="V01385"/>
    <x v="98"/>
    <s v="CL0253"/>
    <s v="Client 458"/>
    <x v="0"/>
    <s v="N'Djamena"/>
    <x v="3"/>
    <x v="8"/>
    <n v="4"/>
    <n v="6000"/>
    <n v="4300"/>
    <x v="3"/>
    <x v="2"/>
    <x v="2"/>
    <s v="Livrée"/>
    <x v="191"/>
    <n v="17200"/>
    <n v="6800"/>
    <n v="0.28333333333333333"/>
    <x v="9"/>
  </r>
  <r>
    <s v="V01386"/>
    <x v="212"/>
    <s v="CL0277"/>
    <s v="Client 021"/>
    <x v="7"/>
    <s v="Bol"/>
    <x v="2"/>
    <x v="10"/>
    <n v="3"/>
    <n v="450000"/>
    <n v="370000"/>
    <x v="6"/>
    <x v="0"/>
    <x v="1"/>
    <s v="Livrée"/>
    <x v="113"/>
    <n v="1110000"/>
    <n v="240000"/>
    <n v="0.17777777777777778"/>
    <x v="6"/>
  </r>
  <r>
    <s v="V01387"/>
    <x v="318"/>
    <s v="CL0450"/>
    <s v="Client 088"/>
    <x v="0"/>
    <s v="N'Djamena"/>
    <x v="2"/>
    <x v="10"/>
    <n v="3"/>
    <n v="427500"/>
    <n v="358900"/>
    <x v="1"/>
    <x v="3"/>
    <x v="1"/>
    <s v="Livrée"/>
    <x v="257"/>
    <n v="1076700"/>
    <n v="205800"/>
    <n v="0.16046783625730995"/>
    <x v="1"/>
  </r>
  <r>
    <s v="V01388"/>
    <x v="354"/>
    <s v="CL0108"/>
    <s v="Client 067"/>
    <x v="0"/>
    <s v="N'Djamena"/>
    <x v="1"/>
    <x v="6"/>
    <n v="6"/>
    <n v="12000"/>
    <n v="7700"/>
    <x v="2"/>
    <x v="2"/>
    <x v="2"/>
    <s v="Livrée"/>
    <x v="196"/>
    <n v="46200"/>
    <n v="25800"/>
    <n v="0.35833333333333334"/>
    <x v="9"/>
  </r>
  <r>
    <s v="V01389"/>
    <x v="34"/>
    <s v="CL0456"/>
    <s v="Client 144"/>
    <x v="0"/>
    <s v="N'Djamena"/>
    <x v="0"/>
    <x v="16"/>
    <n v="3"/>
    <n v="140000"/>
    <n v="100000"/>
    <x v="0"/>
    <x v="1"/>
    <x v="1"/>
    <s v="Livrée"/>
    <x v="291"/>
    <n v="300000"/>
    <n v="120000"/>
    <n v="0.2857142857142857"/>
    <x v="5"/>
  </r>
  <r>
    <s v="V01390"/>
    <x v="134"/>
    <s v="CL0079"/>
    <s v="Client 303"/>
    <x v="3"/>
    <s v="Mao"/>
    <x v="0"/>
    <x v="16"/>
    <n v="6"/>
    <n v="133000"/>
    <n v="103000"/>
    <x v="4"/>
    <x v="2"/>
    <x v="2"/>
    <s v="Livrée"/>
    <x v="51"/>
    <n v="618000"/>
    <n v="180000"/>
    <n v="0.22556390977443608"/>
    <x v="3"/>
  </r>
  <r>
    <s v="V01391"/>
    <x v="138"/>
    <s v="CL0114"/>
    <s v="Client 156"/>
    <x v="6"/>
    <s v="Pala"/>
    <x v="1"/>
    <x v="18"/>
    <n v="5"/>
    <n v="23800"/>
    <n v="16000"/>
    <x v="7"/>
    <x v="3"/>
    <x v="0"/>
    <s v="En cours"/>
    <x v="223"/>
    <n v="80000"/>
    <n v="39000"/>
    <n v="0.32773109243697479"/>
    <x v="6"/>
  </r>
  <r>
    <s v="V01392"/>
    <x v="189"/>
    <s v="CL0188"/>
    <s v="Client 132"/>
    <x v="0"/>
    <s v="N'Djamena"/>
    <x v="3"/>
    <x v="17"/>
    <n v="1"/>
    <n v="18000"/>
    <n v="12500"/>
    <x v="6"/>
    <x v="2"/>
    <x v="0"/>
    <s v="En cours"/>
    <x v="213"/>
    <n v="12500"/>
    <n v="5500"/>
    <n v="0.30555555555555558"/>
    <x v="6"/>
  </r>
  <r>
    <s v="V01393"/>
    <x v="182"/>
    <s v="CL0488"/>
    <s v="Client 097"/>
    <x v="4"/>
    <s v="Ati"/>
    <x v="2"/>
    <x v="14"/>
    <n v="8"/>
    <n v="95000"/>
    <n v="70000"/>
    <x v="2"/>
    <x v="2"/>
    <x v="0"/>
    <s v="En cours"/>
    <x v="122"/>
    <n v="560000"/>
    <n v="200000"/>
    <n v="0.26315789473684209"/>
    <x v="5"/>
  </r>
  <r>
    <s v="V01394"/>
    <x v="217"/>
    <s v="CL0352"/>
    <s v="Client 098"/>
    <x v="0"/>
    <s v="N'Djamena"/>
    <x v="3"/>
    <x v="3"/>
    <n v="8"/>
    <n v="14200"/>
    <n v="9800"/>
    <x v="7"/>
    <x v="1"/>
    <x v="0"/>
    <s v="Livrée"/>
    <x v="120"/>
    <n v="78400"/>
    <n v="35200"/>
    <n v="0.30985915492957744"/>
    <x v="1"/>
  </r>
  <r>
    <s v="V01395"/>
    <x v="118"/>
    <s v="CL0289"/>
    <s v="Client 236"/>
    <x v="0"/>
    <s v="N'Djamena"/>
    <x v="2"/>
    <x v="2"/>
    <n v="3"/>
    <n v="52200"/>
    <n v="37800"/>
    <x v="2"/>
    <x v="0"/>
    <x v="2"/>
    <s v="Livrée"/>
    <x v="188"/>
    <n v="113400"/>
    <n v="43200"/>
    <n v="0.27586206896551724"/>
    <x v="7"/>
  </r>
  <r>
    <s v="V01396"/>
    <x v="88"/>
    <s v="CL0061"/>
    <s v="Client 272"/>
    <x v="0"/>
    <s v="N'Djamena"/>
    <x v="0"/>
    <x v="0"/>
    <n v="3"/>
    <n v="65000"/>
    <n v="46400"/>
    <x v="1"/>
    <x v="0"/>
    <x v="0"/>
    <s v="Livrée"/>
    <x v="314"/>
    <n v="139200"/>
    <n v="55800"/>
    <n v="0.28615384615384615"/>
    <x v="7"/>
  </r>
  <r>
    <s v="V01397"/>
    <x v="78"/>
    <s v="CL0475"/>
    <s v="Client 394"/>
    <x v="0"/>
    <s v="N'Djamena"/>
    <x v="3"/>
    <x v="3"/>
    <n v="7"/>
    <n v="15000"/>
    <n v="9500"/>
    <x v="0"/>
    <x v="3"/>
    <x v="0"/>
    <s v="Livrée"/>
    <x v="65"/>
    <n v="66500"/>
    <n v="38500"/>
    <n v="0.36666666666666664"/>
    <x v="3"/>
  </r>
  <r>
    <s v="V01398"/>
    <x v="154"/>
    <s v="CL0023"/>
    <s v="Client 362"/>
    <x v="4"/>
    <s v="Ati"/>
    <x v="2"/>
    <x v="2"/>
    <n v="6"/>
    <n v="52200"/>
    <n v="37800"/>
    <x v="6"/>
    <x v="2"/>
    <x v="0"/>
    <s v="Livrée"/>
    <x v="209"/>
    <n v="226800"/>
    <n v="86400"/>
    <n v="0.27586206896551724"/>
    <x v="0"/>
  </r>
  <r>
    <s v="V01399"/>
    <x v="341"/>
    <s v="CL0299"/>
    <s v="Client 378"/>
    <x v="2"/>
    <s v="Doba"/>
    <x v="2"/>
    <x v="13"/>
    <n v="6"/>
    <n v="152000"/>
    <n v="123600"/>
    <x v="0"/>
    <x v="2"/>
    <x v="0"/>
    <s v="Livrée"/>
    <x v="267"/>
    <n v="741600"/>
    <n v="170400"/>
    <n v="0.18684210526315789"/>
    <x v="0"/>
  </r>
  <r>
    <s v="V01400"/>
    <x v="319"/>
    <s v="CL0384"/>
    <s v="Client 341"/>
    <x v="1"/>
    <s v="Abéché"/>
    <x v="2"/>
    <x v="9"/>
    <n v="2"/>
    <n v="180000"/>
    <n v="131000"/>
    <x v="3"/>
    <x v="3"/>
    <x v="2"/>
    <s v="En cours"/>
    <x v="24"/>
    <n v="262000"/>
    <n v="98000"/>
    <n v="0.2722222222222222"/>
    <x v="3"/>
  </r>
  <r>
    <s v="V01401"/>
    <x v="213"/>
    <s v="CL0222"/>
    <s v="Client 495"/>
    <x v="5"/>
    <s v="Massaguet"/>
    <x v="3"/>
    <x v="4"/>
    <n v="2"/>
    <n v="9000"/>
    <n v="5600"/>
    <x v="5"/>
    <x v="2"/>
    <x v="0"/>
    <s v="Annulée"/>
    <x v="213"/>
    <n v="11200"/>
    <n v="6800"/>
    <n v="0.37777777777777777"/>
    <x v="0"/>
  </r>
  <r>
    <s v="V01402"/>
    <x v="141"/>
    <s v="CL0114"/>
    <s v="Client 304"/>
    <x v="1"/>
    <s v="Abéché"/>
    <x v="2"/>
    <x v="9"/>
    <n v="2"/>
    <n v="180000"/>
    <n v="139000"/>
    <x v="2"/>
    <x v="3"/>
    <x v="0"/>
    <s v="Livrée"/>
    <x v="24"/>
    <n v="278000"/>
    <n v="82000"/>
    <n v="0.22777777777777777"/>
    <x v="4"/>
  </r>
  <r>
    <s v="V01403"/>
    <x v="264"/>
    <s v="CL0115"/>
    <s v="Client 030"/>
    <x v="0"/>
    <s v="N'Djamena"/>
    <x v="2"/>
    <x v="9"/>
    <n v="7"/>
    <n v="180000"/>
    <n v="131000"/>
    <x v="2"/>
    <x v="2"/>
    <x v="0"/>
    <s v="Livrée"/>
    <x v="94"/>
    <n v="917000"/>
    <n v="343000"/>
    <n v="0.2722222222222222"/>
    <x v="0"/>
  </r>
  <r>
    <s v="V01404"/>
    <x v="83"/>
    <s v="CL0175"/>
    <s v="Client 047"/>
    <x v="0"/>
    <s v="N'Djamena"/>
    <x v="0"/>
    <x v="5"/>
    <n v="4"/>
    <n v="209000"/>
    <n v="155200"/>
    <x v="5"/>
    <x v="0"/>
    <x v="2"/>
    <s v="Annulée"/>
    <x v="348"/>
    <n v="620800"/>
    <n v="215200"/>
    <n v="0.25741626794258371"/>
    <x v="3"/>
  </r>
  <r>
    <s v="V01405"/>
    <x v="159"/>
    <s v="CL0055"/>
    <s v="Client 012"/>
    <x v="7"/>
    <s v="Bol"/>
    <x v="0"/>
    <x v="16"/>
    <n v="9"/>
    <n v="147000"/>
    <n v="103000"/>
    <x v="2"/>
    <x v="2"/>
    <x v="0"/>
    <s v="Livrée"/>
    <x v="394"/>
    <n v="927000"/>
    <n v="396000"/>
    <n v="0.29931972789115646"/>
    <x v="1"/>
  </r>
  <r>
    <s v="V01406"/>
    <x v="48"/>
    <s v="CL0316"/>
    <s v="Client 244"/>
    <x v="1"/>
    <s v="Abéché"/>
    <x v="1"/>
    <x v="18"/>
    <n v="7"/>
    <n v="23800"/>
    <n v="16000"/>
    <x v="6"/>
    <x v="3"/>
    <x v="0"/>
    <s v="Livrée"/>
    <x v="395"/>
    <n v="112000"/>
    <n v="54600"/>
    <n v="0.32773109243697479"/>
    <x v="8"/>
  </r>
  <r>
    <s v="V01407"/>
    <x v="264"/>
    <s v="CL0410"/>
    <s v="Client 341"/>
    <x v="0"/>
    <s v="N'Djamena"/>
    <x v="3"/>
    <x v="17"/>
    <n v="6"/>
    <n v="17100"/>
    <n v="12500"/>
    <x v="5"/>
    <x v="2"/>
    <x v="2"/>
    <s v="Livrée"/>
    <x v="396"/>
    <n v="75000"/>
    <n v="27600"/>
    <n v="0.26900584795321636"/>
    <x v="0"/>
  </r>
  <r>
    <s v="V01408"/>
    <x v="261"/>
    <s v="CL0047"/>
    <s v="Client 376"/>
    <x v="0"/>
    <s v="N'Djamena"/>
    <x v="2"/>
    <x v="10"/>
    <n v="6"/>
    <n v="427500"/>
    <n v="358900"/>
    <x v="6"/>
    <x v="3"/>
    <x v="0"/>
    <s v="Livrée"/>
    <x v="397"/>
    <n v="2153400"/>
    <n v="411600"/>
    <n v="0.16046783625730995"/>
    <x v="7"/>
  </r>
  <r>
    <s v="V01409"/>
    <x v="173"/>
    <s v="CL0134"/>
    <s v="Client 348"/>
    <x v="6"/>
    <s v="Moundou"/>
    <x v="2"/>
    <x v="13"/>
    <n v="8"/>
    <n v="152000"/>
    <n v="120000"/>
    <x v="3"/>
    <x v="0"/>
    <x v="1"/>
    <s v="Livrée"/>
    <x v="180"/>
    <n v="960000"/>
    <n v="256000"/>
    <n v="0.21052631578947367"/>
    <x v="2"/>
  </r>
  <r>
    <s v="V01410"/>
    <x v="73"/>
    <s v="CL0006"/>
    <s v="Client 364"/>
    <x v="1"/>
    <s v="Abéché"/>
    <x v="3"/>
    <x v="15"/>
    <n v="5"/>
    <n v="8000"/>
    <n v="5200"/>
    <x v="0"/>
    <x v="2"/>
    <x v="1"/>
    <s v="En cours"/>
    <x v="294"/>
    <n v="26000"/>
    <n v="14000"/>
    <n v="0.35"/>
    <x v="10"/>
  </r>
  <r>
    <s v="V01411"/>
    <x v="278"/>
    <s v="CL0020"/>
    <s v="Client 011"/>
    <x v="0"/>
    <s v="N'Djamena"/>
    <x v="1"/>
    <x v="6"/>
    <n v="9"/>
    <n v="12000"/>
    <n v="7700"/>
    <x v="7"/>
    <x v="3"/>
    <x v="1"/>
    <s v="Livrée"/>
    <x v="124"/>
    <n v="69300"/>
    <n v="38700"/>
    <n v="0.35833333333333334"/>
    <x v="1"/>
  </r>
  <r>
    <s v="V01412"/>
    <x v="51"/>
    <s v="CL0018"/>
    <s v="Client 149"/>
    <x v="6"/>
    <s v="Moundou"/>
    <x v="2"/>
    <x v="2"/>
    <n v="9"/>
    <n v="52200"/>
    <n v="37800"/>
    <x v="7"/>
    <x v="1"/>
    <x v="0"/>
    <s v="Annulée"/>
    <x v="389"/>
    <n v="340200"/>
    <n v="129600"/>
    <n v="0.27586206896551724"/>
    <x v="0"/>
  </r>
  <r>
    <s v="V01413"/>
    <x v="95"/>
    <s v="CL0356"/>
    <s v="Client 146"/>
    <x v="7"/>
    <s v="Bol"/>
    <x v="3"/>
    <x v="4"/>
    <n v="2"/>
    <n v="9400"/>
    <n v="5600"/>
    <x v="3"/>
    <x v="2"/>
    <x v="0"/>
    <s v="Annulée"/>
    <x v="374"/>
    <n v="11200"/>
    <n v="7600"/>
    <n v="0.40425531914893614"/>
    <x v="11"/>
  </r>
  <r>
    <s v="V01414"/>
    <x v="82"/>
    <s v="CL0292"/>
    <s v="Client 118"/>
    <x v="0"/>
    <s v="N'Djamena"/>
    <x v="3"/>
    <x v="15"/>
    <n v="2"/>
    <n v="7600"/>
    <n v="5200"/>
    <x v="2"/>
    <x v="1"/>
    <x v="0"/>
    <s v="Livrée"/>
    <x v="398"/>
    <n v="10400"/>
    <n v="4800"/>
    <n v="0.31578947368421051"/>
    <x v="11"/>
  </r>
  <r>
    <s v="V01415"/>
    <x v="218"/>
    <s v="CL0236"/>
    <s v="Client 288"/>
    <x v="1"/>
    <s v="Abéché"/>
    <x v="0"/>
    <x v="0"/>
    <n v="2"/>
    <n v="65000"/>
    <n v="46400"/>
    <x v="3"/>
    <x v="2"/>
    <x v="2"/>
    <s v="Livrée"/>
    <x v="177"/>
    <n v="92800"/>
    <n v="37200"/>
    <n v="0.28615384615384615"/>
    <x v="8"/>
  </r>
  <r>
    <s v="V01416"/>
    <x v="64"/>
    <s v="CL0270"/>
    <s v="Client 424"/>
    <x v="5"/>
    <s v="Massaguet"/>
    <x v="0"/>
    <x v="11"/>
    <n v="5"/>
    <n v="85000"/>
    <n v="60100"/>
    <x v="3"/>
    <x v="3"/>
    <x v="2"/>
    <s v="Livrée"/>
    <x v="53"/>
    <n v="300500"/>
    <n v="124500"/>
    <n v="0.29294117647058826"/>
    <x v="10"/>
  </r>
  <r>
    <s v="V01417"/>
    <x v="163"/>
    <s v="CL0145"/>
    <s v="Client 488"/>
    <x v="7"/>
    <s v="Bol"/>
    <x v="2"/>
    <x v="9"/>
    <n v="5"/>
    <n v="189000"/>
    <n v="135000"/>
    <x v="6"/>
    <x v="1"/>
    <x v="2"/>
    <s v="Livrée"/>
    <x v="79"/>
    <n v="675000"/>
    <n v="270000"/>
    <n v="0.2857142857142857"/>
    <x v="10"/>
  </r>
  <r>
    <s v="V01418"/>
    <x v="325"/>
    <s v="CL0391"/>
    <s v="Client 205"/>
    <x v="4"/>
    <s v="Ati"/>
    <x v="3"/>
    <x v="8"/>
    <n v="4"/>
    <n v="6000"/>
    <n v="4100"/>
    <x v="2"/>
    <x v="2"/>
    <x v="1"/>
    <s v="Livrée"/>
    <x v="191"/>
    <n v="16400"/>
    <n v="7600"/>
    <n v="0.31666666666666665"/>
    <x v="9"/>
  </r>
  <r>
    <s v="V01419"/>
    <x v="136"/>
    <s v="CL0439"/>
    <s v="Client 474"/>
    <x v="3"/>
    <s v="Mao"/>
    <x v="2"/>
    <x v="13"/>
    <n v="7"/>
    <n v="168000"/>
    <n v="116400"/>
    <x v="6"/>
    <x v="3"/>
    <x v="0"/>
    <s v="Livrée"/>
    <x v="117"/>
    <n v="814800"/>
    <n v="361200"/>
    <n v="0.30714285714285716"/>
    <x v="7"/>
  </r>
  <r>
    <s v="V01420"/>
    <x v="329"/>
    <s v="CL0124"/>
    <s v="Client 084"/>
    <x v="0"/>
    <s v="N'Djamena"/>
    <x v="2"/>
    <x v="2"/>
    <n v="7"/>
    <n v="55000"/>
    <n v="39000"/>
    <x v="3"/>
    <x v="2"/>
    <x v="1"/>
    <s v="Livrée"/>
    <x v="206"/>
    <n v="273000"/>
    <n v="112000"/>
    <n v="0.29090909090909089"/>
    <x v="9"/>
  </r>
  <r>
    <s v="V01421"/>
    <x v="185"/>
    <s v="CL0101"/>
    <s v="Client 459"/>
    <x v="7"/>
    <s v="Bol"/>
    <x v="3"/>
    <x v="4"/>
    <n v="10"/>
    <n v="9000"/>
    <n v="5800"/>
    <x v="5"/>
    <x v="1"/>
    <x v="1"/>
    <s v="Livrée"/>
    <x v="185"/>
    <n v="58000"/>
    <n v="32000"/>
    <n v="0.35555555555555557"/>
    <x v="5"/>
  </r>
  <r>
    <s v="V01422"/>
    <x v="17"/>
    <s v="CL0478"/>
    <s v="Client 149"/>
    <x v="7"/>
    <s v="Bol"/>
    <x v="0"/>
    <x v="0"/>
    <n v="7"/>
    <n v="68200"/>
    <n v="43600"/>
    <x v="4"/>
    <x v="2"/>
    <x v="0"/>
    <s v="Livrée"/>
    <x v="153"/>
    <n v="305200"/>
    <n v="172200"/>
    <n v="0.36070381231671556"/>
    <x v="6"/>
  </r>
  <r>
    <s v="V01423"/>
    <x v="131"/>
    <s v="CL0391"/>
    <s v="Client 011"/>
    <x v="0"/>
    <s v="N'Djamena"/>
    <x v="3"/>
    <x v="4"/>
    <n v="7"/>
    <n v="9000"/>
    <n v="6000"/>
    <x v="0"/>
    <x v="0"/>
    <x v="0"/>
    <s v="Livrée"/>
    <x v="74"/>
    <n v="42000"/>
    <n v="21000"/>
    <n v="0.33333333333333331"/>
    <x v="1"/>
  </r>
  <r>
    <s v="V01424"/>
    <x v="21"/>
    <s v="CL0290"/>
    <s v="Client 183"/>
    <x v="1"/>
    <s v="Abéché"/>
    <x v="2"/>
    <x v="14"/>
    <n v="6"/>
    <n v="90200"/>
    <n v="67900"/>
    <x v="7"/>
    <x v="2"/>
    <x v="2"/>
    <s v="Livrée"/>
    <x v="192"/>
    <n v="407400"/>
    <n v="133800"/>
    <n v="0.24722838137472283"/>
    <x v="9"/>
  </r>
  <r>
    <s v="V01425"/>
    <x v="165"/>
    <s v="CL0382"/>
    <s v="Client 478"/>
    <x v="0"/>
    <s v="N'Djamena"/>
    <x v="3"/>
    <x v="3"/>
    <n v="6"/>
    <n v="14200"/>
    <n v="9500"/>
    <x v="2"/>
    <x v="2"/>
    <x v="2"/>
    <s v="Livrée"/>
    <x v="34"/>
    <n v="57000"/>
    <n v="28200"/>
    <n v="0.33098591549295775"/>
    <x v="5"/>
  </r>
  <r>
    <s v="V01426"/>
    <x v="192"/>
    <s v="CL0285"/>
    <s v="Client 452"/>
    <x v="0"/>
    <s v="N'Djamena"/>
    <x v="2"/>
    <x v="13"/>
    <n v="2"/>
    <n v="160000"/>
    <n v="123600"/>
    <x v="3"/>
    <x v="2"/>
    <x v="0"/>
    <s v="En cours"/>
    <x v="149"/>
    <n v="247200"/>
    <n v="72800"/>
    <n v="0.22750000000000001"/>
    <x v="6"/>
  </r>
  <r>
    <s v="V01427"/>
    <x v="114"/>
    <s v="CL0173"/>
    <s v="Client 399"/>
    <x v="6"/>
    <s v="Pala"/>
    <x v="1"/>
    <x v="1"/>
    <n v="3"/>
    <n v="7000"/>
    <n v="3900"/>
    <x v="7"/>
    <x v="2"/>
    <x v="0"/>
    <s v="Livrée"/>
    <x v="1"/>
    <n v="11700"/>
    <n v="9300"/>
    <n v="0.44285714285714284"/>
    <x v="7"/>
  </r>
  <r>
    <s v="V01428"/>
    <x v="257"/>
    <s v="CL0316"/>
    <s v="Client 267"/>
    <x v="4"/>
    <s v="Ati"/>
    <x v="2"/>
    <x v="9"/>
    <n v="4"/>
    <n v="189000"/>
    <n v="139000"/>
    <x v="3"/>
    <x v="2"/>
    <x v="0"/>
    <s v="Livrée"/>
    <x v="134"/>
    <n v="556000"/>
    <n v="200000"/>
    <n v="0.26455026455026454"/>
    <x v="5"/>
  </r>
  <r>
    <s v="V01429"/>
    <x v="225"/>
    <s v="CL0165"/>
    <s v="Client 304"/>
    <x v="5"/>
    <s v="Massaguet"/>
    <x v="1"/>
    <x v="6"/>
    <n v="4"/>
    <n v="12000"/>
    <n v="7500"/>
    <x v="0"/>
    <x v="2"/>
    <x v="0"/>
    <s v="Livrée"/>
    <x v="36"/>
    <n v="30000"/>
    <n v="18000"/>
    <n v="0.375"/>
    <x v="0"/>
  </r>
  <r>
    <s v="V01430"/>
    <x v="149"/>
    <s v="CL0283"/>
    <s v="Client 302"/>
    <x v="5"/>
    <s v="Massaguet"/>
    <x v="1"/>
    <x v="18"/>
    <n v="10"/>
    <n v="26200"/>
    <n v="16500"/>
    <x v="3"/>
    <x v="2"/>
    <x v="2"/>
    <s v="Annulée"/>
    <x v="52"/>
    <n v="165000"/>
    <n v="97000"/>
    <n v="0.37022900763358779"/>
    <x v="9"/>
  </r>
  <r>
    <s v="V01431"/>
    <x v="49"/>
    <s v="CL0011"/>
    <s v="Client 124"/>
    <x v="6"/>
    <s v="Moundou"/>
    <x v="2"/>
    <x v="10"/>
    <n v="10"/>
    <n v="450000"/>
    <n v="358900"/>
    <x v="3"/>
    <x v="1"/>
    <x v="2"/>
    <s v="Livrée"/>
    <x v="261"/>
    <n v="3589000"/>
    <n v="911000"/>
    <n v="0.20244444444444445"/>
    <x v="11"/>
  </r>
  <r>
    <s v="V01432"/>
    <x v="147"/>
    <s v="CL0130"/>
    <s v="Client 002"/>
    <x v="6"/>
    <s v="Moundou"/>
    <x v="2"/>
    <x v="14"/>
    <n v="4"/>
    <n v="95000"/>
    <n v="72100"/>
    <x v="1"/>
    <x v="2"/>
    <x v="1"/>
    <s v="Livrée"/>
    <x v="89"/>
    <n v="288400"/>
    <n v="91600"/>
    <n v="0.24105263157894738"/>
    <x v="2"/>
  </r>
  <r>
    <s v="V01433"/>
    <x v="293"/>
    <s v="CL0041"/>
    <s v="Client 018"/>
    <x v="1"/>
    <s v="Abéché"/>
    <x v="2"/>
    <x v="2"/>
    <n v="10"/>
    <n v="52200"/>
    <n v="40200"/>
    <x v="4"/>
    <x v="2"/>
    <x v="0"/>
    <s v="Livrée"/>
    <x v="235"/>
    <n v="402000"/>
    <n v="120000"/>
    <n v="0.22988505747126436"/>
    <x v="4"/>
  </r>
  <r>
    <s v="V01434"/>
    <x v="3"/>
    <s v="CL0471"/>
    <s v="Client 118"/>
    <x v="3"/>
    <s v="Mao"/>
    <x v="2"/>
    <x v="10"/>
    <n v="2"/>
    <n v="472500"/>
    <n v="358900"/>
    <x v="7"/>
    <x v="3"/>
    <x v="2"/>
    <s v="Livrée"/>
    <x v="79"/>
    <n v="717800"/>
    <n v="227200"/>
    <n v="0.24042328042328043"/>
    <x v="3"/>
  </r>
  <r>
    <s v="V01435"/>
    <x v="35"/>
    <s v="CL0098"/>
    <s v="Client 418"/>
    <x v="1"/>
    <s v="Abéché"/>
    <x v="2"/>
    <x v="10"/>
    <n v="3"/>
    <n v="450000"/>
    <n v="358900"/>
    <x v="0"/>
    <x v="2"/>
    <x v="2"/>
    <s v="Livrée"/>
    <x v="113"/>
    <n v="1076700"/>
    <n v="273300"/>
    <n v="0.20244444444444445"/>
    <x v="0"/>
  </r>
  <r>
    <s v="V01436"/>
    <x v="321"/>
    <s v="CL0151"/>
    <s v="Client 102"/>
    <x v="3"/>
    <s v="Mao"/>
    <x v="3"/>
    <x v="3"/>
    <n v="5"/>
    <n v="14200"/>
    <n v="9800"/>
    <x v="4"/>
    <x v="3"/>
    <x v="1"/>
    <s v="Livrée"/>
    <x v="399"/>
    <n v="49000"/>
    <n v="22000"/>
    <n v="0.30985915492957744"/>
    <x v="3"/>
  </r>
  <r>
    <s v="V01437"/>
    <x v="323"/>
    <s v="CL0490"/>
    <s v="Client 372"/>
    <x v="6"/>
    <s v="Moundou"/>
    <x v="0"/>
    <x v="0"/>
    <n v="10"/>
    <n v="68200"/>
    <n v="43600"/>
    <x v="3"/>
    <x v="1"/>
    <x v="2"/>
    <s v="Livrée"/>
    <x v="400"/>
    <n v="436000"/>
    <n v="246000"/>
    <n v="0.36070381231671556"/>
    <x v="0"/>
  </r>
  <r>
    <s v="V01438"/>
    <x v="153"/>
    <s v="CL0343"/>
    <s v="Client 168"/>
    <x v="6"/>
    <s v="Moundou"/>
    <x v="1"/>
    <x v="12"/>
    <n v="8"/>
    <n v="30000"/>
    <n v="18400"/>
    <x v="5"/>
    <x v="0"/>
    <x v="1"/>
    <s v="Livrée"/>
    <x v="371"/>
    <n v="147200"/>
    <n v="92800"/>
    <n v="0.38666666666666666"/>
    <x v="11"/>
  </r>
  <r>
    <s v="V01439"/>
    <x v="357"/>
    <s v="CL0095"/>
    <s v="Client 107"/>
    <x v="2"/>
    <s v="Doba"/>
    <x v="0"/>
    <x v="16"/>
    <n v="9"/>
    <n v="140000"/>
    <n v="97000"/>
    <x v="5"/>
    <x v="1"/>
    <x v="0"/>
    <s v="En cours"/>
    <x v="94"/>
    <n v="873000"/>
    <n v="387000"/>
    <n v="0.30714285714285716"/>
    <x v="9"/>
  </r>
  <r>
    <s v="V01440"/>
    <x v="328"/>
    <s v="CL0086"/>
    <s v="Client 030"/>
    <x v="6"/>
    <s v="Pala"/>
    <x v="3"/>
    <x v="3"/>
    <n v="5"/>
    <n v="14200"/>
    <n v="9500"/>
    <x v="0"/>
    <x v="2"/>
    <x v="0"/>
    <s v="Livrée"/>
    <x v="399"/>
    <n v="47500"/>
    <n v="23500"/>
    <n v="0.33098591549295775"/>
    <x v="2"/>
  </r>
  <r>
    <s v="V01441"/>
    <x v="214"/>
    <s v="CL0007"/>
    <s v="Client 310"/>
    <x v="1"/>
    <s v="Abéché"/>
    <x v="3"/>
    <x v="17"/>
    <n v="10"/>
    <n v="18000"/>
    <n v="12500"/>
    <x v="4"/>
    <x v="2"/>
    <x v="1"/>
    <s v="Livrée"/>
    <x v="88"/>
    <n v="125000"/>
    <n v="55000"/>
    <n v="0.30555555555555558"/>
    <x v="3"/>
  </r>
  <r>
    <s v="V01442"/>
    <x v="303"/>
    <s v="CL0472"/>
    <s v="Client 471"/>
    <x v="0"/>
    <s v="N'Djamena"/>
    <x v="2"/>
    <x v="13"/>
    <n v="10"/>
    <n v="168000"/>
    <n v="123600"/>
    <x v="4"/>
    <x v="3"/>
    <x v="1"/>
    <s v="Livrée"/>
    <x v="170"/>
    <n v="1236000"/>
    <n v="444000"/>
    <n v="0.26428571428571429"/>
    <x v="3"/>
  </r>
  <r>
    <s v="V01443"/>
    <x v="236"/>
    <s v="CL0055"/>
    <s v="Client 221"/>
    <x v="7"/>
    <s v="Bol"/>
    <x v="2"/>
    <x v="2"/>
    <n v="4"/>
    <n v="52200"/>
    <n v="37800"/>
    <x v="5"/>
    <x v="3"/>
    <x v="1"/>
    <s v="Livrée"/>
    <x v="198"/>
    <n v="151200"/>
    <n v="57600"/>
    <n v="0.27586206896551724"/>
    <x v="8"/>
  </r>
  <r>
    <s v="V01444"/>
    <x v="21"/>
    <s v="CL0406"/>
    <s v="Client 361"/>
    <x v="4"/>
    <s v="Ati"/>
    <x v="2"/>
    <x v="10"/>
    <n v="8"/>
    <n v="427500"/>
    <n v="370000"/>
    <x v="2"/>
    <x v="2"/>
    <x v="1"/>
    <s v="Annulée"/>
    <x v="349"/>
    <n v="2960000"/>
    <n v="460000"/>
    <n v="0.13450292397660818"/>
    <x v="9"/>
  </r>
  <r>
    <s v="V01445"/>
    <x v="335"/>
    <s v="CL0317"/>
    <s v="Client 357"/>
    <x v="6"/>
    <s v="Pala"/>
    <x v="3"/>
    <x v="15"/>
    <n v="6"/>
    <n v="8000"/>
    <n v="5200"/>
    <x v="3"/>
    <x v="1"/>
    <x v="1"/>
    <s v="Livrée"/>
    <x v="36"/>
    <n v="31200"/>
    <n v="16800"/>
    <n v="0.35"/>
    <x v="2"/>
  </r>
  <r>
    <s v="V01446"/>
    <x v="248"/>
    <s v="CL0465"/>
    <s v="Client 093"/>
    <x v="5"/>
    <s v="Massaguet"/>
    <x v="3"/>
    <x v="8"/>
    <n v="8"/>
    <n v="6000"/>
    <n v="4100"/>
    <x v="5"/>
    <x v="2"/>
    <x v="0"/>
    <s v="En cours"/>
    <x v="36"/>
    <n v="32800"/>
    <n v="15200"/>
    <n v="0.31666666666666665"/>
    <x v="2"/>
  </r>
  <r>
    <s v="V01447"/>
    <x v="145"/>
    <s v="CL0042"/>
    <s v="Client 306"/>
    <x v="4"/>
    <s v="Ati"/>
    <x v="2"/>
    <x v="13"/>
    <n v="7"/>
    <n v="168000"/>
    <n v="116400"/>
    <x v="5"/>
    <x v="0"/>
    <x v="0"/>
    <s v="Livrée"/>
    <x v="117"/>
    <n v="814800"/>
    <n v="361200"/>
    <n v="0.30714285714285716"/>
    <x v="7"/>
  </r>
  <r>
    <s v="V01448"/>
    <x v="171"/>
    <s v="CL0444"/>
    <s v="Client 428"/>
    <x v="6"/>
    <s v="Moundou"/>
    <x v="3"/>
    <x v="8"/>
    <n v="2"/>
    <n v="6300"/>
    <n v="4100"/>
    <x v="5"/>
    <x v="2"/>
    <x v="1"/>
    <s v="Livrée"/>
    <x v="295"/>
    <n v="8200"/>
    <n v="4400"/>
    <n v="0.34920634920634919"/>
    <x v="10"/>
  </r>
  <r>
    <s v="V01449"/>
    <x v="121"/>
    <s v="CL0376"/>
    <s v="Client 153"/>
    <x v="0"/>
    <s v="N'Djamena"/>
    <x v="3"/>
    <x v="3"/>
    <n v="5"/>
    <n v="15800"/>
    <n v="9200"/>
    <x v="1"/>
    <x v="0"/>
    <x v="0"/>
    <s v="Livrée"/>
    <x v="322"/>
    <n v="46000"/>
    <n v="33000"/>
    <n v="0.41772151898734178"/>
    <x v="11"/>
  </r>
  <r>
    <s v="V01450"/>
    <x v="187"/>
    <s v="CL0419"/>
    <s v="Client 195"/>
    <x v="0"/>
    <s v="N'Djamena"/>
    <x v="0"/>
    <x v="11"/>
    <n v="4"/>
    <n v="80800"/>
    <n v="60100"/>
    <x v="6"/>
    <x v="3"/>
    <x v="1"/>
    <s v="Livrée"/>
    <x v="217"/>
    <n v="240400"/>
    <n v="82800"/>
    <n v="0.25618811881188119"/>
    <x v="8"/>
  </r>
  <r>
    <s v="V01451"/>
    <x v="7"/>
    <s v="CL0080"/>
    <s v="Client 056"/>
    <x v="0"/>
    <s v="N'Djamena"/>
    <x v="0"/>
    <x v="0"/>
    <n v="5"/>
    <n v="65000"/>
    <n v="45000"/>
    <x v="2"/>
    <x v="1"/>
    <x v="2"/>
    <s v="Livrée"/>
    <x v="379"/>
    <n v="225000"/>
    <n v="100000"/>
    <n v="0.30769230769230771"/>
    <x v="1"/>
  </r>
  <r>
    <s v="V01452"/>
    <x v="54"/>
    <s v="CL0248"/>
    <s v="Client 218"/>
    <x v="0"/>
    <s v="N'Djamena"/>
    <x v="2"/>
    <x v="14"/>
    <n v="3"/>
    <n v="95000"/>
    <n v="72100"/>
    <x v="3"/>
    <x v="1"/>
    <x v="0"/>
    <s v="Livrée"/>
    <x v="40"/>
    <n v="216300"/>
    <n v="68700"/>
    <n v="0.24105263157894738"/>
    <x v="8"/>
  </r>
  <r>
    <s v="V01453"/>
    <x v="311"/>
    <s v="CL0194"/>
    <s v="Client 219"/>
    <x v="0"/>
    <s v="N'Djamena"/>
    <x v="2"/>
    <x v="13"/>
    <n v="2"/>
    <n v="160000"/>
    <n v="123600"/>
    <x v="4"/>
    <x v="3"/>
    <x v="2"/>
    <s v="Livrée"/>
    <x v="149"/>
    <n v="247200"/>
    <n v="72800"/>
    <n v="0.22750000000000001"/>
    <x v="10"/>
  </r>
  <r>
    <s v="V01454"/>
    <x v="118"/>
    <s v="CL0253"/>
    <s v="Client 446"/>
    <x v="4"/>
    <s v="Ati"/>
    <x v="2"/>
    <x v="9"/>
    <n v="5"/>
    <n v="180000"/>
    <n v="135000"/>
    <x v="6"/>
    <x v="0"/>
    <x v="0"/>
    <s v="En cours"/>
    <x v="101"/>
    <n v="675000"/>
    <n v="225000"/>
    <n v="0.25"/>
    <x v="7"/>
  </r>
  <r>
    <s v="V01455"/>
    <x v="45"/>
    <s v="CL0057"/>
    <s v="Client 410"/>
    <x v="0"/>
    <s v="N'Djamena"/>
    <x v="2"/>
    <x v="9"/>
    <n v="7"/>
    <n v="180000"/>
    <n v="139000"/>
    <x v="5"/>
    <x v="0"/>
    <x v="1"/>
    <s v="Livrée"/>
    <x v="94"/>
    <n v="973000"/>
    <n v="287000"/>
    <n v="0.22777777777777777"/>
    <x v="10"/>
  </r>
  <r>
    <s v="V01456"/>
    <x v="272"/>
    <s v="CL0452"/>
    <s v="Client 088"/>
    <x v="0"/>
    <s v="N'Djamena"/>
    <x v="1"/>
    <x v="18"/>
    <n v="4"/>
    <n v="26200"/>
    <n v="16500"/>
    <x v="6"/>
    <x v="0"/>
    <x v="1"/>
    <s v="Livrée"/>
    <x v="110"/>
    <n v="66000"/>
    <n v="38800"/>
    <n v="0.37022900763358779"/>
    <x v="5"/>
  </r>
  <r>
    <s v="V01457"/>
    <x v="144"/>
    <s v="CL0144"/>
    <s v="Client 218"/>
    <x v="0"/>
    <s v="N'Djamena"/>
    <x v="0"/>
    <x v="5"/>
    <n v="10"/>
    <n v="220000"/>
    <n v="164800"/>
    <x v="0"/>
    <x v="3"/>
    <x v="0"/>
    <s v="Annulée"/>
    <x v="6"/>
    <n v="1648000"/>
    <n v="552000"/>
    <n v="0.25090909090909091"/>
    <x v="11"/>
  </r>
  <r>
    <s v="V01458"/>
    <x v="102"/>
    <s v="CL0141"/>
    <s v="Client 430"/>
    <x v="5"/>
    <s v="Massaguet"/>
    <x v="3"/>
    <x v="8"/>
    <n v="4"/>
    <n v="5700"/>
    <n v="4300"/>
    <x v="0"/>
    <x v="2"/>
    <x v="2"/>
    <s v="Livrée"/>
    <x v="9"/>
    <n v="17200"/>
    <n v="5600"/>
    <n v="0.24561403508771928"/>
    <x v="8"/>
  </r>
  <r>
    <s v="V01459"/>
    <x v="7"/>
    <s v="CL0114"/>
    <s v="Client 404"/>
    <x v="0"/>
    <s v="N'Djamena"/>
    <x v="2"/>
    <x v="10"/>
    <n v="7"/>
    <n v="472500"/>
    <n v="370000"/>
    <x v="4"/>
    <x v="3"/>
    <x v="2"/>
    <s v="Livrée"/>
    <x v="401"/>
    <n v="2590000"/>
    <n v="717500"/>
    <n v="0.21693121693121692"/>
    <x v="1"/>
  </r>
  <r>
    <s v="V01460"/>
    <x v="306"/>
    <s v="CL0123"/>
    <s v="Client 253"/>
    <x v="0"/>
    <s v="N'Djamena"/>
    <x v="3"/>
    <x v="8"/>
    <n v="8"/>
    <n v="6300"/>
    <n v="4300"/>
    <x v="7"/>
    <x v="2"/>
    <x v="1"/>
    <s v="Livrée"/>
    <x v="297"/>
    <n v="34400"/>
    <n v="16000"/>
    <n v="0.31746031746031744"/>
    <x v="11"/>
  </r>
  <r>
    <s v="V01461"/>
    <x v="292"/>
    <s v="CL0118"/>
    <s v="Client 187"/>
    <x v="5"/>
    <s v="Massaguet"/>
    <x v="3"/>
    <x v="8"/>
    <n v="8"/>
    <n v="5700"/>
    <n v="4200"/>
    <x v="7"/>
    <x v="3"/>
    <x v="1"/>
    <s v="Livrée"/>
    <x v="7"/>
    <n v="33600"/>
    <n v="12000"/>
    <n v="0.26315789473684209"/>
    <x v="8"/>
  </r>
  <r>
    <s v="V01462"/>
    <x v="321"/>
    <s v="CL0011"/>
    <s v="Client 030"/>
    <x v="3"/>
    <s v="Mao"/>
    <x v="1"/>
    <x v="6"/>
    <n v="1"/>
    <n v="12000"/>
    <n v="7700"/>
    <x v="5"/>
    <x v="3"/>
    <x v="1"/>
    <s v="Livrée"/>
    <x v="22"/>
    <n v="7700"/>
    <n v="4300"/>
    <n v="0.35833333333333334"/>
    <x v="3"/>
  </r>
  <r>
    <s v="V01463"/>
    <x v="40"/>
    <s v="CL0430"/>
    <s v="Client 124"/>
    <x v="1"/>
    <s v="Abéché"/>
    <x v="2"/>
    <x v="13"/>
    <n v="6"/>
    <n v="168000"/>
    <n v="123600"/>
    <x v="4"/>
    <x v="1"/>
    <x v="2"/>
    <s v="Livrée"/>
    <x v="141"/>
    <n v="741600"/>
    <n v="266400"/>
    <n v="0.26428571428571429"/>
    <x v="3"/>
  </r>
  <r>
    <s v="V01464"/>
    <x v="318"/>
    <s v="CL0408"/>
    <s v="Client 195"/>
    <x v="7"/>
    <s v="Bol"/>
    <x v="2"/>
    <x v="13"/>
    <n v="6"/>
    <n v="160000"/>
    <n v="116400"/>
    <x v="7"/>
    <x v="1"/>
    <x v="0"/>
    <s v="Livrée"/>
    <x v="98"/>
    <n v="698400"/>
    <n v="261600"/>
    <n v="0.27250000000000002"/>
    <x v="1"/>
  </r>
  <r>
    <s v="V01465"/>
    <x v="350"/>
    <s v="CL0198"/>
    <s v="Client 388"/>
    <x v="6"/>
    <s v="Pala"/>
    <x v="2"/>
    <x v="10"/>
    <n v="8"/>
    <n v="427500"/>
    <n v="358900"/>
    <x v="3"/>
    <x v="2"/>
    <x v="0"/>
    <s v="Annulée"/>
    <x v="349"/>
    <n v="2871200"/>
    <n v="548800"/>
    <n v="0.16046783625730995"/>
    <x v="0"/>
  </r>
  <r>
    <s v="V01466"/>
    <x v="173"/>
    <s v="CL0411"/>
    <s v="Client 450"/>
    <x v="0"/>
    <s v="N'Djamena"/>
    <x v="2"/>
    <x v="9"/>
    <n v="8"/>
    <n v="180000"/>
    <n v="135000"/>
    <x v="3"/>
    <x v="2"/>
    <x v="0"/>
    <s v="Livrée"/>
    <x v="157"/>
    <n v="1080000"/>
    <n v="360000"/>
    <n v="0.25"/>
    <x v="2"/>
  </r>
  <r>
    <s v="V01467"/>
    <x v="271"/>
    <s v="CL0447"/>
    <s v="Client 268"/>
    <x v="7"/>
    <s v="Bol"/>
    <x v="0"/>
    <x v="16"/>
    <n v="8"/>
    <n v="147000"/>
    <n v="100000"/>
    <x v="0"/>
    <x v="2"/>
    <x v="1"/>
    <s v="Livrée"/>
    <x v="117"/>
    <n v="800000"/>
    <n v="376000"/>
    <n v="0.31972789115646261"/>
    <x v="5"/>
  </r>
  <r>
    <s v="V01468"/>
    <x v="61"/>
    <s v="CL0116"/>
    <s v="Client 091"/>
    <x v="6"/>
    <s v="Moundou"/>
    <x v="3"/>
    <x v="3"/>
    <n v="1"/>
    <n v="15800"/>
    <n v="9200"/>
    <x v="1"/>
    <x v="0"/>
    <x v="0"/>
    <s v="Livrée"/>
    <x v="17"/>
    <n v="9200"/>
    <n v="6600"/>
    <n v="0.41772151898734178"/>
    <x v="7"/>
  </r>
  <r>
    <s v="V01469"/>
    <x v="272"/>
    <s v="CL0441"/>
    <s v="Client 450"/>
    <x v="6"/>
    <s v="Pala"/>
    <x v="0"/>
    <x v="16"/>
    <n v="9"/>
    <n v="133000"/>
    <n v="97000"/>
    <x v="6"/>
    <x v="0"/>
    <x v="2"/>
    <s v="En cours"/>
    <x v="344"/>
    <n v="873000"/>
    <n v="324000"/>
    <n v="0.27067669172932329"/>
    <x v="5"/>
  </r>
  <r>
    <s v="V01470"/>
    <x v="248"/>
    <s v="CL0265"/>
    <s v="Client 476"/>
    <x v="1"/>
    <s v="Abéché"/>
    <x v="1"/>
    <x v="12"/>
    <n v="2"/>
    <n v="30000"/>
    <n v="19600"/>
    <x v="6"/>
    <x v="2"/>
    <x v="0"/>
    <s v="En cours"/>
    <x v="69"/>
    <n v="39200"/>
    <n v="20800"/>
    <n v="0.34666666666666668"/>
    <x v="2"/>
  </r>
  <r>
    <s v="V01471"/>
    <x v="91"/>
    <s v="CL0235"/>
    <s v="Client 266"/>
    <x v="0"/>
    <s v="N'Djamena"/>
    <x v="1"/>
    <x v="12"/>
    <n v="4"/>
    <n v="30000"/>
    <n v="19000"/>
    <x v="7"/>
    <x v="1"/>
    <x v="0"/>
    <s v="En cours"/>
    <x v="95"/>
    <n v="76000"/>
    <n v="44000"/>
    <n v="0.36666666666666664"/>
    <x v="3"/>
  </r>
  <r>
    <s v="V01472"/>
    <x v="251"/>
    <s v="CL0014"/>
    <s v="Client 279"/>
    <x v="0"/>
    <s v="N'Djamena"/>
    <x v="2"/>
    <x v="13"/>
    <n v="7"/>
    <n v="168000"/>
    <n v="120000"/>
    <x v="5"/>
    <x v="1"/>
    <x v="2"/>
    <s v="Livrée"/>
    <x v="117"/>
    <n v="840000"/>
    <n v="336000"/>
    <n v="0.2857142857142857"/>
    <x v="0"/>
  </r>
  <r>
    <s v="V01473"/>
    <x v="231"/>
    <s v="CL0185"/>
    <s v="Client 400"/>
    <x v="0"/>
    <s v="N'Djamena"/>
    <x v="3"/>
    <x v="8"/>
    <n v="3"/>
    <n v="6000"/>
    <n v="4300"/>
    <x v="1"/>
    <x v="1"/>
    <x v="2"/>
    <s v="Livrée"/>
    <x v="213"/>
    <n v="12900"/>
    <n v="5100"/>
    <n v="0.28333333333333333"/>
    <x v="10"/>
  </r>
  <r>
    <s v="V01474"/>
    <x v="56"/>
    <s v="CL0310"/>
    <s v="Client 001"/>
    <x v="5"/>
    <s v="Massaguet"/>
    <x v="2"/>
    <x v="9"/>
    <n v="2"/>
    <n v="171000"/>
    <n v="139000"/>
    <x v="3"/>
    <x v="0"/>
    <x v="0"/>
    <s v="Livrée"/>
    <x v="135"/>
    <n v="278000"/>
    <n v="64000"/>
    <n v="0.1871345029239766"/>
    <x v="6"/>
  </r>
  <r>
    <s v="V01475"/>
    <x v="305"/>
    <s v="CL0432"/>
    <s v="Client 060"/>
    <x v="4"/>
    <s v="Ati"/>
    <x v="3"/>
    <x v="3"/>
    <n v="7"/>
    <n v="15000"/>
    <n v="9200"/>
    <x v="6"/>
    <x v="2"/>
    <x v="0"/>
    <s v="Livrée"/>
    <x v="65"/>
    <n v="64400"/>
    <n v="40600"/>
    <n v="0.38666666666666666"/>
    <x v="11"/>
  </r>
  <r>
    <s v="V01476"/>
    <x v="241"/>
    <s v="CL0008"/>
    <s v="Client 463"/>
    <x v="0"/>
    <s v="N'Djamena"/>
    <x v="2"/>
    <x v="9"/>
    <n v="8"/>
    <n v="189000"/>
    <n v="139000"/>
    <x v="4"/>
    <x v="3"/>
    <x v="2"/>
    <s v="En cours"/>
    <x v="168"/>
    <n v="1112000"/>
    <n v="400000"/>
    <n v="0.26455026455026454"/>
    <x v="2"/>
  </r>
  <r>
    <s v="V01477"/>
    <x v="248"/>
    <s v="CL0220"/>
    <s v="Client 057"/>
    <x v="0"/>
    <s v="N'Djamena"/>
    <x v="2"/>
    <x v="13"/>
    <n v="5"/>
    <n v="152000"/>
    <n v="123600"/>
    <x v="7"/>
    <x v="1"/>
    <x v="0"/>
    <s v="En cours"/>
    <x v="122"/>
    <n v="618000"/>
    <n v="142000"/>
    <n v="0.18684210526315789"/>
    <x v="2"/>
  </r>
  <r>
    <s v="V01478"/>
    <x v="295"/>
    <s v="CL0083"/>
    <s v="Client 407"/>
    <x v="4"/>
    <s v="Ati"/>
    <x v="0"/>
    <x v="0"/>
    <n v="2"/>
    <n v="68200"/>
    <n v="45000"/>
    <x v="5"/>
    <x v="2"/>
    <x v="0"/>
    <s v="Livrée"/>
    <x v="258"/>
    <n v="90000"/>
    <n v="46400"/>
    <n v="0.34017595307917886"/>
    <x v="6"/>
  </r>
  <r>
    <s v="V01479"/>
    <x v="112"/>
    <s v="CL0263"/>
    <s v="Client 056"/>
    <x v="0"/>
    <s v="N'Djamena"/>
    <x v="0"/>
    <x v="11"/>
    <n v="6"/>
    <n v="80800"/>
    <n v="62000"/>
    <x v="2"/>
    <x v="1"/>
    <x v="0"/>
    <s v="En cours"/>
    <x v="382"/>
    <n v="372000"/>
    <n v="112800"/>
    <n v="0.23267326732673269"/>
    <x v="4"/>
  </r>
  <r>
    <s v="V01480"/>
    <x v="300"/>
    <s v="CL0108"/>
    <s v="Client 306"/>
    <x v="1"/>
    <s v="Abéché"/>
    <x v="1"/>
    <x v="12"/>
    <n v="3"/>
    <n v="30000"/>
    <n v="19000"/>
    <x v="3"/>
    <x v="2"/>
    <x v="0"/>
    <s v="Livrée"/>
    <x v="185"/>
    <n v="57000"/>
    <n v="33000"/>
    <n v="0.36666666666666664"/>
    <x v="8"/>
  </r>
  <r>
    <s v="V01481"/>
    <x v="283"/>
    <s v="CL0201"/>
    <s v="Client 431"/>
    <x v="0"/>
    <s v="N'Djamena"/>
    <x v="2"/>
    <x v="2"/>
    <n v="4"/>
    <n v="57800"/>
    <n v="39000"/>
    <x v="1"/>
    <x v="3"/>
    <x v="1"/>
    <s v="Annulée"/>
    <x v="216"/>
    <n v="156000"/>
    <n v="75200"/>
    <n v="0.32525951557093424"/>
    <x v="2"/>
  </r>
  <r>
    <s v="V01482"/>
    <x v="327"/>
    <s v="CL0137"/>
    <s v="Client 222"/>
    <x v="1"/>
    <s v="Abéché"/>
    <x v="3"/>
    <x v="3"/>
    <n v="7"/>
    <n v="15800"/>
    <n v="9800"/>
    <x v="5"/>
    <x v="3"/>
    <x v="2"/>
    <s v="Livrée"/>
    <x v="402"/>
    <n v="68600"/>
    <n v="42000"/>
    <n v="0.379746835443038"/>
    <x v="8"/>
  </r>
  <r>
    <s v="V01483"/>
    <x v="78"/>
    <s v="CL0289"/>
    <s v="Client 316"/>
    <x v="0"/>
    <s v="N'Djamena"/>
    <x v="2"/>
    <x v="9"/>
    <n v="10"/>
    <n v="180000"/>
    <n v="139000"/>
    <x v="0"/>
    <x v="3"/>
    <x v="0"/>
    <s v="Livrée"/>
    <x v="139"/>
    <n v="1390000"/>
    <n v="410000"/>
    <n v="0.22777777777777777"/>
    <x v="3"/>
  </r>
  <r>
    <s v="V01484"/>
    <x v="166"/>
    <s v="CL0304"/>
    <s v="Client 063"/>
    <x v="0"/>
    <s v="N'Djamena"/>
    <x v="0"/>
    <x v="0"/>
    <n v="4"/>
    <n v="65000"/>
    <n v="43600"/>
    <x v="2"/>
    <x v="1"/>
    <x v="0"/>
    <s v="Livrée"/>
    <x v="14"/>
    <n v="174400"/>
    <n v="85600"/>
    <n v="0.32923076923076922"/>
    <x v="1"/>
  </r>
  <r>
    <s v="V01485"/>
    <x v="173"/>
    <s v="CL0011"/>
    <s v="Client 170"/>
    <x v="6"/>
    <s v="Moundou"/>
    <x v="2"/>
    <x v="9"/>
    <n v="5"/>
    <n v="180000"/>
    <n v="131000"/>
    <x v="7"/>
    <x v="3"/>
    <x v="0"/>
    <s v="Livrée"/>
    <x v="101"/>
    <n v="655000"/>
    <n v="245000"/>
    <n v="0.2722222222222222"/>
    <x v="2"/>
  </r>
  <r>
    <s v="V01486"/>
    <x v="126"/>
    <s v="CL0024"/>
    <s v="Client 292"/>
    <x v="6"/>
    <s v="Moundou"/>
    <x v="3"/>
    <x v="3"/>
    <n v="7"/>
    <n v="15800"/>
    <n v="9800"/>
    <x v="5"/>
    <x v="3"/>
    <x v="0"/>
    <s v="Livrée"/>
    <x v="402"/>
    <n v="68600"/>
    <n v="42000"/>
    <n v="0.379746835443038"/>
    <x v="4"/>
  </r>
  <r>
    <s v="V01487"/>
    <x v="346"/>
    <s v="CL0291"/>
    <s v="Client 194"/>
    <x v="4"/>
    <s v="Ati"/>
    <x v="2"/>
    <x v="10"/>
    <n v="5"/>
    <n v="450000"/>
    <n v="358900"/>
    <x v="0"/>
    <x v="2"/>
    <x v="0"/>
    <s v="Annulée"/>
    <x v="172"/>
    <n v="1794500"/>
    <n v="455500"/>
    <n v="0.20244444444444445"/>
    <x v="6"/>
  </r>
  <r>
    <s v="V01488"/>
    <x v="30"/>
    <s v="CL0388"/>
    <s v="Client 461"/>
    <x v="1"/>
    <s v="Abéché"/>
    <x v="2"/>
    <x v="13"/>
    <n v="4"/>
    <n v="152000"/>
    <n v="123600"/>
    <x v="2"/>
    <x v="0"/>
    <x v="1"/>
    <s v="Livrée"/>
    <x v="190"/>
    <n v="494400"/>
    <n v="113600"/>
    <n v="0.18684210526315789"/>
    <x v="0"/>
  </r>
  <r>
    <s v="V01489"/>
    <x v="304"/>
    <s v="CL0220"/>
    <s v="Client 467"/>
    <x v="2"/>
    <s v="Doba"/>
    <x v="2"/>
    <x v="13"/>
    <n v="7"/>
    <n v="168000"/>
    <n v="120000"/>
    <x v="5"/>
    <x v="3"/>
    <x v="0"/>
    <s v="Livrée"/>
    <x v="117"/>
    <n v="840000"/>
    <n v="336000"/>
    <n v="0.2857142857142857"/>
    <x v="8"/>
  </r>
  <r>
    <s v="V01490"/>
    <x v="167"/>
    <s v="CL0462"/>
    <s v="Client 259"/>
    <x v="4"/>
    <s v="Ati"/>
    <x v="2"/>
    <x v="2"/>
    <n v="1"/>
    <n v="52200"/>
    <n v="40200"/>
    <x v="2"/>
    <x v="2"/>
    <x v="0"/>
    <s v="Livrée"/>
    <x v="161"/>
    <n v="40200"/>
    <n v="12000"/>
    <n v="0.22988505747126436"/>
    <x v="3"/>
  </r>
  <r>
    <s v="V01491"/>
    <x v="41"/>
    <s v="CL0239"/>
    <s v="Client 140"/>
    <x v="2"/>
    <s v="Doba"/>
    <x v="2"/>
    <x v="2"/>
    <n v="1"/>
    <n v="55000"/>
    <n v="39000"/>
    <x v="4"/>
    <x v="2"/>
    <x v="0"/>
    <s v="Livrée"/>
    <x v="2"/>
    <n v="39000"/>
    <n v="16000"/>
    <n v="0.29090909090909089"/>
    <x v="7"/>
  </r>
  <r>
    <s v="V01492"/>
    <x v="249"/>
    <s v="CL0024"/>
    <s v="Client 489"/>
    <x v="2"/>
    <s v="Doba"/>
    <x v="2"/>
    <x v="9"/>
    <n v="7"/>
    <n v="171000"/>
    <n v="131000"/>
    <x v="1"/>
    <x v="3"/>
    <x v="0"/>
    <s v="Livrée"/>
    <x v="344"/>
    <n v="917000"/>
    <n v="280000"/>
    <n v="0.23391812865497075"/>
    <x v="5"/>
  </r>
  <r>
    <s v="V01493"/>
    <x v="110"/>
    <s v="CL0368"/>
    <s v="Client 181"/>
    <x v="0"/>
    <s v="N'Djamena"/>
    <x v="0"/>
    <x v="16"/>
    <n v="4"/>
    <n v="147000"/>
    <n v="100000"/>
    <x v="4"/>
    <x v="2"/>
    <x v="1"/>
    <s v="Livrée"/>
    <x v="150"/>
    <n v="400000"/>
    <n v="188000"/>
    <n v="0.31972789115646261"/>
    <x v="2"/>
  </r>
  <r>
    <s v="V01494"/>
    <x v="304"/>
    <s v="CL0240"/>
    <s v="Client 121"/>
    <x v="7"/>
    <s v="Bol"/>
    <x v="0"/>
    <x v="11"/>
    <n v="7"/>
    <n v="85000"/>
    <n v="62000"/>
    <x v="1"/>
    <x v="2"/>
    <x v="2"/>
    <s v="Livrée"/>
    <x v="199"/>
    <n v="434000"/>
    <n v="161000"/>
    <n v="0.27058823529411763"/>
    <x v="8"/>
  </r>
  <r>
    <s v="V01495"/>
    <x v="94"/>
    <s v="CL0182"/>
    <s v="Client 278"/>
    <x v="0"/>
    <s v="N'Djamena"/>
    <x v="0"/>
    <x v="11"/>
    <n v="3"/>
    <n v="85000"/>
    <n v="63900"/>
    <x v="2"/>
    <x v="3"/>
    <x v="1"/>
    <s v="Livrée"/>
    <x v="35"/>
    <n v="191700"/>
    <n v="63300"/>
    <n v="0.24823529411764705"/>
    <x v="5"/>
  </r>
  <r>
    <s v="V01496"/>
    <x v="30"/>
    <s v="CL0011"/>
    <s v="Client 425"/>
    <x v="0"/>
    <s v="N'Djamena"/>
    <x v="0"/>
    <x v="16"/>
    <n v="9"/>
    <n v="140000"/>
    <n v="97000"/>
    <x v="5"/>
    <x v="2"/>
    <x v="1"/>
    <s v="En cours"/>
    <x v="94"/>
    <n v="873000"/>
    <n v="387000"/>
    <n v="0.30714285714285716"/>
    <x v="0"/>
  </r>
  <r>
    <s v="V01497"/>
    <x v="40"/>
    <s v="CL0029"/>
    <s v="Client 421"/>
    <x v="6"/>
    <s v="Pala"/>
    <x v="2"/>
    <x v="10"/>
    <n v="3"/>
    <n v="427500"/>
    <n v="381100"/>
    <x v="1"/>
    <x v="1"/>
    <x v="0"/>
    <s v="Livrée"/>
    <x v="257"/>
    <n v="1143300"/>
    <n v="139200"/>
    <n v="0.10853801169590643"/>
    <x v="3"/>
  </r>
  <r>
    <s v="V01498"/>
    <x v="100"/>
    <s v="CL0303"/>
    <s v="Client 226"/>
    <x v="4"/>
    <s v="Ati"/>
    <x v="2"/>
    <x v="13"/>
    <n v="8"/>
    <n v="152000"/>
    <n v="116400"/>
    <x v="6"/>
    <x v="1"/>
    <x v="1"/>
    <s v="Annulée"/>
    <x v="180"/>
    <n v="931200"/>
    <n v="284800"/>
    <n v="0.23421052631578948"/>
    <x v="1"/>
  </r>
  <r>
    <s v="V01499"/>
    <x v="113"/>
    <s v="CL0320"/>
    <s v="Client 292"/>
    <x v="5"/>
    <s v="Massaguet"/>
    <x v="2"/>
    <x v="2"/>
    <n v="3"/>
    <n v="55000"/>
    <n v="39000"/>
    <x v="6"/>
    <x v="0"/>
    <x v="2"/>
    <s v="Livrée"/>
    <x v="214"/>
    <n v="117000"/>
    <n v="48000"/>
    <n v="0.29090909090909089"/>
    <x v="11"/>
  </r>
  <r>
    <s v="V01500"/>
    <x v="55"/>
    <s v="CL0405"/>
    <s v="Client 397"/>
    <x v="0"/>
    <s v="N'Djamena"/>
    <x v="0"/>
    <x v="16"/>
    <n v="8"/>
    <n v="140000"/>
    <n v="97000"/>
    <x v="1"/>
    <x v="2"/>
    <x v="0"/>
    <s v="Livrée"/>
    <x v="30"/>
    <n v="776000"/>
    <n v="344000"/>
    <n v="0.30714285714285716"/>
    <x v="3"/>
  </r>
  <r>
    <s v="V01501"/>
    <x v="140"/>
    <s v="CL0050"/>
    <s v="Client 498"/>
    <x v="0"/>
    <s v="N'Djamena"/>
    <x v="2"/>
    <x v="9"/>
    <n v="5"/>
    <n v="189000"/>
    <n v="131000"/>
    <x v="5"/>
    <x v="2"/>
    <x v="1"/>
    <s v="Livrée"/>
    <x v="79"/>
    <n v="655000"/>
    <n v="290000"/>
    <n v="0.30687830687830686"/>
    <x v="3"/>
  </r>
  <r>
    <s v="V01502"/>
    <x v="62"/>
    <s v="CL0295"/>
    <s v="Client 357"/>
    <x v="0"/>
    <s v="N'Djamena"/>
    <x v="2"/>
    <x v="10"/>
    <n v="7"/>
    <n v="450000"/>
    <n v="370000"/>
    <x v="5"/>
    <x v="3"/>
    <x v="2"/>
    <s v="En cours"/>
    <x v="12"/>
    <n v="2590000"/>
    <n v="560000"/>
    <n v="0.17777777777777778"/>
    <x v="2"/>
  </r>
  <r>
    <s v="V01503"/>
    <x v="44"/>
    <s v="CL0101"/>
    <s v="Client 151"/>
    <x v="5"/>
    <s v="Massaguet"/>
    <x v="2"/>
    <x v="10"/>
    <n v="9"/>
    <n v="427500"/>
    <n v="370000"/>
    <x v="4"/>
    <x v="3"/>
    <x v="0"/>
    <s v="Annulée"/>
    <x v="63"/>
    <n v="3330000"/>
    <n v="517500"/>
    <n v="0.13450292397660818"/>
    <x v="10"/>
  </r>
  <r>
    <s v="V01504"/>
    <x v="11"/>
    <s v="CL0436"/>
    <s v="Client 049"/>
    <x v="0"/>
    <s v="N'Djamena"/>
    <x v="3"/>
    <x v="4"/>
    <n v="4"/>
    <n v="9000"/>
    <n v="5600"/>
    <x v="1"/>
    <x v="1"/>
    <x v="0"/>
    <s v="Livrée"/>
    <x v="193"/>
    <n v="22400"/>
    <n v="13600"/>
    <n v="0.37777777777777777"/>
    <x v="6"/>
  </r>
  <r>
    <s v="V01505"/>
    <x v="119"/>
    <s v="CL0317"/>
    <s v="Client 227"/>
    <x v="2"/>
    <s v="Doba"/>
    <x v="0"/>
    <x v="16"/>
    <n v="9"/>
    <n v="140000"/>
    <n v="103000"/>
    <x v="6"/>
    <x v="2"/>
    <x v="0"/>
    <s v="Livrée"/>
    <x v="94"/>
    <n v="927000"/>
    <n v="333000"/>
    <n v="0.26428571428571429"/>
    <x v="8"/>
  </r>
  <r>
    <s v="V01506"/>
    <x v="206"/>
    <s v="CL0098"/>
    <s v="Client 268"/>
    <x v="0"/>
    <s v="N'Djamena"/>
    <x v="2"/>
    <x v="10"/>
    <n v="2"/>
    <n v="427500"/>
    <n v="358900"/>
    <x v="1"/>
    <x v="1"/>
    <x v="0"/>
    <s v="Livrée"/>
    <x v="165"/>
    <n v="717800"/>
    <n v="137200"/>
    <n v="0.16046783625730995"/>
    <x v="11"/>
  </r>
  <r>
    <s v="V01507"/>
    <x v="143"/>
    <s v="CL0302"/>
    <s v="Client 047"/>
    <x v="4"/>
    <s v="Ati"/>
    <x v="3"/>
    <x v="8"/>
    <n v="2"/>
    <n v="6300"/>
    <n v="4300"/>
    <x v="6"/>
    <x v="3"/>
    <x v="0"/>
    <s v="En cours"/>
    <x v="295"/>
    <n v="8600"/>
    <n v="4000"/>
    <n v="0.31746031746031744"/>
    <x v="8"/>
  </r>
  <r>
    <s v="V01508"/>
    <x v="353"/>
    <s v="CL0322"/>
    <s v="Client 434"/>
    <x v="0"/>
    <s v="N'Djamena"/>
    <x v="0"/>
    <x v="5"/>
    <n v="9"/>
    <n v="231000"/>
    <n v="160000"/>
    <x v="7"/>
    <x v="2"/>
    <x v="0"/>
    <s v="Livrée"/>
    <x v="33"/>
    <n v="1440000"/>
    <n v="639000"/>
    <n v="0.30735930735930733"/>
    <x v="7"/>
  </r>
  <r>
    <s v="V01509"/>
    <x v="233"/>
    <s v="CL0113"/>
    <s v="Client 376"/>
    <x v="7"/>
    <s v="Bol"/>
    <x v="3"/>
    <x v="17"/>
    <n v="7"/>
    <n v="18000"/>
    <n v="12500"/>
    <x v="0"/>
    <x v="2"/>
    <x v="0"/>
    <s v="Livrée"/>
    <x v="178"/>
    <n v="87500"/>
    <n v="38500"/>
    <n v="0.30555555555555558"/>
    <x v="9"/>
  </r>
  <r>
    <s v="V01510"/>
    <x v="122"/>
    <s v="CL0235"/>
    <s v="Client 047"/>
    <x v="2"/>
    <s v="Doba"/>
    <x v="0"/>
    <x v="16"/>
    <n v="5"/>
    <n v="147000"/>
    <n v="100000"/>
    <x v="7"/>
    <x v="1"/>
    <x v="1"/>
    <s v="Annulée"/>
    <x v="358"/>
    <n v="500000"/>
    <n v="235000"/>
    <n v="0.31972789115646261"/>
    <x v="3"/>
  </r>
  <r>
    <s v="V01511"/>
    <x v="63"/>
    <s v="CL0314"/>
    <s v="Client 321"/>
    <x v="4"/>
    <s v="Ati"/>
    <x v="2"/>
    <x v="9"/>
    <n v="8"/>
    <n v="189000"/>
    <n v="131000"/>
    <x v="4"/>
    <x v="3"/>
    <x v="1"/>
    <s v="Annulée"/>
    <x v="168"/>
    <n v="1048000"/>
    <n v="464000"/>
    <n v="0.30687830687830686"/>
    <x v="11"/>
  </r>
  <r>
    <s v="V01512"/>
    <x v="253"/>
    <s v="CL0127"/>
    <s v="Client 334"/>
    <x v="6"/>
    <s v="Pala"/>
    <x v="1"/>
    <x v="12"/>
    <n v="6"/>
    <n v="31500"/>
    <n v="19000"/>
    <x v="1"/>
    <x v="2"/>
    <x v="1"/>
    <s v="En cours"/>
    <x v="162"/>
    <n v="114000"/>
    <n v="75000"/>
    <n v="0.3968253968253968"/>
    <x v="4"/>
  </r>
  <r>
    <s v="V01513"/>
    <x v="292"/>
    <s v="CL0303"/>
    <s v="Client 119"/>
    <x v="5"/>
    <s v="Massaguet"/>
    <x v="0"/>
    <x v="5"/>
    <n v="5"/>
    <n v="220000"/>
    <n v="164800"/>
    <x v="5"/>
    <x v="1"/>
    <x v="0"/>
    <s v="Livrée"/>
    <x v="80"/>
    <n v="824000"/>
    <n v="276000"/>
    <n v="0.25090909090909091"/>
    <x v="8"/>
  </r>
  <r>
    <s v="V01514"/>
    <x v="150"/>
    <s v="CL0414"/>
    <s v="Client 462"/>
    <x v="5"/>
    <s v="Massaguet"/>
    <x v="0"/>
    <x v="16"/>
    <n v="3"/>
    <n v="140000"/>
    <n v="100000"/>
    <x v="0"/>
    <x v="2"/>
    <x v="1"/>
    <s v="Livrée"/>
    <x v="291"/>
    <n v="300000"/>
    <n v="120000"/>
    <n v="0.2857142857142857"/>
    <x v="0"/>
  </r>
  <r>
    <s v="V01515"/>
    <x v="4"/>
    <s v="CL0372"/>
    <s v="Client 426"/>
    <x v="6"/>
    <s v="Pala"/>
    <x v="0"/>
    <x v="11"/>
    <n v="9"/>
    <n v="89200"/>
    <n v="63900"/>
    <x v="4"/>
    <x v="2"/>
    <x v="0"/>
    <s v="Annulée"/>
    <x v="403"/>
    <n v="575100"/>
    <n v="227700"/>
    <n v="0.28363228699551568"/>
    <x v="4"/>
  </r>
  <r>
    <s v="V01516"/>
    <x v="133"/>
    <s v="CL0149"/>
    <s v="Client 184"/>
    <x v="0"/>
    <s v="N'Djamena"/>
    <x v="2"/>
    <x v="13"/>
    <n v="2"/>
    <n v="160000"/>
    <n v="116400"/>
    <x v="4"/>
    <x v="3"/>
    <x v="2"/>
    <s v="Annulée"/>
    <x v="149"/>
    <n v="232800"/>
    <n v="87200"/>
    <n v="0.27250000000000002"/>
    <x v="8"/>
  </r>
  <r>
    <s v="V01517"/>
    <x v="116"/>
    <s v="CL0389"/>
    <s v="Client 102"/>
    <x v="3"/>
    <s v="Mao"/>
    <x v="2"/>
    <x v="2"/>
    <n v="4"/>
    <n v="55000"/>
    <n v="40200"/>
    <x v="6"/>
    <x v="2"/>
    <x v="0"/>
    <s v="Annulée"/>
    <x v="112"/>
    <n v="160800"/>
    <n v="59200"/>
    <n v="0.2690909090909091"/>
    <x v="4"/>
  </r>
  <r>
    <s v="V01518"/>
    <x v="144"/>
    <s v="CL0095"/>
    <s v="Client 442"/>
    <x v="0"/>
    <s v="N'Djamena"/>
    <x v="2"/>
    <x v="14"/>
    <n v="7"/>
    <n v="99800"/>
    <n v="67900"/>
    <x v="5"/>
    <x v="2"/>
    <x v="1"/>
    <s v="Livrée"/>
    <x v="292"/>
    <n v="475300"/>
    <n v="223300"/>
    <n v="0.31963927855711421"/>
    <x v="11"/>
  </r>
  <r>
    <s v="V01519"/>
    <x v="40"/>
    <s v="CL0312"/>
    <s v="Client 176"/>
    <x v="0"/>
    <s v="N'Djamena"/>
    <x v="3"/>
    <x v="4"/>
    <n v="3"/>
    <n v="8600"/>
    <n v="5600"/>
    <x v="5"/>
    <x v="3"/>
    <x v="0"/>
    <s v="Livrée"/>
    <x v="404"/>
    <n v="16800"/>
    <n v="9000"/>
    <n v="0.34883720930232559"/>
    <x v="3"/>
  </r>
  <r>
    <s v="V01520"/>
    <x v="156"/>
    <s v="CL0032"/>
    <s v="Client 071"/>
    <x v="0"/>
    <s v="N'Djamena"/>
    <x v="1"/>
    <x v="1"/>
    <n v="8"/>
    <n v="6600"/>
    <n v="4000"/>
    <x v="4"/>
    <x v="3"/>
    <x v="0"/>
    <s v="Livrée"/>
    <x v="405"/>
    <n v="32000"/>
    <n v="20800"/>
    <n v="0.39393939393939392"/>
    <x v="8"/>
  </r>
  <r>
    <s v="V01521"/>
    <x v="15"/>
    <s v="CL0377"/>
    <s v="Client 003"/>
    <x v="0"/>
    <s v="N'Djamena"/>
    <x v="1"/>
    <x v="12"/>
    <n v="4"/>
    <n v="31500"/>
    <n v="19600"/>
    <x v="5"/>
    <x v="1"/>
    <x v="1"/>
    <s v="Livrée"/>
    <x v="178"/>
    <n v="78400"/>
    <n v="47600"/>
    <n v="0.37777777777777777"/>
    <x v="4"/>
  </r>
  <r>
    <s v="V01522"/>
    <x v="321"/>
    <s v="CL0480"/>
    <s v="Client 111"/>
    <x v="4"/>
    <s v="Ati"/>
    <x v="2"/>
    <x v="10"/>
    <n v="7"/>
    <n v="472500"/>
    <n v="358900"/>
    <x v="4"/>
    <x v="3"/>
    <x v="0"/>
    <s v="Livrée"/>
    <x v="401"/>
    <n v="2512300"/>
    <n v="795200"/>
    <n v="0.24042328042328043"/>
    <x v="3"/>
  </r>
  <r>
    <s v="V01523"/>
    <x v="20"/>
    <s v="CL0430"/>
    <s v="Client 468"/>
    <x v="6"/>
    <s v="Pala"/>
    <x v="0"/>
    <x v="11"/>
    <n v="2"/>
    <n v="80800"/>
    <n v="63900"/>
    <x v="2"/>
    <x v="2"/>
    <x v="2"/>
    <s v="Livrée"/>
    <x v="271"/>
    <n v="127800"/>
    <n v="33800"/>
    <n v="0.20915841584158415"/>
    <x v="4"/>
  </r>
  <r>
    <s v="V01524"/>
    <x v="205"/>
    <s v="CL0143"/>
    <s v="Client 228"/>
    <x v="3"/>
    <s v="Mao"/>
    <x v="0"/>
    <x v="11"/>
    <n v="7"/>
    <n v="89200"/>
    <n v="62000"/>
    <x v="5"/>
    <x v="3"/>
    <x v="1"/>
    <s v="Livrée"/>
    <x v="366"/>
    <n v="434000"/>
    <n v="190400"/>
    <n v="0.30493273542600896"/>
    <x v="4"/>
  </r>
  <r>
    <s v="V01525"/>
    <x v="260"/>
    <s v="CL0044"/>
    <s v="Client 404"/>
    <x v="1"/>
    <s v="Abéché"/>
    <x v="3"/>
    <x v="4"/>
    <n v="5"/>
    <n v="9000"/>
    <n v="6000"/>
    <x v="7"/>
    <x v="2"/>
    <x v="2"/>
    <s v="Annulée"/>
    <x v="128"/>
    <n v="30000"/>
    <n v="15000"/>
    <n v="0.33333333333333331"/>
    <x v="11"/>
  </r>
  <r>
    <s v="V01526"/>
    <x v="299"/>
    <s v="CL0418"/>
    <s v="Client 253"/>
    <x v="0"/>
    <s v="N'Djamena"/>
    <x v="2"/>
    <x v="9"/>
    <n v="1"/>
    <n v="180000"/>
    <n v="139000"/>
    <x v="4"/>
    <x v="2"/>
    <x v="0"/>
    <s v="Livrée"/>
    <x v="88"/>
    <n v="139000"/>
    <n v="41000"/>
    <n v="0.22777777777777777"/>
    <x v="1"/>
  </r>
  <r>
    <s v="V01527"/>
    <x v="53"/>
    <s v="CL0477"/>
    <s v="Client 198"/>
    <x v="6"/>
    <s v="Pala"/>
    <x v="1"/>
    <x v="6"/>
    <n v="7"/>
    <n v="12000"/>
    <n v="7300"/>
    <x v="1"/>
    <x v="2"/>
    <x v="2"/>
    <s v="Livrée"/>
    <x v="37"/>
    <n v="51100"/>
    <n v="32900"/>
    <n v="0.39166666666666666"/>
    <x v="4"/>
  </r>
  <r>
    <s v="V01528"/>
    <x v="199"/>
    <s v="CL0248"/>
    <s v="Client 145"/>
    <x v="0"/>
    <s v="N'Djamena"/>
    <x v="0"/>
    <x v="0"/>
    <n v="8"/>
    <n v="65000"/>
    <n v="43600"/>
    <x v="1"/>
    <x v="2"/>
    <x v="0"/>
    <s v="Livrée"/>
    <x v="11"/>
    <n v="348800"/>
    <n v="171200"/>
    <n v="0.32923076923076922"/>
    <x v="2"/>
  </r>
  <r>
    <s v="V01529"/>
    <x v="213"/>
    <s v="CL0398"/>
    <s v="Client 397"/>
    <x v="4"/>
    <s v="Ati"/>
    <x v="2"/>
    <x v="13"/>
    <n v="3"/>
    <n v="160000"/>
    <n v="120000"/>
    <x v="2"/>
    <x v="1"/>
    <x v="1"/>
    <s v="Livrée"/>
    <x v="143"/>
    <n v="360000"/>
    <n v="120000"/>
    <n v="0.25"/>
    <x v="0"/>
  </r>
  <r>
    <s v="V01530"/>
    <x v="25"/>
    <s v="CL0328"/>
    <s v="Client 054"/>
    <x v="0"/>
    <s v="N'Djamena"/>
    <x v="3"/>
    <x v="4"/>
    <n v="4"/>
    <n v="9000"/>
    <n v="5600"/>
    <x v="7"/>
    <x v="0"/>
    <x v="1"/>
    <s v="Livrée"/>
    <x v="193"/>
    <n v="22400"/>
    <n v="13600"/>
    <n v="0.37777777777777777"/>
    <x v="3"/>
  </r>
  <r>
    <s v="V01531"/>
    <x v="114"/>
    <s v="CL0459"/>
    <s v="Client 137"/>
    <x v="0"/>
    <s v="N'Djamena"/>
    <x v="2"/>
    <x v="10"/>
    <n v="9"/>
    <n v="472500"/>
    <n v="370000"/>
    <x v="3"/>
    <x v="2"/>
    <x v="0"/>
    <s v="En cours"/>
    <x v="384"/>
    <n v="3330000"/>
    <n v="922500"/>
    <n v="0.21693121693121692"/>
    <x v="7"/>
  </r>
  <r>
    <s v="V01532"/>
    <x v="214"/>
    <s v="CL0475"/>
    <s v="Client 325"/>
    <x v="0"/>
    <s v="N'Djamena"/>
    <x v="1"/>
    <x v="7"/>
    <n v="9"/>
    <n v="10500"/>
    <n v="6400"/>
    <x v="5"/>
    <x v="1"/>
    <x v="0"/>
    <s v="Livrée"/>
    <x v="276"/>
    <n v="57600"/>
    <n v="36900"/>
    <n v="0.39047619047619048"/>
    <x v="3"/>
  </r>
  <r>
    <s v="V01533"/>
    <x v="44"/>
    <s v="CL0254"/>
    <s v="Client 023"/>
    <x v="6"/>
    <s v="Moundou"/>
    <x v="1"/>
    <x v="12"/>
    <n v="8"/>
    <n v="30000"/>
    <n v="19600"/>
    <x v="6"/>
    <x v="3"/>
    <x v="0"/>
    <s v="Livrée"/>
    <x v="371"/>
    <n v="156800"/>
    <n v="83200"/>
    <n v="0.34666666666666668"/>
    <x v="10"/>
  </r>
  <r>
    <s v="V01534"/>
    <x v="259"/>
    <s v="CL0342"/>
    <s v="Client 003"/>
    <x v="0"/>
    <s v="N'Djamena"/>
    <x v="0"/>
    <x v="16"/>
    <n v="4"/>
    <n v="140000"/>
    <n v="97000"/>
    <x v="4"/>
    <x v="0"/>
    <x v="0"/>
    <s v="Annulée"/>
    <x v="114"/>
    <n v="388000"/>
    <n v="172000"/>
    <n v="0.30714285714285716"/>
    <x v="5"/>
  </r>
  <r>
    <s v="V01535"/>
    <x v="46"/>
    <s v="CL0236"/>
    <s v="Client 289"/>
    <x v="7"/>
    <s v="Bol"/>
    <x v="1"/>
    <x v="1"/>
    <n v="4"/>
    <n v="7000"/>
    <n v="3900"/>
    <x v="1"/>
    <x v="2"/>
    <x v="2"/>
    <s v="Annulée"/>
    <x v="406"/>
    <n v="15600"/>
    <n v="12400"/>
    <n v="0.44285714285714284"/>
    <x v="10"/>
  </r>
  <r>
    <s v="V01536"/>
    <x v="6"/>
    <s v="CL0155"/>
    <s v="Client 011"/>
    <x v="2"/>
    <s v="Doba"/>
    <x v="1"/>
    <x v="7"/>
    <n v="8"/>
    <n v="9500"/>
    <n v="6400"/>
    <x v="4"/>
    <x v="2"/>
    <x v="1"/>
    <s v="Annulée"/>
    <x v="360"/>
    <n v="51200"/>
    <n v="24800"/>
    <n v="0.32631578947368423"/>
    <x v="2"/>
  </r>
  <r>
    <s v="V01537"/>
    <x v="134"/>
    <s v="CL0439"/>
    <s v="Client 271"/>
    <x v="3"/>
    <s v="Mao"/>
    <x v="1"/>
    <x v="7"/>
    <n v="1"/>
    <n v="10500"/>
    <n v="6400"/>
    <x v="6"/>
    <x v="3"/>
    <x v="0"/>
    <s v="Livrée"/>
    <x v="289"/>
    <n v="6400"/>
    <n v="4100"/>
    <n v="0.39047619047619048"/>
    <x v="3"/>
  </r>
  <r>
    <s v="V01538"/>
    <x v="117"/>
    <s v="CL0183"/>
    <s v="Client 202"/>
    <x v="3"/>
    <s v="Mao"/>
    <x v="0"/>
    <x v="0"/>
    <n v="5"/>
    <n v="65000"/>
    <n v="46400"/>
    <x v="2"/>
    <x v="2"/>
    <x v="1"/>
    <s v="Livrée"/>
    <x v="379"/>
    <n v="232000"/>
    <n v="93000"/>
    <n v="0.28615384615384615"/>
    <x v="1"/>
  </r>
  <r>
    <s v="V01539"/>
    <x v="168"/>
    <s v="CL0305"/>
    <s v="Client 462"/>
    <x v="3"/>
    <s v="Mao"/>
    <x v="3"/>
    <x v="8"/>
    <n v="9"/>
    <n v="6000"/>
    <n v="4100"/>
    <x v="1"/>
    <x v="1"/>
    <x v="1"/>
    <s v="Annulée"/>
    <x v="77"/>
    <n v="36900"/>
    <n v="17100"/>
    <n v="0.31666666666666665"/>
    <x v="6"/>
  </r>
  <r>
    <s v="V01540"/>
    <x v="315"/>
    <s v="CL0475"/>
    <s v="Client 216"/>
    <x v="2"/>
    <s v="Doba"/>
    <x v="0"/>
    <x v="16"/>
    <n v="1"/>
    <n v="140000"/>
    <n v="100000"/>
    <x v="0"/>
    <x v="2"/>
    <x v="0"/>
    <s v="Livrée"/>
    <x v="87"/>
    <n v="100000"/>
    <n v="40000"/>
    <n v="0.2857142857142857"/>
    <x v="5"/>
  </r>
  <r>
    <s v="V01541"/>
    <x v="152"/>
    <s v="CL0359"/>
    <s v="Client 210"/>
    <x v="6"/>
    <s v="Moundou"/>
    <x v="3"/>
    <x v="4"/>
    <n v="2"/>
    <n v="8600"/>
    <n v="5800"/>
    <x v="5"/>
    <x v="3"/>
    <x v="0"/>
    <s v="Annulée"/>
    <x v="171"/>
    <n v="11600"/>
    <n v="5600"/>
    <n v="0.32558139534883723"/>
    <x v="8"/>
  </r>
  <r>
    <s v="V01542"/>
    <x v="137"/>
    <s v="CL0324"/>
    <s v="Client 163"/>
    <x v="4"/>
    <s v="Ati"/>
    <x v="2"/>
    <x v="14"/>
    <n v="10"/>
    <n v="90200"/>
    <n v="72100"/>
    <x v="5"/>
    <x v="2"/>
    <x v="1"/>
    <s v="Annulée"/>
    <x v="42"/>
    <n v="721000"/>
    <n v="181000"/>
    <n v="0.20066518847006651"/>
    <x v="0"/>
  </r>
  <r>
    <s v="V01543"/>
    <x v="165"/>
    <s v="CL0131"/>
    <s v="Client 085"/>
    <x v="1"/>
    <s v="Abéché"/>
    <x v="0"/>
    <x v="5"/>
    <n v="10"/>
    <n v="220000"/>
    <n v="160000"/>
    <x v="0"/>
    <x v="3"/>
    <x v="2"/>
    <s v="Livrée"/>
    <x v="6"/>
    <n v="1600000"/>
    <n v="600000"/>
    <n v="0.27272727272727271"/>
    <x v="5"/>
  </r>
  <r>
    <s v="V01544"/>
    <x v="70"/>
    <s v="CL0189"/>
    <s v="Client 126"/>
    <x v="1"/>
    <s v="Abéché"/>
    <x v="0"/>
    <x v="5"/>
    <n v="1"/>
    <n v="220000"/>
    <n v="164800"/>
    <x v="6"/>
    <x v="2"/>
    <x v="1"/>
    <s v="En cours"/>
    <x v="112"/>
    <n v="164800"/>
    <n v="55200"/>
    <n v="0.25090909090909091"/>
    <x v="11"/>
  </r>
  <r>
    <s v="V01545"/>
    <x v="38"/>
    <s v="CL0065"/>
    <s v="Client 051"/>
    <x v="1"/>
    <s v="Abéché"/>
    <x v="2"/>
    <x v="13"/>
    <n v="1"/>
    <n v="160000"/>
    <n v="120000"/>
    <x v="2"/>
    <x v="2"/>
    <x v="2"/>
    <s v="Livrée"/>
    <x v="31"/>
    <n v="120000"/>
    <n v="40000"/>
    <n v="0.25"/>
    <x v="2"/>
  </r>
  <r>
    <s v="V01546"/>
    <x v="339"/>
    <s v="CL0274"/>
    <s v="Client 076"/>
    <x v="5"/>
    <s v="Massaguet"/>
    <x v="3"/>
    <x v="15"/>
    <n v="6"/>
    <n v="8000"/>
    <n v="5000"/>
    <x v="3"/>
    <x v="2"/>
    <x v="1"/>
    <s v="Annulée"/>
    <x v="36"/>
    <n v="30000"/>
    <n v="18000"/>
    <n v="0.375"/>
    <x v="0"/>
  </r>
  <r>
    <s v="V01547"/>
    <x v="313"/>
    <s v="CL0387"/>
    <s v="Client 412"/>
    <x v="5"/>
    <s v="Massaguet"/>
    <x v="3"/>
    <x v="4"/>
    <n v="8"/>
    <n v="9000"/>
    <n v="5600"/>
    <x v="6"/>
    <x v="1"/>
    <x v="0"/>
    <s v="Livrée"/>
    <x v="196"/>
    <n v="44800"/>
    <n v="27200"/>
    <n v="0.37777777777777777"/>
    <x v="1"/>
  </r>
  <r>
    <s v="V01548"/>
    <x v="96"/>
    <s v="CL0081"/>
    <s v="Client 437"/>
    <x v="6"/>
    <s v="Pala"/>
    <x v="2"/>
    <x v="14"/>
    <n v="5"/>
    <n v="95000"/>
    <n v="70000"/>
    <x v="3"/>
    <x v="1"/>
    <x v="0"/>
    <s v="Livrée"/>
    <x v="103"/>
    <n v="350000"/>
    <n v="125000"/>
    <n v="0.26315789473684209"/>
    <x v="4"/>
  </r>
  <r>
    <s v="V01549"/>
    <x v="133"/>
    <s v="CL0047"/>
    <s v="Client 210"/>
    <x v="6"/>
    <s v="Moundou"/>
    <x v="3"/>
    <x v="3"/>
    <n v="8"/>
    <n v="14200"/>
    <n v="9500"/>
    <x v="5"/>
    <x v="3"/>
    <x v="0"/>
    <s v="Livrée"/>
    <x v="120"/>
    <n v="76000"/>
    <n v="37600"/>
    <n v="0.33098591549295775"/>
    <x v="8"/>
  </r>
  <r>
    <s v="V01550"/>
    <x v="149"/>
    <s v="CL0046"/>
    <s v="Client 318"/>
    <x v="0"/>
    <s v="N'Djamena"/>
    <x v="3"/>
    <x v="8"/>
    <n v="5"/>
    <n v="6000"/>
    <n v="4100"/>
    <x v="1"/>
    <x v="1"/>
    <x v="0"/>
    <s v="Livrée"/>
    <x v="5"/>
    <n v="20500"/>
    <n v="9500"/>
    <n v="0.31666666666666665"/>
    <x v="9"/>
  </r>
  <r>
    <s v="V01551"/>
    <x v="118"/>
    <s v="CL0229"/>
    <s v="Client 182"/>
    <x v="6"/>
    <s v="Moundou"/>
    <x v="2"/>
    <x v="14"/>
    <n v="4"/>
    <n v="99800"/>
    <n v="70000"/>
    <x v="2"/>
    <x v="2"/>
    <x v="2"/>
    <s v="Annulée"/>
    <x v="189"/>
    <n v="280000"/>
    <n v="119200"/>
    <n v="0.29859719438877758"/>
    <x v="7"/>
  </r>
  <r>
    <s v="V01552"/>
    <x v="50"/>
    <s v="CL0152"/>
    <s v="Client 290"/>
    <x v="6"/>
    <s v="Moundou"/>
    <x v="1"/>
    <x v="12"/>
    <n v="8"/>
    <n v="30000"/>
    <n v="18400"/>
    <x v="6"/>
    <x v="0"/>
    <x v="0"/>
    <s v="Livrée"/>
    <x v="371"/>
    <n v="147200"/>
    <n v="92800"/>
    <n v="0.38666666666666666"/>
    <x v="2"/>
  </r>
  <r>
    <s v="V01553"/>
    <x v="68"/>
    <s v="CL0395"/>
    <s v="Client 092"/>
    <x v="0"/>
    <s v="N'Djamena"/>
    <x v="1"/>
    <x v="18"/>
    <n v="10"/>
    <n v="26200"/>
    <n v="15500"/>
    <x v="2"/>
    <x v="3"/>
    <x v="2"/>
    <s v="Livrée"/>
    <x v="52"/>
    <n v="155000"/>
    <n v="107000"/>
    <n v="0.40839694656488551"/>
    <x v="8"/>
  </r>
  <r>
    <s v="V01554"/>
    <x v="356"/>
    <s v="CL0415"/>
    <s v="Client 192"/>
    <x v="2"/>
    <s v="Doba"/>
    <x v="0"/>
    <x v="0"/>
    <n v="10"/>
    <n v="61800"/>
    <n v="46400"/>
    <x v="5"/>
    <x v="2"/>
    <x v="1"/>
    <s v="Livrée"/>
    <x v="407"/>
    <n v="464000"/>
    <n v="154000"/>
    <n v="0.24919093851132687"/>
    <x v="1"/>
  </r>
  <r>
    <s v="V01555"/>
    <x v="9"/>
    <s v="CL0295"/>
    <s v="Client 116"/>
    <x v="2"/>
    <s v="Doba"/>
    <x v="0"/>
    <x v="11"/>
    <n v="2"/>
    <n v="80800"/>
    <n v="60100"/>
    <x v="5"/>
    <x v="0"/>
    <x v="0"/>
    <s v="Livrée"/>
    <x v="271"/>
    <n v="120200"/>
    <n v="41400"/>
    <n v="0.25618811881188119"/>
    <x v="6"/>
  </r>
  <r>
    <s v="V01556"/>
    <x v="214"/>
    <s v="CL0471"/>
    <s v="Client 217"/>
    <x v="0"/>
    <s v="N'Djamena"/>
    <x v="2"/>
    <x v="9"/>
    <n v="4"/>
    <n v="189000"/>
    <n v="135000"/>
    <x v="4"/>
    <x v="0"/>
    <x v="0"/>
    <s v="Livrée"/>
    <x v="134"/>
    <n v="540000"/>
    <n v="216000"/>
    <n v="0.2857142857142857"/>
    <x v="3"/>
  </r>
  <r>
    <s v="V01557"/>
    <x v="32"/>
    <s v="CL0094"/>
    <s v="Client 177"/>
    <x v="7"/>
    <s v="Bol"/>
    <x v="0"/>
    <x v="5"/>
    <n v="2"/>
    <n v="220000"/>
    <n v="160000"/>
    <x v="2"/>
    <x v="2"/>
    <x v="0"/>
    <s v="Livrée"/>
    <x v="19"/>
    <n v="320000"/>
    <n v="120000"/>
    <n v="0.27272727272727271"/>
    <x v="1"/>
  </r>
  <r>
    <s v="V01558"/>
    <x v="114"/>
    <s v="CL0472"/>
    <s v="Client 400"/>
    <x v="1"/>
    <s v="Abéché"/>
    <x v="2"/>
    <x v="14"/>
    <n v="4"/>
    <n v="95000"/>
    <n v="67900"/>
    <x v="5"/>
    <x v="0"/>
    <x v="1"/>
    <s v="En cours"/>
    <x v="89"/>
    <n v="271600"/>
    <n v="108400"/>
    <n v="0.28526315789473683"/>
    <x v="7"/>
  </r>
  <r>
    <s v="V01559"/>
    <x v="188"/>
    <s v="CL0012"/>
    <s v="Client 066"/>
    <x v="0"/>
    <s v="N'Djamena"/>
    <x v="0"/>
    <x v="16"/>
    <n v="8"/>
    <n v="147000"/>
    <n v="97000"/>
    <x v="4"/>
    <x v="3"/>
    <x v="1"/>
    <s v="Livrée"/>
    <x v="117"/>
    <n v="776000"/>
    <n v="400000"/>
    <n v="0.3401360544217687"/>
    <x v="9"/>
  </r>
  <r>
    <s v="V01560"/>
    <x v="145"/>
    <s v="CL0008"/>
    <s v="Client 131"/>
    <x v="6"/>
    <s v="Moundou"/>
    <x v="3"/>
    <x v="8"/>
    <n v="5"/>
    <n v="6300"/>
    <n v="4300"/>
    <x v="2"/>
    <x v="2"/>
    <x v="1"/>
    <s v="Livrée"/>
    <x v="195"/>
    <n v="21500"/>
    <n v="10000"/>
    <n v="0.31746031746031744"/>
    <x v="7"/>
  </r>
  <r>
    <s v="V01561"/>
    <x v="203"/>
    <s v="CL0136"/>
    <s v="Client 304"/>
    <x v="0"/>
    <s v="N'Djamena"/>
    <x v="2"/>
    <x v="2"/>
    <n v="2"/>
    <n v="55000"/>
    <n v="40200"/>
    <x v="1"/>
    <x v="1"/>
    <x v="1"/>
    <s v="Livrée"/>
    <x v="320"/>
    <n v="80400"/>
    <n v="29600"/>
    <n v="0.2690909090909091"/>
    <x v="8"/>
  </r>
  <r>
    <s v="V01562"/>
    <x v="352"/>
    <s v="CL0238"/>
    <s v="Client 182"/>
    <x v="7"/>
    <s v="Bol"/>
    <x v="3"/>
    <x v="4"/>
    <n v="8"/>
    <n v="8600"/>
    <n v="6000"/>
    <x v="7"/>
    <x v="3"/>
    <x v="0"/>
    <s v="En cours"/>
    <x v="303"/>
    <n v="48000"/>
    <n v="20800"/>
    <n v="0.30232558139534882"/>
    <x v="5"/>
  </r>
  <r>
    <s v="V01563"/>
    <x v="243"/>
    <s v="CL0362"/>
    <s v="Client 077"/>
    <x v="5"/>
    <s v="Massaguet"/>
    <x v="3"/>
    <x v="8"/>
    <n v="8"/>
    <n v="6000"/>
    <n v="4200"/>
    <x v="2"/>
    <x v="3"/>
    <x v="0"/>
    <s v="Livrée"/>
    <x v="36"/>
    <n v="33600"/>
    <n v="14400"/>
    <n v="0.3"/>
    <x v="10"/>
  </r>
  <r>
    <s v="V01564"/>
    <x v="262"/>
    <s v="CL0130"/>
    <s v="Client 339"/>
    <x v="7"/>
    <s v="Bol"/>
    <x v="2"/>
    <x v="13"/>
    <n v="5"/>
    <n v="160000"/>
    <n v="123600"/>
    <x v="3"/>
    <x v="3"/>
    <x v="1"/>
    <s v="Livrée"/>
    <x v="219"/>
    <n v="618000"/>
    <n v="182000"/>
    <n v="0.22750000000000001"/>
    <x v="6"/>
  </r>
  <r>
    <s v="V01565"/>
    <x v="303"/>
    <s v="CL0108"/>
    <s v="Client 496"/>
    <x v="0"/>
    <s v="N'Djamena"/>
    <x v="0"/>
    <x v="11"/>
    <n v="4"/>
    <n v="80800"/>
    <n v="62000"/>
    <x v="4"/>
    <x v="2"/>
    <x v="1"/>
    <s v="Livrée"/>
    <x v="217"/>
    <n v="248000"/>
    <n v="75200"/>
    <n v="0.23267326732673269"/>
    <x v="3"/>
  </r>
  <r>
    <s v="V01566"/>
    <x v="126"/>
    <s v="CL0160"/>
    <s v="Client 398"/>
    <x v="0"/>
    <s v="N'Djamena"/>
    <x v="2"/>
    <x v="2"/>
    <n v="1"/>
    <n v="55000"/>
    <n v="40200"/>
    <x v="6"/>
    <x v="2"/>
    <x v="2"/>
    <s v="Livrée"/>
    <x v="2"/>
    <n v="40200"/>
    <n v="14800"/>
    <n v="0.2690909090909091"/>
    <x v="4"/>
  </r>
  <r>
    <s v="V01567"/>
    <x v="287"/>
    <s v="CL0413"/>
    <s v="Client 484"/>
    <x v="5"/>
    <s v="Massaguet"/>
    <x v="3"/>
    <x v="17"/>
    <n v="1"/>
    <n v="18000"/>
    <n v="12500"/>
    <x v="2"/>
    <x v="3"/>
    <x v="0"/>
    <s v="Livrée"/>
    <x v="213"/>
    <n v="12500"/>
    <n v="5500"/>
    <n v="0.30555555555555558"/>
    <x v="7"/>
  </r>
  <r>
    <s v="V01568"/>
    <x v="233"/>
    <s v="CL0394"/>
    <s v="Client 230"/>
    <x v="0"/>
    <s v="N'Djamena"/>
    <x v="3"/>
    <x v="8"/>
    <n v="10"/>
    <n v="6000"/>
    <n v="4200"/>
    <x v="1"/>
    <x v="3"/>
    <x v="0"/>
    <s v="Annulée"/>
    <x v="69"/>
    <n v="42000"/>
    <n v="18000"/>
    <n v="0.3"/>
    <x v="9"/>
  </r>
  <r>
    <s v="V01569"/>
    <x v="210"/>
    <s v="CL0259"/>
    <s v="Client 119"/>
    <x v="5"/>
    <s v="Massaguet"/>
    <x v="2"/>
    <x v="2"/>
    <n v="2"/>
    <n v="55000"/>
    <n v="40200"/>
    <x v="0"/>
    <x v="3"/>
    <x v="0"/>
    <s v="Annulée"/>
    <x v="320"/>
    <n v="80400"/>
    <n v="29600"/>
    <n v="0.2690909090909091"/>
    <x v="8"/>
  </r>
  <r>
    <s v="V01570"/>
    <x v="26"/>
    <s v="CL0194"/>
    <s v="Client 341"/>
    <x v="0"/>
    <s v="N'Djamena"/>
    <x v="0"/>
    <x v="5"/>
    <n v="1"/>
    <n v="209000"/>
    <n v="164800"/>
    <x v="0"/>
    <x v="1"/>
    <x v="0"/>
    <s v="Livrée"/>
    <x v="154"/>
    <n v="164800"/>
    <n v="44200"/>
    <n v="0.21148325358851675"/>
    <x v="10"/>
  </r>
  <r>
    <s v="V01571"/>
    <x v="4"/>
    <s v="CL0092"/>
    <s v="Client 144"/>
    <x v="4"/>
    <s v="Ati"/>
    <x v="3"/>
    <x v="17"/>
    <n v="1"/>
    <n v="18000"/>
    <n v="12500"/>
    <x v="5"/>
    <x v="3"/>
    <x v="1"/>
    <s v="Livrée"/>
    <x v="213"/>
    <n v="12500"/>
    <n v="5500"/>
    <n v="0.30555555555555558"/>
    <x v="4"/>
  </r>
  <r>
    <s v="V01572"/>
    <x v="180"/>
    <s v="CL0271"/>
    <s v="Client 086"/>
    <x v="1"/>
    <s v="Abéché"/>
    <x v="3"/>
    <x v="17"/>
    <n v="3"/>
    <n v="18000"/>
    <n v="12900"/>
    <x v="3"/>
    <x v="0"/>
    <x v="2"/>
    <s v="Livrée"/>
    <x v="77"/>
    <n v="38700"/>
    <n v="15300"/>
    <n v="0.28333333333333333"/>
    <x v="2"/>
  </r>
  <r>
    <s v="V01573"/>
    <x v="161"/>
    <s v="CL0036"/>
    <s v="Client 309"/>
    <x v="6"/>
    <s v="Moundou"/>
    <x v="2"/>
    <x v="13"/>
    <n v="6"/>
    <n v="152000"/>
    <n v="120000"/>
    <x v="1"/>
    <x v="2"/>
    <x v="0"/>
    <s v="Livrée"/>
    <x v="267"/>
    <n v="720000"/>
    <n v="192000"/>
    <n v="0.21052631578947367"/>
    <x v="4"/>
  </r>
  <r>
    <s v="V01575"/>
    <x v="240"/>
    <s v="CL0225"/>
    <s v="Client 063"/>
    <x v="7"/>
    <s v="Bol"/>
    <x v="3"/>
    <x v="8"/>
    <n v="9"/>
    <n v="6000"/>
    <n v="4200"/>
    <x v="1"/>
    <x v="3"/>
    <x v="0"/>
    <s v="Annulée"/>
    <x v="77"/>
    <n v="37800"/>
    <n v="16200"/>
    <n v="0.3"/>
    <x v="9"/>
  </r>
  <r>
    <s v="V01576"/>
    <x v="92"/>
    <s v="CL0427"/>
    <s v="Client 068"/>
    <x v="5"/>
    <s v="Massaguet"/>
    <x v="2"/>
    <x v="10"/>
    <n v="10"/>
    <n v="450000"/>
    <n v="381100"/>
    <x v="5"/>
    <x v="2"/>
    <x v="2"/>
    <s v="En cours"/>
    <x v="261"/>
    <n v="3811000"/>
    <n v="689000"/>
    <n v="0.15311111111111111"/>
    <x v="7"/>
  </r>
  <r>
    <s v="V01577"/>
    <x v="120"/>
    <s v="CL0063"/>
    <s v="Client 317"/>
    <x v="0"/>
    <s v="N'Djamena"/>
    <x v="1"/>
    <x v="12"/>
    <n v="5"/>
    <n v="31500"/>
    <n v="18400"/>
    <x v="7"/>
    <x v="3"/>
    <x v="0"/>
    <s v="Livrée"/>
    <x v="147"/>
    <n v="92000"/>
    <n v="65500"/>
    <n v="0.41587301587301589"/>
    <x v="3"/>
  </r>
  <r>
    <s v="V01578"/>
    <x v="244"/>
    <s v="CL0465"/>
    <s v="Client 427"/>
    <x v="5"/>
    <s v="Massaguet"/>
    <x v="2"/>
    <x v="10"/>
    <n v="10"/>
    <n v="427500"/>
    <n v="370000"/>
    <x v="3"/>
    <x v="1"/>
    <x v="0"/>
    <s v="Livrée"/>
    <x v="304"/>
    <n v="3700000"/>
    <n v="575000"/>
    <n v="0.13450292397660818"/>
    <x v="10"/>
  </r>
  <r>
    <s v="V01579"/>
    <x v="25"/>
    <s v="CL0397"/>
    <s v="Client 107"/>
    <x v="2"/>
    <s v="Doba"/>
    <x v="3"/>
    <x v="4"/>
    <n v="4"/>
    <n v="9000"/>
    <n v="5600"/>
    <x v="6"/>
    <x v="3"/>
    <x v="0"/>
    <s v="Livrée"/>
    <x v="193"/>
    <n v="22400"/>
    <n v="13600"/>
    <n v="0.37777777777777777"/>
    <x v="3"/>
  </r>
  <r>
    <s v="V01580"/>
    <x v="13"/>
    <s v="CL0105"/>
    <s v="Client 075"/>
    <x v="0"/>
    <s v="N'Djamena"/>
    <x v="2"/>
    <x v="2"/>
    <n v="7"/>
    <n v="52200"/>
    <n v="40200"/>
    <x v="1"/>
    <x v="3"/>
    <x v="1"/>
    <s v="En cours"/>
    <x v="370"/>
    <n v="281400"/>
    <n v="84000"/>
    <n v="0.22988505747126436"/>
    <x v="2"/>
  </r>
  <r>
    <s v="V01581"/>
    <x v="210"/>
    <s v="CL0397"/>
    <s v="Client 224"/>
    <x v="0"/>
    <s v="N'Djamena"/>
    <x v="0"/>
    <x v="0"/>
    <n v="9"/>
    <n v="65000"/>
    <n v="45000"/>
    <x v="2"/>
    <x v="2"/>
    <x v="2"/>
    <s v="Livrée"/>
    <x v="293"/>
    <n v="405000"/>
    <n v="180000"/>
    <n v="0.30769230769230771"/>
    <x v="8"/>
  </r>
  <r>
    <s v="V01582"/>
    <x v="9"/>
    <s v="CL0248"/>
    <s v="Client 405"/>
    <x v="2"/>
    <s v="Doba"/>
    <x v="0"/>
    <x v="16"/>
    <n v="6"/>
    <n v="147000"/>
    <n v="100000"/>
    <x v="5"/>
    <x v="3"/>
    <x v="0"/>
    <s v="Livrée"/>
    <x v="367"/>
    <n v="600000"/>
    <n v="282000"/>
    <n v="0.31972789115646261"/>
    <x v="6"/>
  </r>
  <r>
    <s v="V01583"/>
    <x v="171"/>
    <s v="CL0372"/>
    <s v="Client 006"/>
    <x v="0"/>
    <s v="N'Djamena"/>
    <x v="3"/>
    <x v="17"/>
    <n v="9"/>
    <n v="17100"/>
    <n v="12900"/>
    <x v="2"/>
    <x v="2"/>
    <x v="1"/>
    <s v="Livrée"/>
    <x v="408"/>
    <n v="116100"/>
    <n v="37800"/>
    <n v="0.24561403508771928"/>
    <x v="10"/>
  </r>
  <r>
    <s v="V01584"/>
    <x v="275"/>
    <s v="CL0031"/>
    <s v="Client 303"/>
    <x v="0"/>
    <s v="N'Djamena"/>
    <x v="3"/>
    <x v="15"/>
    <n v="8"/>
    <n v="8400"/>
    <n v="4800"/>
    <x v="2"/>
    <x v="3"/>
    <x v="0"/>
    <s v="En cours"/>
    <x v="242"/>
    <n v="38400"/>
    <n v="28800"/>
    <n v="0.42857142857142855"/>
    <x v="11"/>
  </r>
  <r>
    <s v="V01585"/>
    <x v="16"/>
    <s v="CL0188"/>
    <s v="Client 445"/>
    <x v="1"/>
    <s v="Abéché"/>
    <x v="0"/>
    <x v="0"/>
    <n v="6"/>
    <n v="65000"/>
    <n v="45000"/>
    <x v="6"/>
    <x v="3"/>
    <x v="0"/>
    <s v="Livrée"/>
    <x v="118"/>
    <n v="270000"/>
    <n v="120000"/>
    <n v="0.30769230769230771"/>
    <x v="6"/>
  </r>
  <r>
    <s v="V01586"/>
    <x v="175"/>
    <s v="CL0008"/>
    <s v="Client 423"/>
    <x v="0"/>
    <s v="N'Djamena"/>
    <x v="2"/>
    <x v="14"/>
    <n v="7"/>
    <n v="95000"/>
    <n v="70000"/>
    <x v="4"/>
    <x v="3"/>
    <x v="0"/>
    <s v="Annulée"/>
    <x v="116"/>
    <n v="490000"/>
    <n v="175000"/>
    <n v="0.26315789473684209"/>
    <x v="5"/>
  </r>
  <r>
    <s v="V01587"/>
    <x v="264"/>
    <s v="CL0215"/>
    <s v="Client 033"/>
    <x v="1"/>
    <s v="Abéché"/>
    <x v="2"/>
    <x v="2"/>
    <n v="7"/>
    <n v="55000"/>
    <n v="37800"/>
    <x v="3"/>
    <x v="2"/>
    <x v="0"/>
    <s v="Livrée"/>
    <x v="206"/>
    <n v="264600"/>
    <n v="120400"/>
    <n v="0.31272727272727274"/>
    <x v="0"/>
  </r>
  <r>
    <s v="V01588"/>
    <x v="340"/>
    <s v="CL0427"/>
    <s v="Client 071"/>
    <x v="0"/>
    <s v="N'Djamena"/>
    <x v="2"/>
    <x v="13"/>
    <n v="7"/>
    <n v="160000"/>
    <n v="123600"/>
    <x v="6"/>
    <x v="3"/>
    <x v="0"/>
    <s v="Livrée"/>
    <x v="30"/>
    <n v="865200"/>
    <n v="254800"/>
    <n v="0.22750000000000001"/>
    <x v="2"/>
  </r>
  <r>
    <s v="V01589"/>
    <x v="189"/>
    <s v="CL0325"/>
    <s v="Client 385"/>
    <x v="0"/>
    <s v="N'Djamena"/>
    <x v="2"/>
    <x v="9"/>
    <n v="1"/>
    <n v="180000"/>
    <n v="135000"/>
    <x v="2"/>
    <x v="2"/>
    <x v="0"/>
    <s v="En cours"/>
    <x v="88"/>
    <n v="135000"/>
    <n v="45000"/>
    <n v="0.25"/>
    <x v="6"/>
  </r>
  <r>
    <s v="V01590"/>
    <x v="211"/>
    <s v="CL0359"/>
    <s v="Client 097"/>
    <x v="6"/>
    <s v="Pala"/>
    <x v="2"/>
    <x v="10"/>
    <n v="8"/>
    <n v="450000"/>
    <n v="370000"/>
    <x v="0"/>
    <x v="3"/>
    <x v="1"/>
    <s v="Livrée"/>
    <x v="102"/>
    <n v="2960000"/>
    <n v="640000"/>
    <n v="0.17777777777777778"/>
    <x v="5"/>
  </r>
  <r>
    <s v="V01591"/>
    <x v="328"/>
    <s v="CL0444"/>
    <s v="Client 222"/>
    <x v="6"/>
    <s v="Pala"/>
    <x v="0"/>
    <x v="11"/>
    <n v="9"/>
    <n v="89200"/>
    <n v="63900"/>
    <x v="7"/>
    <x v="1"/>
    <x v="1"/>
    <s v="Livrée"/>
    <x v="403"/>
    <n v="575100"/>
    <n v="227700"/>
    <n v="0.28363228699551568"/>
    <x v="2"/>
  </r>
  <r>
    <s v="V01592"/>
    <x v="25"/>
    <s v="CL0498"/>
    <s v="Client 098"/>
    <x v="0"/>
    <s v="N'Djamena"/>
    <x v="0"/>
    <x v="5"/>
    <n v="3"/>
    <n v="220000"/>
    <n v="160000"/>
    <x v="6"/>
    <x v="3"/>
    <x v="2"/>
    <s v="Livrée"/>
    <x v="409"/>
    <n v="480000"/>
    <n v="180000"/>
    <n v="0.27272727272727271"/>
    <x v="3"/>
  </r>
  <r>
    <s v="V01593"/>
    <x v="69"/>
    <s v="CL0071"/>
    <s v="Client 425"/>
    <x v="1"/>
    <s v="Abéché"/>
    <x v="0"/>
    <x v="11"/>
    <n v="2"/>
    <n v="89200"/>
    <n v="60100"/>
    <x v="7"/>
    <x v="0"/>
    <x v="1"/>
    <s v="Livrée"/>
    <x v="18"/>
    <n v="120200"/>
    <n v="58200"/>
    <n v="0.32623318385650224"/>
    <x v="11"/>
  </r>
  <r>
    <s v="V01594"/>
    <x v="329"/>
    <s v="CL0108"/>
    <s v="Client 081"/>
    <x v="7"/>
    <s v="Bol"/>
    <x v="2"/>
    <x v="9"/>
    <n v="3"/>
    <n v="180000"/>
    <n v="131000"/>
    <x v="7"/>
    <x v="3"/>
    <x v="0"/>
    <s v="Livrée"/>
    <x v="254"/>
    <n v="393000"/>
    <n v="147000"/>
    <n v="0.2722222222222222"/>
    <x v="9"/>
  </r>
  <r>
    <s v="V01595"/>
    <x v="281"/>
    <s v="CL0230"/>
    <s v="Client 244"/>
    <x v="3"/>
    <s v="Mao"/>
    <x v="3"/>
    <x v="3"/>
    <n v="7"/>
    <n v="15000"/>
    <n v="9200"/>
    <x v="6"/>
    <x v="1"/>
    <x v="0"/>
    <s v="Livrée"/>
    <x v="65"/>
    <n v="64400"/>
    <n v="40600"/>
    <n v="0.38666666666666666"/>
    <x v="2"/>
  </r>
  <r>
    <s v="V01596"/>
    <x v="265"/>
    <s v="CL0148"/>
    <s v="Client 022"/>
    <x v="0"/>
    <s v="N'Djamena"/>
    <x v="2"/>
    <x v="10"/>
    <n v="4"/>
    <n v="427500"/>
    <n v="381100"/>
    <x v="2"/>
    <x v="3"/>
    <x v="2"/>
    <s v="Annulée"/>
    <x v="265"/>
    <n v="1524400"/>
    <n v="185600"/>
    <n v="0.10853801169590643"/>
    <x v="10"/>
  </r>
  <r>
    <s v="V01597"/>
    <x v="271"/>
    <s v="CL0161"/>
    <s v="Client 183"/>
    <x v="5"/>
    <s v="Massaguet"/>
    <x v="0"/>
    <x v="0"/>
    <n v="8"/>
    <n v="65000"/>
    <n v="46400"/>
    <x v="3"/>
    <x v="2"/>
    <x v="1"/>
    <s v="Livrée"/>
    <x v="11"/>
    <n v="371200"/>
    <n v="148800"/>
    <n v="0.28615384615384615"/>
    <x v="5"/>
  </r>
  <r>
    <s v="V01598"/>
    <x v="287"/>
    <s v="CL0363"/>
    <s v="Client 152"/>
    <x v="1"/>
    <s v="Abéché"/>
    <x v="1"/>
    <x v="7"/>
    <n v="6"/>
    <n v="10000"/>
    <n v="6000"/>
    <x v="0"/>
    <x v="2"/>
    <x v="2"/>
    <s v="Livrée"/>
    <x v="69"/>
    <n v="36000"/>
    <n v="24000"/>
    <n v="0.4"/>
    <x v="7"/>
  </r>
  <r>
    <s v="V01599"/>
    <x v="292"/>
    <s v="CL0090"/>
    <s v="Client 263"/>
    <x v="0"/>
    <s v="N'Djamena"/>
    <x v="3"/>
    <x v="4"/>
    <n v="4"/>
    <n v="9000"/>
    <n v="5800"/>
    <x v="5"/>
    <x v="2"/>
    <x v="0"/>
    <s v="Livrée"/>
    <x v="193"/>
    <n v="23200"/>
    <n v="12800"/>
    <n v="0.35555555555555557"/>
    <x v="8"/>
  </r>
  <r>
    <s v="V01600"/>
    <x v="51"/>
    <s v="CL0020"/>
    <s v="Client 114"/>
    <x v="7"/>
    <s v="Bol"/>
    <x v="2"/>
    <x v="10"/>
    <n v="7"/>
    <n v="450000"/>
    <n v="381100"/>
    <x v="3"/>
    <x v="2"/>
    <x v="2"/>
    <s v="Livrée"/>
    <x v="12"/>
    <n v="2667700"/>
    <n v="482300"/>
    <n v="0.15311111111111111"/>
    <x v="0"/>
  </r>
  <r>
    <s v="V01601"/>
    <x v="350"/>
    <s v="CL0009"/>
    <s v="Client 303"/>
    <x v="5"/>
    <s v="Massaguet"/>
    <x v="3"/>
    <x v="17"/>
    <n v="8"/>
    <n v="18000"/>
    <n v="12100"/>
    <x v="3"/>
    <x v="3"/>
    <x v="2"/>
    <s v="En cours"/>
    <x v="210"/>
    <n v="96800"/>
    <n v="47200"/>
    <n v="0.32777777777777778"/>
    <x v="0"/>
  </r>
  <r>
    <s v="V01602"/>
    <x v="205"/>
    <s v="CL0045"/>
    <s v="Client 223"/>
    <x v="0"/>
    <s v="N'Djamena"/>
    <x v="0"/>
    <x v="16"/>
    <n v="10"/>
    <n v="140000"/>
    <n v="103000"/>
    <x v="0"/>
    <x v="3"/>
    <x v="0"/>
    <s v="Livrée"/>
    <x v="341"/>
    <n v="1030000"/>
    <n v="370000"/>
    <n v="0.26428571428571429"/>
    <x v="4"/>
  </r>
  <r>
    <s v="V01603"/>
    <x v="276"/>
    <s v="CL0373"/>
    <s v="Client 144"/>
    <x v="5"/>
    <s v="Massaguet"/>
    <x v="2"/>
    <x v="13"/>
    <n v="10"/>
    <n v="160000"/>
    <n v="123600"/>
    <x v="0"/>
    <x v="0"/>
    <x v="1"/>
    <s v="Livrée"/>
    <x v="132"/>
    <n v="1236000"/>
    <n v="364000"/>
    <n v="0.22750000000000001"/>
    <x v="2"/>
  </r>
  <r>
    <s v="V01604"/>
    <x v="61"/>
    <s v="CL0186"/>
    <s v="Client 306"/>
    <x v="5"/>
    <s v="Massaguet"/>
    <x v="0"/>
    <x v="0"/>
    <n v="1"/>
    <n v="65000"/>
    <n v="46400"/>
    <x v="1"/>
    <x v="3"/>
    <x v="1"/>
    <s v="Livrée"/>
    <x v="0"/>
    <n v="46400"/>
    <n v="18600"/>
    <n v="0.28615384615384615"/>
    <x v="7"/>
  </r>
  <r>
    <s v="V01605"/>
    <x v="34"/>
    <s v="CL0048"/>
    <s v="Client 172"/>
    <x v="0"/>
    <s v="N'Djamena"/>
    <x v="2"/>
    <x v="10"/>
    <n v="7"/>
    <n v="427500"/>
    <n v="370000"/>
    <x v="5"/>
    <x v="2"/>
    <x v="1"/>
    <s v="Livrée"/>
    <x v="352"/>
    <n v="2590000"/>
    <n v="402500"/>
    <n v="0.13450292397660818"/>
    <x v="5"/>
  </r>
  <r>
    <s v="V01606"/>
    <x v="224"/>
    <s v="CL0210"/>
    <s v="Client 018"/>
    <x v="0"/>
    <s v="N'Djamena"/>
    <x v="1"/>
    <x v="18"/>
    <n v="7"/>
    <n v="23800"/>
    <n v="15500"/>
    <x v="2"/>
    <x v="3"/>
    <x v="1"/>
    <s v="Livrée"/>
    <x v="395"/>
    <n v="108500"/>
    <n v="58100"/>
    <n v="0.34873949579831931"/>
    <x v="10"/>
  </r>
  <r>
    <s v="V01607"/>
    <x v="17"/>
    <s v="CL0159"/>
    <s v="Client 095"/>
    <x v="6"/>
    <s v="Pala"/>
    <x v="0"/>
    <x v="16"/>
    <n v="3"/>
    <n v="140000"/>
    <n v="97000"/>
    <x v="1"/>
    <x v="2"/>
    <x v="1"/>
    <s v="Livrée"/>
    <x v="291"/>
    <n v="291000"/>
    <n v="129000"/>
    <n v="0.30714285714285716"/>
    <x v="6"/>
  </r>
  <r>
    <s v="V01608"/>
    <x v="14"/>
    <s v="CL0440"/>
    <s v="Client 251"/>
    <x v="2"/>
    <s v="Doba"/>
    <x v="2"/>
    <x v="14"/>
    <n v="4"/>
    <n v="99800"/>
    <n v="67900"/>
    <x v="5"/>
    <x v="1"/>
    <x v="0"/>
    <s v="Livrée"/>
    <x v="189"/>
    <n v="271600"/>
    <n v="127600"/>
    <n v="0.31963927855711421"/>
    <x v="0"/>
  </r>
  <r>
    <s v="V01609"/>
    <x v="203"/>
    <s v="CL0296"/>
    <s v="Client 035"/>
    <x v="3"/>
    <s v="Mao"/>
    <x v="2"/>
    <x v="13"/>
    <n v="10"/>
    <n v="160000"/>
    <n v="120000"/>
    <x v="7"/>
    <x v="3"/>
    <x v="0"/>
    <s v="Livrée"/>
    <x v="132"/>
    <n v="1200000"/>
    <n v="400000"/>
    <n v="0.25"/>
    <x v="8"/>
  </r>
  <r>
    <s v="V01610"/>
    <x v="205"/>
    <s v="CL0337"/>
    <s v="Client 083"/>
    <x v="0"/>
    <s v="N'Djamena"/>
    <x v="3"/>
    <x v="4"/>
    <n v="7"/>
    <n v="9400"/>
    <n v="5600"/>
    <x v="1"/>
    <x v="3"/>
    <x v="0"/>
    <s v="En cours"/>
    <x v="313"/>
    <n v="39200"/>
    <n v="26600"/>
    <n v="0.40425531914893614"/>
    <x v="4"/>
  </r>
  <r>
    <s v="V01611"/>
    <x v="105"/>
    <s v="CL0448"/>
    <s v="Client 161"/>
    <x v="1"/>
    <s v="Abéché"/>
    <x v="3"/>
    <x v="17"/>
    <n v="2"/>
    <n v="18900"/>
    <n v="12100"/>
    <x v="6"/>
    <x v="2"/>
    <x v="0"/>
    <s v="En cours"/>
    <x v="58"/>
    <n v="24200"/>
    <n v="13600"/>
    <n v="0.35978835978835977"/>
    <x v="4"/>
  </r>
  <r>
    <s v="V01612"/>
    <x v="229"/>
    <s v="CL0481"/>
    <s v="Client 309"/>
    <x v="6"/>
    <s v="Moundou"/>
    <x v="1"/>
    <x v="18"/>
    <n v="9"/>
    <n v="26200"/>
    <n v="15500"/>
    <x v="2"/>
    <x v="0"/>
    <x v="1"/>
    <s v="Livrée"/>
    <x v="115"/>
    <n v="139500"/>
    <n v="96300"/>
    <n v="0.40839694656488551"/>
    <x v="7"/>
  </r>
  <r>
    <s v="V01613"/>
    <x v="110"/>
    <s v="CL0144"/>
    <s v="Client 426"/>
    <x v="3"/>
    <s v="Mao"/>
    <x v="0"/>
    <x v="16"/>
    <n v="7"/>
    <n v="147000"/>
    <n v="103000"/>
    <x v="1"/>
    <x v="3"/>
    <x v="0"/>
    <s v="En cours"/>
    <x v="410"/>
    <n v="721000"/>
    <n v="308000"/>
    <n v="0.29931972789115646"/>
    <x v="2"/>
  </r>
  <r>
    <s v="V01614"/>
    <x v="101"/>
    <s v="CL0411"/>
    <s v="Client 415"/>
    <x v="7"/>
    <s v="Bol"/>
    <x v="2"/>
    <x v="9"/>
    <n v="9"/>
    <n v="180000"/>
    <n v="135000"/>
    <x v="1"/>
    <x v="2"/>
    <x v="0"/>
    <s v="Livrée"/>
    <x v="83"/>
    <n v="1215000"/>
    <n v="405000"/>
    <n v="0.25"/>
    <x v="6"/>
  </r>
  <r>
    <s v="V01615"/>
    <x v="200"/>
    <s v="CL0277"/>
    <s v="Client 107"/>
    <x v="0"/>
    <s v="N'Djamena"/>
    <x v="0"/>
    <x v="5"/>
    <n v="4"/>
    <n v="231000"/>
    <n v="160000"/>
    <x v="3"/>
    <x v="3"/>
    <x v="2"/>
    <s v="Annulée"/>
    <x v="73"/>
    <n v="640000"/>
    <n v="284000"/>
    <n v="0.30735930735930733"/>
    <x v="2"/>
  </r>
  <r>
    <s v="V01616"/>
    <x v="196"/>
    <s v="CL0401"/>
    <s v="Client 420"/>
    <x v="0"/>
    <s v="N'Djamena"/>
    <x v="2"/>
    <x v="2"/>
    <n v="4"/>
    <n v="57800"/>
    <n v="39000"/>
    <x v="6"/>
    <x v="2"/>
    <x v="0"/>
    <s v="Livrée"/>
    <x v="216"/>
    <n v="156000"/>
    <n v="75200"/>
    <n v="0.32525951557093424"/>
    <x v="11"/>
  </r>
  <r>
    <s v="V01617"/>
    <x v="71"/>
    <s v="CL0466"/>
    <s v="Client 008"/>
    <x v="0"/>
    <s v="N'Djamena"/>
    <x v="2"/>
    <x v="2"/>
    <n v="10"/>
    <n v="55000"/>
    <n v="37800"/>
    <x v="1"/>
    <x v="3"/>
    <x v="1"/>
    <s v="Livrée"/>
    <x v="13"/>
    <n v="378000"/>
    <n v="172000"/>
    <n v="0.31272727272727274"/>
    <x v="3"/>
  </r>
  <r>
    <s v="V01618"/>
    <x v="59"/>
    <s v="CL0377"/>
    <s v="Client 348"/>
    <x v="5"/>
    <s v="Massaguet"/>
    <x v="2"/>
    <x v="2"/>
    <n v="6"/>
    <n v="52200"/>
    <n v="37800"/>
    <x v="6"/>
    <x v="0"/>
    <x v="0"/>
    <s v="Livrée"/>
    <x v="209"/>
    <n v="226800"/>
    <n v="86400"/>
    <n v="0.27586206896551724"/>
    <x v="2"/>
  </r>
  <r>
    <s v="V01619"/>
    <x v="76"/>
    <s v="CL0433"/>
    <s v="Client 337"/>
    <x v="0"/>
    <s v="N'Djamena"/>
    <x v="2"/>
    <x v="13"/>
    <n v="1"/>
    <n v="160000"/>
    <n v="123600"/>
    <x v="3"/>
    <x v="3"/>
    <x v="1"/>
    <s v="Livrée"/>
    <x v="31"/>
    <n v="123600"/>
    <n v="36400"/>
    <n v="0.22750000000000001"/>
    <x v="11"/>
  </r>
  <r>
    <s v="V01620"/>
    <x v="84"/>
    <s v="CL0004"/>
    <s v="Client 479"/>
    <x v="1"/>
    <s v="Abéché"/>
    <x v="1"/>
    <x v="12"/>
    <n v="9"/>
    <n v="30000"/>
    <n v="19600"/>
    <x v="6"/>
    <x v="0"/>
    <x v="0"/>
    <s v="Livrée"/>
    <x v="25"/>
    <n v="176400"/>
    <n v="93600"/>
    <n v="0.34666666666666668"/>
    <x v="7"/>
  </r>
  <r>
    <s v="V01621"/>
    <x v="138"/>
    <s v="CL0178"/>
    <s v="Client 199"/>
    <x v="0"/>
    <s v="N'Djamena"/>
    <x v="0"/>
    <x v="5"/>
    <n v="1"/>
    <n v="209000"/>
    <n v="160000"/>
    <x v="7"/>
    <x v="2"/>
    <x v="2"/>
    <s v="Livrée"/>
    <x v="154"/>
    <n v="160000"/>
    <n v="49000"/>
    <n v="0.23444976076555024"/>
    <x v="6"/>
  </r>
  <r>
    <s v="V01622"/>
    <x v="270"/>
    <s v="CL0251"/>
    <s v="Client 289"/>
    <x v="4"/>
    <s v="Ati"/>
    <x v="3"/>
    <x v="8"/>
    <n v="9"/>
    <n v="5700"/>
    <n v="4200"/>
    <x v="1"/>
    <x v="3"/>
    <x v="0"/>
    <s v="En cours"/>
    <x v="215"/>
    <n v="37800"/>
    <n v="13500"/>
    <n v="0.26315789473684209"/>
    <x v="2"/>
  </r>
  <r>
    <s v="V01623"/>
    <x v="361"/>
    <s v="CL0498"/>
    <s v="Client 366"/>
    <x v="7"/>
    <s v="Bol"/>
    <x v="0"/>
    <x v="11"/>
    <n v="5"/>
    <n v="85000"/>
    <n v="63900"/>
    <x v="3"/>
    <x v="2"/>
    <x v="0"/>
    <s v="Annulée"/>
    <x v="53"/>
    <n v="319500"/>
    <n v="105500"/>
    <n v="0.24823529411764705"/>
    <x v="8"/>
  </r>
  <r>
    <s v="V01624"/>
    <x v="115"/>
    <s v="CL0457"/>
    <s v="Client 081"/>
    <x v="5"/>
    <s v="Massaguet"/>
    <x v="1"/>
    <x v="12"/>
    <n v="2"/>
    <n v="30000"/>
    <n v="18400"/>
    <x v="6"/>
    <x v="1"/>
    <x v="1"/>
    <s v="Livrée"/>
    <x v="69"/>
    <n v="36800"/>
    <n v="23200"/>
    <n v="0.38666666666666666"/>
    <x v="9"/>
  </r>
  <r>
    <s v="V01625"/>
    <x v="243"/>
    <s v="CL0330"/>
    <s v="Client 238"/>
    <x v="2"/>
    <s v="Doba"/>
    <x v="3"/>
    <x v="15"/>
    <n v="8"/>
    <n v="8400"/>
    <n v="5200"/>
    <x v="4"/>
    <x v="1"/>
    <x v="0"/>
    <s v="Livrée"/>
    <x v="242"/>
    <n v="41600"/>
    <n v="25600"/>
    <n v="0.38095238095238093"/>
    <x v="10"/>
  </r>
  <r>
    <s v="V01626"/>
    <x v="168"/>
    <s v="CL0187"/>
    <s v="Client 465"/>
    <x v="4"/>
    <s v="Ati"/>
    <x v="2"/>
    <x v="2"/>
    <n v="1"/>
    <n v="52200"/>
    <n v="40200"/>
    <x v="1"/>
    <x v="1"/>
    <x v="0"/>
    <s v="Livrée"/>
    <x v="161"/>
    <n v="40200"/>
    <n v="12000"/>
    <n v="0.22988505747126436"/>
    <x v="6"/>
  </r>
  <r>
    <s v="V01627"/>
    <x v="126"/>
    <s v="CL0176"/>
    <s v="Client 441"/>
    <x v="7"/>
    <s v="Bol"/>
    <x v="2"/>
    <x v="14"/>
    <n v="10"/>
    <n v="90200"/>
    <n v="72100"/>
    <x v="2"/>
    <x v="0"/>
    <x v="2"/>
    <s v="Livrée"/>
    <x v="42"/>
    <n v="721000"/>
    <n v="181000"/>
    <n v="0.20066518847006651"/>
    <x v="4"/>
  </r>
  <r>
    <s v="V01628"/>
    <x v="170"/>
    <s v="CL0077"/>
    <s v="Client 229"/>
    <x v="6"/>
    <s v="Pala"/>
    <x v="3"/>
    <x v="17"/>
    <n v="1"/>
    <n v="18000"/>
    <n v="12100"/>
    <x v="4"/>
    <x v="2"/>
    <x v="1"/>
    <s v="Livrée"/>
    <x v="213"/>
    <n v="12100"/>
    <n v="5900"/>
    <n v="0.32777777777777778"/>
    <x v="7"/>
  </r>
  <r>
    <s v="V01629"/>
    <x v="318"/>
    <s v="CL0207"/>
    <s v="Client 107"/>
    <x v="2"/>
    <s v="Doba"/>
    <x v="2"/>
    <x v="14"/>
    <n v="8"/>
    <n v="99800"/>
    <n v="72100"/>
    <x v="2"/>
    <x v="2"/>
    <x v="1"/>
    <s v="Livrée"/>
    <x v="44"/>
    <n v="576800"/>
    <n v="221600"/>
    <n v="0.27755511022044088"/>
    <x v="1"/>
  </r>
  <r>
    <s v="V01630"/>
    <x v="211"/>
    <s v="CL0313"/>
    <s v="Client 076"/>
    <x v="0"/>
    <s v="N'Djamena"/>
    <x v="2"/>
    <x v="10"/>
    <n v="6"/>
    <n v="427500"/>
    <n v="381100"/>
    <x v="6"/>
    <x v="1"/>
    <x v="1"/>
    <s v="Livrée"/>
    <x v="397"/>
    <n v="2286600"/>
    <n v="278400"/>
    <n v="0.10853801169590643"/>
    <x v="5"/>
  </r>
  <r>
    <s v="V01631"/>
    <x v="136"/>
    <s v="CL0446"/>
    <s v="Client 420"/>
    <x v="3"/>
    <s v="Mao"/>
    <x v="2"/>
    <x v="13"/>
    <n v="2"/>
    <n v="160000"/>
    <n v="123600"/>
    <x v="4"/>
    <x v="0"/>
    <x v="1"/>
    <s v="En cours"/>
    <x v="149"/>
    <n v="247200"/>
    <n v="72800"/>
    <n v="0.22750000000000001"/>
    <x v="7"/>
  </r>
  <r>
    <s v="V01632"/>
    <x v="203"/>
    <s v="CL0378"/>
    <s v="Client 283"/>
    <x v="7"/>
    <s v="Bol"/>
    <x v="1"/>
    <x v="7"/>
    <n v="10"/>
    <n v="10000"/>
    <n v="6200"/>
    <x v="0"/>
    <x v="2"/>
    <x v="0"/>
    <s v="Annulée"/>
    <x v="8"/>
    <n v="62000"/>
    <n v="38000"/>
    <n v="0.38"/>
    <x v="8"/>
  </r>
  <r>
    <s v="V01633"/>
    <x v="235"/>
    <s v="CL0101"/>
    <s v="Client 388"/>
    <x v="0"/>
    <s v="N'Djamena"/>
    <x v="0"/>
    <x v="16"/>
    <n v="5"/>
    <n v="140000"/>
    <n v="103000"/>
    <x v="7"/>
    <x v="2"/>
    <x v="0"/>
    <s v="Livrée"/>
    <x v="142"/>
    <n v="515000"/>
    <n v="185000"/>
    <n v="0.26428571428571429"/>
    <x v="4"/>
  </r>
  <r>
    <s v="V01634"/>
    <x v="248"/>
    <s v="CL0442"/>
    <s v="Client 415"/>
    <x v="6"/>
    <s v="Pala"/>
    <x v="2"/>
    <x v="13"/>
    <n v="10"/>
    <n v="168000"/>
    <n v="116400"/>
    <x v="2"/>
    <x v="2"/>
    <x v="2"/>
    <s v="Livrée"/>
    <x v="170"/>
    <n v="1164000"/>
    <n v="516000"/>
    <n v="0.30714285714285716"/>
    <x v="2"/>
  </r>
  <r>
    <s v="V01635"/>
    <x v="156"/>
    <s v="CL0078"/>
    <s v="Client 023"/>
    <x v="2"/>
    <s v="Doba"/>
    <x v="2"/>
    <x v="14"/>
    <n v="1"/>
    <n v="95000"/>
    <n v="72100"/>
    <x v="7"/>
    <x v="3"/>
    <x v="0"/>
    <s v="Livrée"/>
    <x v="335"/>
    <n v="72100"/>
    <n v="22900"/>
    <n v="0.24105263157894738"/>
    <x v="8"/>
  </r>
  <r>
    <s v="V01636"/>
    <x v="45"/>
    <s v="CL0410"/>
    <s v="Client 219"/>
    <x v="0"/>
    <s v="N'Djamena"/>
    <x v="2"/>
    <x v="9"/>
    <n v="5"/>
    <n v="171000"/>
    <n v="139000"/>
    <x v="4"/>
    <x v="2"/>
    <x v="0"/>
    <s v="En cours"/>
    <x v="165"/>
    <n v="695000"/>
    <n v="160000"/>
    <n v="0.1871345029239766"/>
    <x v="10"/>
  </r>
  <r>
    <s v="V01637"/>
    <x v="75"/>
    <s v="CL0161"/>
    <s v="Client 101"/>
    <x v="1"/>
    <s v="Abéché"/>
    <x v="3"/>
    <x v="15"/>
    <n v="7"/>
    <n v="8400"/>
    <n v="5000"/>
    <x v="5"/>
    <x v="3"/>
    <x v="0"/>
    <s v="Livrée"/>
    <x v="346"/>
    <n v="35000"/>
    <n v="23800"/>
    <n v="0.40476190476190477"/>
    <x v="7"/>
  </r>
  <r>
    <s v="V01638"/>
    <x v="7"/>
    <s v="CL0073"/>
    <s v="Client 159"/>
    <x v="6"/>
    <s v="Pala"/>
    <x v="0"/>
    <x v="0"/>
    <n v="4"/>
    <n v="68200"/>
    <n v="45000"/>
    <x v="4"/>
    <x v="2"/>
    <x v="0"/>
    <s v="Annulée"/>
    <x v="281"/>
    <n v="180000"/>
    <n v="92800"/>
    <n v="0.34017595307917886"/>
    <x v="1"/>
  </r>
  <r>
    <s v="V01639"/>
    <x v="200"/>
    <s v="CL0335"/>
    <s v="Client 490"/>
    <x v="7"/>
    <s v="Bol"/>
    <x v="2"/>
    <x v="14"/>
    <n v="3"/>
    <n v="90200"/>
    <n v="72100"/>
    <x v="4"/>
    <x v="2"/>
    <x v="0"/>
    <s v="Livrée"/>
    <x v="253"/>
    <n v="216300"/>
    <n v="54300"/>
    <n v="0.20066518847006651"/>
    <x v="2"/>
  </r>
  <r>
    <s v="V01640"/>
    <x v="47"/>
    <s v="CL0038"/>
    <s v="Client 386"/>
    <x v="5"/>
    <s v="Massaguet"/>
    <x v="2"/>
    <x v="10"/>
    <n v="7"/>
    <n v="472500"/>
    <n v="370000"/>
    <x v="4"/>
    <x v="1"/>
    <x v="0"/>
    <s v="Livrée"/>
    <x v="401"/>
    <n v="2590000"/>
    <n v="717500"/>
    <n v="0.21693121693121692"/>
    <x v="0"/>
  </r>
  <r>
    <s v="V01641"/>
    <x v="234"/>
    <s v="CL0072"/>
    <s v="Client 024"/>
    <x v="5"/>
    <s v="Massaguet"/>
    <x v="2"/>
    <x v="14"/>
    <n v="4"/>
    <n v="99800"/>
    <n v="72100"/>
    <x v="3"/>
    <x v="3"/>
    <x v="1"/>
    <s v="Livrée"/>
    <x v="189"/>
    <n v="288400"/>
    <n v="110800"/>
    <n v="0.27755511022044088"/>
    <x v="11"/>
  </r>
  <r>
    <s v="V01642"/>
    <x v="127"/>
    <s v="CL0299"/>
    <s v="Client 036"/>
    <x v="6"/>
    <s v="Pala"/>
    <x v="2"/>
    <x v="14"/>
    <n v="1"/>
    <n v="90200"/>
    <n v="70000"/>
    <x v="4"/>
    <x v="0"/>
    <x v="1"/>
    <s v="Livrée"/>
    <x v="59"/>
    <n v="70000"/>
    <n v="20200"/>
    <n v="0.22394678492239467"/>
    <x v="7"/>
  </r>
  <r>
    <s v="V01643"/>
    <x v="353"/>
    <s v="CL0119"/>
    <s v="Client 054"/>
    <x v="1"/>
    <s v="Abéché"/>
    <x v="2"/>
    <x v="9"/>
    <n v="5"/>
    <n v="180000"/>
    <n v="135000"/>
    <x v="6"/>
    <x v="1"/>
    <x v="1"/>
    <s v="Annulée"/>
    <x v="101"/>
    <n v="675000"/>
    <n v="225000"/>
    <n v="0.25"/>
    <x v="7"/>
  </r>
  <r>
    <s v="V01644"/>
    <x v="255"/>
    <s v="CL0018"/>
    <s v="Client 044"/>
    <x v="0"/>
    <s v="N'Djamena"/>
    <x v="2"/>
    <x v="14"/>
    <n v="5"/>
    <n v="90200"/>
    <n v="67900"/>
    <x v="2"/>
    <x v="2"/>
    <x v="1"/>
    <s v="Livrée"/>
    <x v="390"/>
    <n v="339500"/>
    <n v="111500"/>
    <n v="0.24722838137472283"/>
    <x v="5"/>
  </r>
  <r>
    <s v="V01645"/>
    <x v="237"/>
    <s v="CL0242"/>
    <s v="Client 158"/>
    <x v="0"/>
    <s v="N'Djamena"/>
    <x v="3"/>
    <x v="17"/>
    <n v="8"/>
    <n v="17100"/>
    <n v="12900"/>
    <x v="5"/>
    <x v="1"/>
    <x v="2"/>
    <s v="Annulée"/>
    <x v="49"/>
    <n v="103200"/>
    <n v="33600"/>
    <n v="0.24561403508771928"/>
    <x v="4"/>
  </r>
  <r>
    <s v="V01646"/>
    <x v="254"/>
    <s v="CL0113"/>
    <s v="Client 481"/>
    <x v="0"/>
    <s v="N'Djamena"/>
    <x v="1"/>
    <x v="1"/>
    <n v="5"/>
    <n v="7000"/>
    <n v="3900"/>
    <x v="3"/>
    <x v="3"/>
    <x v="1"/>
    <s v="Livrée"/>
    <x v="241"/>
    <n v="19500"/>
    <n v="15500"/>
    <n v="0.44285714285714284"/>
    <x v="8"/>
  </r>
  <r>
    <s v="V01647"/>
    <x v="194"/>
    <s v="CL0468"/>
    <s v="Client 075"/>
    <x v="6"/>
    <s v="Pala"/>
    <x v="1"/>
    <x v="7"/>
    <n v="5"/>
    <n v="10000"/>
    <n v="6400"/>
    <x v="7"/>
    <x v="1"/>
    <x v="1"/>
    <s v="Annulée"/>
    <x v="182"/>
    <n v="32000"/>
    <n v="18000"/>
    <n v="0.36"/>
    <x v="10"/>
  </r>
  <r>
    <s v="V01648"/>
    <x v="39"/>
    <s v="CL0284"/>
    <s v="Client 084"/>
    <x v="4"/>
    <s v="Ati"/>
    <x v="2"/>
    <x v="9"/>
    <n v="8"/>
    <n v="171000"/>
    <n v="139000"/>
    <x v="1"/>
    <x v="2"/>
    <x v="0"/>
    <s v="Livrée"/>
    <x v="109"/>
    <n v="1112000"/>
    <n v="256000"/>
    <n v="0.1871345029239766"/>
    <x v="3"/>
  </r>
  <r>
    <s v="V01649"/>
    <x v="334"/>
    <s v="CL0368"/>
    <s v="Client 203"/>
    <x v="1"/>
    <s v="Abéché"/>
    <x v="3"/>
    <x v="3"/>
    <n v="5"/>
    <n v="14200"/>
    <n v="9200"/>
    <x v="2"/>
    <x v="2"/>
    <x v="0"/>
    <s v="Livrée"/>
    <x v="399"/>
    <n v="46000"/>
    <n v="25000"/>
    <n v="0.352112676056338"/>
    <x v="6"/>
  </r>
  <r>
    <s v="V01650"/>
    <x v="250"/>
    <s v="CL0437"/>
    <s v="Client 221"/>
    <x v="5"/>
    <s v="Massaguet"/>
    <x v="2"/>
    <x v="9"/>
    <n v="7"/>
    <n v="180000"/>
    <n v="131000"/>
    <x v="7"/>
    <x v="2"/>
    <x v="0"/>
    <s v="Livrée"/>
    <x v="94"/>
    <n v="917000"/>
    <n v="343000"/>
    <n v="0.2722222222222222"/>
    <x v="4"/>
  </r>
  <r>
    <s v="V01651"/>
    <x v="209"/>
    <s v="CL0234"/>
    <s v="Client 239"/>
    <x v="0"/>
    <s v="N'Djamena"/>
    <x v="1"/>
    <x v="12"/>
    <n v="1"/>
    <n v="31500"/>
    <n v="19600"/>
    <x v="4"/>
    <x v="2"/>
    <x v="0"/>
    <s v="Livrée"/>
    <x v="195"/>
    <n v="19600"/>
    <n v="11900"/>
    <n v="0.37777777777777777"/>
    <x v="5"/>
  </r>
  <r>
    <s v="V01652"/>
    <x v="167"/>
    <s v="CL0301"/>
    <s v="Client 273"/>
    <x v="4"/>
    <s v="Ati"/>
    <x v="3"/>
    <x v="8"/>
    <n v="5"/>
    <n v="6000"/>
    <n v="4100"/>
    <x v="3"/>
    <x v="3"/>
    <x v="2"/>
    <s v="Livrée"/>
    <x v="5"/>
    <n v="20500"/>
    <n v="9500"/>
    <n v="0.31666666666666665"/>
    <x v="3"/>
  </r>
  <r>
    <s v="V01653"/>
    <x v="230"/>
    <s v="CL0305"/>
    <s v="Client 413"/>
    <x v="7"/>
    <s v="Bol"/>
    <x v="2"/>
    <x v="2"/>
    <n v="6"/>
    <n v="55000"/>
    <n v="39000"/>
    <x v="3"/>
    <x v="3"/>
    <x v="1"/>
    <s v="Livrée"/>
    <x v="194"/>
    <n v="234000"/>
    <n v="96000"/>
    <n v="0.29090909090909089"/>
    <x v="1"/>
  </r>
  <r>
    <s v="V01654"/>
    <x v="286"/>
    <s v="CL0098"/>
    <s v="Client 475"/>
    <x v="2"/>
    <s v="Doba"/>
    <x v="2"/>
    <x v="9"/>
    <n v="8"/>
    <n v="180000"/>
    <n v="131000"/>
    <x v="6"/>
    <x v="3"/>
    <x v="2"/>
    <s v="En cours"/>
    <x v="157"/>
    <n v="1048000"/>
    <n v="392000"/>
    <n v="0.2722222222222222"/>
    <x v="9"/>
  </r>
  <r>
    <s v="V01655"/>
    <x v="269"/>
    <s v="CL0181"/>
    <s v="Client 036"/>
    <x v="2"/>
    <s v="Doba"/>
    <x v="2"/>
    <x v="2"/>
    <n v="9"/>
    <n v="55000"/>
    <n v="39000"/>
    <x v="2"/>
    <x v="1"/>
    <x v="1"/>
    <s v="Annulée"/>
    <x v="48"/>
    <n v="351000"/>
    <n v="144000"/>
    <n v="0.29090909090909089"/>
    <x v="4"/>
  </r>
  <r>
    <s v="V01656"/>
    <x v="113"/>
    <s v="CL0087"/>
    <s v="Client 168"/>
    <x v="7"/>
    <s v="Bol"/>
    <x v="2"/>
    <x v="9"/>
    <n v="9"/>
    <n v="180000"/>
    <n v="135000"/>
    <x v="3"/>
    <x v="2"/>
    <x v="1"/>
    <s v="Livrée"/>
    <x v="83"/>
    <n v="1215000"/>
    <n v="405000"/>
    <n v="0.25"/>
    <x v="11"/>
  </r>
  <r>
    <s v="V01657"/>
    <x v="86"/>
    <s v="CL0235"/>
    <s v="Client 158"/>
    <x v="4"/>
    <s v="Ati"/>
    <x v="1"/>
    <x v="12"/>
    <n v="3"/>
    <n v="31500"/>
    <n v="19600"/>
    <x v="0"/>
    <x v="1"/>
    <x v="1"/>
    <s v="Annulée"/>
    <x v="276"/>
    <n v="58800"/>
    <n v="35700"/>
    <n v="0.37777777777777777"/>
    <x v="11"/>
  </r>
  <r>
    <s v="V01658"/>
    <x v="8"/>
    <s v="CL0151"/>
    <s v="Client 363"/>
    <x v="3"/>
    <s v="Mao"/>
    <x v="2"/>
    <x v="2"/>
    <n v="2"/>
    <n v="55000"/>
    <n v="40200"/>
    <x v="0"/>
    <x v="2"/>
    <x v="2"/>
    <s v="Livrée"/>
    <x v="320"/>
    <n v="80400"/>
    <n v="29600"/>
    <n v="0.2690909090909091"/>
    <x v="4"/>
  </r>
  <r>
    <s v="V01659"/>
    <x v="237"/>
    <s v="CL0041"/>
    <s v="Client 315"/>
    <x v="1"/>
    <s v="Abéché"/>
    <x v="0"/>
    <x v="0"/>
    <n v="3"/>
    <n v="65000"/>
    <n v="43600"/>
    <x v="3"/>
    <x v="0"/>
    <x v="0"/>
    <s v="Livrée"/>
    <x v="314"/>
    <n v="130800"/>
    <n v="64200"/>
    <n v="0.32923076923076922"/>
    <x v="4"/>
  </r>
  <r>
    <s v="V01660"/>
    <x v="304"/>
    <s v="CL0123"/>
    <s v="Client 454"/>
    <x v="4"/>
    <s v="Ati"/>
    <x v="3"/>
    <x v="17"/>
    <n v="1"/>
    <n v="18000"/>
    <n v="12500"/>
    <x v="1"/>
    <x v="2"/>
    <x v="2"/>
    <s v="Livrée"/>
    <x v="213"/>
    <n v="12500"/>
    <n v="5500"/>
    <n v="0.30555555555555558"/>
    <x v="8"/>
  </r>
  <r>
    <s v="V01661"/>
    <x v="6"/>
    <s v="CL0175"/>
    <s v="Client 146"/>
    <x v="0"/>
    <s v="N'Djamena"/>
    <x v="2"/>
    <x v="14"/>
    <n v="4"/>
    <n v="90200"/>
    <n v="70000"/>
    <x v="1"/>
    <x v="3"/>
    <x v="0"/>
    <s v="En cours"/>
    <x v="203"/>
    <n v="280000"/>
    <n v="80800"/>
    <n v="0.22394678492239467"/>
    <x v="2"/>
  </r>
  <r>
    <s v="V01662"/>
    <x v="160"/>
    <s v="CL0222"/>
    <s v="Client 389"/>
    <x v="0"/>
    <s v="N'Djamena"/>
    <x v="1"/>
    <x v="7"/>
    <n v="5"/>
    <n v="10000"/>
    <n v="6200"/>
    <x v="6"/>
    <x v="2"/>
    <x v="1"/>
    <s v="Livrée"/>
    <x v="182"/>
    <n v="31000"/>
    <n v="19000"/>
    <n v="0.38"/>
    <x v="11"/>
  </r>
  <r>
    <s v="V01663"/>
    <x v="262"/>
    <s v="CL0283"/>
    <s v="Client 285"/>
    <x v="3"/>
    <s v="Mao"/>
    <x v="2"/>
    <x v="9"/>
    <n v="5"/>
    <n v="189000"/>
    <n v="135000"/>
    <x v="1"/>
    <x v="2"/>
    <x v="0"/>
    <s v="Livrée"/>
    <x v="79"/>
    <n v="675000"/>
    <n v="270000"/>
    <n v="0.2857142857142857"/>
    <x v="6"/>
  </r>
  <r>
    <s v="V01664"/>
    <x v="293"/>
    <s v="CL0445"/>
    <s v="Client 420"/>
    <x v="6"/>
    <s v="Moundou"/>
    <x v="1"/>
    <x v="18"/>
    <n v="9"/>
    <n v="25000"/>
    <n v="16500"/>
    <x v="1"/>
    <x v="2"/>
    <x v="0"/>
    <s v="Livrée"/>
    <x v="378"/>
    <n v="148500"/>
    <n v="76500"/>
    <n v="0.34"/>
    <x v="4"/>
  </r>
  <r>
    <s v="V01665"/>
    <x v="76"/>
    <s v="CL0361"/>
    <s v="Client 330"/>
    <x v="5"/>
    <s v="Massaguet"/>
    <x v="2"/>
    <x v="14"/>
    <n v="8"/>
    <n v="95000"/>
    <n v="72100"/>
    <x v="5"/>
    <x v="2"/>
    <x v="1"/>
    <s v="Livrée"/>
    <x v="122"/>
    <n v="576800"/>
    <n v="183200"/>
    <n v="0.24105263157894738"/>
    <x v="11"/>
  </r>
  <r>
    <s v="V01666"/>
    <x v="324"/>
    <s v="CL0004"/>
    <s v="Client 172"/>
    <x v="7"/>
    <s v="Bol"/>
    <x v="2"/>
    <x v="10"/>
    <n v="6"/>
    <n v="472500"/>
    <n v="370000"/>
    <x v="5"/>
    <x v="0"/>
    <x v="0"/>
    <s v="Livrée"/>
    <x v="225"/>
    <n v="2220000"/>
    <n v="615000"/>
    <n v="0.21693121693121692"/>
    <x v="0"/>
  </r>
  <r>
    <s v="V01667"/>
    <x v="124"/>
    <s v="CL0195"/>
    <s v="Client 433"/>
    <x v="1"/>
    <s v="Abéché"/>
    <x v="2"/>
    <x v="9"/>
    <n v="1"/>
    <n v="180000"/>
    <n v="131000"/>
    <x v="7"/>
    <x v="0"/>
    <x v="2"/>
    <s v="Livrée"/>
    <x v="88"/>
    <n v="131000"/>
    <n v="49000"/>
    <n v="0.2722222222222222"/>
    <x v="5"/>
  </r>
  <r>
    <s v="V01668"/>
    <x v="321"/>
    <s v="CL0358"/>
    <s v="Client 174"/>
    <x v="0"/>
    <s v="N'Djamena"/>
    <x v="3"/>
    <x v="17"/>
    <n v="1"/>
    <n v="18900"/>
    <n v="12900"/>
    <x v="1"/>
    <x v="1"/>
    <x v="0"/>
    <s v="Annulée"/>
    <x v="311"/>
    <n v="12900"/>
    <n v="6000"/>
    <n v="0.31746031746031744"/>
    <x v="3"/>
  </r>
  <r>
    <s v="V01669"/>
    <x v="246"/>
    <s v="CL0002"/>
    <s v="Client 219"/>
    <x v="3"/>
    <s v="Mao"/>
    <x v="2"/>
    <x v="14"/>
    <n v="2"/>
    <n v="90200"/>
    <n v="70000"/>
    <x v="3"/>
    <x v="1"/>
    <x v="1"/>
    <s v="Livrée"/>
    <x v="186"/>
    <n v="140000"/>
    <n v="40400"/>
    <n v="0.22394678492239467"/>
    <x v="7"/>
  </r>
  <r>
    <s v="V01670"/>
    <x v="82"/>
    <s v="CL0058"/>
    <s v="Client 303"/>
    <x v="3"/>
    <s v="Mao"/>
    <x v="3"/>
    <x v="8"/>
    <n v="4"/>
    <n v="6000"/>
    <n v="4300"/>
    <x v="6"/>
    <x v="3"/>
    <x v="0"/>
    <s v="Livrée"/>
    <x v="191"/>
    <n v="17200"/>
    <n v="6800"/>
    <n v="0.28333333333333333"/>
    <x v="11"/>
  </r>
  <r>
    <s v="V01671"/>
    <x v="253"/>
    <s v="CL0316"/>
    <s v="Client 010"/>
    <x v="0"/>
    <s v="N'Djamena"/>
    <x v="1"/>
    <x v="12"/>
    <n v="9"/>
    <n v="30000"/>
    <n v="19600"/>
    <x v="3"/>
    <x v="1"/>
    <x v="0"/>
    <s v="Livrée"/>
    <x v="25"/>
    <n v="176400"/>
    <n v="93600"/>
    <n v="0.34666666666666668"/>
    <x v="4"/>
  </r>
  <r>
    <s v="V01673"/>
    <x v="167"/>
    <s v="CL0425"/>
    <s v="Client 448"/>
    <x v="1"/>
    <s v="Abéché"/>
    <x v="2"/>
    <x v="9"/>
    <n v="10"/>
    <n v="180000"/>
    <n v="131000"/>
    <x v="3"/>
    <x v="1"/>
    <x v="0"/>
    <s v="Livrée"/>
    <x v="139"/>
    <n v="1310000"/>
    <n v="490000"/>
    <n v="0.2722222222222222"/>
    <x v="3"/>
  </r>
  <r>
    <s v="V01674"/>
    <x v="101"/>
    <s v="CL0099"/>
    <s v="Client 179"/>
    <x v="1"/>
    <s v="Abéché"/>
    <x v="1"/>
    <x v="7"/>
    <n v="1"/>
    <n v="10500"/>
    <n v="6400"/>
    <x v="6"/>
    <x v="1"/>
    <x v="0"/>
    <s v="Livrée"/>
    <x v="289"/>
    <n v="6400"/>
    <n v="4100"/>
    <n v="0.39047619047619048"/>
    <x v="6"/>
  </r>
  <r>
    <s v="V01675"/>
    <x v="300"/>
    <s v="CL0305"/>
    <s v="Client 275"/>
    <x v="0"/>
    <s v="N'Djamena"/>
    <x v="2"/>
    <x v="14"/>
    <n v="10"/>
    <n v="99800"/>
    <n v="67900"/>
    <x v="7"/>
    <x v="2"/>
    <x v="1"/>
    <s v="Annulée"/>
    <x v="86"/>
    <n v="679000"/>
    <n v="319000"/>
    <n v="0.31963927855711421"/>
    <x v="8"/>
  </r>
  <r>
    <s v="V01676"/>
    <x v="300"/>
    <s v="CL0087"/>
    <s v="Client 382"/>
    <x v="2"/>
    <s v="Doba"/>
    <x v="1"/>
    <x v="18"/>
    <n v="7"/>
    <n v="23800"/>
    <n v="16000"/>
    <x v="7"/>
    <x v="1"/>
    <x v="1"/>
    <s v="Livrée"/>
    <x v="395"/>
    <n v="112000"/>
    <n v="54600"/>
    <n v="0.32773109243697479"/>
    <x v="8"/>
  </r>
  <r>
    <s v="V01677"/>
    <x v="255"/>
    <s v="CL0084"/>
    <s v="Client 175"/>
    <x v="5"/>
    <s v="Massaguet"/>
    <x v="2"/>
    <x v="13"/>
    <n v="8"/>
    <n v="152000"/>
    <n v="123600"/>
    <x v="2"/>
    <x v="2"/>
    <x v="0"/>
    <s v="Livrée"/>
    <x v="180"/>
    <n v="988800"/>
    <n v="227200"/>
    <n v="0.18684210526315789"/>
    <x v="5"/>
  </r>
  <r>
    <s v="V01678"/>
    <x v="95"/>
    <s v="CL0451"/>
    <s v="Client 104"/>
    <x v="7"/>
    <s v="Bol"/>
    <x v="0"/>
    <x v="11"/>
    <n v="5"/>
    <n v="85000"/>
    <n v="62000"/>
    <x v="0"/>
    <x v="2"/>
    <x v="2"/>
    <s v="Livrée"/>
    <x v="53"/>
    <n v="310000"/>
    <n v="115000"/>
    <n v="0.27058823529411763"/>
    <x v="11"/>
  </r>
  <r>
    <s v="V01679"/>
    <x v="126"/>
    <s v="CL0443"/>
    <s v="Client 344"/>
    <x v="6"/>
    <s v="Moundou"/>
    <x v="2"/>
    <x v="13"/>
    <n v="1"/>
    <n v="160000"/>
    <n v="120000"/>
    <x v="4"/>
    <x v="2"/>
    <x v="0"/>
    <s v="Livrée"/>
    <x v="31"/>
    <n v="120000"/>
    <n v="40000"/>
    <n v="0.25"/>
    <x v="4"/>
  </r>
  <r>
    <s v="V01680"/>
    <x v="252"/>
    <s v="CL0025"/>
    <s v="Client 352"/>
    <x v="1"/>
    <s v="Abéché"/>
    <x v="1"/>
    <x v="12"/>
    <n v="9"/>
    <n v="30000"/>
    <n v="19600"/>
    <x v="5"/>
    <x v="3"/>
    <x v="2"/>
    <s v="Livrée"/>
    <x v="25"/>
    <n v="176400"/>
    <n v="93600"/>
    <n v="0.34666666666666668"/>
    <x v="9"/>
  </r>
  <r>
    <s v="V01681"/>
    <x v="56"/>
    <s v="CL0273"/>
    <s v="Client 383"/>
    <x v="0"/>
    <s v="N'Djamena"/>
    <x v="3"/>
    <x v="4"/>
    <n v="1"/>
    <n v="8600"/>
    <n v="5600"/>
    <x v="6"/>
    <x v="1"/>
    <x v="1"/>
    <s v="Annulée"/>
    <x v="91"/>
    <n v="5600"/>
    <n v="3000"/>
    <n v="0.34883720930232559"/>
    <x v="6"/>
  </r>
  <r>
    <s v="V01682"/>
    <x v="262"/>
    <s v="CL0143"/>
    <s v="Client 446"/>
    <x v="3"/>
    <s v="Mao"/>
    <x v="0"/>
    <x v="16"/>
    <n v="9"/>
    <n v="133000"/>
    <n v="97000"/>
    <x v="4"/>
    <x v="1"/>
    <x v="1"/>
    <s v="Livrée"/>
    <x v="344"/>
    <n v="873000"/>
    <n v="324000"/>
    <n v="0.27067669172932329"/>
    <x v="6"/>
  </r>
  <r>
    <s v="V01683"/>
    <x v="151"/>
    <s v="CL0258"/>
    <s v="Client 119"/>
    <x v="1"/>
    <s v="Abéché"/>
    <x v="2"/>
    <x v="14"/>
    <n v="10"/>
    <n v="99800"/>
    <n v="72100"/>
    <x v="4"/>
    <x v="2"/>
    <x v="0"/>
    <s v="Livrée"/>
    <x v="86"/>
    <n v="721000"/>
    <n v="277000"/>
    <n v="0.27755511022044088"/>
    <x v="5"/>
  </r>
  <r>
    <s v="V01684"/>
    <x v="251"/>
    <s v="CL0229"/>
    <s v="Client 083"/>
    <x v="0"/>
    <s v="N'Djamena"/>
    <x v="1"/>
    <x v="6"/>
    <n v="9"/>
    <n v="12000"/>
    <n v="7700"/>
    <x v="3"/>
    <x v="1"/>
    <x v="0"/>
    <s v="En cours"/>
    <x v="124"/>
    <n v="69300"/>
    <n v="38700"/>
    <n v="0.35833333333333334"/>
    <x v="0"/>
  </r>
  <r>
    <s v="V01685"/>
    <x v="0"/>
    <s v="CL0078"/>
    <s v="Client 169"/>
    <x v="4"/>
    <s v="Ati"/>
    <x v="0"/>
    <x v="11"/>
    <n v="2"/>
    <n v="80800"/>
    <n v="62000"/>
    <x v="3"/>
    <x v="2"/>
    <x v="0"/>
    <s v="Annulée"/>
    <x v="271"/>
    <n v="124000"/>
    <n v="37600"/>
    <n v="0.23267326732673269"/>
    <x v="0"/>
  </r>
  <r>
    <s v="V01686"/>
    <x v="165"/>
    <s v="CL0469"/>
    <s v="Client 380"/>
    <x v="0"/>
    <s v="N'Djamena"/>
    <x v="1"/>
    <x v="18"/>
    <n v="5"/>
    <n v="25000"/>
    <n v="16000"/>
    <x v="0"/>
    <x v="2"/>
    <x v="2"/>
    <s v="Livrée"/>
    <x v="278"/>
    <n v="80000"/>
    <n v="45000"/>
    <n v="0.36"/>
    <x v="5"/>
  </r>
  <r>
    <s v="V01687"/>
    <x v="105"/>
    <s v="CL0289"/>
    <s v="Client 337"/>
    <x v="6"/>
    <s v="Moundou"/>
    <x v="1"/>
    <x v="1"/>
    <n v="8"/>
    <n v="7000"/>
    <n v="4000"/>
    <x v="5"/>
    <x v="3"/>
    <x v="0"/>
    <s v="Livrée"/>
    <x v="107"/>
    <n v="32000"/>
    <n v="24000"/>
    <n v="0.42857142857142855"/>
    <x v="4"/>
  </r>
  <r>
    <s v="V01688"/>
    <x v="135"/>
    <s v="CL0306"/>
    <s v="Client 314"/>
    <x v="3"/>
    <s v="Mao"/>
    <x v="2"/>
    <x v="2"/>
    <n v="3"/>
    <n v="55000"/>
    <n v="37800"/>
    <x v="7"/>
    <x v="2"/>
    <x v="1"/>
    <s v="Annulée"/>
    <x v="214"/>
    <n v="113400"/>
    <n v="51600"/>
    <n v="0.31272727272727274"/>
    <x v="6"/>
  </r>
  <r>
    <s v="V01689"/>
    <x v="54"/>
    <s v="CL0089"/>
    <s v="Client 487"/>
    <x v="0"/>
    <s v="N'Djamena"/>
    <x v="2"/>
    <x v="9"/>
    <n v="3"/>
    <n v="180000"/>
    <n v="131000"/>
    <x v="0"/>
    <x v="0"/>
    <x v="0"/>
    <s v="Livrée"/>
    <x v="254"/>
    <n v="393000"/>
    <n v="147000"/>
    <n v="0.2722222222222222"/>
    <x v="8"/>
  </r>
  <r>
    <s v="V01690"/>
    <x v="305"/>
    <s v="CL0067"/>
    <s v="Client 386"/>
    <x v="0"/>
    <s v="N'Djamena"/>
    <x v="3"/>
    <x v="8"/>
    <n v="8"/>
    <n v="6300"/>
    <n v="4100"/>
    <x v="5"/>
    <x v="2"/>
    <x v="0"/>
    <s v="En cours"/>
    <x v="297"/>
    <n v="32800"/>
    <n v="17600"/>
    <n v="0.34920634920634919"/>
    <x v="11"/>
  </r>
  <r>
    <s v="V01691"/>
    <x v="34"/>
    <s v="CL0241"/>
    <s v="Client 039"/>
    <x v="7"/>
    <s v="Bol"/>
    <x v="2"/>
    <x v="9"/>
    <n v="1"/>
    <n v="189000"/>
    <n v="139000"/>
    <x v="3"/>
    <x v="2"/>
    <x v="1"/>
    <s v="Livrée"/>
    <x v="162"/>
    <n v="139000"/>
    <n v="50000"/>
    <n v="0.26455026455026454"/>
    <x v="5"/>
  </r>
  <r>
    <s v="V01692"/>
    <x v="307"/>
    <s v="CL0226"/>
    <s v="Client 274"/>
    <x v="0"/>
    <s v="N'Djamena"/>
    <x v="2"/>
    <x v="10"/>
    <n v="4"/>
    <n v="472500"/>
    <n v="358900"/>
    <x v="3"/>
    <x v="1"/>
    <x v="1"/>
    <s v="Livrée"/>
    <x v="126"/>
    <n v="1435600"/>
    <n v="454400"/>
    <n v="0.24042328042328043"/>
    <x v="1"/>
  </r>
  <r>
    <s v="V01693"/>
    <x v="102"/>
    <s v="CL0096"/>
    <s v="Client 266"/>
    <x v="1"/>
    <s v="Abéché"/>
    <x v="2"/>
    <x v="10"/>
    <n v="5"/>
    <n v="450000"/>
    <n v="381100"/>
    <x v="7"/>
    <x v="3"/>
    <x v="0"/>
    <s v="Livrée"/>
    <x v="172"/>
    <n v="1905500"/>
    <n v="344500"/>
    <n v="0.15311111111111111"/>
    <x v="8"/>
  </r>
  <r>
    <s v="V01694"/>
    <x v="135"/>
    <s v="CL0077"/>
    <s v="Client 326"/>
    <x v="1"/>
    <s v="Abéché"/>
    <x v="0"/>
    <x v="0"/>
    <n v="10"/>
    <n v="68200"/>
    <n v="43600"/>
    <x v="7"/>
    <x v="1"/>
    <x v="0"/>
    <s v="Livrée"/>
    <x v="400"/>
    <n v="436000"/>
    <n v="246000"/>
    <n v="0.36070381231671556"/>
    <x v="6"/>
  </r>
  <r>
    <s v="V01695"/>
    <x v="304"/>
    <s v="CL0076"/>
    <s v="Client 446"/>
    <x v="0"/>
    <s v="N'Djamena"/>
    <x v="3"/>
    <x v="17"/>
    <n v="2"/>
    <n v="17100"/>
    <n v="12900"/>
    <x v="6"/>
    <x v="3"/>
    <x v="0"/>
    <s v="Livrée"/>
    <x v="246"/>
    <n v="25800"/>
    <n v="8400"/>
    <n v="0.24561403508771928"/>
    <x v="8"/>
  </r>
  <r>
    <s v="V01696"/>
    <x v="169"/>
    <s v="CL0124"/>
    <s v="Client 155"/>
    <x v="4"/>
    <s v="Ati"/>
    <x v="2"/>
    <x v="10"/>
    <n v="3"/>
    <n v="427500"/>
    <n v="370000"/>
    <x v="7"/>
    <x v="2"/>
    <x v="0"/>
    <s v="Livrée"/>
    <x v="257"/>
    <n v="1110000"/>
    <n v="172500"/>
    <n v="0.13450292397660818"/>
    <x v="9"/>
  </r>
  <r>
    <s v="V01697"/>
    <x v="121"/>
    <s v="CL0250"/>
    <s v="Client 107"/>
    <x v="6"/>
    <s v="Moundou"/>
    <x v="1"/>
    <x v="1"/>
    <n v="1"/>
    <n v="7000"/>
    <n v="4100"/>
    <x v="4"/>
    <x v="2"/>
    <x v="0"/>
    <s v="Annulée"/>
    <x v="309"/>
    <n v="4100"/>
    <n v="2900"/>
    <n v="0.41428571428571431"/>
    <x v="11"/>
  </r>
  <r>
    <s v="V01698"/>
    <x v="137"/>
    <s v="CL0426"/>
    <s v="Client 196"/>
    <x v="0"/>
    <s v="N'Djamena"/>
    <x v="0"/>
    <x v="0"/>
    <n v="6"/>
    <n v="65000"/>
    <n v="46400"/>
    <x v="7"/>
    <x v="2"/>
    <x v="0"/>
    <s v="Livrée"/>
    <x v="118"/>
    <n v="278400"/>
    <n v="111600"/>
    <n v="0.28615384615384615"/>
    <x v="0"/>
  </r>
  <r>
    <s v="V01699"/>
    <x v="93"/>
    <s v="CL0012"/>
    <s v="Client 019"/>
    <x v="0"/>
    <s v="N'Djamena"/>
    <x v="0"/>
    <x v="0"/>
    <n v="2"/>
    <n v="68200"/>
    <n v="46400"/>
    <x v="1"/>
    <x v="0"/>
    <x v="0"/>
    <s v="Livrée"/>
    <x v="258"/>
    <n v="92800"/>
    <n v="43600"/>
    <n v="0.31964809384164222"/>
    <x v="3"/>
  </r>
  <r>
    <s v="V01700"/>
    <x v="329"/>
    <s v="CL0089"/>
    <s v="Client 095"/>
    <x v="5"/>
    <s v="Massaguet"/>
    <x v="0"/>
    <x v="11"/>
    <n v="6"/>
    <n v="80800"/>
    <n v="60100"/>
    <x v="1"/>
    <x v="0"/>
    <x v="2"/>
    <s v="Livrée"/>
    <x v="382"/>
    <n v="360600"/>
    <n v="124200"/>
    <n v="0.25618811881188119"/>
    <x v="9"/>
  </r>
  <r>
    <s v="V01701"/>
    <x v="326"/>
    <s v="CL0463"/>
    <s v="Client 090"/>
    <x v="0"/>
    <s v="N'Djamena"/>
    <x v="1"/>
    <x v="12"/>
    <n v="3"/>
    <n v="31500"/>
    <n v="19000"/>
    <x v="7"/>
    <x v="2"/>
    <x v="2"/>
    <s v="Livrée"/>
    <x v="276"/>
    <n v="57000"/>
    <n v="37500"/>
    <n v="0.3968253968253968"/>
    <x v="2"/>
  </r>
  <r>
    <s v="V01702"/>
    <x v="47"/>
    <s v="CL0354"/>
    <s v="Client 357"/>
    <x v="6"/>
    <s v="Moundou"/>
    <x v="2"/>
    <x v="10"/>
    <n v="5"/>
    <n v="450000"/>
    <n v="381100"/>
    <x v="2"/>
    <x v="2"/>
    <x v="1"/>
    <s v="En cours"/>
    <x v="172"/>
    <n v="1905500"/>
    <n v="344500"/>
    <n v="0.15311111111111111"/>
    <x v="0"/>
  </r>
  <r>
    <s v="V01703"/>
    <x v="187"/>
    <s v="CL0264"/>
    <s v="Client 203"/>
    <x v="2"/>
    <s v="Doba"/>
    <x v="2"/>
    <x v="9"/>
    <n v="2"/>
    <n v="180000"/>
    <n v="131000"/>
    <x v="4"/>
    <x v="2"/>
    <x v="1"/>
    <s v="En cours"/>
    <x v="24"/>
    <n v="262000"/>
    <n v="98000"/>
    <n v="0.2722222222222222"/>
    <x v="8"/>
  </r>
  <r>
    <s v="V01704"/>
    <x v="110"/>
    <s v="CL0280"/>
    <s v="Client 371"/>
    <x v="0"/>
    <s v="N'Djamena"/>
    <x v="1"/>
    <x v="18"/>
    <n v="9"/>
    <n v="25000"/>
    <n v="16000"/>
    <x v="6"/>
    <x v="3"/>
    <x v="0"/>
    <s v="Livrée"/>
    <x v="378"/>
    <n v="144000"/>
    <n v="81000"/>
    <n v="0.36"/>
    <x v="2"/>
  </r>
  <r>
    <s v="V01705"/>
    <x v="41"/>
    <s v="CL0158"/>
    <s v="Client 449"/>
    <x v="3"/>
    <s v="Mao"/>
    <x v="2"/>
    <x v="10"/>
    <n v="10"/>
    <n v="450000"/>
    <n v="381100"/>
    <x v="0"/>
    <x v="3"/>
    <x v="1"/>
    <s v="Livrée"/>
    <x v="261"/>
    <n v="3811000"/>
    <n v="689000"/>
    <n v="0.15311111111111111"/>
    <x v="7"/>
  </r>
  <r>
    <s v="V01706"/>
    <x v="295"/>
    <s v="CL0385"/>
    <s v="Client 139"/>
    <x v="3"/>
    <s v="Mao"/>
    <x v="2"/>
    <x v="9"/>
    <n v="9"/>
    <n v="180000"/>
    <n v="131000"/>
    <x v="2"/>
    <x v="0"/>
    <x v="0"/>
    <s v="Livrée"/>
    <x v="83"/>
    <n v="1179000"/>
    <n v="441000"/>
    <n v="0.2722222222222222"/>
    <x v="6"/>
  </r>
  <r>
    <s v="V01707"/>
    <x v="49"/>
    <s v="CL0219"/>
    <s v="Client 187"/>
    <x v="6"/>
    <s v="Pala"/>
    <x v="1"/>
    <x v="12"/>
    <n v="6"/>
    <n v="30000"/>
    <n v="19600"/>
    <x v="7"/>
    <x v="3"/>
    <x v="1"/>
    <s v="Livrée"/>
    <x v="88"/>
    <n v="117600"/>
    <n v="62400"/>
    <n v="0.34666666666666668"/>
    <x v="11"/>
  </r>
  <r>
    <s v="V01708"/>
    <x v="119"/>
    <s v="CL0172"/>
    <s v="Client 357"/>
    <x v="6"/>
    <s v="Moundou"/>
    <x v="3"/>
    <x v="15"/>
    <n v="9"/>
    <n v="8000"/>
    <n v="4800"/>
    <x v="4"/>
    <x v="2"/>
    <x v="0"/>
    <s v="Annulée"/>
    <x v="196"/>
    <n v="43200"/>
    <n v="28800"/>
    <n v="0.4"/>
    <x v="8"/>
  </r>
  <r>
    <s v="V01709"/>
    <x v="261"/>
    <s v="CL0056"/>
    <s v="Client 290"/>
    <x v="2"/>
    <s v="Doba"/>
    <x v="2"/>
    <x v="14"/>
    <n v="3"/>
    <n v="90200"/>
    <n v="72100"/>
    <x v="0"/>
    <x v="3"/>
    <x v="1"/>
    <s v="Livrée"/>
    <x v="253"/>
    <n v="216300"/>
    <n v="54300"/>
    <n v="0.20066518847006651"/>
    <x v="7"/>
  </r>
  <r>
    <s v="V01710"/>
    <x v="88"/>
    <s v="CL0427"/>
    <s v="Client 452"/>
    <x v="0"/>
    <s v="N'Djamena"/>
    <x v="3"/>
    <x v="15"/>
    <n v="6"/>
    <n v="8400"/>
    <n v="5200"/>
    <x v="5"/>
    <x v="3"/>
    <x v="2"/>
    <s v="Livrée"/>
    <x v="297"/>
    <n v="31200"/>
    <n v="19200"/>
    <n v="0.38095238095238093"/>
    <x v="7"/>
  </r>
  <r>
    <s v="V01711"/>
    <x v="241"/>
    <s v="CL0119"/>
    <s v="Client 182"/>
    <x v="1"/>
    <s v="Abéché"/>
    <x v="0"/>
    <x v="5"/>
    <n v="6"/>
    <n v="220000"/>
    <n v="164800"/>
    <x v="6"/>
    <x v="2"/>
    <x v="0"/>
    <s v="Livrée"/>
    <x v="72"/>
    <n v="988800"/>
    <n v="331200"/>
    <n v="0.25090909090909091"/>
    <x v="2"/>
  </r>
  <r>
    <s v="V01712"/>
    <x v="309"/>
    <s v="CL0377"/>
    <s v="Client 212"/>
    <x v="0"/>
    <s v="N'Djamena"/>
    <x v="3"/>
    <x v="8"/>
    <n v="2"/>
    <n v="6000"/>
    <n v="4200"/>
    <x v="7"/>
    <x v="1"/>
    <x v="2"/>
    <s v="En cours"/>
    <x v="22"/>
    <n v="8400"/>
    <n v="3600"/>
    <n v="0.3"/>
    <x v="3"/>
  </r>
  <r>
    <s v="V01713"/>
    <x v="348"/>
    <s v="CL0249"/>
    <s v="Client 317"/>
    <x v="0"/>
    <s v="N'Djamena"/>
    <x v="2"/>
    <x v="13"/>
    <n v="1"/>
    <n v="160000"/>
    <n v="116400"/>
    <x v="2"/>
    <x v="2"/>
    <x v="1"/>
    <s v="Livrée"/>
    <x v="31"/>
    <n v="116400"/>
    <n v="43600"/>
    <n v="0.27250000000000002"/>
    <x v="6"/>
  </r>
  <r>
    <s v="V01714"/>
    <x v="177"/>
    <s v="CL0240"/>
    <s v="Client 318"/>
    <x v="6"/>
    <s v="Moundou"/>
    <x v="0"/>
    <x v="11"/>
    <n v="2"/>
    <n v="89200"/>
    <n v="62000"/>
    <x v="2"/>
    <x v="2"/>
    <x v="0"/>
    <s v="Annulée"/>
    <x v="18"/>
    <n v="124000"/>
    <n v="54400"/>
    <n v="0.30493273542600896"/>
    <x v="1"/>
  </r>
  <r>
    <s v="V01715"/>
    <x v="334"/>
    <s v="CL0164"/>
    <s v="Client 223"/>
    <x v="5"/>
    <s v="Massaguet"/>
    <x v="2"/>
    <x v="9"/>
    <n v="7"/>
    <n v="180000"/>
    <n v="135000"/>
    <x v="0"/>
    <x v="3"/>
    <x v="1"/>
    <s v="Livrée"/>
    <x v="94"/>
    <n v="945000"/>
    <n v="315000"/>
    <n v="0.25"/>
    <x v="6"/>
  </r>
  <r>
    <s v="V01716"/>
    <x v="320"/>
    <s v="CL0385"/>
    <s v="Client 206"/>
    <x v="3"/>
    <s v="Mao"/>
    <x v="0"/>
    <x v="5"/>
    <n v="8"/>
    <n v="209000"/>
    <n v="155200"/>
    <x v="3"/>
    <x v="3"/>
    <x v="0"/>
    <s v="Livrée"/>
    <x v="82"/>
    <n v="1241600"/>
    <n v="430400"/>
    <n v="0.25741626794258371"/>
    <x v="3"/>
  </r>
  <r>
    <s v="V01717"/>
    <x v="301"/>
    <s v="CL0449"/>
    <s v="Client 144"/>
    <x v="6"/>
    <s v="Pala"/>
    <x v="2"/>
    <x v="10"/>
    <n v="2"/>
    <n v="472500"/>
    <n v="358900"/>
    <x v="7"/>
    <x v="0"/>
    <x v="0"/>
    <s v="Livrée"/>
    <x v="79"/>
    <n v="717800"/>
    <n v="227200"/>
    <n v="0.24042328042328043"/>
    <x v="0"/>
  </r>
  <r>
    <s v="V01718"/>
    <x v="2"/>
    <s v="CL0476"/>
    <s v="Client 332"/>
    <x v="7"/>
    <s v="Bol"/>
    <x v="0"/>
    <x v="0"/>
    <n v="9"/>
    <n v="68200"/>
    <n v="45000"/>
    <x v="2"/>
    <x v="2"/>
    <x v="0"/>
    <s v="En cours"/>
    <x v="411"/>
    <n v="405000"/>
    <n v="208800"/>
    <n v="0.34017595307917886"/>
    <x v="2"/>
  </r>
  <r>
    <s v="V01719"/>
    <x v="145"/>
    <s v="CL0116"/>
    <s v="Client 071"/>
    <x v="0"/>
    <s v="N'Djamena"/>
    <x v="1"/>
    <x v="6"/>
    <n v="1"/>
    <n v="11400"/>
    <n v="7700"/>
    <x v="3"/>
    <x v="1"/>
    <x v="0"/>
    <s v="Livrée"/>
    <x v="298"/>
    <n v="7700"/>
    <n v="3700"/>
    <n v="0.32456140350877194"/>
    <x v="7"/>
  </r>
  <r>
    <s v="V01720"/>
    <x v="310"/>
    <s v="CL0257"/>
    <s v="Client 196"/>
    <x v="3"/>
    <s v="Mao"/>
    <x v="2"/>
    <x v="14"/>
    <n v="3"/>
    <n v="95000"/>
    <n v="67900"/>
    <x v="7"/>
    <x v="2"/>
    <x v="0"/>
    <s v="Livrée"/>
    <x v="40"/>
    <n v="203700"/>
    <n v="81300"/>
    <n v="0.28526315789473683"/>
    <x v="4"/>
  </r>
  <r>
    <s v="V01721"/>
    <x v="159"/>
    <s v="CL0392"/>
    <s v="Client 320"/>
    <x v="0"/>
    <s v="N'Djamena"/>
    <x v="1"/>
    <x v="6"/>
    <n v="1"/>
    <n v="12000"/>
    <n v="7700"/>
    <x v="0"/>
    <x v="2"/>
    <x v="0"/>
    <s v="Livrée"/>
    <x v="22"/>
    <n v="7700"/>
    <n v="4300"/>
    <n v="0.35833333333333334"/>
    <x v="1"/>
  </r>
  <r>
    <s v="V01722"/>
    <x v="0"/>
    <s v="CL0251"/>
    <s v="Client 048"/>
    <x v="1"/>
    <s v="Abéché"/>
    <x v="0"/>
    <x v="16"/>
    <n v="3"/>
    <n v="133000"/>
    <n v="100000"/>
    <x v="4"/>
    <x v="0"/>
    <x v="1"/>
    <s v="Livrée"/>
    <x v="308"/>
    <n v="300000"/>
    <n v="99000"/>
    <n v="0.24812030075187969"/>
    <x v="0"/>
  </r>
  <r>
    <s v="V01723"/>
    <x v="346"/>
    <s v="CL0110"/>
    <s v="Client 108"/>
    <x v="0"/>
    <s v="N'Djamena"/>
    <x v="3"/>
    <x v="8"/>
    <n v="7"/>
    <n v="6000"/>
    <n v="4100"/>
    <x v="5"/>
    <x v="1"/>
    <x v="0"/>
    <s v="Livrée"/>
    <x v="125"/>
    <n v="28700"/>
    <n v="13300"/>
    <n v="0.31666666666666665"/>
    <x v="6"/>
  </r>
  <r>
    <s v="V01724"/>
    <x v="150"/>
    <s v="CL0114"/>
    <s v="Client 238"/>
    <x v="0"/>
    <s v="N'Djamena"/>
    <x v="2"/>
    <x v="2"/>
    <n v="3"/>
    <n v="55000"/>
    <n v="40200"/>
    <x v="1"/>
    <x v="3"/>
    <x v="1"/>
    <s v="Livrée"/>
    <x v="214"/>
    <n v="120600"/>
    <n v="44400"/>
    <n v="0.2690909090909091"/>
    <x v="0"/>
  </r>
  <r>
    <s v="V01725"/>
    <x v="22"/>
    <s v="CL0088"/>
    <s v="Client 365"/>
    <x v="3"/>
    <s v="Mao"/>
    <x v="0"/>
    <x v="0"/>
    <n v="7"/>
    <n v="65000"/>
    <n v="43600"/>
    <x v="1"/>
    <x v="2"/>
    <x v="1"/>
    <s v="Livrée"/>
    <x v="377"/>
    <n v="305200"/>
    <n v="149800"/>
    <n v="0.32923076923076922"/>
    <x v="4"/>
  </r>
  <r>
    <s v="V01726"/>
    <x v="14"/>
    <s v="CL0181"/>
    <s v="Client 115"/>
    <x v="0"/>
    <s v="N'Djamena"/>
    <x v="3"/>
    <x v="8"/>
    <n v="8"/>
    <n v="5700"/>
    <n v="4100"/>
    <x v="1"/>
    <x v="3"/>
    <x v="0"/>
    <s v="Livrée"/>
    <x v="7"/>
    <n v="32800"/>
    <n v="12800"/>
    <n v="0.2807017543859649"/>
    <x v="0"/>
  </r>
  <r>
    <s v="V01727"/>
    <x v="221"/>
    <s v="CL0285"/>
    <s v="Client 417"/>
    <x v="0"/>
    <s v="N'Djamena"/>
    <x v="2"/>
    <x v="13"/>
    <n v="9"/>
    <n v="168000"/>
    <n v="120000"/>
    <x v="6"/>
    <x v="2"/>
    <x v="0"/>
    <s v="Livrée"/>
    <x v="168"/>
    <n v="1080000"/>
    <n v="432000"/>
    <n v="0.2857142857142857"/>
    <x v="11"/>
  </r>
  <r>
    <s v="V01728"/>
    <x v="243"/>
    <s v="CL0193"/>
    <s v="Client 228"/>
    <x v="2"/>
    <s v="Doba"/>
    <x v="3"/>
    <x v="17"/>
    <n v="8"/>
    <n v="18900"/>
    <n v="12100"/>
    <x v="7"/>
    <x v="2"/>
    <x v="1"/>
    <s v="Livrée"/>
    <x v="412"/>
    <n v="96800"/>
    <n v="54400"/>
    <n v="0.35978835978835977"/>
    <x v="10"/>
  </r>
  <r>
    <s v="V01729"/>
    <x v="3"/>
    <s v="CL0327"/>
    <s v="Client 094"/>
    <x v="0"/>
    <s v="N'Djamena"/>
    <x v="3"/>
    <x v="4"/>
    <n v="6"/>
    <n v="9000"/>
    <n v="5800"/>
    <x v="1"/>
    <x v="3"/>
    <x v="1"/>
    <s v="Livrée"/>
    <x v="77"/>
    <n v="34800"/>
    <n v="19200"/>
    <n v="0.35555555555555557"/>
    <x v="3"/>
  </r>
  <r>
    <s v="V01730"/>
    <x v="124"/>
    <s v="CL0203"/>
    <s v="Client 011"/>
    <x v="1"/>
    <s v="Abéché"/>
    <x v="2"/>
    <x v="9"/>
    <n v="8"/>
    <n v="189000"/>
    <n v="135000"/>
    <x v="0"/>
    <x v="3"/>
    <x v="0"/>
    <s v="Livrée"/>
    <x v="168"/>
    <n v="1080000"/>
    <n v="432000"/>
    <n v="0.2857142857142857"/>
    <x v="5"/>
  </r>
  <r>
    <s v="V01731"/>
    <x v="318"/>
    <s v="CL0013"/>
    <s v="Client 258"/>
    <x v="1"/>
    <s v="Abéché"/>
    <x v="3"/>
    <x v="3"/>
    <n v="6"/>
    <n v="15000"/>
    <n v="9800"/>
    <x v="3"/>
    <x v="0"/>
    <x v="2"/>
    <s v="Livrée"/>
    <x v="185"/>
    <n v="58800"/>
    <n v="31200"/>
    <n v="0.34666666666666668"/>
    <x v="1"/>
  </r>
  <r>
    <s v="V01732"/>
    <x v="317"/>
    <s v="CL0152"/>
    <s v="Client 431"/>
    <x v="7"/>
    <s v="Bol"/>
    <x v="2"/>
    <x v="13"/>
    <n v="1"/>
    <n v="160000"/>
    <n v="116400"/>
    <x v="2"/>
    <x v="3"/>
    <x v="2"/>
    <s v="Livrée"/>
    <x v="31"/>
    <n v="116400"/>
    <n v="43600"/>
    <n v="0.27250000000000002"/>
    <x v="9"/>
  </r>
  <r>
    <s v="V01733"/>
    <x v="159"/>
    <s v="CL0181"/>
    <s v="Client 189"/>
    <x v="1"/>
    <s v="Abéché"/>
    <x v="3"/>
    <x v="3"/>
    <n v="8"/>
    <n v="15000"/>
    <n v="9500"/>
    <x v="3"/>
    <x v="2"/>
    <x v="1"/>
    <s v="Livrée"/>
    <x v="95"/>
    <n v="76000"/>
    <n v="44000"/>
    <n v="0.36666666666666664"/>
    <x v="1"/>
  </r>
  <r>
    <s v="V01734"/>
    <x v="146"/>
    <s v="CL0154"/>
    <s v="Client 235"/>
    <x v="6"/>
    <s v="Moundou"/>
    <x v="2"/>
    <x v="13"/>
    <n v="5"/>
    <n v="160000"/>
    <n v="116400"/>
    <x v="2"/>
    <x v="1"/>
    <x v="2"/>
    <s v="Livrée"/>
    <x v="219"/>
    <n v="582000"/>
    <n v="218000"/>
    <n v="0.27250000000000002"/>
    <x v="9"/>
  </r>
  <r>
    <s v="V01735"/>
    <x v="333"/>
    <s v="CL0162"/>
    <s v="Client 349"/>
    <x v="6"/>
    <s v="Moundou"/>
    <x v="1"/>
    <x v="1"/>
    <n v="6"/>
    <n v="6600"/>
    <n v="4000"/>
    <x v="6"/>
    <x v="2"/>
    <x v="2"/>
    <s v="Livrée"/>
    <x v="413"/>
    <n v="24000"/>
    <n v="15600"/>
    <n v="0.39393939393939392"/>
    <x v="0"/>
  </r>
  <r>
    <s v="V01736"/>
    <x v="204"/>
    <s v="CL0344"/>
    <s v="Client 046"/>
    <x v="1"/>
    <s v="Abéché"/>
    <x v="0"/>
    <x v="11"/>
    <n v="4"/>
    <n v="80800"/>
    <n v="62000"/>
    <x v="5"/>
    <x v="2"/>
    <x v="2"/>
    <s v="Livrée"/>
    <x v="217"/>
    <n v="248000"/>
    <n v="75200"/>
    <n v="0.23267326732673269"/>
    <x v="3"/>
  </r>
  <r>
    <s v="V01737"/>
    <x v="177"/>
    <s v="CL0314"/>
    <s v="Client 392"/>
    <x v="0"/>
    <s v="N'Djamena"/>
    <x v="2"/>
    <x v="10"/>
    <n v="1"/>
    <n v="450000"/>
    <n v="381100"/>
    <x v="7"/>
    <x v="0"/>
    <x v="1"/>
    <s v="En cours"/>
    <x v="317"/>
    <n v="381100"/>
    <n v="68900"/>
    <n v="0.15311111111111111"/>
    <x v="1"/>
  </r>
  <r>
    <s v="V01738"/>
    <x v="208"/>
    <s v="CL0020"/>
    <s v="Client 256"/>
    <x v="7"/>
    <s v="Bol"/>
    <x v="2"/>
    <x v="14"/>
    <n v="6"/>
    <n v="95000"/>
    <n v="67900"/>
    <x v="1"/>
    <x v="3"/>
    <x v="0"/>
    <s v="Livrée"/>
    <x v="41"/>
    <n v="407400"/>
    <n v="162600"/>
    <n v="0.28526315789473683"/>
    <x v="1"/>
  </r>
  <r>
    <s v="V01739"/>
    <x v="41"/>
    <s v="CL0260"/>
    <s v="Client 303"/>
    <x v="0"/>
    <s v="N'Djamena"/>
    <x v="3"/>
    <x v="3"/>
    <n v="3"/>
    <n v="14200"/>
    <n v="9800"/>
    <x v="1"/>
    <x v="2"/>
    <x v="0"/>
    <s v="Annulée"/>
    <x v="239"/>
    <n v="29400"/>
    <n v="13200"/>
    <n v="0.30985915492957744"/>
    <x v="7"/>
  </r>
  <r>
    <s v="V01740"/>
    <x v="332"/>
    <s v="CL0078"/>
    <s v="Client 324"/>
    <x v="2"/>
    <s v="Doba"/>
    <x v="0"/>
    <x v="0"/>
    <n v="1"/>
    <n v="65000"/>
    <n v="43600"/>
    <x v="6"/>
    <x v="2"/>
    <x v="1"/>
    <s v="En cours"/>
    <x v="0"/>
    <n v="43600"/>
    <n v="21400"/>
    <n v="0.32923076923076922"/>
    <x v="9"/>
  </r>
  <r>
    <s v="V01741"/>
    <x v="304"/>
    <s v="CL0315"/>
    <s v="Client 364"/>
    <x v="2"/>
    <s v="Doba"/>
    <x v="1"/>
    <x v="12"/>
    <n v="4"/>
    <n v="30000"/>
    <n v="19600"/>
    <x v="6"/>
    <x v="2"/>
    <x v="0"/>
    <s v="Livrée"/>
    <x v="95"/>
    <n v="78400"/>
    <n v="41600"/>
    <n v="0.34666666666666668"/>
    <x v="8"/>
  </r>
  <r>
    <s v="V01742"/>
    <x v="350"/>
    <s v="CL0372"/>
    <s v="Client 474"/>
    <x v="2"/>
    <s v="Doba"/>
    <x v="2"/>
    <x v="10"/>
    <n v="8"/>
    <n v="450000"/>
    <n v="358900"/>
    <x v="6"/>
    <x v="2"/>
    <x v="0"/>
    <s v="Livrée"/>
    <x v="102"/>
    <n v="2871200"/>
    <n v="728800"/>
    <n v="0.20244444444444445"/>
    <x v="0"/>
  </r>
  <r>
    <s v="V01743"/>
    <x v="35"/>
    <s v="CL0177"/>
    <s v="Client 472"/>
    <x v="4"/>
    <s v="Ati"/>
    <x v="2"/>
    <x v="10"/>
    <n v="6"/>
    <n v="450000"/>
    <n v="358900"/>
    <x v="6"/>
    <x v="2"/>
    <x v="0"/>
    <s v="Livrée"/>
    <x v="85"/>
    <n v="2153400"/>
    <n v="546600"/>
    <n v="0.20244444444444445"/>
    <x v="0"/>
  </r>
  <r>
    <s v="V01744"/>
    <x v="326"/>
    <s v="CL0007"/>
    <s v="Client 240"/>
    <x v="3"/>
    <s v="Mao"/>
    <x v="1"/>
    <x v="18"/>
    <n v="6"/>
    <n v="23800"/>
    <n v="15500"/>
    <x v="7"/>
    <x v="3"/>
    <x v="0"/>
    <s v="Livrée"/>
    <x v="414"/>
    <n v="93000"/>
    <n v="49800"/>
    <n v="0.34873949579831931"/>
    <x v="2"/>
  </r>
  <r>
    <s v="V01745"/>
    <x v="238"/>
    <s v="CL0251"/>
    <s v="Client 151"/>
    <x v="3"/>
    <s v="Mao"/>
    <x v="2"/>
    <x v="14"/>
    <n v="5"/>
    <n v="99800"/>
    <n v="72100"/>
    <x v="4"/>
    <x v="2"/>
    <x v="2"/>
    <s v="Annulée"/>
    <x v="234"/>
    <n v="360500"/>
    <n v="138500"/>
    <n v="0.27755511022044088"/>
    <x v="5"/>
  </r>
  <r>
    <s v="V01746"/>
    <x v="76"/>
    <s v="CL0315"/>
    <s v="Client 373"/>
    <x v="6"/>
    <s v="Pala"/>
    <x v="1"/>
    <x v="7"/>
    <n v="10"/>
    <n v="10000"/>
    <n v="6000"/>
    <x v="2"/>
    <x v="2"/>
    <x v="1"/>
    <s v="Livrée"/>
    <x v="8"/>
    <n v="60000"/>
    <n v="40000"/>
    <n v="0.4"/>
    <x v="11"/>
  </r>
  <r>
    <s v="V01747"/>
    <x v="115"/>
    <s v="CL0016"/>
    <s v="Client 464"/>
    <x v="3"/>
    <s v="Mao"/>
    <x v="3"/>
    <x v="8"/>
    <n v="6"/>
    <n v="6000"/>
    <n v="4300"/>
    <x v="0"/>
    <x v="2"/>
    <x v="2"/>
    <s v="Livrée"/>
    <x v="193"/>
    <n v="25800"/>
    <n v="10200"/>
    <n v="0.28333333333333333"/>
    <x v="9"/>
  </r>
  <r>
    <s v="V01748"/>
    <x v="282"/>
    <s v="CL0500"/>
    <s v="Client 280"/>
    <x v="3"/>
    <s v="Mao"/>
    <x v="3"/>
    <x v="4"/>
    <n v="10"/>
    <n v="9000"/>
    <n v="5600"/>
    <x v="6"/>
    <x v="2"/>
    <x v="1"/>
    <s v="Annulée"/>
    <x v="185"/>
    <n v="56000"/>
    <n v="34000"/>
    <n v="0.37777777777777777"/>
    <x v="5"/>
  </r>
  <r>
    <s v="V01749"/>
    <x v="57"/>
    <s v="CL0390"/>
    <s v="Client 155"/>
    <x v="6"/>
    <s v="Pala"/>
    <x v="2"/>
    <x v="14"/>
    <n v="3"/>
    <n v="95000"/>
    <n v="67900"/>
    <x v="7"/>
    <x v="3"/>
    <x v="0"/>
    <s v="Livrée"/>
    <x v="40"/>
    <n v="203700"/>
    <n v="81300"/>
    <n v="0.28526315789473683"/>
    <x v="7"/>
  </r>
  <r>
    <s v="V01750"/>
    <x v="75"/>
    <s v="CL0268"/>
    <s v="Client 240"/>
    <x v="1"/>
    <s v="Abéché"/>
    <x v="2"/>
    <x v="10"/>
    <n v="3"/>
    <n v="450000"/>
    <n v="381100"/>
    <x v="5"/>
    <x v="0"/>
    <x v="0"/>
    <s v="Livrée"/>
    <x v="113"/>
    <n v="1143300"/>
    <n v="206700"/>
    <n v="0.15311111111111111"/>
    <x v="7"/>
  </r>
  <r>
    <s v="V01751"/>
    <x v="335"/>
    <s v="CL0328"/>
    <s v="Client 044"/>
    <x v="6"/>
    <s v="Moundou"/>
    <x v="2"/>
    <x v="9"/>
    <n v="1"/>
    <n v="189000"/>
    <n v="131000"/>
    <x v="3"/>
    <x v="2"/>
    <x v="1"/>
    <s v="Livrée"/>
    <x v="162"/>
    <n v="131000"/>
    <n v="58000"/>
    <n v="0.30687830687830686"/>
    <x v="2"/>
  </r>
  <r>
    <s v="V01752"/>
    <x v="142"/>
    <s v="CL0456"/>
    <s v="Client 223"/>
    <x v="6"/>
    <s v="Pala"/>
    <x v="1"/>
    <x v="7"/>
    <n v="9"/>
    <n v="10500"/>
    <n v="6400"/>
    <x v="6"/>
    <x v="0"/>
    <x v="0"/>
    <s v="Livrée"/>
    <x v="276"/>
    <n v="57600"/>
    <n v="36900"/>
    <n v="0.39047619047619048"/>
    <x v="3"/>
  </r>
  <r>
    <s v="V01753"/>
    <x v="104"/>
    <s v="CL0466"/>
    <s v="Client 242"/>
    <x v="3"/>
    <s v="Mao"/>
    <x v="0"/>
    <x v="11"/>
    <n v="4"/>
    <n v="85000"/>
    <n v="63900"/>
    <x v="2"/>
    <x v="2"/>
    <x v="0"/>
    <s v="Livrée"/>
    <x v="43"/>
    <n v="255600"/>
    <n v="84400"/>
    <n v="0.24823529411764705"/>
    <x v="7"/>
  </r>
  <r>
    <s v="V01754"/>
    <x v="257"/>
    <s v="CL0472"/>
    <s v="Client 387"/>
    <x v="7"/>
    <s v="Bol"/>
    <x v="0"/>
    <x v="5"/>
    <n v="2"/>
    <n v="231000"/>
    <n v="160000"/>
    <x v="5"/>
    <x v="2"/>
    <x v="0"/>
    <s v="Livrée"/>
    <x v="336"/>
    <n v="320000"/>
    <n v="142000"/>
    <n v="0.30735930735930733"/>
    <x v="5"/>
  </r>
  <r>
    <s v="V01755"/>
    <x v="315"/>
    <s v="CL0308"/>
    <s v="Client 303"/>
    <x v="2"/>
    <s v="Doba"/>
    <x v="2"/>
    <x v="14"/>
    <n v="3"/>
    <n v="95000"/>
    <n v="70000"/>
    <x v="6"/>
    <x v="3"/>
    <x v="0"/>
    <s v="Livrée"/>
    <x v="40"/>
    <n v="210000"/>
    <n v="75000"/>
    <n v="0.26315789473684209"/>
    <x v="5"/>
  </r>
  <r>
    <s v="V01756"/>
    <x v="65"/>
    <s v="CL0262"/>
    <s v="Client 312"/>
    <x v="6"/>
    <s v="Pala"/>
    <x v="1"/>
    <x v="18"/>
    <n v="10"/>
    <n v="26200"/>
    <n v="16000"/>
    <x v="4"/>
    <x v="2"/>
    <x v="1"/>
    <s v="Livrée"/>
    <x v="52"/>
    <n v="160000"/>
    <n v="102000"/>
    <n v="0.38931297709923662"/>
    <x v="10"/>
  </r>
  <r>
    <s v="V01757"/>
    <x v="299"/>
    <s v="CL0287"/>
    <s v="Client 350"/>
    <x v="5"/>
    <s v="Massaguet"/>
    <x v="1"/>
    <x v="1"/>
    <n v="6"/>
    <n v="6600"/>
    <n v="3900"/>
    <x v="5"/>
    <x v="2"/>
    <x v="2"/>
    <s v="Livrée"/>
    <x v="413"/>
    <n v="23400"/>
    <n v="16200"/>
    <n v="0.40909090909090912"/>
    <x v="1"/>
  </r>
  <r>
    <s v="V01758"/>
    <x v="87"/>
    <s v="CL0459"/>
    <s v="Client 209"/>
    <x v="1"/>
    <s v="Abéché"/>
    <x v="3"/>
    <x v="3"/>
    <n v="9"/>
    <n v="14200"/>
    <n v="9200"/>
    <x v="5"/>
    <x v="2"/>
    <x v="1"/>
    <s v="Livrée"/>
    <x v="208"/>
    <n v="82800"/>
    <n v="45000"/>
    <n v="0.352112676056338"/>
    <x v="1"/>
  </r>
  <r>
    <s v="V01759"/>
    <x v="162"/>
    <s v="CL0266"/>
    <s v="Client 125"/>
    <x v="6"/>
    <s v="Pala"/>
    <x v="0"/>
    <x v="5"/>
    <n v="5"/>
    <n v="220000"/>
    <n v="164800"/>
    <x v="4"/>
    <x v="2"/>
    <x v="1"/>
    <s v="Annulée"/>
    <x v="80"/>
    <n v="824000"/>
    <n v="276000"/>
    <n v="0.25090909090909091"/>
    <x v="4"/>
  </r>
  <r>
    <s v="V01760"/>
    <x v="317"/>
    <s v="CL0400"/>
    <s v="Client 313"/>
    <x v="7"/>
    <s v="Bol"/>
    <x v="0"/>
    <x v="0"/>
    <n v="9"/>
    <n v="68200"/>
    <n v="45000"/>
    <x v="5"/>
    <x v="1"/>
    <x v="0"/>
    <s v="Livrée"/>
    <x v="411"/>
    <n v="405000"/>
    <n v="208800"/>
    <n v="0.34017595307917886"/>
    <x v="9"/>
  </r>
  <r>
    <s v="V01761"/>
    <x v="130"/>
    <s v="CL0403"/>
    <s v="Client 450"/>
    <x v="6"/>
    <s v="Moundou"/>
    <x v="3"/>
    <x v="8"/>
    <n v="10"/>
    <n v="5700"/>
    <n v="4200"/>
    <x v="3"/>
    <x v="0"/>
    <x v="1"/>
    <s v="Livrée"/>
    <x v="159"/>
    <n v="42000"/>
    <n v="15000"/>
    <n v="0.26315789473684209"/>
    <x v="10"/>
  </r>
  <r>
    <s v="V01762"/>
    <x v="97"/>
    <s v="CL0361"/>
    <s v="Client 081"/>
    <x v="0"/>
    <s v="N'Djamena"/>
    <x v="0"/>
    <x v="16"/>
    <n v="7"/>
    <n v="140000"/>
    <n v="100000"/>
    <x v="2"/>
    <x v="2"/>
    <x v="2"/>
    <s v="Livrée"/>
    <x v="146"/>
    <n v="700000"/>
    <n v="280000"/>
    <n v="0.2857142857142857"/>
    <x v="9"/>
  </r>
  <r>
    <s v="V01763"/>
    <x v="162"/>
    <s v="CL0267"/>
    <s v="Client 261"/>
    <x v="4"/>
    <s v="Ati"/>
    <x v="3"/>
    <x v="17"/>
    <n v="4"/>
    <n v="18000"/>
    <n v="12100"/>
    <x v="6"/>
    <x v="2"/>
    <x v="1"/>
    <s v="Livrée"/>
    <x v="196"/>
    <n v="48400"/>
    <n v="23600"/>
    <n v="0.32777777777777778"/>
    <x v="4"/>
  </r>
  <r>
    <s v="V01764"/>
    <x v="106"/>
    <s v="CL0327"/>
    <s v="Client 099"/>
    <x v="0"/>
    <s v="N'Djamena"/>
    <x v="2"/>
    <x v="10"/>
    <n v="5"/>
    <n v="472500"/>
    <n v="381100"/>
    <x v="7"/>
    <x v="3"/>
    <x v="0"/>
    <s v="Livrée"/>
    <x v="137"/>
    <n v="1905500"/>
    <n v="457000"/>
    <n v="0.19343915343915344"/>
    <x v="8"/>
  </r>
  <r>
    <s v="V01765"/>
    <x v="331"/>
    <s v="CL0429"/>
    <s v="Client 250"/>
    <x v="4"/>
    <s v="Ati"/>
    <x v="3"/>
    <x v="8"/>
    <n v="6"/>
    <n v="6000"/>
    <n v="4200"/>
    <x v="7"/>
    <x v="2"/>
    <x v="0"/>
    <s v="Livrée"/>
    <x v="193"/>
    <n v="25200"/>
    <n v="10800"/>
    <n v="0.3"/>
    <x v="10"/>
  </r>
  <r>
    <s v="V01766"/>
    <x v="38"/>
    <s v="CL0285"/>
    <s v="Client 382"/>
    <x v="1"/>
    <s v="Abéché"/>
    <x v="0"/>
    <x v="16"/>
    <n v="6"/>
    <n v="140000"/>
    <n v="97000"/>
    <x v="1"/>
    <x v="2"/>
    <x v="0"/>
    <s v="Livrée"/>
    <x v="54"/>
    <n v="582000"/>
    <n v="258000"/>
    <n v="0.30714285714285716"/>
    <x v="2"/>
  </r>
  <r>
    <s v="V01767"/>
    <x v="110"/>
    <s v="CL0046"/>
    <s v="Client 345"/>
    <x v="3"/>
    <s v="Mao"/>
    <x v="2"/>
    <x v="10"/>
    <n v="1"/>
    <n v="472500"/>
    <n v="358900"/>
    <x v="2"/>
    <x v="2"/>
    <x v="1"/>
    <s v="Annulée"/>
    <x v="218"/>
    <n v="358900"/>
    <n v="113600"/>
    <n v="0.24042328042328043"/>
    <x v="2"/>
  </r>
  <r>
    <s v="V01768"/>
    <x v="293"/>
    <s v="CL0319"/>
    <s v="Client 206"/>
    <x v="0"/>
    <s v="N'Djamena"/>
    <x v="2"/>
    <x v="13"/>
    <n v="5"/>
    <n v="160000"/>
    <n v="120000"/>
    <x v="1"/>
    <x v="3"/>
    <x v="1"/>
    <s v="Livrée"/>
    <x v="219"/>
    <n v="600000"/>
    <n v="200000"/>
    <n v="0.25"/>
    <x v="4"/>
  </r>
  <r>
    <s v="V01769"/>
    <x v="34"/>
    <s v="CL0034"/>
    <s v="Client 025"/>
    <x v="6"/>
    <s v="Pala"/>
    <x v="1"/>
    <x v="18"/>
    <n v="5"/>
    <n v="26200"/>
    <n v="16500"/>
    <x v="5"/>
    <x v="3"/>
    <x v="0"/>
    <s v="Livrée"/>
    <x v="385"/>
    <n v="82500"/>
    <n v="48500"/>
    <n v="0.37022900763358779"/>
    <x v="5"/>
  </r>
  <r>
    <s v="V01770"/>
    <x v="345"/>
    <s v="CL0179"/>
    <s v="Client 405"/>
    <x v="1"/>
    <s v="Abéché"/>
    <x v="3"/>
    <x v="4"/>
    <n v="8"/>
    <n v="9400"/>
    <n v="5800"/>
    <x v="7"/>
    <x v="2"/>
    <x v="1"/>
    <s v="Livrée"/>
    <x v="415"/>
    <n v="46400"/>
    <n v="28800"/>
    <n v="0.38297872340425532"/>
    <x v="9"/>
  </r>
  <r>
    <s v="V01771"/>
    <x v="40"/>
    <s v="CL0079"/>
    <s v="Client 269"/>
    <x v="2"/>
    <s v="Doba"/>
    <x v="1"/>
    <x v="6"/>
    <n v="10"/>
    <n v="12000"/>
    <n v="7700"/>
    <x v="5"/>
    <x v="2"/>
    <x v="0"/>
    <s v="Livrée"/>
    <x v="95"/>
    <n v="77000"/>
    <n v="43000"/>
    <n v="0.35833333333333334"/>
    <x v="3"/>
  </r>
  <r>
    <s v="V01772"/>
    <x v="47"/>
    <s v="CL0178"/>
    <s v="Client 337"/>
    <x v="5"/>
    <s v="Massaguet"/>
    <x v="2"/>
    <x v="10"/>
    <n v="8"/>
    <n v="450000"/>
    <n v="381100"/>
    <x v="0"/>
    <x v="2"/>
    <x v="2"/>
    <s v="Livrée"/>
    <x v="102"/>
    <n v="3048800"/>
    <n v="551200"/>
    <n v="0.15311111111111111"/>
    <x v="0"/>
  </r>
  <r>
    <s v="V01773"/>
    <x v="277"/>
    <s v="CL0076"/>
    <s v="Client 383"/>
    <x v="0"/>
    <s v="N'Djamena"/>
    <x v="2"/>
    <x v="14"/>
    <n v="6"/>
    <n v="90200"/>
    <n v="67900"/>
    <x v="2"/>
    <x v="2"/>
    <x v="0"/>
    <s v="Livrée"/>
    <x v="192"/>
    <n v="407400"/>
    <n v="133800"/>
    <n v="0.24722838137472283"/>
    <x v="2"/>
  </r>
  <r>
    <s v="V01774"/>
    <x v="237"/>
    <s v="CL0320"/>
    <s v="Client 324"/>
    <x v="0"/>
    <s v="N'Djamena"/>
    <x v="2"/>
    <x v="10"/>
    <n v="8"/>
    <n v="450000"/>
    <n v="381100"/>
    <x v="6"/>
    <x v="0"/>
    <x v="1"/>
    <s v="Livrée"/>
    <x v="102"/>
    <n v="3048800"/>
    <n v="551200"/>
    <n v="0.15311111111111111"/>
    <x v="4"/>
  </r>
  <r>
    <s v="V01775"/>
    <x v="356"/>
    <s v="CL0270"/>
    <s v="Client 403"/>
    <x v="0"/>
    <s v="N'Djamena"/>
    <x v="3"/>
    <x v="3"/>
    <n v="3"/>
    <n v="15000"/>
    <n v="9200"/>
    <x v="6"/>
    <x v="2"/>
    <x v="1"/>
    <s v="En cours"/>
    <x v="128"/>
    <n v="27600"/>
    <n v="17400"/>
    <n v="0.38666666666666666"/>
    <x v="1"/>
  </r>
  <r>
    <s v="V01776"/>
    <x v="227"/>
    <s v="CL0148"/>
    <s v="Client 380"/>
    <x v="0"/>
    <s v="N'Djamena"/>
    <x v="1"/>
    <x v="1"/>
    <n v="7"/>
    <n v="6600"/>
    <n v="4000"/>
    <x v="5"/>
    <x v="1"/>
    <x v="0"/>
    <s v="Livrée"/>
    <x v="416"/>
    <n v="28000"/>
    <n v="18200"/>
    <n v="0.39393939393939392"/>
    <x v="3"/>
  </r>
  <r>
    <s v="V01777"/>
    <x v="193"/>
    <s v="CL0104"/>
    <s v="Client 411"/>
    <x v="2"/>
    <s v="Doba"/>
    <x v="1"/>
    <x v="18"/>
    <n v="3"/>
    <n v="25000"/>
    <n v="16000"/>
    <x v="0"/>
    <x v="3"/>
    <x v="1"/>
    <s v="Annulée"/>
    <x v="81"/>
    <n v="48000"/>
    <n v="27000"/>
    <n v="0.36"/>
    <x v="8"/>
  </r>
  <r>
    <s v="V01778"/>
    <x v="282"/>
    <s v="CL0235"/>
    <s v="Client 336"/>
    <x v="0"/>
    <s v="N'Djamena"/>
    <x v="3"/>
    <x v="17"/>
    <n v="6"/>
    <n v="18900"/>
    <n v="12100"/>
    <x v="0"/>
    <x v="3"/>
    <x v="2"/>
    <s v="Livrée"/>
    <x v="244"/>
    <n v="72600"/>
    <n v="40800"/>
    <n v="0.35978835978835977"/>
    <x v="5"/>
  </r>
  <r>
    <s v="V01779"/>
    <x v="121"/>
    <s v="CL0085"/>
    <s v="Client 297"/>
    <x v="2"/>
    <s v="Doba"/>
    <x v="1"/>
    <x v="6"/>
    <n v="10"/>
    <n v="12000"/>
    <n v="7500"/>
    <x v="0"/>
    <x v="1"/>
    <x v="0"/>
    <s v="Livrée"/>
    <x v="95"/>
    <n v="75000"/>
    <n v="45000"/>
    <n v="0.375"/>
    <x v="11"/>
  </r>
  <r>
    <s v="V01780"/>
    <x v="360"/>
    <s v="CL0298"/>
    <s v="Client 012"/>
    <x v="0"/>
    <s v="N'Djamena"/>
    <x v="2"/>
    <x v="9"/>
    <n v="2"/>
    <n v="189000"/>
    <n v="131000"/>
    <x v="7"/>
    <x v="1"/>
    <x v="1"/>
    <s v="Livrée"/>
    <x v="187"/>
    <n v="262000"/>
    <n v="116000"/>
    <n v="0.30687830687830686"/>
    <x v="0"/>
  </r>
  <r>
    <s v="V01781"/>
    <x v="348"/>
    <s v="CL0462"/>
    <s v="Client 259"/>
    <x v="4"/>
    <s v="Ati"/>
    <x v="3"/>
    <x v="8"/>
    <n v="10"/>
    <n v="6300"/>
    <n v="4100"/>
    <x v="0"/>
    <x v="3"/>
    <x v="2"/>
    <s v="Livrée"/>
    <x v="74"/>
    <n v="41000"/>
    <n v="22000"/>
    <n v="0.34920634920634919"/>
    <x v="6"/>
  </r>
  <r>
    <s v="V01782"/>
    <x v="156"/>
    <s v="CL0056"/>
    <s v="Client 080"/>
    <x v="4"/>
    <s v="Ati"/>
    <x v="2"/>
    <x v="2"/>
    <n v="6"/>
    <n v="57800"/>
    <n v="39000"/>
    <x v="1"/>
    <x v="2"/>
    <x v="0"/>
    <s v="Annulée"/>
    <x v="247"/>
    <n v="234000"/>
    <n v="112800"/>
    <n v="0.32525951557093424"/>
    <x v="8"/>
  </r>
  <r>
    <s v="V01783"/>
    <x v="189"/>
    <s v="CL0404"/>
    <s v="Client 337"/>
    <x v="0"/>
    <s v="N'Djamena"/>
    <x v="3"/>
    <x v="4"/>
    <n v="10"/>
    <n v="8600"/>
    <n v="5600"/>
    <x v="1"/>
    <x v="2"/>
    <x v="0"/>
    <s v="Livrée"/>
    <x v="417"/>
    <n v="56000"/>
    <n v="30000"/>
    <n v="0.34883720930232559"/>
    <x v="6"/>
  </r>
  <r>
    <s v="V01784"/>
    <x v="47"/>
    <s v="CL0376"/>
    <s v="Client 151"/>
    <x v="1"/>
    <s v="Abéché"/>
    <x v="2"/>
    <x v="13"/>
    <n v="9"/>
    <n v="160000"/>
    <n v="116400"/>
    <x v="3"/>
    <x v="2"/>
    <x v="2"/>
    <s v="Annulée"/>
    <x v="157"/>
    <n v="1047600"/>
    <n v="392400"/>
    <n v="0.27250000000000002"/>
    <x v="0"/>
  </r>
  <r>
    <s v="V01785"/>
    <x v="105"/>
    <s v="CL0269"/>
    <s v="Client 355"/>
    <x v="5"/>
    <s v="Massaguet"/>
    <x v="2"/>
    <x v="14"/>
    <n v="4"/>
    <n v="90200"/>
    <n v="72100"/>
    <x v="4"/>
    <x v="2"/>
    <x v="1"/>
    <s v="Livrée"/>
    <x v="203"/>
    <n v="288400"/>
    <n v="72400"/>
    <n v="0.20066518847006651"/>
    <x v="4"/>
  </r>
  <r>
    <s v="V01786"/>
    <x v="251"/>
    <s v="CL0370"/>
    <s v="Client 010"/>
    <x v="4"/>
    <s v="Ati"/>
    <x v="0"/>
    <x v="11"/>
    <n v="5"/>
    <n v="80800"/>
    <n v="60100"/>
    <x v="2"/>
    <x v="1"/>
    <x v="0"/>
    <s v="Livrée"/>
    <x v="327"/>
    <n v="300500"/>
    <n v="103500"/>
    <n v="0.25618811881188119"/>
    <x v="0"/>
  </r>
  <r>
    <s v="V01787"/>
    <x v="89"/>
    <s v="CL0107"/>
    <s v="Client 366"/>
    <x v="7"/>
    <s v="Bol"/>
    <x v="2"/>
    <x v="2"/>
    <n v="7"/>
    <n v="52200"/>
    <n v="40200"/>
    <x v="0"/>
    <x v="2"/>
    <x v="0"/>
    <s v="Livrée"/>
    <x v="370"/>
    <n v="281400"/>
    <n v="84000"/>
    <n v="0.22988505747126436"/>
    <x v="9"/>
  </r>
  <r>
    <s v="V01788"/>
    <x v="186"/>
    <s v="CL0165"/>
    <s v="Client 302"/>
    <x v="6"/>
    <s v="Pala"/>
    <x v="2"/>
    <x v="10"/>
    <n v="6"/>
    <n v="450000"/>
    <n v="381100"/>
    <x v="3"/>
    <x v="0"/>
    <x v="2"/>
    <s v="Livrée"/>
    <x v="85"/>
    <n v="2286600"/>
    <n v="413400"/>
    <n v="0.15311111111111111"/>
    <x v="4"/>
  </r>
  <r>
    <s v="V01789"/>
    <x v="172"/>
    <s v="CL0326"/>
    <s v="Client 133"/>
    <x v="0"/>
    <s v="N'Djamena"/>
    <x v="2"/>
    <x v="9"/>
    <n v="1"/>
    <n v="189000"/>
    <n v="139000"/>
    <x v="4"/>
    <x v="2"/>
    <x v="0"/>
    <s v="Livrée"/>
    <x v="162"/>
    <n v="139000"/>
    <n v="50000"/>
    <n v="0.26455026455026454"/>
    <x v="1"/>
  </r>
  <r>
    <s v="V01790"/>
    <x v="222"/>
    <s v="CL0301"/>
    <s v="Client 490"/>
    <x v="4"/>
    <s v="Ati"/>
    <x v="2"/>
    <x v="10"/>
    <n v="10"/>
    <n v="450000"/>
    <n v="370000"/>
    <x v="0"/>
    <x v="0"/>
    <x v="0"/>
    <s v="Livrée"/>
    <x v="261"/>
    <n v="3700000"/>
    <n v="800000"/>
    <n v="0.17777777777777778"/>
    <x v="10"/>
  </r>
  <r>
    <s v="V01791"/>
    <x v="17"/>
    <s v="CL0278"/>
    <s v="Client 134"/>
    <x v="5"/>
    <s v="Massaguet"/>
    <x v="0"/>
    <x v="0"/>
    <n v="9"/>
    <n v="65000"/>
    <n v="46400"/>
    <x v="2"/>
    <x v="2"/>
    <x v="0"/>
    <s v="Livrée"/>
    <x v="293"/>
    <n v="417600"/>
    <n v="167400"/>
    <n v="0.28615384615384615"/>
    <x v="6"/>
  </r>
  <r>
    <s v="V01792"/>
    <x v="89"/>
    <s v="CL0369"/>
    <s v="Client 155"/>
    <x v="0"/>
    <s v="N'Djamena"/>
    <x v="3"/>
    <x v="8"/>
    <n v="4"/>
    <n v="6000"/>
    <n v="4100"/>
    <x v="3"/>
    <x v="3"/>
    <x v="1"/>
    <s v="Livrée"/>
    <x v="191"/>
    <n v="16400"/>
    <n v="7600"/>
    <n v="0.31666666666666665"/>
    <x v="9"/>
  </r>
  <r>
    <s v="V01793"/>
    <x v="96"/>
    <s v="CL0220"/>
    <s v="Client 206"/>
    <x v="2"/>
    <s v="Doba"/>
    <x v="1"/>
    <x v="6"/>
    <n v="1"/>
    <n v="12600"/>
    <n v="7700"/>
    <x v="2"/>
    <x v="1"/>
    <x v="1"/>
    <s v="Livrée"/>
    <x v="295"/>
    <n v="7700"/>
    <n v="4900"/>
    <n v="0.3888888888888889"/>
    <x v="4"/>
  </r>
  <r>
    <s v="V01794"/>
    <x v="48"/>
    <s v="CL0495"/>
    <s v="Client 073"/>
    <x v="7"/>
    <s v="Bol"/>
    <x v="2"/>
    <x v="14"/>
    <n v="5"/>
    <n v="90200"/>
    <n v="70000"/>
    <x v="7"/>
    <x v="3"/>
    <x v="2"/>
    <s v="Livrée"/>
    <x v="390"/>
    <n v="350000"/>
    <n v="101000"/>
    <n v="0.22394678492239467"/>
    <x v="8"/>
  </r>
  <r>
    <s v="V01795"/>
    <x v="135"/>
    <s v="CL0032"/>
    <s v="Client 329"/>
    <x v="0"/>
    <s v="N'Djamena"/>
    <x v="0"/>
    <x v="11"/>
    <n v="3"/>
    <n v="85000"/>
    <n v="60100"/>
    <x v="4"/>
    <x v="3"/>
    <x v="0"/>
    <s v="Livrée"/>
    <x v="35"/>
    <n v="180300"/>
    <n v="74700"/>
    <n v="0.29294117647058826"/>
    <x v="6"/>
  </r>
  <r>
    <s v="V01796"/>
    <x v="319"/>
    <s v="CL0112"/>
    <s v="Client 334"/>
    <x v="3"/>
    <s v="Mao"/>
    <x v="1"/>
    <x v="18"/>
    <n v="4"/>
    <n v="25000"/>
    <n v="16500"/>
    <x v="4"/>
    <x v="1"/>
    <x v="1"/>
    <s v="En cours"/>
    <x v="8"/>
    <n v="66000"/>
    <n v="34000"/>
    <n v="0.34"/>
    <x v="3"/>
  </r>
  <r>
    <s v="V01797"/>
    <x v="363"/>
    <s v="CL0378"/>
    <s v="Client 474"/>
    <x v="5"/>
    <s v="Massaguet"/>
    <x v="2"/>
    <x v="9"/>
    <n v="1"/>
    <n v="189000"/>
    <n v="131000"/>
    <x v="0"/>
    <x v="3"/>
    <x v="0"/>
    <s v="Annulée"/>
    <x v="162"/>
    <n v="131000"/>
    <n v="58000"/>
    <n v="0.30687830687830686"/>
    <x v="10"/>
  </r>
  <r>
    <s v="V01798"/>
    <x v="170"/>
    <s v="CL0396"/>
    <s v="Client 318"/>
    <x v="3"/>
    <s v="Mao"/>
    <x v="2"/>
    <x v="9"/>
    <n v="7"/>
    <n v="171000"/>
    <n v="139000"/>
    <x v="0"/>
    <x v="3"/>
    <x v="0"/>
    <s v="Livrée"/>
    <x v="344"/>
    <n v="973000"/>
    <n v="224000"/>
    <n v="0.1871345029239766"/>
    <x v="7"/>
  </r>
  <r>
    <s v="V01799"/>
    <x v="311"/>
    <s v="CL0081"/>
    <s v="Client 060"/>
    <x v="5"/>
    <s v="Massaguet"/>
    <x v="0"/>
    <x v="0"/>
    <n v="9"/>
    <n v="65000"/>
    <n v="46400"/>
    <x v="3"/>
    <x v="2"/>
    <x v="0"/>
    <s v="Livrée"/>
    <x v="293"/>
    <n v="417600"/>
    <n v="167400"/>
    <n v="0.28615384615384615"/>
    <x v="10"/>
  </r>
  <r>
    <s v="V01800"/>
    <x v="113"/>
    <s v="CL0114"/>
    <s v="Client 007"/>
    <x v="0"/>
    <s v="N'Djamena"/>
    <x v="2"/>
    <x v="9"/>
    <n v="10"/>
    <n v="189000"/>
    <n v="135000"/>
    <x v="1"/>
    <x v="0"/>
    <x v="0"/>
    <s v="Annulée"/>
    <x v="126"/>
    <n v="1350000"/>
    <n v="540000"/>
    <n v="0.2857142857142857"/>
    <x v="11"/>
  </r>
  <r>
    <s v="V01801"/>
    <x v="29"/>
    <s v="CL0029"/>
    <s v="Client 012"/>
    <x v="0"/>
    <s v="N'Djamena"/>
    <x v="2"/>
    <x v="9"/>
    <n v="10"/>
    <n v="180000"/>
    <n v="139000"/>
    <x v="1"/>
    <x v="3"/>
    <x v="0"/>
    <s v="Livrée"/>
    <x v="139"/>
    <n v="1390000"/>
    <n v="410000"/>
    <n v="0.22777777777777777"/>
    <x v="1"/>
  </r>
  <r>
    <s v="V01802"/>
    <x v="309"/>
    <s v="CL0496"/>
    <s v="Client 008"/>
    <x v="0"/>
    <s v="N'Djamena"/>
    <x v="2"/>
    <x v="10"/>
    <n v="5"/>
    <n v="427500"/>
    <n v="370000"/>
    <x v="2"/>
    <x v="3"/>
    <x v="0"/>
    <s v="Livrée"/>
    <x v="200"/>
    <n v="1850000"/>
    <n v="287500"/>
    <n v="0.13450292397660818"/>
    <x v="3"/>
  </r>
  <r>
    <s v="V01803"/>
    <x v="174"/>
    <s v="CL0350"/>
    <s v="Client 462"/>
    <x v="0"/>
    <s v="N'Djamena"/>
    <x v="1"/>
    <x v="12"/>
    <n v="3"/>
    <n v="30000"/>
    <n v="19600"/>
    <x v="7"/>
    <x v="2"/>
    <x v="1"/>
    <s v="Annulée"/>
    <x v="185"/>
    <n v="58800"/>
    <n v="31200"/>
    <n v="0.34666666666666668"/>
    <x v="5"/>
  </r>
  <r>
    <s v="V01804"/>
    <x v="41"/>
    <s v="CL0101"/>
    <s v="Client 161"/>
    <x v="0"/>
    <s v="N'Djamena"/>
    <x v="0"/>
    <x v="5"/>
    <n v="10"/>
    <n v="231000"/>
    <n v="164800"/>
    <x v="1"/>
    <x v="3"/>
    <x v="2"/>
    <s v="Livrée"/>
    <x v="60"/>
    <n v="1648000"/>
    <n v="662000"/>
    <n v="0.2865800865800866"/>
    <x v="7"/>
  </r>
  <r>
    <s v="V01805"/>
    <x v="208"/>
    <s v="CL0163"/>
    <s v="Client 392"/>
    <x v="0"/>
    <s v="N'Djamena"/>
    <x v="1"/>
    <x v="6"/>
    <n v="5"/>
    <n v="12000"/>
    <n v="7300"/>
    <x v="5"/>
    <x v="1"/>
    <x v="0"/>
    <s v="Livrée"/>
    <x v="69"/>
    <n v="36500"/>
    <n v="23500"/>
    <n v="0.39166666666666666"/>
    <x v="1"/>
  </r>
  <r>
    <s v="V01806"/>
    <x v="150"/>
    <s v="CL0226"/>
    <s v="Client 242"/>
    <x v="3"/>
    <s v="Mao"/>
    <x v="3"/>
    <x v="8"/>
    <n v="2"/>
    <n v="6300"/>
    <n v="4300"/>
    <x v="1"/>
    <x v="2"/>
    <x v="1"/>
    <s v="Livrée"/>
    <x v="295"/>
    <n v="8600"/>
    <n v="4000"/>
    <n v="0.31746031746031744"/>
    <x v="0"/>
  </r>
  <r>
    <s v="V01807"/>
    <x v="28"/>
    <s v="CL0075"/>
    <s v="Client 132"/>
    <x v="3"/>
    <s v="Mao"/>
    <x v="3"/>
    <x v="3"/>
    <n v="3"/>
    <n v="15000"/>
    <n v="9200"/>
    <x v="5"/>
    <x v="1"/>
    <x v="0"/>
    <s v="Livrée"/>
    <x v="128"/>
    <n v="27600"/>
    <n v="17400"/>
    <n v="0.38666666666666666"/>
    <x v="9"/>
  </r>
  <r>
    <s v="V01808"/>
    <x v="125"/>
    <s v="CL0079"/>
    <s v="Client 252"/>
    <x v="0"/>
    <s v="N'Djamena"/>
    <x v="3"/>
    <x v="8"/>
    <n v="10"/>
    <n v="6300"/>
    <n v="4200"/>
    <x v="4"/>
    <x v="2"/>
    <x v="2"/>
    <s v="Livrée"/>
    <x v="74"/>
    <n v="42000"/>
    <n v="21000"/>
    <n v="0.33333333333333331"/>
    <x v="7"/>
  </r>
  <r>
    <s v="V01809"/>
    <x v="135"/>
    <s v="CL0436"/>
    <s v="Client 359"/>
    <x v="0"/>
    <s v="N'Djamena"/>
    <x v="2"/>
    <x v="10"/>
    <n v="2"/>
    <n v="472500"/>
    <n v="358900"/>
    <x v="6"/>
    <x v="2"/>
    <x v="1"/>
    <s v="Livrée"/>
    <x v="79"/>
    <n v="717800"/>
    <n v="227200"/>
    <n v="0.24042328042328043"/>
    <x v="6"/>
  </r>
  <r>
    <s v="V01810"/>
    <x v="94"/>
    <s v="CL0295"/>
    <s v="Client 096"/>
    <x v="0"/>
    <s v="N'Djamena"/>
    <x v="2"/>
    <x v="14"/>
    <n v="5"/>
    <n v="99800"/>
    <n v="67900"/>
    <x v="4"/>
    <x v="1"/>
    <x v="0"/>
    <s v="Livrée"/>
    <x v="234"/>
    <n v="339500"/>
    <n v="159500"/>
    <n v="0.31963927855711421"/>
    <x v="5"/>
  </r>
  <r>
    <s v="V01811"/>
    <x v="4"/>
    <s v="CL0115"/>
    <s v="Client 294"/>
    <x v="0"/>
    <s v="N'Djamena"/>
    <x v="0"/>
    <x v="0"/>
    <n v="9"/>
    <n v="65000"/>
    <n v="45000"/>
    <x v="4"/>
    <x v="2"/>
    <x v="0"/>
    <s v="Livrée"/>
    <x v="293"/>
    <n v="405000"/>
    <n v="180000"/>
    <n v="0.30769230769230771"/>
    <x v="4"/>
  </r>
  <r>
    <s v="V01812"/>
    <x v="163"/>
    <s v="CL0023"/>
    <s v="Client 323"/>
    <x v="0"/>
    <s v="N'Djamena"/>
    <x v="2"/>
    <x v="10"/>
    <n v="9"/>
    <n v="427500"/>
    <n v="370000"/>
    <x v="4"/>
    <x v="0"/>
    <x v="0"/>
    <s v="Livrée"/>
    <x v="63"/>
    <n v="3330000"/>
    <n v="517500"/>
    <n v="0.13450292397660818"/>
    <x v="10"/>
  </r>
  <r>
    <s v="V01813"/>
    <x v="2"/>
    <s v="CL0197"/>
    <s v="Client 381"/>
    <x v="4"/>
    <s v="Ati"/>
    <x v="2"/>
    <x v="9"/>
    <n v="10"/>
    <n v="189000"/>
    <n v="131000"/>
    <x v="4"/>
    <x v="2"/>
    <x v="1"/>
    <s v="Livrée"/>
    <x v="126"/>
    <n v="1310000"/>
    <n v="580000"/>
    <n v="0.30687830687830686"/>
    <x v="2"/>
  </r>
  <r>
    <s v="V01814"/>
    <x v="336"/>
    <s v="CL0343"/>
    <s v="Client 471"/>
    <x v="6"/>
    <s v="Pala"/>
    <x v="2"/>
    <x v="9"/>
    <n v="10"/>
    <n v="180000"/>
    <n v="139000"/>
    <x v="5"/>
    <x v="3"/>
    <x v="1"/>
    <s v="Livrée"/>
    <x v="139"/>
    <n v="1390000"/>
    <n v="410000"/>
    <n v="0.22777777777777777"/>
    <x v="8"/>
  </r>
  <r>
    <s v="V01815"/>
    <x v="129"/>
    <s v="CL0494"/>
    <s v="Client 175"/>
    <x v="1"/>
    <s v="Abéché"/>
    <x v="2"/>
    <x v="2"/>
    <n v="9"/>
    <n v="55000"/>
    <n v="37800"/>
    <x v="2"/>
    <x v="2"/>
    <x v="0"/>
    <s v="Annulée"/>
    <x v="48"/>
    <n v="340200"/>
    <n v="154800"/>
    <n v="0.31272727272727274"/>
    <x v="0"/>
  </r>
  <r>
    <s v="V01816"/>
    <x v="323"/>
    <s v="CL0481"/>
    <s v="Client 323"/>
    <x v="5"/>
    <s v="Massaguet"/>
    <x v="3"/>
    <x v="3"/>
    <n v="10"/>
    <n v="14200"/>
    <n v="9500"/>
    <x v="5"/>
    <x v="2"/>
    <x v="0"/>
    <s v="Livrée"/>
    <x v="3"/>
    <n v="95000"/>
    <n v="47000"/>
    <n v="0.33098591549295775"/>
    <x v="0"/>
  </r>
  <r>
    <s v="V01817"/>
    <x v="34"/>
    <s v="CL0087"/>
    <s v="Client 086"/>
    <x v="1"/>
    <s v="Abéché"/>
    <x v="2"/>
    <x v="14"/>
    <n v="9"/>
    <n v="95000"/>
    <n v="72100"/>
    <x v="0"/>
    <x v="3"/>
    <x v="1"/>
    <s v="Livrée"/>
    <x v="165"/>
    <n v="648900"/>
    <n v="206100"/>
    <n v="0.24105263157894738"/>
    <x v="5"/>
  </r>
  <r>
    <s v="V01818"/>
    <x v="156"/>
    <s v="CL0267"/>
    <s v="Client 048"/>
    <x v="7"/>
    <s v="Bol"/>
    <x v="3"/>
    <x v="8"/>
    <n v="5"/>
    <n v="5700"/>
    <n v="4200"/>
    <x v="0"/>
    <x v="2"/>
    <x v="0"/>
    <s v="En cours"/>
    <x v="175"/>
    <n v="21000"/>
    <n v="7500"/>
    <n v="0.26315789473684209"/>
    <x v="8"/>
  </r>
  <r>
    <s v="V01819"/>
    <x v="160"/>
    <s v="CL0332"/>
    <s v="Client 430"/>
    <x v="0"/>
    <s v="N'Djamena"/>
    <x v="3"/>
    <x v="4"/>
    <n v="4"/>
    <n v="9400"/>
    <n v="5600"/>
    <x v="7"/>
    <x v="2"/>
    <x v="2"/>
    <s v="Livrée"/>
    <x v="356"/>
    <n v="22400"/>
    <n v="15200"/>
    <n v="0.40425531914893614"/>
    <x v="11"/>
  </r>
  <r>
    <s v="V01820"/>
    <x v="256"/>
    <s v="CL0263"/>
    <s v="Client 266"/>
    <x v="3"/>
    <s v="Mao"/>
    <x v="3"/>
    <x v="17"/>
    <n v="3"/>
    <n v="18900"/>
    <n v="12100"/>
    <x v="6"/>
    <x v="3"/>
    <x v="0"/>
    <s v="Livrée"/>
    <x v="45"/>
    <n v="36300"/>
    <n v="20400"/>
    <n v="0.35978835978835977"/>
    <x v="10"/>
  </r>
  <r>
    <s v="V01821"/>
    <x v="59"/>
    <s v="CL0206"/>
    <s v="Client 154"/>
    <x v="7"/>
    <s v="Bol"/>
    <x v="0"/>
    <x v="11"/>
    <n v="8"/>
    <n v="85000"/>
    <n v="63900"/>
    <x v="2"/>
    <x v="0"/>
    <x v="1"/>
    <s v="Livrée"/>
    <x v="64"/>
    <n v="511200"/>
    <n v="168800"/>
    <n v="0.24823529411764705"/>
    <x v="2"/>
  </r>
  <r>
    <s v="V01822"/>
    <x v="344"/>
    <s v="CL0080"/>
    <s v="Client 084"/>
    <x v="2"/>
    <s v="Doba"/>
    <x v="2"/>
    <x v="10"/>
    <n v="1"/>
    <n v="472500"/>
    <n v="381100"/>
    <x v="3"/>
    <x v="2"/>
    <x v="1"/>
    <s v="Annulée"/>
    <x v="218"/>
    <n v="381100"/>
    <n v="91400"/>
    <n v="0.19343915343915344"/>
    <x v="5"/>
  </r>
  <r>
    <s v="V01823"/>
    <x v="239"/>
    <s v="CL0383"/>
    <s v="Client 416"/>
    <x v="0"/>
    <s v="N'Djamena"/>
    <x v="0"/>
    <x v="0"/>
    <n v="3"/>
    <n v="65000"/>
    <n v="45000"/>
    <x v="2"/>
    <x v="2"/>
    <x v="0"/>
    <s v="Livrée"/>
    <x v="314"/>
    <n v="135000"/>
    <n v="60000"/>
    <n v="0.30769230769230771"/>
    <x v="2"/>
  </r>
  <r>
    <s v="V01824"/>
    <x v="159"/>
    <s v="CL0438"/>
    <s v="Client 264"/>
    <x v="0"/>
    <s v="N'Djamena"/>
    <x v="0"/>
    <x v="5"/>
    <n v="4"/>
    <n v="220000"/>
    <n v="155200"/>
    <x v="1"/>
    <x v="1"/>
    <x v="1"/>
    <s v="Livrée"/>
    <x v="316"/>
    <n v="620800"/>
    <n v="259200"/>
    <n v="0.29454545454545455"/>
    <x v="1"/>
  </r>
  <r>
    <s v="V01825"/>
    <x v="149"/>
    <s v="CL0167"/>
    <s v="Client 276"/>
    <x v="0"/>
    <s v="N'Djamena"/>
    <x v="3"/>
    <x v="3"/>
    <n v="1"/>
    <n v="15000"/>
    <n v="9200"/>
    <x v="6"/>
    <x v="1"/>
    <x v="1"/>
    <s v="Livrée"/>
    <x v="127"/>
    <n v="9200"/>
    <n v="5800"/>
    <n v="0.38666666666666666"/>
    <x v="9"/>
  </r>
  <r>
    <s v="V01826"/>
    <x v="199"/>
    <s v="CL0180"/>
    <s v="Client 225"/>
    <x v="6"/>
    <s v="Moundou"/>
    <x v="2"/>
    <x v="2"/>
    <n v="3"/>
    <n v="55000"/>
    <n v="37800"/>
    <x v="0"/>
    <x v="1"/>
    <x v="0"/>
    <s v="Livrée"/>
    <x v="214"/>
    <n v="113400"/>
    <n v="51600"/>
    <n v="0.31272727272727274"/>
    <x v="2"/>
  </r>
  <r>
    <s v="V01827"/>
    <x v="13"/>
    <s v="CL0382"/>
    <s v="Client 315"/>
    <x v="1"/>
    <s v="Abéché"/>
    <x v="0"/>
    <x v="0"/>
    <n v="3"/>
    <n v="65000"/>
    <n v="43600"/>
    <x v="5"/>
    <x v="1"/>
    <x v="1"/>
    <s v="Livrée"/>
    <x v="314"/>
    <n v="130800"/>
    <n v="64200"/>
    <n v="0.32923076923076922"/>
    <x v="2"/>
  </r>
  <r>
    <s v="V01828"/>
    <x v="259"/>
    <s v="CL0443"/>
    <s v="Client 053"/>
    <x v="0"/>
    <s v="N'Djamena"/>
    <x v="0"/>
    <x v="11"/>
    <n v="5"/>
    <n v="80800"/>
    <n v="62000"/>
    <x v="7"/>
    <x v="2"/>
    <x v="0"/>
    <s v="Livrée"/>
    <x v="327"/>
    <n v="310000"/>
    <n v="94000"/>
    <n v="0.23267326732673269"/>
    <x v="5"/>
  </r>
  <r>
    <s v="V01829"/>
    <x v="78"/>
    <s v="CL0497"/>
    <s v="Client 449"/>
    <x v="6"/>
    <s v="Pala"/>
    <x v="2"/>
    <x v="13"/>
    <n v="3"/>
    <n v="168000"/>
    <n v="116400"/>
    <x v="2"/>
    <x v="1"/>
    <x v="0"/>
    <s v="Livrée"/>
    <x v="173"/>
    <n v="349200"/>
    <n v="154800"/>
    <n v="0.30714285714285716"/>
    <x v="3"/>
  </r>
  <r>
    <s v="V01830"/>
    <x v="21"/>
    <s v="CL0474"/>
    <s v="Client 487"/>
    <x v="0"/>
    <s v="N'Djamena"/>
    <x v="3"/>
    <x v="3"/>
    <n v="4"/>
    <n v="15000"/>
    <n v="9200"/>
    <x v="0"/>
    <x v="0"/>
    <x v="0"/>
    <s v="Livrée"/>
    <x v="69"/>
    <n v="36800"/>
    <n v="23200"/>
    <n v="0.38666666666666666"/>
    <x v="9"/>
  </r>
  <r>
    <s v="V01831"/>
    <x v="300"/>
    <s v="CL0052"/>
    <s v="Client 469"/>
    <x v="4"/>
    <s v="Ati"/>
    <x v="2"/>
    <x v="14"/>
    <n v="4"/>
    <n v="90200"/>
    <n v="72100"/>
    <x v="2"/>
    <x v="1"/>
    <x v="0"/>
    <s v="Livrée"/>
    <x v="203"/>
    <n v="288400"/>
    <n v="72400"/>
    <n v="0.20066518847006651"/>
    <x v="8"/>
  </r>
  <r>
    <s v="V01832"/>
    <x v="41"/>
    <s v="CL0445"/>
    <s v="Client 271"/>
    <x v="6"/>
    <s v="Moundou"/>
    <x v="2"/>
    <x v="14"/>
    <n v="6"/>
    <n v="95000"/>
    <n v="67900"/>
    <x v="0"/>
    <x v="2"/>
    <x v="2"/>
    <s v="Annulée"/>
    <x v="41"/>
    <n v="407400"/>
    <n v="162600"/>
    <n v="0.28526315789473683"/>
    <x v="7"/>
  </r>
  <r>
    <s v="V01833"/>
    <x v="251"/>
    <s v="CL0012"/>
    <s v="Client 052"/>
    <x v="0"/>
    <s v="N'Djamena"/>
    <x v="3"/>
    <x v="4"/>
    <n v="6"/>
    <n v="9000"/>
    <n v="5800"/>
    <x v="2"/>
    <x v="2"/>
    <x v="2"/>
    <s v="Livrée"/>
    <x v="77"/>
    <n v="34800"/>
    <n v="19200"/>
    <n v="0.35555555555555557"/>
    <x v="0"/>
  </r>
  <r>
    <s v="V01834"/>
    <x v="70"/>
    <s v="CL0053"/>
    <s v="Client 228"/>
    <x v="0"/>
    <s v="N'Djamena"/>
    <x v="2"/>
    <x v="13"/>
    <n v="1"/>
    <n v="152000"/>
    <n v="123600"/>
    <x v="6"/>
    <x v="2"/>
    <x v="0"/>
    <s v="Annulée"/>
    <x v="84"/>
    <n v="123600"/>
    <n v="28400"/>
    <n v="0.18684210526315789"/>
    <x v="11"/>
  </r>
  <r>
    <s v="V01835"/>
    <x v="325"/>
    <s v="CL0101"/>
    <s v="Client 498"/>
    <x v="1"/>
    <s v="Abéché"/>
    <x v="2"/>
    <x v="10"/>
    <n v="6"/>
    <n v="450000"/>
    <n v="358900"/>
    <x v="6"/>
    <x v="1"/>
    <x v="1"/>
    <s v="Livrée"/>
    <x v="85"/>
    <n v="2153400"/>
    <n v="546600"/>
    <n v="0.20244444444444445"/>
    <x v="9"/>
  </r>
  <r>
    <s v="V01836"/>
    <x v="40"/>
    <s v="CL0243"/>
    <s v="Client 203"/>
    <x v="0"/>
    <s v="N'Djamena"/>
    <x v="1"/>
    <x v="6"/>
    <n v="1"/>
    <n v="12000"/>
    <n v="7500"/>
    <x v="7"/>
    <x v="2"/>
    <x v="1"/>
    <s v="Livrée"/>
    <x v="22"/>
    <n v="7500"/>
    <n v="4500"/>
    <n v="0.375"/>
    <x v="3"/>
  </r>
  <r>
    <s v="V01837"/>
    <x v="312"/>
    <s v="CL0079"/>
    <s v="Client 400"/>
    <x v="1"/>
    <s v="Abéché"/>
    <x v="0"/>
    <x v="0"/>
    <n v="10"/>
    <n v="61800"/>
    <n v="43600"/>
    <x v="1"/>
    <x v="0"/>
    <x v="1"/>
    <s v="En cours"/>
    <x v="407"/>
    <n v="436000"/>
    <n v="182000"/>
    <n v="0.29449838187702265"/>
    <x v="4"/>
  </r>
  <r>
    <s v="V01838"/>
    <x v="118"/>
    <s v="CL0052"/>
    <s v="Client 395"/>
    <x v="0"/>
    <s v="N'Djamena"/>
    <x v="3"/>
    <x v="15"/>
    <n v="1"/>
    <n v="7600"/>
    <n v="5200"/>
    <x v="6"/>
    <x v="2"/>
    <x v="0"/>
    <s v="En cours"/>
    <x v="260"/>
    <n v="5200"/>
    <n v="2400"/>
    <n v="0.31578947368421051"/>
    <x v="7"/>
  </r>
  <r>
    <s v="V01839"/>
    <x v="360"/>
    <s v="CL0352"/>
    <s v="Client 467"/>
    <x v="7"/>
    <s v="Bol"/>
    <x v="0"/>
    <x v="11"/>
    <n v="6"/>
    <n v="89200"/>
    <n v="62000"/>
    <x v="2"/>
    <x v="2"/>
    <x v="2"/>
    <s v="Livrée"/>
    <x v="263"/>
    <n v="372000"/>
    <n v="163200"/>
    <n v="0.30493273542600896"/>
    <x v="0"/>
  </r>
  <r>
    <s v="V01840"/>
    <x v="22"/>
    <s v="CL0259"/>
    <s v="Client 130"/>
    <x v="2"/>
    <s v="Doba"/>
    <x v="1"/>
    <x v="12"/>
    <n v="4"/>
    <n v="30000"/>
    <n v="19600"/>
    <x v="1"/>
    <x v="2"/>
    <x v="2"/>
    <s v="Livrée"/>
    <x v="95"/>
    <n v="78400"/>
    <n v="41600"/>
    <n v="0.34666666666666668"/>
    <x v="4"/>
  </r>
  <r>
    <s v="V01841"/>
    <x v="90"/>
    <s v="CL0300"/>
    <s v="Client 445"/>
    <x v="0"/>
    <s v="N'Djamena"/>
    <x v="3"/>
    <x v="17"/>
    <n v="10"/>
    <n v="18000"/>
    <n v="12500"/>
    <x v="7"/>
    <x v="2"/>
    <x v="0"/>
    <s v="Livrée"/>
    <x v="88"/>
    <n v="125000"/>
    <n v="55000"/>
    <n v="0.30555555555555558"/>
    <x v="7"/>
  </r>
  <r>
    <s v="V01842"/>
    <x v="90"/>
    <s v="CL0016"/>
    <s v="Client 352"/>
    <x v="4"/>
    <s v="Ati"/>
    <x v="2"/>
    <x v="13"/>
    <n v="1"/>
    <n v="152000"/>
    <n v="116400"/>
    <x v="5"/>
    <x v="2"/>
    <x v="1"/>
    <s v="Livrée"/>
    <x v="84"/>
    <n v="116400"/>
    <n v="35600"/>
    <n v="0.23421052631578948"/>
    <x v="7"/>
  </r>
  <r>
    <s v="V01843"/>
    <x v="335"/>
    <s v="CL0270"/>
    <s v="Client 031"/>
    <x v="6"/>
    <s v="Pala"/>
    <x v="1"/>
    <x v="1"/>
    <n v="10"/>
    <n v="6600"/>
    <n v="4000"/>
    <x v="7"/>
    <x v="1"/>
    <x v="2"/>
    <s v="Livrée"/>
    <x v="300"/>
    <n v="40000"/>
    <n v="26000"/>
    <n v="0.39393939393939392"/>
    <x v="2"/>
  </r>
  <r>
    <s v="V01844"/>
    <x v="244"/>
    <s v="CL0437"/>
    <s v="Client 134"/>
    <x v="0"/>
    <s v="N'Djamena"/>
    <x v="1"/>
    <x v="12"/>
    <n v="2"/>
    <n v="30000"/>
    <n v="19000"/>
    <x v="5"/>
    <x v="1"/>
    <x v="1"/>
    <s v="Livrée"/>
    <x v="69"/>
    <n v="38000"/>
    <n v="22000"/>
    <n v="0.36666666666666664"/>
    <x v="10"/>
  </r>
  <r>
    <s v="V01845"/>
    <x v="21"/>
    <s v="CL0419"/>
    <s v="Client 477"/>
    <x v="1"/>
    <s v="Abéché"/>
    <x v="2"/>
    <x v="2"/>
    <n v="3"/>
    <n v="55000"/>
    <n v="37800"/>
    <x v="4"/>
    <x v="2"/>
    <x v="0"/>
    <s v="En cours"/>
    <x v="214"/>
    <n v="113400"/>
    <n v="51600"/>
    <n v="0.31272727272727274"/>
    <x v="9"/>
  </r>
  <r>
    <s v="V01846"/>
    <x v="199"/>
    <s v="CL0380"/>
    <s v="Client 147"/>
    <x v="2"/>
    <s v="Doba"/>
    <x v="3"/>
    <x v="4"/>
    <n v="6"/>
    <n v="9000"/>
    <n v="5800"/>
    <x v="5"/>
    <x v="1"/>
    <x v="0"/>
    <s v="Livrée"/>
    <x v="77"/>
    <n v="34800"/>
    <n v="19200"/>
    <n v="0.35555555555555557"/>
    <x v="2"/>
  </r>
  <r>
    <s v="V01847"/>
    <x v="71"/>
    <s v="CL0136"/>
    <s v="Client 383"/>
    <x v="3"/>
    <s v="Mao"/>
    <x v="2"/>
    <x v="13"/>
    <n v="1"/>
    <n v="152000"/>
    <n v="123600"/>
    <x v="5"/>
    <x v="3"/>
    <x v="1"/>
    <s v="Livrée"/>
    <x v="84"/>
    <n v="123600"/>
    <n v="28400"/>
    <n v="0.18684210526315789"/>
    <x v="3"/>
  </r>
  <r>
    <s v="V01848"/>
    <x v="287"/>
    <s v="CL0187"/>
    <s v="Client 121"/>
    <x v="7"/>
    <s v="Bol"/>
    <x v="1"/>
    <x v="12"/>
    <n v="1"/>
    <n v="30000"/>
    <n v="19600"/>
    <x v="7"/>
    <x v="3"/>
    <x v="0"/>
    <s v="Annulée"/>
    <x v="5"/>
    <n v="19600"/>
    <n v="10400"/>
    <n v="0.34666666666666668"/>
    <x v="7"/>
  </r>
  <r>
    <s v="V01849"/>
    <x v="170"/>
    <s v="CL0019"/>
    <s v="Client 051"/>
    <x v="5"/>
    <s v="Massaguet"/>
    <x v="0"/>
    <x v="16"/>
    <n v="1"/>
    <n v="140000"/>
    <n v="100000"/>
    <x v="4"/>
    <x v="3"/>
    <x v="2"/>
    <s v="Annulée"/>
    <x v="87"/>
    <n v="100000"/>
    <n v="40000"/>
    <n v="0.2857142857142857"/>
    <x v="7"/>
  </r>
  <r>
    <s v="V01850"/>
    <x v="19"/>
    <s v="CL0380"/>
    <s v="Client 271"/>
    <x v="2"/>
    <s v="Doba"/>
    <x v="1"/>
    <x v="6"/>
    <n v="6"/>
    <n v="12000"/>
    <n v="7700"/>
    <x v="5"/>
    <x v="3"/>
    <x v="2"/>
    <s v="Annulée"/>
    <x v="196"/>
    <n v="46200"/>
    <n v="25800"/>
    <n v="0.35833333333333334"/>
    <x v="1"/>
  </r>
  <r>
    <s v="V01851"/>
    <x v="58"/>
    <s v="CL0054"/>
    <s v="Client 411"/>
    <x v="7"/>
    <s v="Bol"/>
    <x v="3"/>
    <x v="8"/>
    <n v="5"/>
    <n v="6000"/>
    <n v="4200"/>
    <x v="1"/>
    <x v="2"/>
    <x v="0"/>
    <s v="Livrée"/>
    <x v="5"/>
    <n v="21000"/>
    <n v="9000"/>
    <n v="0.3"/>
    <x v="9"/>
  </r>
  <r>
    <s v="V01852"/>
    <x v="189"/>
    <s v="CL0139"/>
    <s v="Client 052"/>
    <x v="4"/>
    <s v="Ati"/>
    <x v="2"/>
    <x v="10"/>
    <n v="4"/>
    <n v="472500"/>
    <n v="370000"/>
    <x v="7"/>
    <x v="2"/>
    <x v="2"/>
    <s v="En cours"/>
    <x v="126"/>
    <n v="1480000"/>
    <n v="410000"/>
    <n v="0.21693121693121692"/>
    <x v="6"/>
  </r>
  <r>
    <s v="V01853"/>
    <x v="12"/>
    <s v="CL0195"/>
    <s v="Client 163"/>
    <x v="0"/>
    <s v="N'Djamena"/>
    <x v="2"/>
    <x v="13"/>
    <n v="7"/>
    <n v="160000"/>
    <n v="120000"/>
    <x v="0"/>
    <x v="2"/>
    <x v="0"/>
    <s v="Livrée"/>
    <x v="30"/>
    <n v="840000"/>
    <n v="280000"/>
    <n v="0.25"/>
    <x v="7"/>
  </r>
  <r>
    <s v="V01854"/>
    <x v="364"/>
    <s v="CL0018"/>
    <s v="Client 163"/>
    <x v="0"/>
    <s v="N'Djamena"/>
    <x v="2"/>
    <x v="9"/>
    <n v="7"/>
    <n v="171000"/>
    <n v="131000"/>
    <x v="0"/>
    <x v="3"/>
    <x v="1"/>
    <s v="En cours"/>
    <x v="344"/>
    <n v="917000"/>
    <n v="280000"/>
    <n v="0.23391812865497075"/>
    <x v="0"/>
  </r>
  <r>
    <s v="V01855"/>
    <x v="265"/>
    <s v="CL0161"/>
    <s v="Client 078"/>
    <x v="5"/>
    <s v="Massaguet"/>
    <x v="0"/>
    <x v="0"/>
    <n v="4"/>
    <n v="61800"/>
    <n v="46400"/>
    <x v="1"/>
    <x v="0"/>
    <x v="0"/>
    <s v="Livrée"/>
    <x v="418"/>
    <n v="185600"/>
    <n v="61600"/>
    <n v="0.24919093851132687"/>
    <x v="10"/>
  </r>
  <r>
    <s v="V01856"/>
    <x v="234"/>
    <s v="CL0142"/>
    <s v="Client 249"/>
    <x v="2"/>
    <s v="Doba"/>
    <x v="3"/>
    <x v="4"/>
    <n v="2"/>
    <n v="9400"/>
    <n v="6000"/>
    <x v="4"/>
    <x v="3"/>
    <x v="0"/>
    <s v="En cours"/>
    <x v="374"/>
    <n v="12000"/>
    <n v="6800"/>
    <n v="0.36170212765957449"/>
    <x v="11"/>
  </r>
  <r>
    <s v="V01857"/>
    <x v="69"/>
    <s v="CL0171"/>
    <s v="Client 011"/>
    <x v="0"/>
    <s v="N'Djamena"/>
    <x v="2"/>
    <x v="9"/>
    <n v="10"/>
    <n v="171000"/>
    <n v="131000"/>
    <x v="7"/>
    <x v="2"/>
    <x v="2"/>
    <s v="Livrée"/>
    <x v="265"/>
    <n v="1310000"/>
    <n v="400000"/>
    <n v="0.23391812865497075"/>
    <x v="11"/>
  </r>
  <r>
    <s v="V01858"/>
    <x v="18"/>
    <s v="CL0014"/>
    <s v="Client 328"/>
    <x v="1"/>
    <s v="Abéché"/>
    <x v="0"/>
    <x v="11"/>
    <n v="4"/>
    <n v="89200"/>
    <n v="60100"/>
    <x v="7"/>
    <x v="2"/>
    <x v="1"/>
    <s v="Livrée"/>
    <x v="419"/>
    <n v="240400"/>
    <n v="116400"/>
    <n v="0.32623318385650224"/>
    <x v="8"/>
  </r>
  <r>
    <s v="V01859"/>
    <x v="201"/>
    <s v="CL0166"/>
    <s v="Client 394"/>
    <x v="7"/>
    <s v="Bol"/>
    <x v="0"/>
    <x v="11"/>
    <n v="8"/>
    <n v="85000"/>
    <n v="62000"/>
    <x v="4"/>
    <x v="1"/>
    <x v="0"/>
    <s v="Annulée"/>
    <x v="64"/>
    <n v="496000"/>
    <n v="184000"/>
    <n v="0.27058823529411763"/>
    <x v="2"/>
  </r>
  <r>
    <s v="V01860"/>
    <x v="208"/>
    <s v="CL0367"/>
    <s v="Client 343"/>
    <x v="7"/>
    <s v="Bol"/>
    <x v="2"/>
    <x v="10"/>
    <n v="9"/>
    <n v="450000"/>
    <n v="381100"/>
    <x v="2"/>
    <x v="2"/>
    <x v="0"/>
    <s v="Livrée"/>
    <x v="205"/>
    <n v="3429900"/>
    <n v="620100"/>
    <n v="0.15311111111111111"/>
    <x v="1"/>
  </r>
  <r>
    <s v="V01861"/>
    <x v="335"/>
    <s v="CL0221"/>
    <s v="Client 385"/>
    <x v="5"/>
    <s v="Massaguet"/>
    <x v="0"/>
    <x v="0"/>
    <n v="3"/>
    <n v="65000"/>
    <n v="43600"/>
    <x v="6"/>
    <x v="1"/>
    <x v="0"/>
    <s v="Livrée"/>
    <x v="314"/>
    <n v="130800"/>
    <n v="64200"/>
    <n v="0.32923076923076922"/>
    <x v="2"/>
  </r>
  <r>
    <s v="V01862"/>
    <x v="221"/>
    <s v="CL0305"/>
    <s v="Client 305"/>
    <x v="2"/>
    <s v="Doba"/>
    <x v="0"/>
    <x v="5"/>
    <n v="10"/>
    <n v="220000"/>
    <n v="155200"/>
    <x v="1"/>
    <x v="1"/>
    <x v="1"/>
    <s v="Livrée"/>
    <x v="6"/>
    <n v="1552000"/>
    <n v="648000"/>
    <n v="0.29454545454545455"/>
    <x v="11"/>
  </r>
  <r>
    <s v="V01863"/>
    <x v="329"/>
    <s v="CL0143"/>
    <s v="Client 133"/>
    <x v="0"/>
    <s v="N'Djamena"/>
    <x v="3"/>
    <x v="8"/>
    <n v="3"/>
    <n v="6300"/>
    <n v="4100"/>
    <x v="7"/>
    <x v="1"/>
    <x v="2"/>
    <s v="En cours"/>
    <x v="311"/>
    <n v="12300"/>
    <n v="6600"/>
    <n v="0.34920634920634919"/>
    <x v="9"/>
  </r>
  <r>
    <s v="V01864"/>
    <x v="1"/>
    <s v="CL0254"/>
    <s v="Client 475"/>
    <x v="3"/>
    <s v="Mao"/>
    <x v="0"/>
    <x v="11"/>
    <n v="4"/>
    <n v="85000"/>
    <n v="60100"/>
    <x v="6"/>
    <x v="2"/>
    <x v="1"/>
    <s v="Livrée"/>
    <x v="43"/>
    <n v="240400"/>
    <n v="99600"/>
    <n v="0.29294117647058826"/>
    <x v="1"/>
  </r>
  <r>
    <s v="V01865"/>
    <x v="49"/>
    <s v="CL0297"/>
    <s v="Client 039"/>
    <x v="6"/>
    <s v="Moundou"/>
    <x v="0"/>
    <x v="11"/>
    <n v="3"/>
    <n v="89200"/>
    <n v="60100"/>
    <x v="0"/>
    <x v="3"/>
    <x v="0"/>
    <s v="Livrée"/>
    <x v="15"/>
    <n v="180300"/>
    <n v="87300"/>
    <n v="0.32623318385650224"/>
    <x v="11"/>
  </r>
  <r>
    <s v="V01866"/>
    <x v="72"/>
    <s v="CL0474"/>
    <s v="Client 332"/>
    <x v="0"/>
    <s v="N'Djamena"/>
    <x v="2"/>
    <x v="13"/>
    <n v="3"/>
    <n v="160000"/>
    <n v="120000"/>
    <x v="2"/>
    <x v="2"/>
    <x v="1"/>
    <s v="Livrée"/>
    <x v="143"/>
    <n v="360000"/>
    <n v="120000"/>
    <n v="0.25"/>
    <x v="2"/>
  </r>
  <r>
    <s v="V01867"/>
    <x v="52"/>
    <s v="CL0059"/>
    <s v="Client 281"/>
    <x v="1"/>
    <s v="Abéché"/>
    <x v="0"/>
    <x v="16"/>
    <n v="5"/>
    <n v="147000"/>
    <n v="100000"/>
    <x v="2"/>
    <x v="3"/>
    <x v="0"/>
    <s v="Livrée"/>
    <x v="358"/>
    <n v="500000"/>
    <n v="235000"/>
    <n v="0.31972789115646261"/>
    <x v="8"/>
  </r>
  <r>
    <s v="V01868"/>
    <x v="199"/>
    <s v="CL0248"/>
    <s v="Client 173"/>
    <x v="0"/>
    <s v="N'Djamena"/>
    <x v="2"/>
    <x v="2"/>
    <n v="6"/>
    <n v="57800"/>
    <n v="37800"/>
    <x v="7"/>
    <x v="1"/>
    <x v="0"/>
    <s v="Livrée"/>
    <x v="247"/>
    <n v="226800"/>
    <n v="120000"/>
    <n v="0.34602076124567471"/>
    <x v="2"/>
  </r>
  <r>
    <s v="V01869"/>
    <x v="305"/>
    <s v="CL0070"/>
    <s v="Client 487"/>
    <x v="0"/>
    <s v="N'Djamena"/>
    <x v="2"/>
    <x v="2"/>
    <n v="5"/>
    <n v="52200"/>
    <n v="39000"/>
    <x v="3"/>
    <x v="2"/>
    <x v="1"/>
    <s v="Livrée"/>
    <x v="420"/>
    <n v="195000"/>
    <n v="66000"/>
    <n v="0.25287356321839083"/>
    <x v="11"/>
  </r>
  <r>
    <s v="V01870"/>
    <x v="73"/>
    <s v="CL0227"/>
    <s v="Client 235"/>
    <x v="2"/>
    <s v="Doba"/>
    <x v="2"/>
    <x v="9"/>
    <n v="4"/>
    <n v="189000"/>
    <n v="131000"/>
    <x v="1"/>
    <x v="2"/>
    <x v="0"/>
    <s v="Livrée"/>
    <x v="134"/>
    <n v="524000"/>
    <n v="232000"/>
    <n v="0.30687830687830686"/>
    <x v="10"/>
  </r>
  <r>
    <s v="V01871"/>
    <x v="339"/>
    <s v="CL0099"/>
    <s v="Client 418"/>
    <x v="4"/>
    <s v="Ati"/>
    <x v="2"/>
    <x v="2"/>
    <n v="5"/>
    <n v="52200"/>
    <n v="39000"/>
    <x v="6"/>
    <x v="2"/>
    <x v="0"/>
    <s v="Annulée"/>
    <x v="420"/>
    <n v="195000"/>
    <n v="66000"/>
    <n v="0.25287356321839083"/>
    <x v="0"/>
  </r>
  <r>
    <s v="V01872"/>
    <x v="272"/>
    <s v="CL0373"/>
    <s v="Client 183"/>
    <x v="1"/>
    <s v="Abéché"/>
    <x v="0"/>
    <x v="16"/>
    <n v="4"/>
    <n v="133000"/>
    <n v="97000"/>
    <x v="2"/>
    <x v="3"/>
    <x v="2"/>
    <s v="Livrée"/>
    <x v="158"/>
    <n v="388000"/>
    <n v="144000"/>
    <n v="0.27067669172932329"/>
    <x v="5"/>
  </r>
  <r>
    <s v="V01873"/>
    <x v="20"/>
    <s v="CL0414"/>
    <s v="Client 457"/>
    <x v="0"/>
    <s v="N'Djamena"/>
    <x v="3"/>
    <x v="17"/>
    <n v="10"/>
    <n v="18000"/>
    <n v="12100"/>
    <x v="7"/>
    <x v="2"/>
    <x v="0"/>
    <s v="Livrée"/>
    <x v="88"/>
    <n v="121000"/>
    <n v="59000"/>
    <n v="0.32777777777777778"/>
    <x v="4"/>
  </r>
  <r>
    <s v="V01874"/>
    <x v="270"/>
    <s v="CL0033"/>
    <s v="Client 195"/>
    <x v="7"/>
    <s v="Bol"/>
    <x v="0"/>
    <x v="16"/>
    <n v="1"/>
    <n v="140000"/>
    <n v="97000"/>
    <x v="3"/>
    <x v="3"/>
    <x v="2"/>
    <s v="Livrée"/>
    <x v="87"/>
    <n v="97000"/>
    <n v="43000"/>
    <n v="0.30714285714285716"/>
    <x v="2"/>
  </r>
  <r>
    <s v="V01875"/>
    <x v="4"/>
    <s v="CL0425"/>
    <s v="Client 460"/>
    <x v="6"/>
    <s v="Moundou"/>
    <x v="2"/>
    <x v="2"/>
    <n v="7"/>
    <n v="57800"/>
    <n v="40200"/>
    <x v="2"/>
    <x v="2"/>
    <x v="0"/>
    <s v="Livrée"/>
    <x v="421"/>
    <n v="281400"/>
    <n v="123200"/>
    <n v="0.30449826989619377"/>
    <x v="4"/>
  </r>
  <r>
    <s v="V01876"/>
    <x v="94"/>
    <s v="CL0066"/>
    <s v="Client 016"/>
    <x v="1"/>
    <s v="Abéché"/>
    <x v="2"/>
    <x v="9"/>
    <n v="4"/>
    <n v="171000"/>
    <n v="131000"/>
    <x v="1"/>
    <x v="2"/>
    <x v="2"/>
    <s v="Annulée"/>
    <x v="111"/>
    <n v="524000"/>
    <n v="160000"/>
    <n v="0.23391812865497075"/>
    <x v="5"/>
  </r>
  <r>
    <s v="V01877"/>
    <x v="166"/>
    <s v="CL0474"/>
    <s v="Client 451"/>
    <x v="6"/>
    <s v="Pala"/>
    <x v="0"/>
    <x v="0"/>
    <n v="9"/>
    <n v="61800"/>
    <n v="46400"/>
    <x v="7"/>
    <x v="0"/>
    <x v="0"/>
    <s v="Livrée"/>
    <x v="66"/>
    <n v="417600"/>
    <n v="138600"/>
    <n v="0.24919093851132687"/>
    <x v="1"/>
  </r>
  <r>
    <s v="V01878"/>
    <x v="339"/>
    <s v="CL0239"/>
    <s v="Client 353"/>
    <x v="0"/>
    <s v="N'Djamena"/>
    <x v="2"/>
    <x v="13"/>
    <n v="8"/>
    <n v="160000"/>
    <n v="123600"/>
    <x v="7"/>
    <x v="0"/>
    <x v="0"/>
    <s v="Livrée"/>
    <x v="23"/>
    <n v="988800"/>
    <n v="291200"/>
    <n v="0.22750000000000001"/>
    <x v="0"/>
  </r>
  <r>
    <s v="V01879"/>
    <x v="107"/>
    <s v="CL0141"/>
    <s v="Client 242"/>
    <x v="0"/>
    <s v="N'Djamena"/>
    <x v="0"/>
    <x v="16"/>
    <n v="8"/>
    <n v="140000"/>
    <n v="103000"/>
    <x v="3"/>
    <x v="2"/>
    <x v="2"/>
    <s v="Livrée"/>
    <x v="30"/>
    <n v="824000"/>
    <n v="296000"/>
    <n v="0.26428571428571429"/>
    <x v="6"/>
  </r>
  <r>
    <s v="V01880"/>
    <x v="209"/>
    <s v="CL0112"/>
    <s v="Client 095"/>
    <x v="0"/>
    <s v="N'Djamena"/>
    <x v="2"/>
    <x v="13"/>
    <n v="7"/>
    <n v="168000"/>
    <n v="116400"/>
    <x v="6"/>
    <x v="3"/>
    <x v="1"/>
    <s v="Annulée"/>
    <x v="117"/>
    <n v="814800"/>
    <n v="361200"/>
    <n v="0.30714285714285716"/>
    <x v="5"/>
  </r>
  <r>
    <s v="V01881"/>
    <x v="67"/>
    <s v="CL0174"/>
    <s v="Client 386"/>
    <x v="1"/>
    <s v="Abéché"/>
    <x v="1"/>
    <x v="12"/>
    <n v="6"/>
    <n v="31500"/>
    <n v="19000"/>
    <x v="0"/>
    <x v="1"/>
    <x v="1"/>
    <s v="Livrée"/>
    <x v="162"/>
    <n v="114000"/>
    <n v="75000"/>
    <n v="0.3968253968253968"/>
    <x v="7"/>
  </r>
  <r>
    <s v="V01882"/>
    <x v="69"/>
    <s v="CL0014"/>
    <s v="Client 093"/>
    <x v="3"/>
    <s v="Mao"/>
    <x v="3"/>
    <x v="3"/>
    <n v="7"/>
    <n v="14200"/>
    <n v="9500"/>
    <x v="6"/>
    <x v="3"/>
    <x v="1"/>
    <s v="Annulée"/>
    <x v="422"/>
    <n v="66500"/>
    <n v="32900"/>
    <n v="0.33098591549295775"/>
    <x v="11"/>
  </r>
  <r>
    <s v="V01883"/>
    <x v="63"/>
    <s v="CL0195"/>
    <s v="Client 187"/>
    <x v="1"/>
    <s v="Abéché"/>
    <x v="2"/>
    <x v="14"/>
    <n v="1"/>
    <n v="95000"/>
    <n v="72100"/>
    <x v="5"/>
    <x v="3"/>
    <x v="0"/>
    <s v="Livrée"/>
    <x v="335"/>
    <n v="72100"/>
    <n v="22900"/>
    <n v="0.24105263157894738"/>
    <x v="11"/>
  </r>
  <r>
    <s v="V01884"/>
    <x v="148"/>
    <s v="CL0442"/>
    <s v="Client 249"/>
    <x v="0"/>
    <s v="N'Djamena"/>
    <x v="2"/>
    <x v="14"/>
    <n v="6"/>
    <n v="99800"/>
    <n v="67900"/>
    <x v="0"/>
    <x v="1"/>
    <x v="0"/>
    <s v="Livrée"/>
    <x v="50"/>
    <n v="407400"/>
    <n v="191400"/>
    <n v="0.31963927855711421"/>
    <x v="0"/>
  </r>
  <r>
    <s v="V01885"/>
    <x v="332"/>
    <s v="CL0386"/>
    <s v="Client 446"/>
    <x v="5"/>
    <s v="Massaguet"/>
    <x v="2"/>
    <x v="13"/>
    <n v="6"/>
    <n v="160000"/>
    <n v="116400"/>
    <x v="0"/>
    <x v="2"/>
    <x v="1"/>
    <s v="Annulée"/>
    <x v="98"/>
    <n v="698400"/>
    <n v="261600"/>
    <n v="0.27250000000000002"/>
    <x v="9"/>
  </r>
  <r>
    <s v="V01886"/>
    <x v="127"/>
    <s v="CL0452"/>
    <s v="Client 265"/>
    <x v="1"/>
    <s v="Abéché"/>
    <x v="1"/>
    <x v="6"/>
    <n v="6"/>
    <n v="12000"/>
    <n v="7500"/>
    <x v="3"/>
    <x v="3"/>
    <x v="1"/>
    <s v="Livrée"/>
    <x v="196"/>
    <n v="45000"/>
    <n v="27000"/>
    <n v="0.375"/>
    <x v="7"/>
  </r>
  <r>
    <s v="V01887"/>
    <x v="289"/>
    <s v="CL0461"/>
    <s v="Client 358"/>
    <x v="1"/>
    <s v="Abéché"/>
    <x v="2"/>
    <x v="10"/>
    <n v="7"/>
    <n v="450000"/>
    <n v="381100"/>
    <x v="3"/>
    <x v="3"/>
    <x v="1"/>
    <s v="Annulée"/>
    <x v="12"/>
    <n v="2667700"/>
    <n v="482300"/>
    <n v="0.15311111111111111"/>
    <x v="9"/>
  </r>
  <r>
    <s v="V01888"/>
    <x v="159"/>
    <s v="CL0009"/>
    <s v="Client 212"/>
    <x v="2"/>
    <s v="Doba"/>
    <x v="0"/>
    <x v="0"/>
    <n v="3"/>
    <n v="68200"/>
    <n v="43600"/>
    <x v="5"/>
    <x v="2"/>
    <x v="1"/>
    <s v="Annulée"/>
    <x v="423"/>
    <n v="130800"/>
    <n v="73800"/>
    <n v="0.36070381231671556"/>
    <x v="1"/>
  </r>
  <r>
    <s v="V01889"/>
    <x v="282"/>
    <s v="CL0044"/>
    <s v="Client 282"/>
    <x v="0"/>
    <s v="N'Djamena"/>
    <x v="2"/>
    <x v="2"/>
    <n v="7"/>
    <n v="52200"/>
    <n v="37800"/>
    <x v="6"/>
    <x v="0"/>
    <x v="0"/>
    <s v="Livrée"/>
    <x v="370"/>
    <n v="264600"/>
    <n v="100800"/>
    <n v="0.27586206896551724"/>
    <x v="5"/>
  </r>
  <r>
    <s v="V01890"/>
    <x v="137"/>
    <s v="CL0198"/>
    <s v="Client 134"/>
    <x v="0"/>
    <s v="N'Djamena"/>
    <x v="0"/>
    <x v="11"/>
    <n v="10"/>
    <n v="89200"/>
    <n v="60100"/>
    <x v="1"/>
    <x v="2"/>
    <x v="1"/>
    <s v="Livrée"/>
    <x v="340"/>
    <n v="601000"/>
    <n v="291000"/>
    <n v="0.32623318385650224"/>
    <x v="0"/>
  </r>
  <r>
    <s v="V01891"/>
    <x v="46"/>
    <s v="CL0370"/>
    <s v="Client 259"/>
    <x v="0"/>
    <s v="N'Djamena"/>
    <x v="2"/>
    <x v="14"/>
    <n v="5"/>
    <n v="95000"/>
    <n v="70000"/>
    <x v="3"/>
    <x v="2"/>
    <x v="0"/>
    <s v="Annulée"/>
    <x v="103"/>
    <n v="350000"/>
    <n v="125000"/>
    <n v="0.26315789473684209"/>
    <x v="10"/>
  </r>
  <r>
    <s v="V01892"/>
    <x v="173"/>
    <s v="CL0191"/>
    <s v="Client 107"/>
    <x v="0"/>
    <s v="N'Djamena"/>
    <x v="0"/>
    <x v="11"/>
    <n v="6"/>
    <n v="85000"/>
    <n v="63900"/>
    <x v="5"/>
    <x v="3"/>
    <x v="1"/>
    <s v="Livrée"/>
    <x v="270"/>
    <n v="383400"/>
    <n v="126600"/>
    <n v="0.24823529411764705"/>
    <x v="2"/>
  </r>
  <r>
    <s v="V01893"/>
    <x v="124"/>
    <s v="CL0240"/>
    <s v="Client 059"/>
    <x v="1"/>
    <s v="Abéché"/>
    <x v="2"/>
    <x v="9"/>
    <n v="8"/>
    <n v="189000"/>
    <n v="135000"/>
    <x v="3"/>
    <x v="2"/>
    <x v="1"/>
    <s v="Livrée"/>
    <x v="168"/>
    <n v="1080000"/>
    <n v="432000"/>
    <n v="0.2857142857142857"/>
    <x v="5"/>
  </r>
  <r>
    <s v="V01894"/>
    <x v="26"/>
    <s v="CL0497"/>
    <s v="Client 306"/>
    <x v="4"/>
    <s v="Ati"/>
    <x v="3"/>
    <x v="8"/>
    <n v="3"/>
    <n v="6000"/>
    <n v="4100"/>
    <x v="6"/>
    <x v="3"/>
    <x v="0"/>
    <s v="Livrée"/>
    <x v="213"/>
    <n v="12300"/>
    <n v="5700"/>
    <n v="0.31666666666666665"/>
    <x v="10"/>
  </r>
  <r>
    <s v="V01895"/>
    <x v="183"/>
    <s v="CL0475"/>
    <s v="Client 207"/>
    <x v="5"/>
    <s v="Massaguet"/>
    <x v="3"/>
    <x v="8"/>
    <n v="4"/>
    <n v="6300"/>
    <n v="4200"/>
    <x v="4"/>
    <x v="3"/>
    <x v="1"/>
    <s v="Livrée"/>
    <x v="222"/>
    <n v="16800"/>
    <n v="8400"/>
    <n v="0.33333333333333331"/>
    <x v="7"/>
  </r>
  <r>
    <s v="V01896"/>
    <x v="132"/>
    <s v="CL0210"/>
    <s v="Client 168"/>
    <x v="5"/>
    <s v="Massaguet"/>
    <x v="2"/>
    <x v="9"/>
    <n v="10"/>
    <n v="180000"/>
    <n v="131000"/>
    <x v="6"/>
    <x v="3"/>
    <x v="0"/>
    <s v="Livrée"/>
    <x v="139"/>
    <n v="1310000"/>
    <n v="490000"/>
    <n v="0.2722222222222222"/>
    <x v="6"/>
  </r>
  <r>
    <s v="V01897"/>
    <x v="39"/>
    <s v="CL0195"/>
    <s v="Client 261"/>
    <x v="5"/>
    <s v="Massaguet"/>
    <x v="0"/>
    <x v="0"/>
    <n v="7"/>
    <n v="65000"/>
    <n v="45000"/>
    <x v="2"/>
    <x v="0"/>
    <x v="2"/>
    <s v="Livrée"/>
    <x v="377"/>
    <n v="315000"/>
    <n v="140000"/>
    <n v="0.30769230769230771"/>
    <x v="3"/>
  </r>
  <r>
    <s v="V01898"/>
    <x v="302"/>
    <s v="CL0269"/>
    <s v="Client 237"/>
    <x v="7"/>
    <s v="Bol"/>
    <x v="0"/>
    <x v="16"/>
    <n v="6"/>
    <n v="147000"/>
    <n v="100000"/>
    <x v="2"/>
    <x v="0"/>
    <x v="1"/>
    <s v="Livrée"/>
    <x v="367"/>
    <n v="600000"/>
    <n v="282000"/>
    <n v="0.31972789115646261"/>
    <x v="6"/>
  </r>
  <r>
    <s v="V01899"/>
    <x v="208"/>
    <s v="CL0013"/>
    <s v="Client 210"/>
    <x v="0"/>
    <s v="N'Djamena"/>
    <x v="2"/>
    <x v="2"/>
    <n v="7"/>
    <n v="52200"/>
    <n v="39000"/>
    <x v="5"/>
    <x v="1"/>
    <x v="0"/>
    <s v="Annulée"/>
    <x v="370"/>
    <n v="273000"/>
    <n v="92400"/>
    <n v="0.25287356321839083"/>
    <x v="1"/>
  </r>
  <r>
    <s v="V01900"/>
    <x v="40"/>
    <s v="CL0070"/>
    <s v="Client 077"/>
    <x v="5"/>
    <s v="Massaguet"/>
    <x v="2"/>
    <x v="9"/>
    <n v="5"/>
    <n v="180000"/>
    <n v="139000"/>
    <x v="7"/>
    <x v="1"/>
    <x v="0"/>
    <s v="En cours"/>
    <x v="101"/>
    <n v="695000"/>
    <n v="205000"/>
    <n v="0.22777777777777777"/>
    <x v="3"/>
  </r>
  <r>
    <s v="V01901"/>
    <x v="239"/>
    <s v="CL0212"/>
    <s v="Client 175"/>
    <x v="0"/>
    <s v="N'Djamena"/>
    <x v="2"/>
    <x v="10"/>
    <n v="2"/>
    <n v="427500"/>
    <n v="370000"/>
    <x v="6"/>
    <x v="0"/>
    <x v="1"/>
    <s v="En cours"/>
    <x v="165"/>
    <n v="740000"/>
    <n v="115000"/>
    <n v="0.13450292397660818"/>
    <x v="2"/>
  </r>
  <r>
    <s v="V01902"/>
    <x v="136"/>
    <s v="CL0345"/>
    <s v="Client 169"/>
    <x v="2"/>
    <s v="Doba"/>
    <x v="3"/>
    <x v="3"/>
    <n v="2"/>
    <n v="15800"/>
    <n v="9800"/>
    <x v="3"/>
    <x v="3"/>
    <x v="2"/>
    <s v="En cours"/>
    <x v="424"/>
    <n v="19600"/>
    <n v="12000"/>
    <n v="0.379746835443038"/>
    <x v="7"/>
  </r>
  <r>
    <s v="V01903"/>
    <x v="173"/>
    <s v="CL0481"/>
    <s v="Client 046"/>
    <x v="0"/>
    <s v="N'Djamena"/>
    <x v="1"/>
    <x v="7"/>
    <n v="5"/>
    <n v="10500"/>
    <n v="6200"/>
    <x v="7"/>
    <x v="0"/>
    <x v="2"/>
    <s v="En cours"/>
    <x v="334"/>
    <n v="31000"/>
    <n v="21500"/>
    <n v="0.40952380952380951"/>
    <x v="2"/>
  </r>
  <r>
    <s v="V01904"/>
    <x v="204"/>
    <s v="CL0044"/>
    <s v="Client 461"/>
    <x v="4"/>
    <s v="Ati"/>
    <x v="2"/>
    <x v="13"/>
    <n v="10"/>
    <n v="152000"/>
    <n v="116400"/>
    <x v="6"/>
    <x v="3"/>
    <x v="0"/>
    <s v="En cours"/>
    <x v="323"/>
    <n v="1164000"/>
    <n v="356000"/>
    <n v="0.23421052631578948"/>
    <x v="3"/>
  </r>
  <r>
    <s v="V01905"/>
    <x v="338"/>
    <s v="CL0217"/>
    <s v="Client 175"/>
    <x v="7"/>
    <s v="Bol"/>
    <x v="2"/>
    <x v="9"/>
    <n v="5"/>
    <n v="189000"/>
    <n v="135000"/>
    <x v="7"/>
    <x v="3"/>
    <x v="1"/>
    <s v="Livrée"/>
    <x v="79"/>
    <n v="675000"/>
    <n v="270000"/>
    <n v="0.2857142857142857"/>
    <x v="11"/>
  </r>
  <r>
    <s v="V01906"/>
    <x v="19"/>
    <s v="CL0270"/>
    <s v="Client 344"/>
    <x v="0"/>
    <s v="N'Djamena"/>
    <x v="0"/>
    <x v="11"/>
    <n v="9"/>
    <n v="85000"/>
    <n v="62000"/>
    <x v="6"/>
    <x v="0"/>
    <x v="0"/>
    <s v="Livrée"/>
    <x v="359"/>
    <n v="558000"/>
    <n v="207000"/>
    <n v="0.27058823529411763"/>
    <x v="1"/>
  </r>
  <r>
    <s v="V01907"/>
    <x v="192"/>
    <s v="CL0234"/>
    <s v="Client 110"/>
    <x v="0"/>
    <s v="N'Djamena"/>
    <x v="1"/>
    <x v="6"/>
    <n v="4"/>
    <n v="11400"/>
    <n v="7500"/>
    <x v="2"/>
    <x v="2"/>
    <x v="1"/>
    <s v="Livrée"/>
    <x v="7"/>
    <n v="30000"/>
    <n v="15600"/>
    <n v="0.34210526315789475"/>
    <x v="6"/>
  </r>
  <r>
    <s v="V01908"/>
    <x v="50"/>
    <s v="CL0230"/>
    <s v="Client 238"/>
    <x v="0"/>
    <s v="N'Djamena"/>
    <x v="2"/>
    <x v="9"/>
    <n v="9"/>
    <n v="171000"/>
    <n v="135000"/>
    <x v="3"/>
    <x v="3"/>
    <x v="0"/>
    <s v="Livrée"/>
    <x v="373"/>
    <n v="1215000"/>
    <n v="324000"/>
    <n v="0.21052631578947367"/>
    <x v="2"/>
  </r>
  <r>
    <s v="V01909"/>
    <x v="283"/>
    <s v="CL0481"/>
    <s v="Client 344"/>
    <x v="0"/>
    <s v="N'Djamena"/>
    <x v="1"/>
    <x v="18"/>
    <n v="8"/>
    <n v="26200"/>
    <n v="16000"/>
    <x v="3"/>
    <x v="2"/>
    <x v="1"/>
    <s v="Livrée"/>
    <x v="181"/>
    <n v="128000"/>
    <n v="81600"/>
    <n v="0.38931297709923662"/>
    <x v="2"/>
  </r>
  <r>
    <s v="V01910"/>
    <x v="237"/>
    <s v="CL0485"/>
    <s v="Client 472"/>
    <x v="5"/>
    <s v="Massaguet"/>
    <x v="2"/>
    <x v="2"/>
    <n v="1"/>
    <n v="55000"/>
    <n v="39000"/>
    <x v="2"/>
    <x v="2"/>
    <x v="0"/>
    <s v="Annulée"/>
    <x v="2"/>
    <n v="39000"/>
    <n v="16000"/>
    <n v="0.29090909090909089"/>
    <x v="4"/>
  </r>
  <r>
    <s v="V01911"/>
    <x v="217"/>
    <s v="CL0187"/>
    <s v="Client 395"/>
    <x v="7"/>
    <s v="Bol"/>
    <x v="0"/>
    <x v="5"/>
    <n v="9"/>
    <n v="231000"/>
    <n v="160000"/>
    <x v="0"/>
    <x v="1"/>
    <x v="0"/>
    <s v="Livrée"/>
    <x v="33"/>
    <n v="1440000"/>
    <n v="639000"/>
    <n v="0.30735930735930733"/>
    <x v="1"/>
  </r>
  <r>
    <s v="V01912"/>
    <x v="264"/>
    <s v="CL0223"/>
    <s v="Client 052"/>
    <x v="6"/>
    <s v="Moundou"/>
    <x v="0"/>
    <x v="11"/>
    <n v="4"/>
    <n v="85000"/>
    <n v="60100"/>
    <x v="1"/>
    <x v="3"/>
    <x v="0"/>
    <s v="Livrée"/>
    <x v="43"/>
    <n v="240400"/>
    <n v="99600"/>
    <n v="0.29294117647058826"/>
    <x v="0"/>
  </r>
  <r>
    <s v="V01913"/>
    <x v="102"/>
    <s v="CL0198"/>
    <s v="Client 451"/>
    <x v="7"/>
    <s v="Bol"/>
    <x v="0"/>
    <x v="5"/>
    <n v="8"/>
    <n v="209000"/>
    <n v="155200"/>
    <x v="2"/>
    <x v="1"/>
    <x v="0"/>
    <s v="Annulée"/>
    <x v="82"/>
    <n v="1241600"/>
    <n v="430400"/>
    <n v="0.25741626794258371"/>
    <x v="8"/>
  </r>
  <r>
    <s v="V01914"/>
    <x v="214"/>
    <s v="CL0198"/>
    <s v="Client 380"/>
    <x v="0"/>
    <s v="N'Djamena"/>
    <x v="1"/>
    <x v="12"/>
    <n v="4"/>
    <n v="31500"/>
    <n v="19000"/>
    <x v="4"/>
    <x v="3"/>
    <x v="0"/>
    <s v="Livrée"/>
    <x v="178"/>
    <n v="76000"/>
    <n v="50000"/>
    <n v="0.3968253968253968"/>
    <x v="3"/>
  </r>
  <r>
    <s v="V01915"/>
    <x v="117"/>
    <s v="CL0132"/>
    <s v="Client 060"/>
    <x v="0"/>
    <s v="N'Djamena"/>
    <x v="0"/>
    <x v="11"/>
    <n v="10"/>
    <n v="80800"/>
    <n v="60100"/>
    <x v="4"/>
    <x v="3"/>
    <x v="0"/>
    <s v="Livrée"/>
    <x v="227"/>
    <n v="601000"/>
    <n v="207000"/>
    <n v="0.25618811881188119"/>
    <x v="1"/>
  </r>
  <r>
    <s v="V01916"/>
    <x v="19"/>
    <s v="CL0468"/>
    <s v="Client 048"/>
    <x v="0"/>
    <s v="N'Djamena"/>
    <x v="2"/>
    <x v="13"/>
    <n v="9"/>
    <n v="160000"/>
    <n v="116400"/>
    <x v="0"/>
    <x v="3"/>
    <x v="0"/>
    <s v="Livrée"/>
    <x v="157"/>
    <n v="1047600"/>
    <n v="392400"/>
    <n v="0.27250000000000002"/>
    <x v="1"/>
  </r>
  <r>
    <s v="V01917"/>
    <x v="268"/>
    <s v="CL0063"/>
    <s v="Client 142"/>
    <x v="1"/>
    <s v="Abéché"/>
    <x v="0"/>
    <x v="11"/>
    <n v="2"/>
    <n v="80800"/>
    <n v="62000"/>
    <x v="2"/>
    <x v="2"/>
    <x v="0"/>
    <s v="Livrée"/>
    <x v="271"/>
    <n v="124000"/>
    <n v="37600"/>
    <n v="0.23267326732673269"/>
    <x v="1"/>
  </r>
  <r>
    <s v="V01918"/>
    <x v="305"/>
    <s v="CL0140"/>
    <s v="Client 491"/>
    <x v="1"/>
    <s v="Abéché"/>
    <x v="2"/>
    <x v="9"/>
    <n v="4"/>
    <n v="180000"/>
    <n v="139000"/>
    <x v="1"/>
    <x v="2"/>
    <x v="1"/>
    <s v="Livrée"/>
    <x v="169"/>
    <n v="556000"/>
    <n v="164000"/>
    <n v="0.22777777777777777"/>
    <x v="11"/>
  </r>
  <r>
    <s v="V01919"/>
    <x v="14"/>
    <s v="CL0120"/>
    <s v="Client 122"/>
    <x v="3"/>
    <s v="Mao"/>
    <x v="2"/>
    <x v="13"/>
    <n v="6"/>
    <n v="168000"/>
    <n v="116400"/>
    <x v="2"/>
    <x v="2"/>
    <x v="2"/>
    <s v="Livrée"/>
    <x v="141"/>
    <n v="698400"/>
    <n v="309600"/>
    <n v="0.30714285714285716"/>
    <x v="0"/>
  </r>
  <r>
    <s v="V01920"/>
    <x v="181"/>
    <s v="CL0242"/>
    <s v="Client 231"/>
    <x v="5"/>
    <s v="Massaguet"/>
    <x v="2"/>
    <x v="2"/>
    <n v="3"/>
    <n v="52200"/>
    <n v="37800"/>
    <x v="3"/>
    <x v="2"/>
    <x v="1"/>
    <s v="Livrée"/>
    <x v="188"/>
    <n v="113400"/>
    <n v="43200"/>
    <n v="0.27586206896551724"/>
    <x v="11"/>
  </r>
  <r>
    <s v="V01921"/>
    <x v="327"/>
    <s v="CL0279"/>
    <s v="Client 043"/>
    <x v="0"/>
    <s v="N'Djamena"/>
    <x v="2"/>
    <x v="14"/>
    <n v="5"/>
    <n v="90200"/>
    <n v="72100"/>
    <x v="2"/>
    <x v="3"/>
    <x v="1"/>
    <s v="Annulée"/>
    <x v="390"/>
    <n v="360500"/>
    <n v="90500"/>
    <n v="0.20066518847006651"/>
    <x v="8"/>
  </r>
  <r>
    <s v="V01922"/>
    <x v="298"/>
    <s v="CL0018"/>
    <s v="Client 145"/>
    <x v="5"/>
    <s v="Massaguet"/>
    <x v="3"/>
    <x v="15"/>
    <n v="9"/>
    <n v="8000"/>
    <n v="5000"/>
    <x v="2"/>
    <x v="1"/>
    <x v="2"/>
    <s v="Livrée"/>
    <x v="196"/>
    <n v="45000"/>
    <n v="27000"/>
    <n v="0.375"/>
    <x v="10"/>
  </r>
  <r>
    <s v="V01923"/>
    <x v="340"/>
    <s v="CL0081"/>
    <s v="Client 467"/>
    <x v="1"/>
    <s v="Abéché"/>
    <x v="0"/>
    <x v="0"/>
    <n v="9"/>
    <n v="65000"/>
    <n v="45000"/>
    <x v="3"/>
    <x v="2"/>
    <x v="1"/>
    <s v="Livrée"/>
    <x v="293"/>
    <n v="405000"/>
    <n v="180000"/>
    <n v="0.30769230769230771"/>
    <x v="2"/>
  </r>
  <r>
    <s v="V01924"/>
    <x v="113"/>
    <s v="CL0414"/>
    <s v="Client 406"/>
    <x v="5"/>
    <s v="Massaguet"/>
    <x v="2"/>
    <x v="10"/>
    <n v="5"/>
    <n v="450000"/>
    <n v="381100"/>
    <x v="2"/>
    <x v="2"/>
    <x v="0"/>
    <s v="Livrée"/>
    <x v="172"/>
    <n v="1905500"/>
    <n v="344500"/>
    <n v="0.15311111111111111"/>
    <x v="11"/>
  </r>
  <r>
    <s v="V01925"/>
    <x v="338"/>
    <s v="CL0161"/>
    <s v="Client 213"/>
    <x v="0"/>
    <s v="N'Djamena"/>
    <x v="2"/>
    <x v="2"/>
    <n v="6"/>
    <n v="55000"/>
    <n v="39000"/>
    <x v="3"/>
    <x v="2"/>
    <x v="2"/>
    <s v="Livrée"/>
    <x v="194"/>
    <n v="234000"/>
    <n v="96000"/>
    <n v="0.29090909090909089"/>
    <x v="11"/>
  </r>
  <r>
    <s v="V01926"/>
    <x v="317"/>
    <s v="CL0466"/>
    <s v="Client 260"/>
    <x v="3"/>
    <s v="Mao"/>
    <x v="3"/>
    <x v="17"/>
    <n v="5"/>
    <n v="18000"/>
    <n v="12900"/>
    <x v="6"/>
    <x v="3"/>
    <x v="0"/>
    <s v="En cours"/>
    <x v="185"/>
    <n v="64500"/>
    <n v="25500"/>
    <n v="0.28333333333333333"/>
    <x v="9"/>
  </r>
  <r>
    <s v="V01927"/>
    <x v="248"/>
    <s v="CL0314"/>
    <s v="Client 128"/>
    <x v="0"/>
    <s v="N'Djamena"/>
    <x v="2"/>
    <x v="9"/>
    <n v="5"/>
    <n v="180000"/>
    <n v="135000"/>
    <x v="2"/>
    <x v="2"/>
    <x v="0"/>
    <s v="Annulée"/>
    <x v="101"/>
    <n v="675000"/>
    <n v="225000"/>
    <n v="0.25"/>
    <x v="2"/>
  </r>
  <r>
    <s v="V01928"/>
    <x v="49"/>
    <s v="CL0446"/>
    <s v="Client 119"/>
    <x v="2"/>
    <s v="Doba"/>
    <x v="0"/>
    <x v="11"/>
    <n v="7"/>
    <n v="85000"/>
    <n v="60100"/>
    <x v="0"/>
    <x v="2"/>
    <x v="2"/>
    <s v="Livrée"/>
    <x v="199"/>
    <n v="420700"/>
    <n v="174300"/>
    <n v="0.29294117647058826"/>
    <x v="11"/>
  </r>
  <r>
    <s v="V01929"/>
    <x v="58"/>
    <s v="CL0419"/>
    <s v="Client 294"/>
    <x v="6"/>
    <s v="Moundou"/>
    <x v="2"/>
    <x v="13"/>
    <n v="10"/>
    <n v="160000"/>
    <n v="116400"/>
    <x v="3"/>
    <x v="0"/>
    <x v="0"/>
    <s v="Livrée"/>
    <x v="132"/>
    <n v="1164000"/>
    <n v="436000"/>
    <n v="0.27250000000000002"/>
    <x v="9"/>
  </r>
  <r>
    <s v="V01930"/>
    <x v="84"/>
    <s v="CL0330"/>
    <s v="Client 278"/>
    <x v="6"/>
    <s v="Pala"/>
    <x v="2"/>
    <x v="13"/>
    <n v="3"/>
    <n v="152000"/>
    <n v="116400"/>
    <x v="7"/>
    <x v="3"/>
    <x v="0"/>
    <s v="Livrée"/>
    <x v="333"/>
    <n v="349200"/>
    <n v="106800"/>
    <n v="0.23421052631578948"/>
    <x v="7"/>
  </r>
  <r>
    <s v="V01931"/>
    <x v="103"/>
    <s v="CL0496"/>
    <s v="Client 335"/>
    <x v="6"/>
    <s v="Pala"/>
    <x v="3"/>
    <x v="15"/>
    <n v="1"/>
    <n v="8400"/>
    <n v="5000"/>
    <x v="2"/>
    <x v="3"/>
    <x v="2"/>
    <s v="En cours"/>
    <x v="387"/>
    <n v="5000"/>
    <n v="3400"/>
    <n v="0.40476190476190477"/>
    <x v="6"/>
  </r>
  <r>
    <s v="V01932"/>
    <x v="61"/>
    <s v="CL0435"/>
    <s v="Client 031"/>
    <x v="0"/>
    <s v="N'Djamena"/>
    <x v="1"/>
    <x v="12"/>
    <n v="7"/>
    <n v="28500"/>
    <n v="18400"/>
    <x v="6"/>
    <x v="2"/>
    <x v="2"/>
    <s v="Livrée"/>
    <x v="301"/>
    <n v="128800"/>
    <n v="70700"/>
    <n v="0.35438596491228069"/>
    <x v="7"/>
  </r>
  <r>
    <s v="V01933"/>
    <x v="280"/>
    <s v="CL0065"/>
    <s v="Client 454"/>
    <x v="0"/>
    <s v="N'Djamena"/>
    <x v="2"/>
    <x v="2"/>
    <n v="4"/>
    <n v="52200"/>
    <n v="39000"/>
    <x v="4"/>
    <x v="2"/>
    <x v="0"/>
    <s v="Livrée"/>
    <x v="198"/>
    <n v="156000"/>
    <n v="52800"/>
    <n v="0.25287356321839083"/>
    <x v="9"/>
  </r>
  <r>
    <s v="V01935"/>
    <x v="204"/>
    <s v="CL0040"/>
    <s v="Client 280"/>
    <x v="1"/>
    <s v="Abéché"/>
    <x v="1"/>
    <x v="18"/>
    <n v="9"/>
    <n v="25000"/>
    <n v="16500"/>
    <x v="3"/>
    <x v="3"/>
    <x v="0"/>
    <s v="Livrée"/>
    <x v="378"/>
    <n v="148500"/>
    <n v="76500"/>
    <n v="0.34"/>
    <x v="3"/>
  </r>
  <r>
    <s v="V01936"/>
    <x v="101"/>
    <s v="CL0242"/>
    <s v="Client 187"/>
    <x v="0"/>
    <s v="N'Djamena"/>
    <x v="3"/>
    <x v="15"/>
    <n v="10"/>
    <n v="8000"/>
    <n v="5000"/>
    <x v="7"/>
    <x v="3"/>
    <x v="2"/>
    <s v="En cours"/>
    <x v="61"/>
    <n v="50000"/>
    <n v="30000"/>
    <n v="0.375"/>
    <x v="6"/>
  </r>
  <r>
    <s v="V01937"/>
    <x v="70"/>
    <s v="CL0299"/>
    <s v="Client 495"/>
    <x v="3"/>
    <s v="Mao"/>
    <x v="2"/>
    <x v="14"/>
    <n v="9"/>
    <n v="90200"/>
    <n v="72100"/>
    <x v="3"/>
    <x v="3"/>
    <x v="0"/>
    <s v="En cours"/>
    <x v="321"/>
    <n v="648900"/>
    <n v="162900"/>
    <n v="0.20066518847006651"/>
    <x v="11"/>
  </r>
  <r>
    <s v="V01938"/>
    <x v="125"/>
    <s v="CL0150"/>
    <s v="Client 379"/>
    <x v="3"/>
    <s v="Mao"/>
    <x v="3"/>
    <x v="8"/>
    <n v="1"/>
    <n v="6000"/>
    <n v="4300"/>
    <x v="3"/>
    <x v="2"/>
    <x v="1"/>
    <s v="Livrée"/>
    <x v="282"/>
    <n v="4300"/>
    <n v="1700"/>
    <n v="0.28333333333333333"/>
    <x v="7"/>
  </r>
  <r>
    <s v="V01939"/>
    <x v="353"/>
    <s v="CL0169"/>
    <s v="Client 442"/>
    <x v="0"/>
    <s v="N'Djamena"/>
    <x v="0"/>
    <x v="11"/>
    <n v="4"/>
    <n v="89200"/>
    <n v="63900"/>
    <x v="0"/>
    <x v="2"/>
    <x v="0"/>
    <s v="Livrée"/>
    <x v="419"/>
    <n v="255600"/>
    <n v="101200"/>
    <n v="0.28363228699551568"/>
    <x v="7"/>
  </r>
  <r>
    <s v="V01940"/>
    <x v="181"/>
    <s v="CL0196"/>
    <s v="Client 039"/>
    <x v="7"/>
    <s v="Bol"/>
    <x v="2"/>
    <x v="9"/>
    <n v="6"/>
    <n v="171000"/>
    <n v="139000"/>
    <x v="3"/>
    <x v="2"/>
    <x v="0"/>
    <s v="Annulée"/>
    <x v="202"/>
    <n v="834000"/>
    <n v="192000"/>
    <n v="0.1871345029239766"/>
    <x v="11"/>
  </r>
  <r>
    <s v="V01941"/>
    <x v="86"/>
    <s v="CL0172"/>
    <s v="Client 051"/>
    <x v="3"/>
    <s v="Mao"/>
    <x v="3"/>
    <x v="4"/>
    <n v="10"/>
    <n v="9400"/>
    <n v="5600"/>
    <x v="0"/>
    <x v="2"/>
    <x v="0"/>
    <s v="En cours"/>
    <x v="280"/>
    <n v="56000"/>
    <n v="38000"/>
    <n v="0.40425531914893614"/>
    <x v="11"/>
  </r>
  <r>
    <s v="V01942"/>
    <x v="13"/>
    <s v="CL0375"/>
    <s v="Client 182"/>
    <x v="1"/>
    <s v="Abéché"/>
    <x v="3"/>
    <x v="4"/>
    <n v="9"/>
    <n v="9400"/>
    <n v="5600"/>
    <x v="3"/>
    <x v="0"/>
    <x v="1"/>
    <s v="Livrée"/>
    <x v="354"/>
    <n v="50400"/>
    <n v="34200"/>
    <n v="0.40425531914893614"/>
    <x v="2"/>
  </r>
  <r>
    <s v="V01943"/>
    <x v="197"/>
    <s v="CL0116"/>
    <s v="Client 271"/>
    <x v="6"/>
    <s v="Pala"/>
    <x v="2"/>
    <x v="10"/>
    <n v="1"/>
    <n v="450000"/>
    <n v="370000"/>
    <x v="0"/>
    <x v="2"/>
    <x v="1"/>
    <s v="En cours"/>
    <x v="317"/>
    <n v="370000"/>
    <n v="80000"/>
    <n v="0.17777777777777778"/>
    <x v="5"/>
  </r>
  <r>
    <s v="V01944"/>
    <x v="196"/>
    <s v="CL0208"/>
    <s v="Client 461"/>
    <x v="7"/>
    <s v="Bol"/>
    <x v="2"/>
    <x v="14"/>
    <n v="8"/>
    <n v="95000"/>
    <n v="67900"/>
    <x v="2"/>
    <x v="1"/>
    <x v="0"/>
    <s v="Livrée"/>
    <x v="122"/>
    <n v="543200"/>
    <n v="216800"/>
    <n v="0.28526315789473683"/>
    <x v="11"/>
  </r>
  <r>
    <s v="V01945"/>
    <x v="336"/>
    <s v="CL0365"/>
    <s v="Client 225"/>
    <x v="4"/>
    <s v="Ati"/>
    <x v="2"/>
    <x v="9"/>
    <n v="10"/>
    <n v="180000"/>
    <n v="131000"/>
    <x v="4"/>
    <x v="2"/>
    <x v="2"/>
    <s v="Livrée"/>
    <x v="139"/>
    <n v="1310000"/>
    <n v="490000"/>
    <n v="0.2722222222222222"/>
    <x v="8"/>
  </r>
  <r>
    <s v="V01946"/>
    <x v="277"/>
    <s v="CL0481"/>
    <s v="Client 408"/>
    <x v="5"/>
    <s v="Massaguet"/>
    <x v="0"/>
    <x v="16"/>
    <n v="8"/>
    <n v="133000"/>
    <n v="103000"/>
    <x v="1"/>
    <x v="1"/>
    <x v="1"/>
    <s v="Livrée"/>
    <x v="92"/>
    <n v="824000"/>
    <n v="240000"/>
    <n v="0.22556390977443608"/>
    <x v="2"/>
  </r>
  <r>
    <s v="V01947"/>
    <x v="313"/>
    <s v="CL0332"/>
    <s v="Client 130"/>
    <x v="5"/>
    <s v="Massaguet"/>
    <x v="2"/>
    <x v="9"/>
    <n v="3"/>
    <n v="189000"/>
    <n v="131000"/>
    <x v="4"/>
    <x v="3"/>
    <x v="0"/>
    <s v="Livrée"/>
    <x v="10"/>
    <n v="393000"/>
    <n v="174000"/>
    <n v="0.30687830687830686"/>
    <x v="1"/>
  </r>
  <r>
    <s v="V01948"/>
    <x v="126"/>
    <s v="CL0375"/>
    <s v="Client 077"/>
    <x v="1"/>
    <s v="Abéché"/>
    <x v="3"/>
    <x v="15"/>
    <n v="2"/>
    <n v="8400"/>
    <n v="4800"/>
    <x v="3"/>
    <x v="3"/>
    <x v="0"/>
    <s v="Annulée"/>
    <x v="47"/>
    <n v="9600"/>
    <n v="7200"/>
    <n v="0.42857142857142855"/>
    <x v="4"/>
  </r>
  <r>
    <s v="V01949"/>
    <x v="143"/>
    <s v="CL0144"/>
    <s v="Client 363"/>
    <x v="2"/>
    <s v="Doba"/>
    <x v="2"/>
    <x v="14"/>
    <n v="6"/>
    <n v="95000"/>
    <n v="67900"/>
    <x v="3"/>
    <x v="2"/>
    <x v="0"/>
    <s v="Livrée"/>
    <x v="41"/>
    <n v="407400"/>
    <n v="162600"/>
    <n v="0.28526315789473683"/>
    <x v="8"/>
  </r>
  <r>
    <s v="V01950"/>
    <x v="234"/>
    <s v="CL0030"/>
    <s v="Client 495"/>
    <x v="0"/>
    <s v="N'Djamena"/>
    <x v="1"/>
    <x v="1"/>
    <n v="2"/>
    <n v="6600"/>
    <n v="4100"/>
    <x v="2"/>
    <x v="3"/>
    <x v="1"/>
    <s v="Livrée"/>
    <x v="318"/>
    <n v="8200"/>
    <n v="5000"/>
    <n v="0.37878787878787878"/>
    <x v="11"/>
  </r>
  <r>
    <s v="V01951"/>
    <x v="262"/>
    <s v="CL0357"/>
    <s v="Client 386"/>
    <x v="5"/>
    <s v="Massaguet"/>
    <x v="3"/>
    <x v="4"/>
    <n v="8"/>
    <n v="9000"/>
    <n v="5600"/>
    <x v="4"/>
    <x v="3"/>
    <x v="0"/>
    <s v="Livrée"/>
    <x v="196"/>
    <n v="44800"/>
    <n v="27200"/>
    <n v="0.37777777777777777"/>
    <x v="6"/>
  </r>
  <r>
    <s v="V01952"/>
    <x v="147"/>
    <s v="CL0266"/>
    <s v="Client 004"/>
    <x v="0"/>
    <s v="N'Djamena"/>
    <x v="2"/>
    <x v="2"/>
    <n v="6"/>
    <n v="52200"/>
    <n v="40200"/>
    <x v="5"/>
    <x v="3"/>
    <x v="1"/>
    <s v="Livrée"/>
    <x v="209"/>
    <n v="241200"/>
    <n v="72000"/>
    <n v="0.22988505747126436"/>
    <x v="2"/>
  </r>
  <r>
    <s v="V01953"/>
    <x v="210"/>
    <s v="CL0371"/>
    <s v="Client 455"/>
    <x v="0"/>
    <s v="N'Djamena"/>
    <x v="2"/>
    <x v="13"/>
    <n v="7"/>
    <n v="168000"/>
    <n v="116400"/>
    <x v="4"/>
    <x v="3"/>
    <x v="1"/>
    <s v="Livrée"/>
    <x v="117"/>
    <n v="814800"/>
    <n v="361200"/>
    <n v="0.30714285714285716"/>
    <x v="8"/>
  </r>
  <r>
    <s v="V01954"/>
    <x v="164"/>
    <s v="CL0216"/>
    <s v="Client 390"/>
    <x v="1"/>
    <s v="Abéché"/>
    <x v="3"/>
    <x v="3"/>
    <n v="6"/>
    <n v="15000"/>
    <n v="9500"/>
    <x v="6"/>
    <x v="3"/>
    <x v="0"/>
    <s v="Livrée"/>
    <x v="185"/>
    <n v="57000"/>
    <n v="33000"/>
    <n v="0.36666666666666664"/>
    <x v="7"/>
  </r>
  <r>
    <s v="V01955"/>
    <x v="306"/>
    <s v="CL0296"/>
    <s v="Client 429"/>
    <x v="3"/>
    <s v="Mao"/>
    <x v="2"/>
    <x v="10"/>
    <n v="2"/>
    <n v="450000"/>
    <n v="381100"/>
    <x v="6"/>
    <x v="0"/>
    <x v="1"/>
    <s v="Livrée"/>
    <x v="101"/>
    <n v="762200"/>
    <n v="137800"/>
    <n v="0.15311111111111111"/>
    <x v="11"/>
  </r>
  <r>
    <s v="V01956"/>
    <x v="149"/>
    <s v="CL0071"/>
    <s v="Client 121"/>
    <x v="0"/>
    <s v="N'Djamena"/>
    <x v="2"/>
    <x v="13"/>
    <n v="9"/>
    <n v="168000"/>
    <n v="116400"/>
    <x v="4"/>
    <x v="3"/>
    <x v="1"/>
    <s v="Livrée"/>
    <x v="168"/>
    <n v="1047600"/>
    <n v="464400"/>
    <n v="0.30714285714285716"/>
    <x v="9"/>
  </r>
  <r>
    <s v="V01957"/>
    <x v="189"/>
    <s v="CL0252"/>
    <s v="Client 395"/>
    <x v="5"/>
    <s v="Massaguet"/>
    <x v="0"/>
    <x v="0"/>
    <n v="8"/>
    <n v="61800"/>
    <n v="43600"/>
    <x v="6"/>
    <x v="3"/>
    <x v="1"/>
    <s v="Livrée"/>
    <x v="285"/>
    <n v="348800"/>
    <n v="145600"/>
    <n v="0.29449838187702265"/>
    <x v="6"/>
  </r>
  <r>
    <s v="V01958"/>
    <x v="107"/>
    <s v="CL0034"/>
    <s v="Client 425"/>
    <x v="7"/>
    <s v="Bol"/>
    <x v="1"/>
    <x v="1"/>
    <n v="1"/>
    <n v="7000"/>
    <n v="3900"/>
    <x v="0"/>
    <x v="0"/>
    <x v="0"/>
    <s v="Annulée"/>
    <x v="309"/>
    <n v="3900"/>
    <n v="3100"/>
    <n v="0.44285714285714284"/>
    <x v="6"/>
  </r>
  <r>
    <s v="V01959"/>
    <x v="267"/>
    <s v="CL0372"/>
    <s v="Client 295"/>
    <x v="6"/>
    <s v="Pala"/>
    <x v="2"/>
    <x v="9"/>
    <n v="1"/>
    <n v="171000"/>
    <n v="139000"/>
    <x v="7"/>
    <x v="2"/>
    <x v="2"/>
    <s v="Livrée"/>
    <x v="106"/>
    <n v="139000"/>
    <n v="32000"/>
    <n v="0.1871345029239766"/>
    <x v="1"/>
  </r>
  <r>
    <s v="V01960"/>
    <x v="361"/>
    <s v="CL0456"/>
    <s v="Client 484"/>
    <x v="6"/>
    <s v="Pala"/>
    <x v="2"/>
    <x v="9"/>
    <n v="10"/>
    <n v="180000"/>
    <n v="135000"/>
    <x v="3"/>
    <x v="3"/>
    <x v="0"/>
    <s v="Livrée"/>
    <x v="139"/>
    <n v="1350000"/>
    <n v="450000"/>
    <n v="0.25"/>
    <x v="8"/>
  </r>
  <r>
    <s v="V01961"/>
    <x v="241"/>
    <s v="CL0041"/>
    <s v="Client 028"/>
    <x v="6"/>
    <s v="Moundou"/>
    <x v="1"/>
    <x v="7"/>
    <n v="9"/>
    <n v="9500"/>
    <n v="6200"/>
    <x v="4"/>
    <x v="0"/>
    <x v="1"/>
    <s v="Livrée"/>
    <x v="279"/>
    <n v="55800"/>
    <n v="29700"/>
    <n v="0.3473684210526316"/>
    <x v="2"/>
  </r>
  <r>
    <s v="V01962"/>
    <x v="7"/>
    <s v="CL0256"/>
    <s v="Client 107"/>
    <x v="0"/>
    <s v="N'Djamena"/>
    <x v="0"/>
    <x v="5"/>
    <n v="8"/>
    <n v="220000"/>
    <n v="155200"/>
    <x v="1"/>
    <x v="2"/>
    <x v="1"/>
    <s v="Livrée"/>
    <x v="231"/>
    <n v="1241600"/>
    <n v="518400"/>
    <n v="0.29454545454545455"/>
    <x v="1"/>
  </r>
  <r>
    <s v="V01963"/>
    <x v="50"/>
    <s v="CL0377"/>
    <s v="Client 153"/>
    <x v="3"/>
    <s v="Mao"/>
    <x v="1"/>
    <x v="1"/>
    <n v="2"/>
    <n v="7400"/>
    <n v="4100"/>
    <x v="5"/>
    <x v="3"/>
    <x v="1"/>
    <s v="Annulée"/>
    <x v="425"/>
    <n v="8200"/>
    <n v="6600"/>
    <n v="0.44594594594594594"/>
    <x v="2"/>
  </r>
  <r>
    <s v="V01964"/>
    <x v="348"/>
    <s v="CL0210"/>
    <s v="Client 202"/>
    <x v="3"/>
    <s v="Mao"/>
    <x v="0"/>
    <x v="16"/>
    <n v="1"/>
    <n v="133000"/>
    <n v="100000"/>
    <x v="5"/>
    <x v="1"/>
    <x v="0"/>
    <s v="Livrée"/>
    <x v="252"/>
    <n v="100000"/>
    <n v="33000"/>
    <n v="0.24812030075187969"/>
    <x v="6"/>
  </r>
  <r>
    <s v="V01965"/>
    <x v="98"/>
    <s v="CL0489"/>
    <s v="Client 328"/>
    <x v="1"/>
    <s v="Abéché"/>
    <x v="3"/>
    <x v="15"/>
    <n v="4"/>
    <n v="8000"/>
    <n v="4800"/>
    <x v="4"/>
    <x v="2"/>
    <x v="0"/>
    <s v="Livrée"/>
    <x v="29"/>
    <n v="19200"/>
    <n v="12800"/>
    <n v="0.4"/>
    <x v="9"/>
  </r>
  <r>
    <s v="V01966"/>
    <x v="8"/>
    <s v="CL0074"/>
    <s v="Client 451"/>
    <x v="6"/>
    <s v="Pala"/>
    <x v="2"/>
    <x v="2"/>
    <n v="1"/>
    <n v="57800"/>
    <n v="39000"/>
    <x v="0"/>
    <x v="3"/>
    <x v="0"/>
    <s v="Livrée"/>
    <x v="426"/>
    <n v="39000"/>
    <n v="18800"/>
    <n v="0.32525951557093424"/>
    <x v="4"/>
  </r>
  <r>
    <s v="V01967"/>
    <x v="118"/>
    <s v="CL0222"/>
    <s v="Client 313"/>
    <x v="2"/>
    <s v="Doba"/>
    <x v="2"/>
    <x v="9"/>
    <n v="1"/>
    <n v="180000"/>
    <n v="131000"/>
    <x v="2"/>
    <x v="1"/>
    <x v="1"/>
    <s v="Livrée"/>
    <x v="88"/>
    <n v="131000"/>
    <n v="49000"/>
    <n v="0.2722222222222222"/>
    <x v="7"/>
  </r>
  <r>
    <s v="V01968"/>
    <x v="333"/>
    <s v="CL0480"/>
    <s v="Client 403"/>
    <x v="6"/>
    <s v="Moundou"/>
    <x v="2"/>
    <x v="14"/>
    <n v="4"/>
    <n v="95000"/>
    <n v="70000"/>
    <x v="1"/>
    <x v="3"/>
    <x v="1"/>
    <s v="Livrée"/>
    <x v="89"/>
    <n v="280000"/>
    <n v="100000"/>
    <n v="0.26315789473684209"/>
    <x v="0"/>
  </r>
  <r>
    <s v="V01969"/>
    <x v="203"/>
    <s v="CL0294"/>
    <s v="Client 333"/>
    <x v="0"/>
    <s v="N'Djamena"/>
    <x v="2"/>
    <x v="10"/>
    <n v="10"/>
    <n v="450000"/>
    <n v="358900"/>
    <x v="5"/>
    <x v="3"/>
    <x v="1"/>
    <s v="Livrée"/>
    <x v="261"/>
    <n v="3589000"/>
    <n v="911000"/>
    <n v="0.20244444444444445"/>
    <x v="8"/>
  </r>
  <r>
    <s v="V01970"/>
    <x v="337"/>
    <s v="CL0025"/>
    <s v="Client 136"/>
    <x v="0"/>
    <s v="N'Djamena"/>
    <x v="3"/>
    <x v="15"/>
    <n v="3"/>
    <n v="8000"/>
    <n v="5200"/>
    <x v="1"/>
    <x v="0"/>
    <x v="1"/>
    <s v="Livrée"/>
    <x v="191"/>
    <n v="15600"/>
    <n v="8400"/>
    <n v="0.35"/>
    <x v="4"/>
  </r>
  <r>
    <s v="V01971"/>
    <x v="151"/>
    <s v="CL0092"/>
    <s v="Client 330"/>
    <x v="1"/>
    <s v="Abéché"/>
    <x v="2"/>
    <x v="2"/>
    <n v="9"/>
    <n v="52200"/>
    <n v="40200"/>
    <x v="5"/>
    <x v="2"/>
    <x v="1"/>
    <s v="En cours"/>
    <x v="389"/>
    <n v="361800"/>
    <n v="108000"/>
    <n v="0.22988505747126436"/>
    <x v="5"/>
  </r>
  <r>
    <s v="V01972"/>
    <x v="196"/>
    <s v="CL0461"/>
    <s v="Client 493"/>
    <x v="0"/>
    <s v="N'Djamena"/>
    <x v="3"/>
    <x v="4"/>
    <n v="2"/>
    <n v="8600"/>
    <n v="6000"/>
    <x v="5"/>
    <x v="0"/>
    <x v="1"/>
    <s v="En cours"/>
    <x v="171"/>
    <n v="12000"/>
    <n v="5200"/>
    <n v="0.30232558139534882"/>
    <x v="11"/>
  </r>
  <r>
    <s v="V01973"/>
    <x v="27"/>
    <s v="CL0442"/>
    <s v="Client 195"/>
    <x v="6"/>
    <s v="Pala"/>
    <x v="2"/>
    <x v="13"/>
    <n v="7"/>
    <n v="160000"/>
    <n v="116400"/>
    <x v="7"/>
    <x v="1"/>
    <x v="0"/>
    <s v="Annulée"/>
    <x v="30"/>
    <n v="814800"/>
    <n v="305200"/>
    <n v="0.27250000000000002"/>
    <x v="7"/>
  </r>
  <r>
    <s v="V01974"/>
    <x v="317"/>
    <s v="CL0477"/>
    <s v="Client 260"/>
    <x v="0"/>
    <s v="N'Djamena"/>
    <x v="2"/>
    <x v="10"/>
    <n v="3"/>
    <n v="450000"/>
    <n v="381100"/>
    <x v="2"/>
    <x v="2"/>
    <x v="0"/>
    <s v="Livrée"/>
    <x v="113"/>
    <n v="1143300"/>
    <n v="206700"/>
    <n v="0.15311111111111111"/>
    <x v="9"/>
  </r>
  <r>
    <s v="V01975"/>
    <x v="58"/>
    <s v="CL0384"/>
    <s v="Client 024"/>
    <x v="2"/>
    <s v="Doba"/>
    <x v="0"/>
    <x v="16"/>
    <n v="7"/>
    <n v="140000"/>
    <n v="97000"/>
    <x v="1"/>
    <x v="3"/>
    <x v="0"/>
    <s v="Livrée"/>
    <x v="146"/>
    <n v="679000"/>
    <n v="301000"/>
    <n v="0.30714285714285716"/>
    <x v="9"/>
  </r>
  <r>
    <s v="V01976"/>
    <x v="80"/>
    <s v="CL0076"/>
    <s v="Client 180"/>
    <x v="0"/>
    <s v="N'Djamena"/>
    <x v="2"/>
    <x v="10"/>
    <n v="9"/>
    <n v="450000"/>
    <n v="370000"/>
    <x v="7"/>
    <x v="1"/>
    <x v="2"/>
    <s v="Livrée"/>
    <x v="205"/>
    <n v="3330000"/>
    <n v="720000"/>
    <n v="0.17777777777777778"/>
    <x v="9"/>
  </r>
  <r>
    <s v="V01977"/>
    <x v="241"/>
    <s v="CL0202"/>
    <s v="Client 014"/>
    <x v="4"/>
    <s v="Ati"/>
    <x v="1"/>
    <x v="18"/>
    <n v="10"/>
    <n v="23800"/>
    <n v="15500"/>
    <x v="1"/>
    <x v="1"/>
    <x v="1"/>
    <s v="En cours"/>
    <x v="130"/>
    <n v="155000"/>
    <n v="83000"/>
    <n v="0.34873949579831931"/>
    <x v="2"/>
  </r>
  <r>
    <s v="V01978"/>
    <x v="40"/>
    <s v="CL0354"/>
    <s v="Client 030"/>
    <x v="5"/>
    <s v="Massaguet"/>
    <x v="2"/>
    <x v="13"/>
    <n v="2"/>
    <n v="160000"/>
    <n v="123600"/>
    <x v="0"/>
    <x v="2"/>
    <x v="0"/>
    <s v="Livrée"/>
    <x v="149"/>
    <n v="247200"/>
    <n v="72800"/>
    <n v="0.22750000000000001"/>
    <x v="3"/>
  </r>
  <r>
    <s v="V01979"/>
    <x v="325"/>
    <s v="CL0269"/>
    <s v="Client 119"/>
    <x v="3"/>
    <s v="Mao"/>
    <x v="3"/>
    <x v="3"/>
    <n v="2"/>
    <n v="15000"/>
    <n v="9800"/>
    <x v="4"/>
    <x v="3"/>
    <x v="2"/>
    <s v="Livrée"/>
    <x v="5"/>
    <n v="19600"/>
    <n v="10400"/>
    <n v="0.34666666666666668"/>
    <x v="9"/>
  </r>
  <r>
    <s v="V01980"/>
    <x v="120"/>
    <s v="CL0195"/>
    <s v="Client 034"/>
    <x v="2"/>
    <s v="Doba"/>
    <x v="0"/>
    <x v="16"/>
    <n v="5"/>
    <n v="133000"/>
    <n v="97000"/>
    <x v="2"/>
    <x v="2"/>
    <x v="0"/>
    <s v="Livrée"/>
    <x v="116"/>
    <n v="485000"/>
    <n v="180000"/>
    <n v="0.27067669172932329"/>
    <x v="3"/>
  </r>
  <r>
    <s v="V01981"/>
    <x v="349"/>
    <s v="CL0134"/>
    <s v="Client 354"/>
    <x v="1"/>
    <s v="Abéché"/>
    <x v="2"/>
    <x v="2"/>
    <n v="8"/>
    <n v="55000"/>
    <n v="39000"/>
    <x v="4"/>
    <x v="2"/>
    <x v="0"/>
    <s v="Livrée"/>
    <x v="19"/>
    <n v="312000"/>
    <n v="128000"/>
    <n v="0.29090909090909089"/>
    <x v="4"/>
  </r>
  <r>
    <s v="V01982"/>
    <x v="153"/>
    <s v="CL0408"/>
    <s v="Client 044"/>
    <x v="0"/>
    <s v="N'Djamena"/>
    <x v="0"/>
    <x v="16"/>
    <n v="10"/>
    <n v="140000"/>
    <n v="100000"/>
    <x v="5"/>
    <x v="0"/>
    <x v="2"/>
    <s v="Livrée"/>
    <x v="341"/>
    <n v="1000000"/>
    <n v="400000"/>
    <n v="0.2857142857142857"/>
    <x v="11"/>
  </r>
  <r>
    <s v="V01983"/>
    <x v="344"/>
    <s v="CL0124"/>
    <s v="Client 194"/>
    <x v="3"/>
    <s v="Mao"/>
    <x v="0"/>
    <x v="16"/>
    <n v="10"/>
    <n v="133000"/>
    <n v="103000"/>
    <x v="1"/>
    <x v="2"/>
    <x v="1"/>
    <s v="Annulée"/>
    <x v="427"/>
    <n v="1030000"/>
    <n v="300000"/>
    <n v="0.22556390977443608"/>
    <x v="5"/>
  </r>
  <r>
    <s v="V01984"/>
    <x v="253"/>
    <s v="CL0064"/>
    <s v="Client 033"/>
    <x v="3"/>
    <s v="Mao"/>
    <x v="2"/>
    <x v="14"/>
    <n v="4"/>
    <n v="90200"/>
    <n v="70000"/>
    <x v="3"/>
    <x v="2"/>
    <x v="0"/>
    <s v="Livrée"/>
    <x v="203"/>
    <n v="280000"/>
    <n v="80800"/>
    <n v="0.22394678492239467"/>
    <x v="4"/>
  </r>
  <r>
    <s v="V01985"/>
    <x v="263"/>
    <s v="CL0409"/>
    <s v="Client 102"/>
    <x v="7"/>
    <s v="Bol"/>
    <x v="3"/>
    <x v="15"/>
    <n v="9"/>
    <n v="8000"/>
    <n v="5000"/>
    <x v="7"/>
    <x v="3"/>
    <x v="0"/>
    <s v="Annulée"/>
    <x v="196"/>
    <n v="45000"/>
    <n v="27000"/>
    <n v="0.375"/>
    <x v="10"/>
  </r>
  <r>
    <s v="V01986"/>
    <x v="202"/>
    <s v="CL0238"/>
    <s v="Client 018"/>
    <x v="7"/>
    <s v="Bol"/>
    <x v="0"/>
    <x v="5"/>
    <n v="10"/>
    <n v="220000"/>
    <n v="164800"/>
    <x v="1"/>
    <x v="0"/>
    <x v="2"/>
    <s v="Livrée"/>
    <x v="6"/>
    <n v="1648000"/>
    <n v="552000"/>
    <n v="0.25090909090909091"/>
    <x v="11"/>
  </r>
  <r>
    <s v="V01987"/>
    <x v="74"/>
    <s v="CL0095"/>
    <s v="Client 207"/>
    <x v="0"/>
    <s v="N'Djamena"/>
    <x v="2"/>
    <x v="9"/>
    <n v="8"/>
    <n v="180000"/>
    <n v="135000"/>
    <x v="7"/>
    <x v="2"/>
    <x v="0"/>
    <s v="En cours"/>
    <x v="157"/>
    <n v="1080000"/>
    <n v="360000"/>
    <n v="0.25"/>
    <x v="7"/>
  </r>
  <r>
    <s v="V01988"/>
    <x v="274"/>
    <s v="CL0206"/>
    <s v="Client 050"/>
    <x v="3"/>
    <s v="N'Djamena"/>
    <x v="3"/>
    <x v="17"/>
    <n v="5"/>
    <n v="18000"/>
    <n v="12100"/>
    <x v="1"/>
    <x v="2"/>
    <x v="0"/>
    <s v="Livrée"/>
    <x v="185"/>
    <n v="60500"/>
    <n v="29500"/>
    <n v="0.32777777777777778"/>
    <x v="10"/>
  </r>
  <r>
    <s v="V01989"/>
    <x v="145"/>
    <s v="CL0289"/>
    <s v="Client 275"/>
    <x v="0"/>
    <s v="N'Djamena"/>
    <x v="0"/>
    <x v="16"/>
    <n v="2"/>
    <n v="140000"/>
    <n v="100000"/>
    <x v="7"/>
    <x v="2"/>
    <x v="0"/>
    <s v="Livrée"/>
    <x v="76"/>
    <n v="200000"/>
    <n v="80000"/>
    <n v="0.2857142857142857"/>
    <x v="7"/>
  </r>
  <r>
    <s v="V01990"/>
    <x v="244"/>
    <s v="CL0202"/>
    <s v="Client 008"/>
    <x v="2"/>
    <s v="Doba"/>
    <x v="2"/>
    <x v="13"/>
    <n v="6"/>
    <n v="160000"/>
    <n v="116400"/>
    <x v="7"/>
    <x v="0"/>
    <x v="1"/>
    <s v="Livrée"/>
    <x v="98"/>
    <n v="698400"/>
    <n v="261600"/>
    <n v="0.27250000000000002"/>
    <x v="10"/>
  </r>
  <r>
    <s v="V01991"/>
    <x v="100"/>
    <s v="CL0326"/>
    <s v="Client 129"/>
    <x v="4"/>
    <s v="Ati"/>
    <x v="3"/>
    <x v="15"/>
    <n v="6"/>
    <n v="7600"/>
    <n v="4800"/>
    <x v="4"/>
    <x v="2"/>
    <x v="0"/>
    <s v="Annulée"/>
    <x v="7"/>
    <n v="28800"/>
    <n v="16800"/>
    <n v="0.36842105263157893"/>
    <x v="1"/>
  </r>
  <r>
    <s v="V01992"/>
    <x v="205"/>
    <s v="CL0322"/>
    <s v="Client 118"/>
    <x v="6"/>
    <s v="Pala"/>
    <x v="2"/>
    <x v="13"/>
    <n v="10"/>
    <n v="160000"/>
    <n v="120000"/>
    <x v="5"/>
    <x v="1"/>
    <x v="2"/>
    <s v="Livrée"/>
    <x v="132"/>
    <n v="1200000"/>
    <n v="400000"/>
    <n v="0.25"/>
    <x v="4"/>
  </r>
  <r>
    <s v="V01993"/>
    <x v="41"/>
    <s v="CL0268"/>
    <s v="Client 162"/>
    <x v="5"/>
    <s v="Massaguet"/>
    <x v="0"/>
    <x v="11"/>
    <n v="2"/>
    <n v="85000"/>
    <n v="62000"/>
    <x v="3"/>
    <x v="2"/>
    <x v="2"/>
    <s v="Livrée"/>
    <x v="121"/>
    <n v="124000"/>
    <n v="46000"/>
    <n v="0.27058823529411763"/>
    <x v="7"/>
  </r>
  <r>
    <s v="V01994"/>
    <x v="202"/>
    <s v="CL0060"/>
    <s v="Client 205"/>
    <x v="2"/>
    <s v="Doba"/>
    <x v="1"/>
    <x v="6"/>
    <n v="9"/>
    <n v="12000"/>
    <n v="7700"/>
    <x v="3"/>
    <x v="2"/>
    <x v="1"/>
    <s v="Annulée"/>
    <x v="124"/>
    <n v="69300"/>
    <n v="38700"/>
    <n v="0.35833333333333334"/>
    <x v="11"/>
  </r>
  <r>
    <s v="V01995"/>
    <x v="158"/>
    <s v="CL0121"/>
    <s v="Client 172"/>
    <x v="0"/>
    <s v="N'Djamena"/>
    <x v="2"/>
    <x v="13"/>
    <n v="9"/>
    <n v="168000"/>
    <n v="116400"/>
    <x v="2"/>
    <x v="3"/>
    <x v="2"/>
    <s v="Livrée"/>
    <x v="168"/>
    <n v="1047600"/>
    <n v="464400"/>
    <n v="0.30714285714285716"/>
    <x v="0"/>
  </r>
  <r>
    <s v="V01996"/>
    <x v="2"/>
    <s v="CL0452"/>
    <s v="Client 045"/>
    <x v="0"/>
    <s v="N'Djamena"/>
    <x v="3"/>
    <x v="17"/>
    <n v="9"/>
    <n v="18000"/>
    <n v="12900"/>
    <x v="7"/>
    <x v="2"/>
    <x v="1"/>
    <s v="Livrée"/>
    <x v="32"/>
    <n v="116100"/>
    <n v="45900"/>
    <n v="0.28333333333333333"/>
    <x v="2"/>
  </r>
  <r>
    <s v="V01997"/>
    <x v="349"/>
    <s v="CL0371"/>
    <s v="Client 226"/>
    <x v="0"/>
    <s v="N'Djamena"/>
    <x v="3"/>
    <x v="4"/>
    <n v="7"/>
    <n v="9000"/>
    <n v="5600"/>
    <x v="3"/>
    <x v="2"/>
    <x v="0"/>
    <s v="Livrée"/>
    <x v="74"/>
    <n v="39200"/>
    <n v="23800"/>
    <n v="0.37777777777777777"/>
    <x v="4"/>
  </r>
  <r>
    <s v="V01998"/>
    <x v="41"/>
    <s v="CL0001"/>
    <s v="Client 268"/>
    <x v="6"/>
    <s v="Pala"/>
    <x v="3"/>
    <x v="8"/>
    <n v="2"/>
    <n v="6300"/>
    <n v="4200"/>
    <x v="7"/>
    <x v="3"/>
    <x v="0"/>
    <s v="Annulée"/>
    <x v="295"/>
    <n v="8400"/>
    <n v="4200"/>
    <n v="0.33333333333333331"/>
    <x v="7"/>
  </r>
  <r>
    <s v="V01999"/>
    <x v="217"/>
    <s v="CL0115"/>
    <s v="Client 104"/>
    <x v="4"/>
    <s v="Ati"/>
    <x v="3"/>
    <x v="15"/>
    <n v="5"/>
    <n v="8000"/>
    <n v="4800"/>
    <x v="3"/>
    <x v="3"/>
    <x v="1"/>
    <s v="En cours"/>
    <x v="294"/>
    <n v="24000"/>
    <n v="16000"/>
    <n v="0.4"/>
    <x v="1"/>
  </r>
  <r>
    <s v="V02000"/>
    <x v="191"/>
    <s v="CL0447"/>
    <s v="Client 051"/>
    <x v="1"/>
    <s v="Abéché"/>
    <x v="3"/>
    <x v="17"/>
    <n v="4"/>
    <n v="18000"/>
    <n v="12500"/>
    <x v="5"/>
    <x v="2"/>
    <x v="1"/>
    <s v="Livrée"/>
    <x v="196"/>
    <n v="50000"/>
    <n v="22000"/>
    <n v="0.30555555555555558"/>
    <x v="6"/>
  </r>
  <r>
    <s v="V01430"/>
    <x v="149"/>
    <s v="CL0283"/>
    <s v="Client 302"/>
    <x v="5"/>
    <s v="Massaguet"/>
    <x v="1"/>
    <x v="18"/>
    <n v="10"/>
    <n v="26200"/>
    <n v="16500"/>
    <x v="3"/>
    <x v="2"/>
    <x v="2"/>
    <s v="Annulée"/>
    <x v="52"/>
    <n v="165000"/>
    <n v="97000"/>
    <n v="0.37022900763358779"/>
    <x v="9"/>
  </r>
  <r>
    <s v="V00521"/>
    <x v="87"/>
    <s v="CL0438"/>
    <s v="Client 359"/>
    <x v="0"/>
    <s v="N'Djamena"/>
    <x v="2"/>
    <x v="13"/>
    <n v="2"/>
    <n v="152000"/>
    <n v="116400"/>
    <x v="3"/>
    <x v="1"/>
    <x v="1"/>
    <s v="Livrée"/>
    <x v="55"/>
    <n v="232800"/>
    <n v="71200"/>
    <n v="0.23421052631578948"/>
    <x v="1"/>
  </r>
  <r>
    <s v="V00771"/>
    <x v="314"/>
    <s v="CL0216"/>
    <s v="Client 268"/>
    <x v="0"/>
    <s v="N'Djamena"/>
    <x v="3"/>
    <x v="15"/>
    <n v="7"/>
    <n v="8000"/>
    <n v="5200"/>
    <x v="5"/>
    <x v="1"/>
    <x v="2"/>
    <s v="Livrée"/>
    <x v="107"/>
    <n v="36400"/>
    <n v="19600"/>
    <n v="0.35"/>
    <x v="8"/>
  </r>
  <r>
    <s v="V01553"/>
    <x v="68"/>
    <s v="CL0395"/>
    <s v="Client 092"/>
    <x v="0"/>
    <s v="N'Djamena"/>
    <x v="1"/>
    <x v="18"/>
    <n v="10"/>
    <n v="26200"/>
    <n v="15500"/>
    <x v="2"/>
    <x v="3"/>
    <x v="2"/>
    <s v="Livrée"/>
    <x v="52"/>
    <n v="155000"/>
    <n v="107000"/>
    <n v="0.40839694656488551"/>
    <x v="8"/>
  </r>
  <r>
    <s v="V01517"/>
    <x v="116"/>
    <s v="CL0389"/>
    <s v="Client 102"/>
    <x v="3"/>
    <s v="Mao"/>
    <x v="2"/>
    <x v="2"/>
    <n v="4"/>
    <n v="55000"/>
    <n v="40200"/>
    <x v="6"/>
    <x v="2"/>
    <x v="0"/>
    <s v="Annulée"/>
    <x v="112"/>
    <n v="160800"/>
    <n v="59200"/>
    <n v="0.269090909090909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1C5AD-864B-44EB-A6B1-BEBC788FBCB4}" name="Tableau croisé dynamique3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16" firstHeaderRow="0" firstDataRow="1" firstDataCol="1"/>
  <pivotFields count="2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10" showAll="0"/>
    <pivotField axis="axisRow" showAll="0">
      <items count="13">
        <item x="10"/>
        <item x="6"/>
        <item x="5"/>
        <item x="3"/>
        <item x="8"/>
        <item x="0"/>
        <item x="2"/>
        <item x="7"/>
        <item x="11"/>
        <item x="9"/>
        <item x="4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CA" fld="15" baseField="0" baseItem="0"/>
    <dataField name="Somme de Marg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7323E-6BEA-4BE7-9F4B-C8EE38D9D7B3}" name="Tableau croisé dynamique6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roduit">
  <location ref="H3:K14" firstHeaderRow="0" firstDataRow="1" firstDataCol="1"/>
  <pivotFields count="2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20">
        <item x="16"/>
        <item x="11"/>
        <item x="1"/>
        <item x="17"/>
        <item x="18"/>
        <item x="0"/>
        <item x="6"/>
        <item x="3"/>
        <item x="4"/>
        <item x="2"/>
        <item x="14"/>
        <item x="7"/>
        <item x="10"/>
        <item x="8"/>
        <item x="12"/>
        <item x="9"/>
        <item x="15"/>
        <item x="5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 v="12"/>
    </i>
    <i>
      <x v="18"/>
    </i>
    <i>
      <x v="15"/>
    </i>
    <i>
      <x v="17"/>
    </i>
    <i>
      <x/>
    </i>
    <i>
      <x v="10"/>
    </i>
    <i>
      <x v="1"/>
    </i>
    <i>
      <x v="9"/>
    </i>
    <i>
      <x v="5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Marge" fld="17" baseField="7" baseItem="1"/>
    <dataField name="Somme de CA" fld="15" baseField="0" baseItem="0"/>
    <dataField name="Moyenne de Taux de marge" fld="18" subtotal="average" baseField="7" baseItem="12"/>
  </dataFields>
  <formats count="2">
    <format dxfId="2">
      <pivotArea collapsedLevelsAreSubtotals="1" fieldPosition="0">
        <references count="2">
          <reference field="4294967294" count="1" selected="0">
            <x v="2"/>
          </reference>
          <reference field="7" count="0"/>
        </references>
      </pivotArea>
    </format>
    <format dxfId="1">
      <pivotArea field="7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7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C3496-C2F6-472C-AC8A-998AB949704A}" name="Tableau croisé dynamique5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roduit">
  <location ref="D3:F18" firstHeaderRow="0" firstDataRow="1" firstDataCol="1"/>
  <pivotFields count="2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Row" showAll="0" sortType="descending">
      <items count="20">
        <item x="16"/>
        <item x="11"/>
        <item x="1"/>
        <item x="17"/>
        <item x="18"/>
        <item x="0"/>
        <item x="6"/>
        <item x="3"/>
        <item x="4"/>
        <item x="2"/>
        <item h="1" x="14"/>
        <item h="1" x="7"/>
        <item h="1" x="10"/>
        <item h="1" x="8"/>
        <item h="1" x="12"/>
        <item h="1" x="9"/>
        <item h="1" x="15"/>
        <item h="1" x="5"/>
        <item h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7"/>
  </rowFields>
  <rowItems count="15">
    <i>
      <x/>
    </i>
    <i r="1">
      <x v="4"/>
    </i>
    <i r="1">
      <x v="6"/>
    </i>
    <i r="1">
      <x v="2"/>
    </i>
    <i>
      <x v="1"/>
    </i>
    <i r="1">
      <x v="7"/>
    </i>
    <i r="1">
      <x v="3"/>
    </i>
    <i r="1">
      <x v="8"/>
    </i>
    <i>
      <x v="2"/>
    </i>
    <i r="1">
      <x v="9"/>
    </i>
    <i>
      <x v="3"/>
    </i>
    <i r="1">
      <x/>
    </i>
    <i r="1">
      <x v="1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CA" fld="15" baseField="0" baseItem="0"/>
    <dataField name="Somme de Marg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A9AF2-A38D-4A44-BDF0-3FAD91D1292B}" name="Tableau croisé dynamique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roduits">
  <location ref="A3:B23" firstHeaderRow="1" firstDataRow="1" firstDataCol="1"/>
  <pivotFields count="2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20">
        <item x="16"/>
        <item x="11"/>
        <item x="1"/>
        <item x="17"/>
        <item x="18"/>
        <item x="0"/>
        <item x="6"/>
        <item x="3"/>
        <item x="4"/>
        <item x="2"/>
        <item x="14"/>
        <item x="7"/>
        <item x="10"/>
        <item x="8"/>
        <item x="12"/>
        <item x="9"/>
        <item x="15"/>
        <item x="5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0">
    <i>
      <x v="18"/>
    </i>
    <i>
      <x v="12"/>
    </i>
    <i>
      <x v="15"/>
    </i>
    <i>
      <x v="10"/>
    </i>
    <i>
      <x v="9"/>
    </i>
    <i>
      <x/>
    </i>
    <i>
      <x v="13"/>
    </i>
    <i>
      <x v="16"/>
    </i>
    <i>
      <x v="7"/>
    </i>
    <i>
      <x v="1"/>
    </i>
    <i>
      <x v="4"/>
    </i>
    <i>
      <x v="17"/>
    </i>
    <i>
      <x v="5"/>
    </i>
    <i>
      <x v="8"/>
    </i>
    <i>
      <x v="14"/>
    </i>
    <i>
      <x v="3"/>
    </i>
    <i>
      <x v="6"/>
    </i>
    <i>
      <x v="11"/>
    </i>
    <i>
      <x v="2"/>
    </i>
    <i t="grand">
      <x/>
    </i>
  </rowItems>
  <colItems count="1">
    <i/>
  </colItems>
  <dataFields count="1">
    <dataField name="Somme de Quantité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3C1C6-E5F6-45D9-AF9E-4BC7BC054C77}" name="Tableau croisé dynamique7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Région">
  <location ref="E3:F6" firstHeaderRow="1" firstDataRow="1" firstDataCol="1"/>
  <pivotFields count="2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measureFilter="1" sortType="ascending">
      <items count="9">
        <item x="4"/>
        <item x="5"/>
        <item x="3"/>
        <item x="7"/>
        <item x="2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 v="2"/>
    </i>
    <i>
      <x v="4"/>
    </i>
    <i t="grand">
      <x/>
    </i>
  </rowItems>
  <colItems count="1">
    <i/>
  </colItems>
  <dataFields count="1">
    <dataField name="Somme de CA" fld="15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top="0"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73D25-6A14-4116-819E-5B719269B469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Commerciaux">
  <location ref="D4:H13" firstHeaderRow="0" firstDataRow="1" firstDataCol="1"/>
  <pivotFields count="2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9">
        <item x="2"/>
        <item x="7"/>
        <item x="6"/>
        <item x="0"/>
        <item x="1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Quantité" fld="8" baseField="0" baseItem="0"/>
    <dataField name="Somme de CA" fld="15" baseField="0" baseItem="0"/>
    <dataField name="Somme de Marge" fld="17" baseField="0" baseItem="0"/>
    <dataField name="Moyenne de Taux de marge" fld="18" subtotal="average" baseField="11" baseItem="0"/>
  </dataFields>
  <formats count="1">
    <format dxfId="0">
      <pivotArea dataOnly="0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AE776-24F3-46E9-A671-AEED1B3192BB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Canal">
  <location ref="A6:C10" firstHeaderRow="0" firstDataRow="1" firstDataCol="1"/>
  <pivotFields count="21">
    <pivotField dataField="1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s Ventes" fld="0" subtotal="count" baseField="13" baseItem="0"/>
    <dataField name="Somme de CA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8AD19-C5DB-4E84-856C-27B3453060F3}" name="Tableau croisé dynamique3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mode de paiement">
  <location ref="A3:A8" firstHeaderRow="1" firstDataRow="1" firstDataCol="1"/>
  <pivotFields count="2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1766B-F03D-437E-B3FF-4BDC564B1DA7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G14:I31" firstHeaderRow="1" firstDataRow="1" firstDataCol="0"/>
  <pivotFields count="2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C438A-9B84-4B3B-A650-1B4391423D6D}" name="Tableau croisé dynamique3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 rowHeaderCaption="Produit">
  <location ref="F4:G15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axis="axisRow" showAll="0" measureFilter="1" sortType="descending">
      <items count="20">
        <item x="16"/>
        <item x="11"/>
        <item x="1"/>
        <item x="17"/>
        <item x="18"/>
        <item x="0"/>
        <item x="6"/>
        <item x="3"/>
        <item x="4"/>
        <item x="2"/>
        <item x="14"/>
        <item x="7"/>
        <item x="10"/>
        <item x="8"/>
        <item x="12"/>
        <item x="9"/>
        <item x="15"/>
        <item x="5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 defaultSubtotal="0"/>
  </pivotFields>
  <rowFields count="1">
    <field x="7"/>
  </rowFields>
  <rowItems count="11">
    <i>
      <x v="12"/>
    </i>
    <i>
      <x v="18"/>
    </i>
    <i>
      <x v="15"/>
    </i>
    <i>
      <x v="17"/>
    </i>
    <i>
      <x/>
    </i>
    <i>
      <x v="10"/>
    </i>
    <i>
      <x v="1"/>
    </i>
    <i>
      <x v="9"/>
    </i>
    <i>
      <x v="5"/>
    </i>
    <i>
      <x v="14"/>
    </i>
    <i t="grand">
      <x/>
    </i>
  </rowItems>
  <colItems count="1">
    <i/>
  </colItems>
  <dataFields count="1">
    <dataField name="Somme de CA" fld="15" baseField="0" baseItem="0"/>
  </dataFields>
  <chartFormats count="9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6C8DB-7646-476F-98C9-B52D55A8E2D1}" name="Tableau croisé dynamique9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A36:B41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CA" fld="15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77B6A-9833-46F3-ADB3-B69D1A4367E4}" name="Tableau croisé dynamique8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 rowHeaderCaption="mode de paiement">
  <location ref="G20:H25" firstHeaderRow="1" firstDataRow="1" firstDataCol="1"/>
  <pivotFields count="21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ID_Vente" fld="0" subtotal="count" baseField="0" baseItem="0"/>
  </dataField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8F079-ECB9-4872-A830-8E1DFB23FCD0}" name="Tableau croisé dynamique5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8" rowHeaderCaption="region">
  <location ref="D20:E29" firstHeaderRow="1" firstDataRow="1" firstDataCol="1"/>
  <pivotFields count="21">
    <pivotField showAll="0"/>
    <pivotField numFmtId="14" showAll="0"/>
    <pivotField showAll="0"/>
    <pivotField showAll="0"/>
    <pivotField axis="axisRow" showAll="0" sortType="descending">
      <items count="9">
        <item x="4"/>
        <item x="5"/>
        <item x="3"/>
        <item x="7"/>
        <item x="2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 defaultSubtotal="0"/>
  </pivotFields>
  <rowFields count="1">
    <field x="4"/>
  </rowFields>
  <rowItems count="9">
    <i>
      <x v="6"/>
    </i>
    <i>
      <x v="5"/>
    </i>
    <i>
      <x v="1"/>
    </i>
    <i>
      <x v="7"/>
    </i>
    <i>
      <x/>
    </i>
    <i>
      <x v="3"/>
    </i>
    <i>
      <x v="4"/>
    </i>
    <i>
      <x v="2"/>
    </i>
    <i t="grand">
      <x/>
    </i>
  </rowItems>
  <colItems count="1">
    <i/>
  </colItems>
  <dataFields count="1">
    <dataField name="Somme de CA" fld="15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DFF9D-7C07-425B-AC36-1F8DB6F8BD8F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 rowHeaderCaption="Mois">
  <location ref="B3:D16" firstHeaderRow="0" firstDataRow="1" firstDataCol="1"/>
  <pivotFields count="21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29">
        <item x="386"/>
        <item x="282"/>
        <item x="262"/>
        <item x="309"/>
        <item x="90"/>
        <item x="260"/>
        <item x="221"/>
        <item x="387"/>
        <item x="91"/>
        <item x="4"/>
        <item x="388"/>
        <item x="324"/>
        <item x="264"/>
        <item x="289"/>
        <item x="298"/>
        <item x="22"/>
        <item x="295"/>
        <item x="318"/>
        <item x="391"/>
        <item x="425"/>
        <item x="127"/>
        <item x="398"/>
        <item x="17"/>
        <item x="138"/>
        <item x="47"/>
        <item x="38"/>
        <item x="171"/>
        <item x="213"/>
        <item x="374"/>
        <item x="311"/>
        <item x="140"/>
        <item x="151"/>
        <item x="1"/>
        <item x="368"/>
        <item x="9"/>
        <item x="229"/>
        <item x="191"/>
        <item x="330"/>
        <item x="222"/>
        <item x="404"/>
        <item x="319"/>
        <item x="26"/>
        <item x="406"/>
        <item x="207"/>
        <item x="338"/>
        <item x="175"/>
        <item x="290"/>
        <item x="5"/>
        <item x="195"/>
        <item x="424"/>
        <item x="29"/>
        <item x="272"/>
        <item x="56"/>
        <item x="246"/>
        <item x="256"/>
        <item x="241"/>
        <item x="193"/>
        <item x="211"/>
        <item x="356"/>
        <item x="58"/>
        <item x="342"/>
        <item x="413"/>
        <item x="204"/>
        <item x="294"/>
        <item x="125"/>
        <item x="239"/>
        <item x="345"/>
        <item x="392"/>
        <item x="128"/>
        <item x="7"/>
        <item x="416"/>
        <item x="365"/>
        <item x="70"/>
        <item x="174"/>
        <item x="347"/>
        <item x="36"/>
        <item x="376"/>
        <item x="182"/>
        <item x="297"/>
        <item x="215"/>
        <item x="393"/>
        <item x="228"/>
        <item x="161"/>
        <item x="355"/>
        <item x="334"/>
        <item x="405"/>
        <item x="259"/>
        <item x="77"/>
        <item x="2"/>
        <item x="107"/>
        <item x="310"/>
        <item x="45"/>
        <item x="380"/>
        <item x="159"/>
        <item x="426"/>
        <item x="346"/>
        <item x="273"/>
        <item x="69"/>
        <item x="67"/>
        <item x="226"/>
        <item x="16"/>
        <item x="74"/>
        <item x="372"/>
        <item x="305"/>
        <item x="0"/>
        <item x="313"/>
        <item x="300"/>
        <item x="383"/>
        <item x="93"/>
        <item x="242"/>
        <item x="160"/>
        <item x="237"/>
        <item x="303"/>
        <item x="166"/>
        <item x="399"/>
        <item x="196"/>
        <item x="363"/>
        <item x="81"/>
        <item x="415"/>
        <item x="220"/>
        <item x="360"/>
        <item x="369"/>
        <item x="184"/>
        <item x="322"/>
        <item x="362"/>
        <item x="61"/>
        <item x="357"/>
        <item x="119"/>
        <item x="37"/>
        <item x="354"/>
        <item x="123"/>
        <item x="34"/>
        <item x="279"/>
        <item x="417"/>
        <item x="326"/>
        <item x="133"/>
        <item x="185"/>
        <item x="59"/>
        <item x="21"/>
        <item x="280"/>
        <item x="276"/>
        <item x="71"/>
        <item x="335"/>
        <item x="351"/>
        <item x="27"/>
        <item x="422"/>
        <item x="307"/>
        <item x="8"/>
        <item x="163"/>
        <item x="396"/>
        <item x="97"/>
        <item x="110"/>
        <item x="65"/>
        <item x="124"/>
        <item x="320"/>
        <item x="402"/>
        <item x="244"/>
        <item x="120"/>
        <item x="20"/>
        <item x="232"/>
        <item x="223"/>
        <item x="230"/>
        <item x="95"/>
        <item x="176"/>
        <item x="278"/>
        <item x="178"/>
        <item x="238"/>
        <item x="208"/>
        <item x="177"/>
        <item x="385"/>
        <item x="252"/>
        <item x="212"/>
        <item x="258"/>
        <item x="49"/>
        <item x="87"/>
        <item x="3"/>
        <item x="302"/>
        <item x="381"/>
        <item x="414"/>
        <item x="210"/>
        <item x="236"/>
        <item x="145"/>
        <item x="412"/>
        <item x="84"/>
        <item x="408"/>
        <item x="188"/>
        <item x="312"/>
        <item x="147"/>
        <item x="350"/>
        <item x="31"/>
        <item x="271"/>
        <item x="32"/>
        <item x="214"/>
        <item x="395"/>
        <item x="197"/>
        <item x="121"/>
        <item x="106"/>
        <item x="75"/>
        <item x="148"/>
        <item x="18"/>
        <item x="88"/>
        <item x="186"/>
        <item x="96"/>
        <item x="183"/>
        <item x="162"/>
        <item x="28"/>
        <item x="299"/>
        <item x="314"/>
        <item x="301"/>
        <item x="57"/>
        <item x="164"/>
        <item x="423"/>
        <item x="198"/>
        <item x="154"/>
        <item x="181"/>
        <item x="325"/>
        <item x="286"/>
        <item x="112"/>
        <item x="129"/>
        <item x="378"/>
        <item x="296"/>
        <item x="179"/>
        <item x="216"/>
        <item x="115"/>
        <item x="130"/>
        <item x="371"/>
        <item x="339"/>
        <item x="418"/>
        <item x="315"/>
        <item x="35"/>
        <item x="268"/>
        <item x="14"/>
        <item x="420"/>
        <item x="52"/>
        <item x="343"/>
        <item x="15"/>
        <item x="25"/>
        <item x="253"/>
        <item x="281"/>
        <item x="332"/>
        <item x="76"/>
        <item x="40"/>
        <item x="266"/>
        <item x="108"/>
        <item x="245"/>
        <item x="283"/>
        <item x="55"/>
        <item x="255"/>
        <item x="209"/>
        <item x="62"/>
        <item x="149"/>
        <item x="217"/>
        <item x="379"/>
        <item x="194"/>
        <item x="43"/>
        <item x="288"/>
        <item x="135"/>
        <item x="247"/>
        <item x="419"/>
        <item x="24"/>
        <item x="203"/>
        <item x="370"/>
        <item x="284"/>
        <item x="187"/>
        <item x="89"/>
        <item x="206"/>
        <item x="118"/>
        <item x="308"/>
        <item x="189"/>
        <item x="327"/>
        <item x="421"/>
        <item x="329"/>
        <item x="306"/>
        <item x="291"/>
        <item x="53"/>
        <item x="275"/>
        <item x="287"/>
        <item x="19"/>
        <item x="364"/>
        <item x="317"/>
        <item x="390"/>
        <item x="377"/>
        <item x="333"/>
        <item x="336"/>
        <item x="233"/>
        <item x="389"/>
        <item x="218"/>
        <item x="103"/>
        <item x="153"/>
        <item x="143"/>
        <item x="382"/>
        <item x="285"/>
        <item x="48"/>
        <item x="234"/>
        <item x="173"/>
        <item x="270"/>
        <item x="201"/>
        <item x="11"/>
        <item x="78"/>
        <item x="235"/>
        <item x="158"/>
        <item x="263"/>
        <item x="254"/>
        <item x="192"/>
        <item x="274"/>
        <item x="13"/>
        <item x="66"/>
        <item x="114"/>
        <item x="331"/>
        <item x="10"/>
        <item x="41"/>
        <item x="136"/>
        <item x="293"/>
        <item x="150"/>
        <item x="199"/>
        <item x="50"/>
        <item x="190"/>
        <item x="411"/>
        <item x="407"/>
        <item x="366"/>
        <item x="224"/>
        <item x="100"/>
        <item x="155"/>
        <item x="361"/>
        <item x="409"/>
        <item x="116"/>
        <item x="144"/>
        <item x="64"/>
        <item x="400"/>
        <item x="111"/>
        <item x="375"/>
        <item x="292"/>
        <item x="142"/>
        <item x="169"/>
        <item x="131"/>
        <item x="248"/>
        <item x="358"/>
        <item x="134"/>
        <item x="122"/>
        <item x="359"/>
        <item x="51"/>
        <item x="44"/>
        <item x="219"/>
        <item x="403"/>
        <item x="227"/>
        <item x="321"/>
        <item x="348"/>
        <item x="54"/>
        <item x="328"/>
        <item x="165"/>
        <item x="316"/>
        <item x="367"/>
        <item x="340"/>
        <item x="46"/>
        <item x="101"/>
        <item x="42"/>
        <item x="267"/>
        <item x="73"/>
        <item x="104"/>
        <item x="79"/>
        <item x="167"/>
        <item x="98"/>
        <item x="146"/>
        <item x="86"/>
        <item x="141"/>
        <item x="202"/>
        <item x="410"/>
        <item x="68"/>
        <item x="92"/>
        <item x="243"/>
        <item x="80"/>
        <item x="30"/>
        <item x="39"/>
        <item x="353"/>
        <item x="117"/>
        <item x="344"/>
        <item x="180"/>
        <item x="277"/>
        <item x="94"/>
        <item x="23"/>
        <item x="257"/>
        <item x="72"/>
        <item x="394"/>
        <item x="427"/>
        <item x="240"/>
        <item x="113"/>
        <item x="109"/>
        <item x="341"/>
        <item x="99"/>
        <item x="157"/>
        <item x="105"/>
        <item x="168"/>
        <item x="323"/>
        <item x="373"/>
        <item x="251"/>
        <item x="132"/>
        <item x="337"/>
        <item x="83"/>
        <item x="82"/>
        <item x="170"/>
        <item x="265"/>
        <item x="231"/>
        <item x="139"/>
        <item x="250"/>
        <item x="269"/>
        <item x="126"/>
        <item x="249"/>
        <item x="33"/>
        <item x="156"/>
        <item x="200"/>
        <item x="6"/>
        <item x="172"/>
        <item x="60"/>
        <item x="137"/>
        <item x="397"/>
        <item x="85"/>
        <item x="225"/>
        <item x="352"/>
        <item x="12"/>
        <item x="401"/>
        <item x="349"/>
        <item x="102"/>
        <item x="63"/>
        <item x="205"/>
        <item x="384"/>
        <item x="304"/>
        <item x="261"/>
        <item x="152"/>
        <item t="default"/>
      </items>
    </pivotField>
    <pivotField showAll="0"/>
    <pivotField dataField="1" showAll="0"/>
    <pivotField numFmtId="10" showAll="0"/>
    <pivotField showAll="0">
      <items count="13">
        <item h="1" x="10"/>
        <item h="1" x="6"/>
        <item h="1" x="5"/>
        <item h="1" x="3"/>
        <item h="1" x="8"/>
        <item h="1" x="0"/>
        <item h="1" x="2"/>
        <item h="1" x="7"/>
        <item x="11"/>
        <item h="1" x="9"/>
        <item h="1" x="4"/>
        <item h="1" x="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2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CA" fld="15" baseField="0" baseItem="0"/>
    <dataField name="Somme de Marge" fld="17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F79EC-290E-48F3-A84C-9B3C5BC25AB5}" name="Tableau croisé dynamique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 rowHeaderCaption="commerciaux">
  <location ref="A22:B28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">
        <item x="2"/>
        <item x="7"/>
        <item x="6"/>
        <item x="0"/>
        <item x="1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 defaultSubtotal="0"/>
  </pivotFields>
  <rowFields count="1">
    <field x="11"/>
  </rowFields>
  <rowItems count="6">
    <i>
      <x v="6"/>
    </i>
    <i>
      <x v="2"/>
    </i>
    <i>
      <x v="3"/>
    </i>
    <i>
      <x v="5"/>
    </i>
    <i>
      <x v="4"/>
    </i>
    <i t="grand">
      <x/>
    </i>
  </rowItems>
  <colItems count="1">
    <i/>
  </colItems>
  <dataFields count="1">
    <dataField name="Somme de CA" fld="15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D1D08E8-ABFD-4D8D-96C5-10A46CEECAD2}" autoFormatId="16" applyNumberFormats="0" applyBorderFormats="0" applyFontFormats="0" applyPatternFormats="0" applyAlignmentFormats="0" applyWidthHeightFormats="0">
  <queryTableRefresh nextId="23" unboundColumnsRight="5">
    <queryTableFields count="20">
      <queryTableField id="1" name="ID_Vente" tableColumnId="1"/>
      <queryTableField id="2" name="Date" tableColumnId="2"/>
      <queryTableField id="3" name="ID_Client" tableColumnId="3"/>
      <queryTableField id="4" name="Client" tableColumnId="4"/>
      <queryTableField id="5" name="Région" tableColumnId="5"/>
      <queryTableField id="6" name="Ville" tableColumnId="6"/>
      <queryTableField id="7" name="Catégorie" tableColumnId="7"/>
      <queryTableField id="8" name="Produit" tableColumnId="8"/>
      <queryTableField id="9" name="Quantité" tableColumnId="9"/>
      <queryTableField id="10" name="Prix_Unitaire" tableColumnId="10"/>
      <queryTableField id="11" name="Coût_Unitaire" tableColumnId="11"/>
      <queryTableField id="12" name="Commercial" tableColumnId="12"/>
      <queryTableField id="13" name="Mode_Paiement" tableColumnId="13"/>
      <queryTableField id="14" name="Canal" tableColumnId="14"/>
      <queryTableField id="15" name="Statut" tableColumnId="15"/>
      <queryTableField id="18" dataBound="0" tableColumnId="19"/>
      <queryTableField id="19" dataBound="0" tableColumnId="20"/>
      <queryTableField id="20" dataBound="0" tableColumnId="21"/>
      <queryTableField id="21" dataBound="0" tableColumnId="22"/>
      <queryTableField id="22" dataBound="0" tableColumnId="2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gion" xr10:uid="{8E72BB2A-2E89-4222-810F-0C3753D97AE5}" sourceName="Région">
  <pivotTables>
    <pivotTable tabId="20" name="Tableau croisé dynamique5"/>
  </pivotTables>
  <data>
    <tabular pivotCacheId="443562680">
      <items count="8">
        <i x="4" s="1"/>
        <i x="5" s="1"/>
        <i x="3" s="1"/>
        <i x="7" s="1"/>
        <i x="2" s="1"/>
        <i x="6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de_Paiement" xr10:uid="{9B8CCE37-B671-414A-B0AC-70333510DFA4}" sourceName="Mode_Paiement">
  <pivotTables>
    <pivotTable tabId="20" name="Tableau croisé dynamique8"/>
  </pivotTables>
  <data>
    <tabular pivotCacheId="443562680">
      <items count="4">
        <i x="1" s="1"/>
        <i x="3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égorie" xr10:uid="{D25B22DA-685E-4690-9DD5-EB12531779C5}" sourceName="Catégorie">
  <pivotTables>
    <pivotTable tabId="20" name="Tableau croisé dynamique9"/>
  </pivotTables>
  <data>
    <tabular pivotCacheId="443562680">
      <items count="4">
        <i x="1" s="1"/>
        <i x="3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2" xr10:uid="{23E10D2A-352E-4BA7-9CF5-F8C039BDC0CD}" sourceName="Mois2">
  <pivotTables>
    <pivotTable tabId="20" name="Tableau croisé dynamique2"/>
  </pivotTables>
  <data>
    <tabular pivotCacheId="443562680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égion 1" xr10:uid="{40A9968A-A625-4480-80D7-DE993D378841}" cache="Segment_Région" caption="Région" columnCount="4" rowHeight="241300"/>
  <slicer name="Mode_Paiement 1" xr10:uid="{A844FBF0-3632-43A9-BC07-B98EB17F0CEE}" cache="Segment_Mode_Paiement" caption="Mode_Paiement" columnCount="2" rowHeight="241300"/>
  <slicer name="Periode" xr10:uid="{14FA89A6-9E0B-433F-8E98-86B0FE4C4403}" cache="Segment_Mois2" caption="Periode" columnCount="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égion" xr10:uid="{122F24DA-6BFB-4C0E-A7D7-34CC3B8AED8C}" cache="Segment_Région" caption="Région" columnCount="4" rowHeight="241300"/>
  <slicer name="Mode_Paiement" xr10:uid="{86F5D861-7114-4566-AEDB-79E2DE9D67C1}" cache="Segment_Mode_Paiement" caption="Mode_Paiement" rowHeight="241300"/>
  <slicer name="Catégorie" xr10:uid="{6F4ED6C6-A5B5-40D8-84B5-F7AA19A7927D}" cache="Segment_Catégorie" caption="Catégorie" rowHeight="241300"/>
  <slicer name="Mois2" xr10:uid="{F1DFBC00-C21B-4068-A8D1-A2EC31557E98}" cache="Segment_Mois2" caption="Periode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ABBE80-BA03-4F95-8257-FA81CF401497}" name="Tableau1_2" displayName="Tableau1_2" ref="A2:T1993" tableType="queryTable" totalsRowShown="0">
  <autoFilter ref="A2:T1993" xr:uid="{99ABBE80-BA03-4F95-8257-FA81CF401497}"/>
  <tableColumns count="20">
    <tableColumn id="1" xr3:uid="{1D4BD62B-3329-44E1-9D1C-BDC198E431A5}" uniqueName="1" name="ID_Vente" queryTableFieldId="1" dataDxfId="20"/>
    <tableColumn id="2" xr3:uid="{7964FD55-090C-456E-AAD9-91D23917D177}" uniqueName="2" name="Date" queryTableFieldId="2" dataDxfId="19"/>
    <tableColumn id="3" xr3:uid="{1C6755E6-9C28-49C6-A033-490D9EA9010E}" uniqueName="3" name="ID_Client" queryTableFieldId="3" dataDxfId="18"/>
    <tableColumn id="4" xr3:uid="{34EDB7F0-2A4F-4B44-872B-73A34511D7E7}" uniqueName="4" name="Client" queryTableFieldId="4" dataDxfId="17"/>
    <tableColumn id="5" xr3:uid="{634FC9D9-B4FE-4F6B-A1BB-D3656B93A59A}" uniqueName="5" name="Région" queryTableFieldId="5" dataDxfId="16"/>
    <tableColumn id="6" xr3:uid="{E65F2B6F-3F22-4EE8-BC10-EBC3C94BBB8D}" uniqueName="6" name="Ville" queryTableFieldId="6" dataDxfId="15"/>
    <tableColumn id="7" xr3:uid="{032674CC-354F-4B5A-B3AF-48311DCBB3CD}" uniqueName="7" name="Catégorie" queryTableFieldId="7" dataDxfId="14"/>
    <tableColumn id="8" xr3:uid="{5EFE480C-8CDB-4E9B-8D4B-E3CED483D9ED}" uniqueName="8" name="Produit" queryTableFieldId="8" dataDxfId="13"/>
    <tableColumn id="9" xr3:uid="{C89E2738-5EFC-48E3-8B64-EB88577A263A}" uniqueName="9" name="Quantité" queryTableFieldId="9"/>
    <tableColumn id="10" xr3:uid="{5EB0B9F6-8031-4C98-BDE5-96D486390B2A}" uniqueName="10" name="Prix_Unitaire" queryTableFieldId="10"/>
    <tableColumn id="11" xr3:uid="{58728ABE-0DB7-48EF-9502-B02B6225A27C}" uniqueName="11" name="Coût_Unitaire" queryTableFieldId="11"/>
    <tableColumn id="12" xr3:uid="{3E31D00D-852F-4391-A028-0DD5F4379C8D}" uniqueName="12" name="Commercial" queryTableFieldId="12" dataDxfId="12"/>
    <tableColumn id="13" xr3:uid="{45EB0CDF-7F28-4AEC-9A28-633A7DEEC47A}" uniqueName="13" name="Mode_Paiement" queryTableFieldId="13" dataDxfId="11"/>
    <tableColumn id="14" xr3:uid="{BD140D02-D32A-4FCE-94E7-C23C7E87B294}" uniqueName="14" name="Canal" queryTableFieldId="14" dataDxfId="10"/>
    <tableColumn id="15" xr3:uid="{FF308480-D421-49C0-B463-B2ECAE7E45F1}" uniqueName="15" name="Statut" queryTableFieldId="15" dataDxfId="9"/>
    <tableColumn id="19" xr3:uid="{01B9FDC4-FBA2-4149-B463-0E63ECECB32F}" uniqueName="19" name="CA" queryTableFieldId="18" dataDxfId="8">
      <calculatedColumnFormula>Tableau1_2[[#This Row],[Quantité]]*Tableau1_2[[#This Row],[Prix_Unitaire]]</calculatedColumnFormula>
    </tableColumn>
    <tableColumn id="20" xr3:uid="{72DCE3AC-C822-47B2-BBBE-C0FA5BDBDF03}" uniqueName="20" name="Cout Total" queryTableFieldId="19" dataDxfId="7">
      <calculatedColumnFormula>Tableau1_2[[#This Row],[Quantité]]*Tableau1_2[[#This Row],[Coût_Unitaire]]</calculatedColumnFormula>
    </tableColumn>
    <tableColumn id="21" xr3:uid="{1CA0F048-BC30-4F8F-865A-64ED5C646DB5}" uniqueName="21" name="Marge" queryTableFieldId="20" dataDxfId="6">
      <calculatedColumnFormula>Tableau1_2[[#This Row],[CA]]-Tableau1_2[[#This Row],[Cout Total]]</calculatedColumnFormula>
    </tableColumn>
    <tableColumn id="22" xr3:uid="{3CE10900-63D5-46D5-9839-79ED964F9931}" uniqueName="22" name="Taux de marge" queryTableFieldId="21" dataDxfId="5">
      <calculatedColumnFormula>Tableau1_2[[#This Row],[Marge]]/Tableau1_2[[#This Row],[CA]]</calculatedColumnFormula>
    </tableColumn>
    <tableColumn id="23" xr3:uid="{355A5D36-C48E-4BD7-9BBA-1AB4B923412F}" uniqueName="23" name="Mois" queryTableFieldId="22" dataDxfId="4">
      <calculatedColumnFormula>TEXT(Tableau1_2[[#This Row],[Date]],"mmmm")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9.xml"/><Relationship Id="rId4" Type="http://schemas.microsoft.com/office/2007/relationships/slicer" Target="../slicers/slicer1.xml"/></Relationships>
</file>

<file path=xl/worksheets/_rels/sheet12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12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6"/>
  <sheetViews>
    <sheetView topLeftCell="H1" workbookViewId="0">
      <pane ySplit="1" topLeftCell="A14" activePane="bottomLeft" state="frozen"/>
      <selection pane="bottomLeft" activeCell="P12" sqref="P12"/>
    </sheetView>
  </sheetViews>
  <sheetFormatPr baseColWidth="10" defaultColWidth="8.7265625" defaultRowHeight="14.5" x14ac:dyDescent="0.35"/>
  <cols>
    <col min="1" max="1" width="13.1796875" bestFit="1" customWidth="1"/>
    <col min="2" max="2" width="21" customWidth="1"/>
    <col min="3" max="3" width="11" customWidth="1"/>
    <col min="4" max="4" width="12" customWidth="1"/>
    <col min="5" max="5" width="17" customWidth="1"/>
    <col min="6" max="6" width="11" customWidth="1"/>
    <col min="7" max="7" width="14" customWidth="1"/>
    <col min="8" max="8" width="22" customWidth="1"/>
    <col min="9" max="9" width="10" customWidth="1"/>
    <col min="10" max="11" width="15" customWidth="1"/>
    <col min="12" max="12" width="15.26953125" bestFit="1" customWidth="1"/>
    <col min="13" max="13" width="19.26953125" bestFit="1" customWidth="1"/>
    <col min="14" max="14" width="11" customWidth="1"/>
    <col min="15" max="15" width="10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s="2">
        <v>46193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>
        <v>1</v>
      </c>
      <c r="J2" s="3">
        <v>65000</v>
      </c>
      <c r="K2" s="3">
        <v>45000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5">
      <c r="A3" t="s">
        <v>25</v>
      </c>
      <c r="B3" s="2">
        <v>46358</v>
      </c>
      <c r="C3" t="s">
        <v>26</v>
      </c>
      <c r="D3" t="s">
        <v>27</v>
      </c>
      <c r="E3" t="s">
        <v>18</v>
      </c>
      <c r="F3" t="s">
        <v>18</v>
      </c>
      <c r="G3" t="s">
        <v>28</v>
      </c>
      <c r="H3" t="s">
        <v>29</v>
      </c>
      <c r="I3">
        <v>3</v>
      </c>
      <c r="J3" s="3">
        <v>7000</v>
      </c>
      <c r="K3" s="3">
        <v>4000</v>
      </c>
      <c r="L3" t="s">
        <v>30</v>
      </c>
      <c r="M3" t="s">
        <v>31</v>
      </c>
      <c r="N3" t="s">
        <v>23</v>
      </c>
      <c r="O3" t="s">
        <v>24</v>
      </c>
    </row>
    <row r="4" spans="1:15" x14ac:dyDescent="0.35">
      <c r="A4" t="s">
        <v>32</v>
      </c>
      <c r="B4" s="2">
        <v>46214</v>
      </c>
      <c r="C4" t="s">
        <v>33</v>
      </c>
      <c r="D4" t="s">
        <v>17</v>
      </c>
      <c r="E4" t="s">
        <v>18</v>
      </c>
      <c r="F4" t="s">
        <v>18</v>
      </c>
      <c r="G4" t="s">
        <v>34</v>
      </c>
      <c r="H4" t="s">
        <v>35</v>
      </c>
      <c r="I4">
        <v>1</v>
      </c>
      <c r="J4" s="3">
        <v>55000</v>
      </c>
      <c r="K4" s="3">
        <v>37800</v>
      </c>
      <c r="L4" t="s">
        <v>36</v>
      </c>
      <c r="M4" t="s">
        <v>37</v>
      </c>
      <c r="N4" t="s">
        <v>23</v>
      </c>
      <c r="O4" t="s">
        <v>24</v>
      </c>
    </row>
    <row r="5" spans="1:15" x14ac:dyDescent="0.35">
      <c r="A5" t="s">
        <v>38</v>
      </c>
      <c r="B5" s="2">
        <v>46132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>
        <v>10</v>
      </c>
      <c r="J5" s="3">
        <v>14200</v>
      </c>
      <c r="K5" s="3">
        <v>9800</v>
      </c>
      <c r="L5" t="s">
        <v>21</v>
      </c>
      <c r="M5" t="s">
        <v>37</v>
      </c>
      <c r="N5" t="s">
        <v>23</v>
      </c>
      <c r="O5" t="s">
        <v>45</v>
      </c>
    </row>
    <row r="6" spans="1:15" x14ac:dyDescent="0.35">
      <c r="A6" t="s">
        <v>46</v>
      </c>
      <c r="B6" s="2">
        <v>46351</v>
      </c>
      <c r="C6" t="s">
        <v>47</v>
      </c>
      <c r="D6" t="s">
        <v>48</v>
      </c>
      <c r="E6" t="s">
        <v>41</v>
      </c>
      <c r="F6" t="s">
        <v>42</v>
      </c>
      <c r="G6" t="s">
        <v>43</v>
      </c>
      <c r="H6" t="s">
        <v>49</v>
      </c>
      <c r="I6">
        <v>1</v>
      </c>
      <c r="J6" s="3">
        <v>9000</v>
      </c>
      <c r="K6" s="3">
        <v>5800</v>
      </c>
      <c r="L6" t="s">
        <v>50</v>
      </c>
      <c r="M6" t="s">
        <v>51</v>
      </c>
      <c r="N6" t="s">
        <v>52</v>
      </c>
      <c r="O6" t="s">
        <v>24</v>
      </c>
    </row>
    <row r="7" spans="1:15" x14ac:dyDescent="0.35">
      <c r="A7" t="s">
        <v>53</v>
      </c>
      <c r="B7" s="2">
        <v>46091</v>
      </c>
      <c r="C7" t="s">
        <v>54</v>
      </c>
      <c r="D7" t="s">
        <v>55</v>
      </c>
      <c r="E7" t="s">
        <v>56</v>
      </c>
      <c r="F7" t="s">
        <v>57</v>
      </c>
      <c r="G7" t="s">
        <v>43</v>
      </c>
      <c r="H7" t="s">
        <v>44</v>
      </c>
      <c r="I7">
        <v>2</v>
      </c>
      <c r="J7" s="3">
        <v>15000</v>
      </c>
      <c r="K7" s="3">
        <v>9800</v>
      </c>
      <c r="L7" t="s">
        <v>30</v>
      </c>
      <c r="M7" t="s">
        <v>37</v>
      </c>
      <c r="N7" t="s">
        <v>23</v>
      </c>
      <c r="O7" t="s">
        <v>24</v>
      </c>
    </row>
    <row r="8" spans="1:15" x14ac:dyDescent="0.35">
      <c r="A8" t="s">
        <v>58</v>
      </c>
      <c r="B8" s="2">
        <v>46233</v>
      </c>
      <c r="C8" t="s">
        <v>59</v>
      </c>
      <c r="D8" t="s">
        <v>60</v>
      </c>
      <c r="E8" t="s">
        <v>56</v>
      </c>
      <c r="F8" t="s">
        <v>57</v>
      </c>
      <c r="G8" t="s">
        <v>19</v>
      </c>
      <c r="H8" t="s">
        <v>61</v>
      </c>
      <c r="I8">
        <v>10</v>
      </c>
      <c r="J8" s="3">
        <v>220000</v>
      </c>
      <c r="K8" s="3">
        <v>164800</v>
      </c>
      <c r="L8" t="s">
        <v>21</v>
      </c>
      <c r="M8" t="s">
        <v>37</v>
      </c>
      <c r="N8" t="s">
        <v>23</v>
      </c>
      <c r="O8" t="s">
        <v>24</v>
      </c>
    </row>
    <row r="9" spans="1:15" x14ac:dyDescent="0.35">
      <c r="A9" t="s">
        <v>62</v>
      </c>
      <c r="B9" s="2">
        <v>46384</v>
      </c>
      <c r="C9" t="s">
        <v>63</v>
      </c>
      <c r="D9" t="s">
        <v>64</v>
      </c>
      <c r="E9" t="s">
        <v>18</v>
      </c>
      <c r="F9" t="s">
        <v>18</v>
      </c>
      <c r="G9" t="s">
        <v>28</v>
      </c>
      <c r="H9" t="s">
        <v>65</v>
      </c>
      <c r="I9">
        <v>4</v>
      </c>
      <c r="J9" s="3">
        <v>11400</v>
      </c>
      <c r="K9" s="3">
        <v>7300</v>
      </c>
      <c r="L9" t="s">
        <v>66</v>
      </c>
      <c r="M9" t="s">
        <v>37</v>
      </c>
      <c r="N9" t="s">
        <v>52</v>
      </c>
      <c r="O9" t="s">
        <v>24</v>
      </c>
    </row>
    <row r="10" spans="1:15" x14ac:dyDescent="0.35">
      <c r="A10" t="s">
        <v>67</v>
      </c>
      <c r="B10" s="2">
        <v>46347</v>
      </c>
      <c r="C10" t="s">
        <v>68</v>
      </c>
      <c r="D10" t="s">
        <v>69</v>
      </c>
      <c r="E10" t="s">
        <v>70</v>
      </c>
      <c r="F10" t="s">
        <v>71</v>
      </c>
      <c r="G10" t="s">
        <v>28</v>
      </c>
      <c r="H10" t="s">
        <v>72</v>
      </c>
      <c r="I10">
        <v>10</v>
      </c>
      <c r="J10" s="3">
        <v>10000</v>
      </c>
      <c r="K10" s="3">
        <v>6000</v>
      </c>
      <c r="L10" t="s">
        <v>73</v>
      </c>
      <c r="M10" t="s">
        <v>51</v>
      </c>
      <c r="N10" t="s">
        <v>23</v>
      </c>
      <c r="O10" t="s">
        <v>24</v>
      </c>
    </row>
    <row r="11" spans="1:15" x14ac:dyDescent="0.35">
      <c r="A11" t="s">
        <v>74</v>
      </c>
      <c r="B11" s="2">
        <v>46056</v>
      </c>
      <c r="C11" t="s">
        <v>75</v>
      </c>
      <c r="D11" t="s">
        <v>76</v>
      </c>
      <c r="E11" t="s">
        <v>77</v>
      </c>
      <c r="F11" t="s">
        <v>78</v>
      </c>
      <c r="G11" t="s">
        <v>43</v>
      </c>
      <c r="H11" t="s">
        <v>79</v>
      </c>
      <c r="I11">
        <v>4</v>
      </c>
      <c r="J11" s="3">
        <v>5700</v>
      </c>
      <c r="K11" s="3">
        <v>4300</v>
      </c>
      <c r="L11" t="s">
        <v>80</v>
      </c>
      <c r="M11" t="s">
        <v>37</v>
      </c>
      <c r="N11" t="s">
        <v>52</v>
      </c>
      <c r="O11" t="s">
        <v>45</v>
      </c>
    </row>
    <row r="12" spans="1:15" x14ac:dyDescent="0.35">
      <c r="A12" t="s">
        <v>81</v>
      </c>
      <c r="B12" s="2">
        <v>46366</v>
      </c>
      <c r="C12" t="s">
        <v>82</v>
      </c>
      <c r="D12" t="s">
        <v>83</v>
      </c>
      <c r="E12" t="s">
        <v>84</v>
      </c>
      <c r="F12" t="s">
        <v>85</v>
      </c>
      <c r="G12" t="s">
        <v>34</v>
      </c>
      <c r="H12" t="s">
        <v>86</v>
      </c>
      <c r="I12">
        <v>3</v>
      </c>
      <c r="J12" s="3">
        <v>189000</v>
      </c>
      <c r="K12" s="3">
        <v>135000</v>
      </c>
      <c r="L12" t="s">
        <v>66</v>
      </c>
      <c r="M12" t="s">
        <v>37</v>
      </c>
      <c r="N12" t="s">
        <v>87</v>
      </c>
      <c r="O12" t="s">
        <v>24</v>
      </c>
    </row>
    <row r="13" spans="1:15" x14ac:dyDescent="0.35">
      <c r="A13" t="s">
        <v>88</v>
      </c>
      <c r="B13" s="2">
        <v>46072</v>
      </c>
      <c r="C13" t="s">
        <v>89</v>
      </c>
      <c r="D13" t="s">
        <v>90</v>
      </c>
      <c r="E13" t="s">
        <v>41</v>
      </c>
      <c r="F13" t="s">
        <v>42</v>
      </c>
      <c r="G13" t="s">
        <v>19</v>
      </c>
      <c r="H13" t="s">
        <v>20</v>
      </c>
      <c r="I13">
        <v>8</v>
      </c>
      <c r="J13" s="3">
        <v>65000</v>
      </c>
      <c r="K13" s="3">
        <v>43600</v>
      </c>
      <c r="L13" t="s">
        <v>21</v>
      </c>
      <c r="M13" t="s">
        <v>51</v>
      </c>
      <c r="N13" t="s">
        <v>52</v>
      </c>
      <c r="O13" t="s">
        <v>91</v>
      </c>
    </row>
    <row r="14" spans="1:15" x14ac:dyDescent="0.35">
      <c r="A14" t="s">
        <v>92</v>
      </c>
      <c r="B14" s="2">
        <v>46262</v>
      </c>
      <c r="C14" t="s">
        <v>93</v>
      </c>
      <c r="D14" t="s">
        <v>94</v>
      </c>
      <c r="E14" t="s">
        <v>41</v>
      </c>
      <c r="F14" t="s">
        <v>42</v>
      </c>
      <c r="G14" t="s">
        <v>34</v>
      </c>
      <c r="H14" t="s">
        <v>95</v>
      </c>
      <c r="I14">
        <v>7</v>
      </c>
      <c r="J14" s="3">
        <v>450000</v>
      </c>
      <c r="K14" s="3">
        <v>370000</v>
      </c>
      <c r="L14" t="s">
        <v>96</v>
      </c>
      <c r="M14" t="s">
        <v>51</v>
      </c>
      <c r="N14" t="s">
        <v>23</v>
      </c>
      <c r="O14" t="s">
        <v>24</v>
      </c>
    </row>
    <row r="15" spans="1:15" x14ac:dyDescent="0.35">
      <c r="A15" t="s">
        <v>97</v>
      </c>
      <c r="B15" s="2">
        <v>46211</v>
      </c>
      <c r="C15" t="s">
        <v>98</v>
      </c>
      <c r="D15" t="s">
        <v>99</v>
      </c>
      <c r="E15" t="s">
        <v>56</v>
      </c>
      <c r="F15" t="s">
        <v>57</v>
      </c>
      <c r="G15" t="s">
        <v>34</v>
      </c>
      <c r="H15" t="s">
        <v>35</v>
      </c>
      <c r="I15">
        <v>10</v>
      </c>
      <c r="J15" s="3">
        <v>55000</v>
      </c>
      <c r="K15" s="3">
        <v>40200</v>
      </c>
      <c r="L15" t="s">
        <v>50</v>
      </c>
      <c r="M15" t="s">
        <v>37</v>
      </c>
      <c r="N15" t="s">
        <v>23</v>
      </c>
      <c r="O15" t="s">
        <v>24</v>
      </c>
    </row>
    <row r="16" spans="1:15" x14ac:dyDescent="0.35">
      <c r="A16" t="s">
        <v>100</v>
      </c>
      <c r="B16" s="2">
        <v>46195</v>
      </c>
      <c r="C16" t="s">
        <v>101</v>
      </c>
      <c r="D16" t="s">
        <v>102</v>
      </c>
      <c r="E16" t="s">
        <v>77</v>
      </c>
      <c r="F16" t="s">
        <v>78</v>
      </c>
      <c r="G16" t="s">
        <v>19</v>
      </c>
      <c r="H16" t="s">
        <v>20</v>
      </c>
      <c r="I16">
        <v>4</v>
      </c>
      <c r="J16" s="3">
        <v>65000</v>
      </c>
      <c r="K16" s="3">
        <v>43600</v>
      </c>
      <c r="L16" t="s">
        <v>66</v>
      </c>
      <c r="M16" t="s">
        <v>31</v>
      </c>
      <c r="N16" t="s">
        <v>87</v>
      </c>
      <c r="O16" t="s">
        <v>24</v>
      </c>
    </row>
    <row r="17" spans="1:15" x14ac:dyDescent="0.35">
      <c r="A17" t="s">
        <v>103</v>
      </c>
      <c r="B17" s="2">
        <v>46330</v>
      </c>
      <c r="C17" t="s">
        <v>104</v>
      </c>
      <c r="D17" t="s">
        <v>105</v>
      </c>
      <c r="E17" t="s">
        <v>41</v>
      </c>
      <c r="F17" t="s">
        <v>42</v>
      </c>
      <c r="G17" t="s">
        <v>19</v>
      </c>
      <c r="H17" t="s">
        <v>61</v>
      </c>
      <c r="I17">
        <v>10</v>
      </c>
      <c r="J17" s="3">
        <v>220000</v>
      </c>
      <c r="K17" s="3">
        <v>164800</v>
      </c>
      <c r="L17" t="s">
        <v>30</v>
      </c>
      <c r="M17" t="s">
        <v>37</v>
      </c>
      <c r="N17" t="s">
        <v>23</v>
      </c>
      <c r="O17" t="s">
        <v>24</v>
      </c>
    </row>
    <row r="18" spans="1:15" x14ac:dyDescent="0.35">
      <c r="A18" t="s">
        <v>106</v>
      </c>
      <c r="B18" s="2">
        <v>46064</v>
      </c>
      <c r="C18" t="s">
        <v>107</v>
      </c>
      <c r="D18" t="s">
        <v>108</v>
      </c>
      <c r="E18" t="s">
        <v>84</v>
      </c>
      <c r="F18" t="s">
        <v>85</v>
      </c>
      <c r="G18" t="s">
        <v>34</v>
      </c>
      <c r="H18" t="s">
        <v>95</v>
      </c>
      <c r="I18">
        <v>7</v>
      </c>
      <c r="J18" s="3">
        <v>450000</v>
      </c>
      <c r="K18" s="3">
        <v>370000</v>
      </c>
      <c r="L18" t="s">
        <v>50</v>
      </c>
      <c r="M18" t="s">
        <v>22</v>
      </c>
      <c r="N18" t="s">
        <v>23</v>
      </c>
      <c r="O18" t="s">
        <v>24</v>
      </c>
    </row>
    <row r="19" spans="1:15" x14ac:dyDescent="0.35">
      <c r="A19" t="s">
        <v>109</v>
      </c>
      <c r="B19" s="2">
        <v>46069</v>
      </c>
      <c r="C19" t="s">
        <v>110</v>
      </c>
      <c r="D19" t="s">
        <v>111</v>
      </c>
      <c r="E19" t="s">
        <v>18</v>
      </c>
      <c r="F19" t="s">
        <v>18</v>
      </c>
      <c r="G19" t="s">
        <v>19</v>
      </c>
      <c r="H19" t="s">
        <v>112</v>
      </c>
      <c r="I19">
        <v>3</v>
      </c>
      <c r="J19" s="3">
        <v>89200</v>
      </c>
      <c r="K19" s="3">
        <v>60100</v>
      </c>
      <c r="L19" t="s">
        <v>96</v>
      </c>
      <c r="M19" t="s">
        <v>31</v>
      </c>
      <c r="N19" t="s">
        <v>52</v>
      </c>
      <c r="O19" t="s">
        <v>24</v>
      </c>
    </row>
    <row r="20" spans="1:15" x14ac:dyDescent="0.35">
      <c r="A20" t="s">
        <v>113</v>
      </c>
      <c r="B20" s="2">
        <v>46156</v>
      </c>
      <c r="C20" t="s">
        <v>114</v>
      </c>
      <c r="D20" t="s">
        <v>115</v>
      </c>
      <c r="E20" t="s">
        <v>18</v>
      </c>
      <c r="F20" t="s">
        <v>18</v>
      </c>
      <c r="G20" t="s">
        <v>19</v>
      </c>
      <c r="H20" t="s">
        <v>20</v>
      </c>
      <c r="I20">
        <v>1</v>
      </c>
      <c r="J20" s="3">
        <v>61800</v>
      </c>
      <c r="K20" s="3">
        <v>45000</v>
      </c>
      <c r="L20" t="s">
        <v>36</v>
      </c>
      <c r="M20" t="s">
        <v>51</v>
      </c>
      <c r="N20" t="s">
        <v>52</v>
      </c>
      <c r="O20" t="s">
        <v>24</v>
      </c>
    </row>
    <row r="21" spans="1:15" x14ac:dyDescent="0.35">
      <c r="A21" t="s">
        <v>116</v>
      </c>
      <c r="B21" s="2">
        <v>46372</v>
      </c>
      <c r="C21" t="s">
        <v>117</v>
      </c>
      <c r="D21" t="s">
        <v>118</v>
      </c>
      <c r="E21" t="s">
        <v>18</v>
      </c>
      <c r="F21" t="s">
        <v>18</v>
      </c>
      <c r="G21" t="s">
        <v>43</v>
      </c>
      <c r="H21" t="s">
        <v>44</v>
      </c>
      <c r="I21">
        <v>1</v>
      </c>
      <c r="J21" s="3">
        <v>15800</v>
      </c>
      <c r="K21" s="3">
        <v>9500</v>
      </c>
      <c r="L21" t="s">
        <v>21</v>
      </c>
      <c r="M21" t="s">
        <v>51</v>
      </c>
      <c r="N21" t="s">
        <v>87</v>
      </c>
      <c r="O21" t="s">
        <v>24</v>
      </c>
    </row>
    <row r="22" spans="1:15" x14ac:dyDescent="0.35">
      <c r="A22" t="s">
        <v>119</v>
      </c>
      <c r="B22" s="2">
        <v>46333</v>
      </c>
      <c r="C22" t="s">
        <v>120</v>
      </c>
      <c r="D22" t="s">
        <v>121</v>
      </c>
      <c r="E22" t="s">
        <v>77</v>
      </c>
      <c r="F22" t="s">
        <v>78</v>
      </c>
      <c r="G22" t="s">
        <v>19</v>
      </c>
      <c r="H22" t="s">
        <v>112</v>
      </c>
      <c r="I22">
        <v>2</v>
      </c>
      <c r="J22" s="3">
        <v>89200</v>
      </c>
      <c r="K22" s="3">
        <v>63900</v>
      </c>
      <c r="L22" t="s">
        <v>66</v>
      </c>
      <c r="M22" t="s">
        <v>31</v>
      </c>
      <c r="N22" t="s">
        <v>23</v>
      </c>
      <c r="O22" t="s">
        <v>24</v>
      </c>
    </row>
    <row r="23" spans="1:15" x14ac:dyDescent="0.35">
      <c r="A23" t="s">
        <v>122</v>
      </c>
      <c r="B23" s="2">
        <v>46223</v>
      </c>
      <c r="C23" t="s">
        <v>123</v>
      </c>
      <c r="D23" t="s">
        <v>124</v>
      </c>
      <c r="E23" t="s">
        <v>18</v>
      </c>
      <c r="F23" t="s">
        <v>18</v>
      </c>
      <c r="G23" t="s">
        <v>34</v>
      </c>
      <c r="H23" t="s">
        <v>35</v>
      </c>
      <c r="I23">
        <v>1</v>
      </c>
      <c r="J23" s="3">
        <v>55000</v>
      </c>
      <c r="K23" s="3">
        <v>40200</v>
      </c>
      <c r="M23" t="s">
        <v>37</v>
      </c>
      <c r="N23" t="s">
        <v>87</v>
      </c>
      <c r="O23" t="s">
        <v>24</v>
      </c>
    </row>
    <row r="24" spans="1:15" x14ac:dyDescent="0.35">
      <c r="A24" t="s">
        <v>125</v>
      </c>
      <c r="B24" s="2">
        <v>46305</v>
      </c>
      <c r="C24" t="s">
        <v>126</v>
      </c>
      <c r="D24" t="s">
        <v>127</v>
      </c>
      <c r="E24" t="s">
        <v>18</v>
      </c>
      <c r="F24" t="s">
        <v>18</v>
      </c>
      <c r="G24" t="s">
        <v>34</v>
      </c>
      <c r="H24" t="s">
        <v>35</v>
      </c>
      <c r="I24">
        <v>8</v>
      </c>
      <c r="J24" s="3">
        <v>55000</v>
      </c>
      <c r="K24" s="3">
        <v>37800</v>
      </c>
      <c r="L24" t="s">
        <v>66</v>
      </c>
      <c r="M24" t="s">
        <v>31</v>
      </c>
      <c r="N24" t="s">
        <v>52</v>
      </c>
      <c r="O24" t="s">
        <v>24</v>
      </c>
    </row>
    <row r="25" spans="1:15" x14ac:dyDescent="0.35">
      <c r="A25" t="s">
        <v>128</v>
      </c>
      <c r="B25" s="2">
        <v>46343</v>
      </c>
      <c r="C25" t="s">
        <v>129</v>
      </c>
      <c r="D25" t="s">
        <v>130</v>
      </c>
      <c r="E25" t="s">
        <v>18</v>
      </c>
      <c r="F25" t="s">
        <v>18</v>
      </c>
      <c r="G25" t="s">
        <v>28</v>
      </c>
      <c r="H25" t="s">
        <v>131</v>
      </c>
      <c r="I25">
        <v>4</v>
      </c>
      <c r="J25" s="3">
        <v>28500</v>
      </c>
      <c r="K25" s="3">
        <v>18400</v>
      </c>
      <c r="L25" t="s">
        <v>50</v>
      </c>
      <c r="M25" t="s">
        <v>37</v>
      </c>
      <c r="N25" t="s">
        <v>23</v>
      </c>
      <c r="O25" t="s">
        <v>24</v>
      </c>
    </row>
    <row r="26" spans="1:15" x14ac:dyDescent="0.35">
      <c r="A26" t="s">
        <v>132</v>
      </c>
      <c r="B26" s="2">
        <v>46237</v>
      </c>
      <c r="C26" t="s">
        <v>133</v>
      </c>
      <c r="D26" t="s">
        <v>134</v>
      </c>
      <c r="E26" t="s">
        <v>18</v>
      </c>
      <c r="F26" t="s">
        <v>18</v>
      </c>
      <c r="G26" t="s">
        <v>28</v>
      </c>
      <c r="H26" t="s">
        <v>65</v>
      </c>
      <c r="I26">
        <v>8</v>
      </c>
      <c r="J26" s="3">
        <v>11400</v>
      </c>
      <c r="K26" s="3">
        <v>7300</v>
      </c>
      <c r="L26" t="s">
        <v>80</v>
      </c>
      <c r="M26" t="s">
        <v>37</v>
      </c>
      <c r="N26" t="s">
        <v>52</v>
      </c>
      <c r="O26" t="s">
        <v>24</v>
      </c>
    </row>
    <row r="27" spans="1:15" x14ac:dyDescent="0.35">
      <c r="A27" t="s">
        <v>135</v>
      </c>
      <c r="B27" s="2">
        <v>46379</v>
      </c>
      <c r="C27" t="s">
        <v>136</v>
      </c>
      <c r="D27" t="s">
        <v>137</v>
      </c>
      <c r="E27" t="s">
        <v>18</v>
      </c>
      <c r="F27" t="s">
        <v>18</v>
      </c>
      <c r="G27" t="s">
        <v>43</v>
      </c>
      <c r="H27" t="s">
        <v>79</v>
      </c>
      <c r="I27">
        <v>2</v>
      </c>
      <c r="J27" s="3">
        <v>6000</v>
      </c>
      <c r="K27" s="3">
        <v>4100</v>
      </c>
      <c r="L27" t="s">
        <v>36</v>
      </c>
      <c r="M27" t="s">
        <v>51</v>
      </c>
      <c r="N27" t="s">
        <v>87</v>
      </c>
      <c r="O27" t="s">
        <v>24</v>
      </c>
    </row>
    <row r="28" spans="1:15" x14ac:dyDescent="0.35">
      <c r="A28" t="s">
        <v>138</v>
      </c>
      <c r="B28" s="2">
        <v>46130</v>
      </c>
      <c r="C28" t="s">
        <v>139</v>
      </c>
      <c r="D28" t="s">
        <v>140</v>
      </c>
      <c r="E28" t="s">
        <v>56</v>
      </c>
      <c r="F28" t="s">
        <v>57</v>
      </c>
      <c r="G28" t="s">
        <v>34</v>
      </c>
      <c r="H28" t="s">
        <v>141</v>
      </c>
      <c r="I28">
        <v>8</v>
      </c>
      <c r="J28" s="3">
        <v>160000</v>
      </c>
      <c r="K28" s="3">
        <v>123600</v>
      </c>
      <c r="L28" t="s">
        <v>80</v>
      </c>
      <c r="M28" t="s">
        <v>31</v>
      </c>
      <c r="N28" t="s">
        <v>87</v>
      </c>
      <c r="O28" t="s">
        <v>45</v>
      </c>
    </row>
    <row r="29" spans="1:15" x14ac:dyDescent="0.35">
      <c r="A29" t="s">
        <v>142</v>
      </c>
      <c r="B29" s="2">
        <v>46032</v>
      </c>
      <c r="C29" t="s">
        <v>143</v>
      </c>
      <c r="D29" t="s">
        <v>144</v>
      </c>
      <c r="E29" t="s">
        <v>56</v>
      </c>
      <c r="F29" t="s">
        <v>57</v>
      </c>
      <c r="G29" t="s">
        <v>34</v>
      </c>
      <c r="H29" t="s">
        <v>86</v>
      </c>
      <c r="I29">
        <v>2</v>
      </c>
      <c r="J29" s="3">
        <v>180000</v>
      </c>
      <c r="K29" s="3">
        <v>131000</v>
      </c>
      <c r="L29" t="s">
        <v>36</v>
      </c>
      <c r="M29" t="s">
        <v>51</v>
      </c>
      <c r="N29" t="s">
        <v>87</v>
      </c>
      <c r="O29" t="s">
        <v>24</v>
      </c>
    </row>
    <row r="30" spans="1:15" x14ac:dyDescent="0.35">
      <c r="A30" t="s">
        <v>145</v>
      </c>
      <c r="B30" s="2">
        <v>46250</v>
      </c>
      <c r="C30" t="s">
        <v>16</v>
      </c>
      <c r="D30" t="s">
        <v>146</v>
      </c>
      <c r="E30" t="s">
        <v>18</v>
      </c>
      <c r="F30" t="s">
        <v>18</v>
      </c>
      <c r="G30" t="s">
        <v>28</v>
      </c>
      <c r="H30" t="s">
        <v>131</v>
      </c>
      <c r="I30">
        <v>9</v>
      </c>
      <c r="J30" s="3">
        <v>30000</v>
      </c>
      <c r="K30" s="3">
        <v>18400</v>
      </c>
      <c r="L30" t="s">
        <v>73</v>
      </c>
      <c r="M30" t="s">
        <v>22</v>
      </c>
      <c r="N30" t="s">
        <v>52</v>
      </c>
      <c r="O30" t="s">
        <v>45</v>
      </c>
    </row>
    <row r="31" spans="1:15" x14ac:dyDescent="0.35">
      <c r="A31" t="s">
        <v>147</v>
      </c>
      <c r="B31" s="2">
        <v>46309</v>
      </c>
      <c r="C31" t="s">
        <v>148</v>
      </c>
      <c r="D31" t="s">
        <v>149</v>
      </c>
      <c r="E31" t="s">
        <v>56</v>
      </c>
      <c r="F31" t="s">
        <v>57</v>
      </c>
      <c r="G31" t="s">
        <v>43</v>
      </c>
      <c r="H31" t="s">
        <v>49</v>
      </c>
      <c r="I31">
        <v>3</v>
      </c>
      <c r="J31" s="3">
        <v>9000</v>
      </c>
      <c r="K31" s="3">
        <v>6000</v>
      </c>
      <c r="L31" t="s">
        <v>30</v>
      </c>
      <c r="M31" t="s">
        <v>51</v>
      </c>
      <c r="N31" t="s">
        <v>87</v>
      </c>
      <c r="O31" t="s">
        <v>24</v>
      </c>
    </row>
    <row r="32" spans="1:15" x14ac:dyDescent="0.35">
      <c r="A32" t="s">
        <v>150</v>
      </c>
      <c r="B32" s="2">
        <v>46387</v>
      </c>
      <c r="C32" t="s">
        <v>151</v>
      </c>
      <c r="D32" t="s">
        <v>152</v>
      </c>
      <c r="E32" t="s">
        <v>18</v>
      </c>
      <c r="F32" t="s">
        <v>18</v>
      </c>
      <c r="G32" t="s">
        <v>28</v>
      </c>
      <c r="H32" t="s">
        <v>65</v>
      </c>
      <c r="I32">
        <v>8</v>
      </c>
      <c r="J32" s="3">
        <v>12000</v>
      </c>
      <c r="K32" s="3">
        <v>7300</v>
      </c>
      <c r="L32" t="s">
        <v>30</v>
      </c>
      <c r="M32" t="s">
        <v>51</v>
      </c>
      <c r="N32" t="s">
        <v>23</v>
      </c>
      <c r="O32" t="s">
        <v>24</v>
      </c>
    </row>
    <row r="33" spans="1:15" x14ac:dyDescent="0.35">
      <c r="A33" t="s">
        <v>153</v>
      </c>
      <c r="B33" s="2">
        <v>46184</v>
      </c>
      <c r="C33" t="s">
        <v>154</v>
      </c>
      <c r="D33" t="s">
        <v>155</v>
      </c>
      <c r="E33" t="s">
        <v>156</v>
      </c>
      <c r="F33" t="s">
        <v>157</v>
      </c>
      <c r="G33" t="s">
        <v>34</v>
      </c>
      <c r="H33" t="s">
        <v>158</v>
      </c>
      <c r="I33">
        <v>2</v>
      </c>
      <c r="J33" s="3">
        <v>95000</v>
      </c>
      <c r="K33" s="3">
        <v>72100</v>
      </c>
      <c r="L33" t="s">
        <v>73</v>
      </c>
      <c r="M33" t="s">
        <v>31</v>
      </c>
      <c r="N33" t="s">
        <v>87</v>
      </c>
      <c r="O33" t="s">
        <v>24</v>
      </c>
    </row>
    <row r="34" spans="1:15" x14ac:dyDescent="0.35">
      <c r="A34" t="s">
        <v>159</v>
      </c>
      <c r="B34" s="2">
        <v>46196</v>
      </c>
      <c r="C34" t="s">
        <v>160</v>
      </c>
      <c r="D34" t="s">
        <v>161</v>
      </c>
      <c r="E34" t="s">
        <v>70</v>
      </c>
      <c r="F34" t="s">
        <v>71</v>
      </c>
      <c r="G34" t="s">
        <v>43</v>
      </c>
      <c r="H34" t="s">
        <v>162</v>
      </c>
      <c r="I34">
        <v>4</v>
      </c>
      <c r="J34" s="3">
        <v>8000</v>
      </c>
      <c r="K34" s="3">
        <v>5200</v>
      </c>
      <c r="L34" t="s">
        <v>96</v>
      </c>
      <c r="M34" t="s">
        <v>37</v>
      </c>
      <c r="N34" t="s">
        <v>23</v>
      </c>
      <c r="O34" t="s">
        <v>24</v>
      </c>
    </row>
    <row r="35" spans="1:15" x14ac:dyDescent="0.35">
      <c r="A35" t="s">
        <v>163</v>
      </c>
      <c r="B35" s="2">
        <v>46363</v>
      </c>
      <c r="C35" t="s">
        <v>164</v>
      </c>
      <c r="D35" t="s">
        <v>165</v>
      </c>
      <c r="E35" t="s">
        <v>56</v>
      </c>
      <c r="F35" t="s">
        <v>57</v>
      </c>
      <c r="G35" t="s">
        <v>19</v>
      </c>
      <c r="H35" t="s">
        <v>166</v>
      </c>
      <c r="I35">
        <v>8</v>
      </c>
      <c r="J35" s="3">
        <v>140000</v>
      </c>
      <c r="K35" s="3">
        <v>100000</v>
      </c>
      <c r="L35" t="s">
        <v>66</v>
      </c>
      <c r="M35" t="s">
        <v>51</v>
      </c>
      <c r="N35" t="s">
        <v>23</v>
      </c>
      <c r="O35" t="s">
        <v>24</v>
      </c>
    </row>
    <row r="36" spans="1:15" x14ac:dyDescent="0.35">
      <c r="A36" t="s">
        <v>167</v>
      </c>
      <c r="B36" s="2">
        <v>46041</v>
      </c>
      <c r="C36" t="s">
        <v>168</v>
      </c>
      <c r="D36" t="s">
        <v>169</v>
      </c>
      <c r="E36" t="s">
        <v>156</v>
      </c>
      <c r="F36" t="s">
        <v>170</v>
      </c>
      <c r="G36" t="s">
        <v>43</v>
      </c>
      <c r="H36" t="s">
        <v>79</v>
      </c>
      <c r="I36">
        <v>4</v>
      </c>
      <c r="J36" s="3">
        <v>5700</v>
      </c>
      <c r="K36" s="3">
        <v>4300</v>
      </c>
      <c r="L36" t="s">
        <v>30</v>
      </c>
      <c r="M36" t="s">
        <v>22</v>
      </c>
      <c r="N36" t="s">
        <v>87</v>
      </c>
      <c r="O36" t="s">
        <v>24</v>
      </c>
    </row>
    <row r="37" spans="1:15" x14ac:dyDescent="0.35">
      <c r="A37" t="s">
        <v>171</v>
      </c>
      <c r="B37" s="2">
        <v>46069</v>
      </c>
      <c r="C37" t="s">
        <v>172</v>
      </c>
      <c r="D37" t="s">
        <v>173</v>
      </c>
      <c r="E37" t="s">
        <v>156</v>
      </c>
      <c r="F37" t="s">
        <v>170</v>
      </c>
      <c r="G37" t="s">
        <v>34</v>
      </c>
      <c r="H37" t="s">
        <v>141</v>
      </c>
      <c r="I37">
        <v>1</v>
      </c>
      <c r="J37" s="3">
        <v>160000</v>
      </c>
      <c r="K37" s="3">
        <v>123600</v>
      </c>
      <c r="L37" t="s">
        <v>50</v>
      </c>
      <c r="M37" t="s">
        <v>31</v>
      </c>
      <c r="N37" t="s">
        <v>52</v>
      </c>
      <c r="O37" t="s">
        <v>24</v>
      </c>
    </row>
    <row r="38" spans="1:15" x14ac:dyDescent="0.35">
      <c r="A38" t="s">
        <v>174</v>
      </c>
      <c r="B38" s="2">
        <v>46084</v>
      </c>
      <c r="C38" t="s">
        <v>175</v>
      </c>
      <c r="D38" t="s">
        <v>176</v>
      </c>
      <c r="E38" t="s">
        <v>18</v>
      </c>
      <c r="F38" t="s">
        <v>18</v>
      </c>
      <c r="G38" t="s">
        <v>43</v>
      </c>
      <c r="H38" t="s">
        <v>177</v>
      </c>
      <c r="I38">
        <v>9</v>
      </c>
      <c r="J38" s="3">
        <v>18000</v>
      </c>
      <c r="K38" s="3">
        <v>12900</v>
      </c>
      <c r="L38" t="s">
        <v>21</v>
      </c>
      <c r="M38" t="s">
        <v>37</v>
      </c>
      <c r="N38" t="s">
        <v>52</v>
      </c>
      <c r="O38" t="s">
        <v>24</v>
      </c>
    </row>
    <row r="39" spans="1:15" x14ac:dyDescent="0.35">
      <c r="A39" t="s">
        <v>178</v>
      </c>
      <c r="B39" s="2">
        <v>46192</v>
      </c>
      <c r="C39" t="s">
        <v>179</v>
      </c>
      <c r="D39" t="s">
        <v>180</v>
      </c>
      <c r="E39" t="s">
        <v>156</v>
      </c>
      <c r="F39" t="s">
        <v>170</v>
      </c>
      <c r="G39" t="s">
        <v>19</v>
      </c>
      <c r="H39" t="s">
        <v>61</v>
      </c>
      <c r="I39">
        <v>9</v>
      </c>
      <c r="J39" s="3">
        <v>231000</v>
      </c>
      <c r="K39" s="3">
        <v>164800</v>
      </c>
      <c r="L39" t="s">
        <v>73</v>
      </c>
      <c r="M39" t="s">
        <v>22</v>
      </c>
      <c r="N39" t="s">
        <v>23</v>
      </c>
      <c r="O39" t="s">
        <v>24</v>
      </c>
    </row>
    <row r="40" spans="1:15" x14ac:dyDescent="0.35">
      <c r="A40" t="s">
        <v>181</v>
      </c>
      <c r="B40" s="2">
        <v>46216</v>
      </c>
      <c r="C40" t="s">
        <v>68</v>
      </c>
      <c r="D40" t="s">
        <v>134</v>
      </c>
      <c r="E40" t="s">
        <v>70</v>
      </c>
      <c r="F40" t="s">
        <v>71</v>
      </c>
      <c r="G40" t="s">
        <v>43</v>
      </c>
      <c r="H40" t="s">
        <v>44</v>
      </c>
      <c r="I40">
        <v>6</v>
      </c>
      <c r="J40" s="3">
        <v>14200</v>
      </c>
      <c r="K40" s="3">
        <v>9500</v>
      </c>
      <c r="L40" t="s">
        <v>21</v>
      </c>
      <c r="M40" t="s">
        <v>51</v>
      </c>
      <c r="N40" t="s">
        <v>52</v>
      </c>
      <c r="O40" t="s">
        <v>24</v>
      </c>
    </row>
    <row r="41" spans="1:15" x14ac:dyDescent="0.35">
      <c r="A41" t="s">
        <v>182</v>
      </c>
      <c r="B41" s="2">
        <v>46254</v>
      </c>
      <c r="C41" t="s">
        <v>183</v>
      </c>
      <c r="D41" t="s">
        <v>184</v>
      </c>
      <c r="E41" t="s">
        <v>156</v>
      </c>
      <c r="F41" t="s">
        <v>157</v>
      </c>
      <c r="G41" t="s">
        <v>19</v>
      </c>
      <c r="H41" t="s">
        <v>112</v>
      </c>
      <c r="I41">
        <v>3</v>
      </c>
      <c r="J41" s="3">
        <v>85000</v>
      </c>
      <c r="K41" s="3">
        <v>62000</v>
      </c>
      <c r="L41" t="s">
        <v>50</v>
      </c>
      <c r="M41" t="s">
        <v>37</v>
      </c>
      <c r="N41" t="s">
        <v>23</v>
      </c>
      <c r="O41" t="s">
        <v>91</v>
      </c>
    </row>
    <row r="42" spans="1:15" x14ac:dyDescent="0.35">
      <c r="A42" t="s">
        <v>185</v>
      </c>
      <c r="B42" s="2">
        <v>46231</v>
      </c>
      <c r="C42" t="s">
        <v>186</v>
      </c>
      <c r="D42" t="s">
        <v>187</v>
      </c>
      <c r="E42" t="s">
        <v>70</v>
      </c>
      <c r="F42" t="s">
        <v>71</v>
      </c>
      <c r="G42" t="s">
        <v>28</v>
      </c>
      <c r="H42" t="s">
        <v>65</v>
      </c>
      <c r="I42">
        <v>4</v>
      </c>
      <c r="J42" s="3">
        <v>12000</v>
      </c>
      <c r="K42" s="3">
        <v>7700</v>
      </c>
      <c r="L42" t="s">
        <v>50</v>
      </c>
      <c r="M42" t="s">
        <v>51</v>
      </c>
      <c r="N42" t="s">
        <v>23</v>
      </c>
      <c r="O42" t="s">
        <v>24</v>
      </c>
    </row>
    <row r="43" spans="1:15" x14ac:dyDescent="0.35">
      <c r="A43" t="s">
        <v>188</v>
      </c>
      <c r="B43" s="2">
        <v>46115</v>
      </c>
      <c r="C43" t="s">
        <v>160</v>
      </c>
      <c r="D43" t="s">
        <v>189</v>
      </c>
      <c r="E43" t="s">
        <v>190</v>
      </c>
      <c r="F43" t="s">
        <v>191</v>
      </c>
      <c r="G43" t="s">
        <v>43</v>
      </c>
      <c r="H43" t="s">
        <v>162</v>
      </c>
      <c r="I43">
        <v>10</v>
      </c>
      <c r="J43" s="3">
        <v>8400</v>
      </c>
      <c r="K43" s="3">
        <v>4800</v>
      </c>
      <c r="L43" t="s">
        <v>96</v>
      </c>
      <c r="M43" t="s">
        <v>51</v>
      </c>
      <c r="N43" t="s">
        <v>52</v>
      </c>
      <c r="O43" t="s">
        <v>24</v>
      </c>
    </row>
    <row r="44" spans="1:15" x14ac:dyDescent="0.35">
      <c r="A44" t="s">
        <v>192</v>
      </c>
      <c r="B44" s="2">
        <v>46069</v>
      </c>
      <c r="C44" t="s">
        <v>193</v>
      </c>
      <c r="D44" t="s">
        <v>194</v>
      </c>
      <c r="E44" t="s">
        <v>56</v>
      </c>
      <c r="F44" t="s">
        <v>57</v>
      </c>
      <c r="G44" t="s">
        <v>43</v>
      </c>
      <c r="H44" t="s">
        <v>177</v>
      </c>
      <c r="I44">
        <v>1</v>
      </c>
      <c r="J44" s="3">
        <v>17100</v>
      </c>
      <c r="K44" s="3">
        <v>12500</v>
      </c>
      <c r="L44" t="s">
        <v>30</v>
      </c>
      <c r="M44" t="s">
        <v>22</v>
      </c>
      <c r="N44" t="s">
        <v>52</v>
      </c>
      <c r="O44" t="s">
        <v>24</v>
      </c>
    </row>
    <row r="45" spans="1:15" x14ac:dyDescent="0.35">
      <c r="A45" t="s">
        <v>195</v>
      </c>
      <c r="B45" s="2">
        <v>46124</v>
      </c>
      <c r="C45" t="s">
        <v>196</v>
      </c>
      <c r="D45" t="s">
        <v>197</v>
      </c>
      <c r="E45" t="s">
        <v>70</v>
      </c>
      <c r="F45" t="s">
        <v>71</v>
      </c>
      <c r="G45" t="s">
        <v>34</v>
      </c>
      <c r="H45" t="s">
        <v>86</v>
      </c>
      <c r="I45">
        <v>6</v>
      </c>
      <c r="J45" s="3">
        <v>189000</v>
      </c>
      <c r="K45" s="3">
        <v>135000</v>
      </c>
      <c r="L45" t="s">
        <v>50</v>
      </c>
      <c r="M45" t="s">
        <v>51</v>
      </c>
      <c r="N45" t="s">
        <v>87</v>
      </c>
      <c r="O45" t="s">
        <v>24</v>
      </c>
    </row>
    <row r="46" spans="1:15" x14ac:dyDescent="0.35">
      <c r="A46" t="s">
        <v>198</v>
      </c>
      <c r="B46" s="2">
        <v>46255</v>
      </c>
      <c r="C46" t="s">
        <v>199</v>
      </c>
      <c r="D46" t="s">
        <v>200</v>
      </c>
      <c r="E46" t="s">
        <v>41</v>
      </c>
      <c r="F46" t="s">
        <v>42</v>
      </c>
      <c r="G46" t="s">
        <v>34</v>
      </c>
      <c r="H46" t="s">
        <v>158</v>
      </c>
      <c r="I46">
        <v>3</v>
      </c>
      <c r="J46" s="3">
        <v>95000</v>
      </c>
      <c r="K46" s="3">
        <v>70000</v>
      </c>
      <c r="L46" t="s">
        <v>30</v>
      </c>
      <c r="M46" t="s">
        <v>37</v>
      </c>
      <c r="N46" t="s">
        <v>23</v>
      </c>
      <c r="O46" t="s">
        <v>24</v>
      </c>
    </row>
    <row r="47" spans="1:15" x14ac:dyDescent="0.35">
      <c r="A47" t="s">
        <v>201</v>
      </c>
      <c r="B47" s="2">
        <v>46338</v>
      </c>
      <c r="C47" t="s">
        <v>202</v>
      </c>
      <c r="D47" t="s">
        <v>203</v>
      </c>
      <c r="E47" t="s">
        <v>18</v>
      </c>
      <c r="F47" t="s">
        <v>18</v>
      </c>
      <c r="G47" t="s">
        <v>19</v>
      </c>
      <c r="H47" t="s">
        <v>112</v>
      </c>
      <c r="I47">
        <v>3</v>
      </c>
      <c r="J47" s="3">
        <v>85000</v>
      </c>
      <c r="K47" s="3">
        <v>63900</v>
      </c>
      <c r="L47" t="s">
        <v>80</v>
      </c>
      <c r="M47" t="s">
        <v>37</v>
      </c>
      <c r="N47" t="s">
        <v>23</v>
      </c>
      <c r="O47" t="s">
        <v>91</v>
      </c>
    </row>
    <row r="48" spans="1:15" x14ac:dyDescent="0.35">
      <c r="A48" t="s">
        <v>204</v>
      </c>
      <c r="B48" s="2">
        <v>46153</v>
      </c>
      <c r="C48" t="s">
        <v>205</v>
      </c>
      <c r="D48" t="s">
        <v>55</v>
      </c>
      <c r="E48" t="s">
        <v>41</v>
      </c>
      <c r="F48" t="s">
        <v>42</v>
      </c>
      <c r="G48" t="s">
        <v>34</v>
      </c>
      <c r="H48" t="s">
        <v>158</v>
      </c>
      <c r="I48">
        <v>6</v>
      </c>
      <c r="J48" s="3">
        <v>95000</v>
      </c>
      <c r="K48" s="3">
        <v>67900</v>
      </c>
      <c r="L48" t="s">
        <v>21</v>
      </c>
      <c r="M48" t="s">
        <v>31</v>
      </c>
      <c r="N48" t="s">
        <v>23</v>
      </c>
      <c r="O48" t="s">
        <v>24</v>
      </c>
    </row>
    <row r="49" spans="1:15" x14ac:dyDescent="0.35">
      <c r="A49" t="s">
        <v>206</v>
      </c>
      <c r="B49" s="2">
        <v>46042</v>
      </c>
      <c r="C49" t="s">
        <v>207</v>
      </c>
      <c r="D49" t="s">
        <v>208</v>
      </c>
      <c r="E49" t="s">
        <v>18</v>
      </c>
      <c r="F49" t="s">
        <v>18</v>
      </c>
      <c r="G49" t="s">
        <v>34</v>
      </c>
      <c r="H49" t="s">
        <v>158</v>
      </c>
      <c r="I49">
        <v>10</v>
      </c>
      <c r="J49" s="3">
        <v>90200</v>
      </c>
      <c r="K49" s="3">
        <v>72100</v>
      </c>
      <c r="L49" t="s">
        <v>66</v>
      </c>
      <c r="M49" t="s">
        <v>51</v>
      </c>
      <c r="N49" t="s">
        <v>87</v>
      </c>
      <c r="O49" t="s">
        <v>24</v>
      </c>
    </row>
    <row r="50" spans="1:15" x14ac:dyDescent="0.35">
      <c r="A50" t="s">
        <v>209</v>
      </c>
      <c r="B50" s="2">
        <v>46025</v>
      </c>
      <c r="C50" t="s">
        <v>210</v>
      </c>
      <c r="D50" t="s">
        <v>48</v>
      </c>
      <c r="E50" t="s">
        <v>18</v>
      </c>
      <c r="F50" t="s">
        <v>18</v>
      </c>
      <c r="G50" t="s">
        <v>19</v>
      </c>
      <c r="H50" t="s">
        <v>112</v>
      </c>
      <c r="I50">
        <v>4</v>
      </c>
      <c r="J50" s="3">
        <v>85000</v>
      </c>
      <c r="K50" s="3">
        <v>62000</v>
      </c>
      <c r="L50" t="s">
        <v>80</v>
      </c>
      <c r="M50" t="s">
        <v>37</v>
      </c>
      <c r="N50" t="s">
        <v>87</v>
      </c>
      <c r="O50" t="s">
        <v>24</v>
      </c>
    </row>
    <row r="51" spans="1:15" x14ac:dyDescent="0.35">
      <c r="A51" t="s">
        <v>211</v>
      </c>
      <c r="B51" s="2">
        <v>46035</v>
      </c>
      <c r="C51" t="s">
        <v>212</v>
      </c>
      <c r="D51" t="s">
        <v>213</v>
      </c>
      <c r="E51" t="s">
        <v>18</v>
      </c>
      <c r="F51" t="s">
        <v>18</v>
      </c>
      <c r="G51" t="s">
        <v>34</v>
      </c>
      <c r="H51" t="s">
        <v>158</v>
      </c>
      <c r="I51">
        <v>8</v>
      </c>
      <c r="J51" s="3">
        <v>99800</v>
      </c>
      <c r="K51" s="3">
        <v>67900</v>
      </c>
      <c r="L51" t="s">
        <v>36</v>
      </c>
      <c r="M51" t="s">
        <v>22</v>
      </c>
      <c r="N51" t="s">
        <v>23</v>
      </c>
      <c r="O51" t="s">
        <v>24</v>
      </c>
    </row>
    <row r="52" spans="1:15" x14ac:dyDescent="0.35">
      <c r="A52" t="s">
        <v>214</v>
      </c>
      <c r="B52" s="2">
        <v>46203</v>
      </c>
      <c r="C52" t="s">
        <v>212</v>
      </c>
      <c r="D52" t="s">
        <v>215</v>
      </c>
      <c r="E52" t="s">
        <v>77</v>
      </c>
      <c r="F52" t="s">
        <v>78</v>
      </c>
      <c r="G52" t="s">
        <v>34</v>
      </c>
      <c r="H52" t="s">
        <v>158</v>
      </c>
      <c r="I52">
        <v>2</v>
      </c>
      <c r="J52" s="3">
        <v>95000</v>
      </c>
      <c r="K52" s="3">
        <v>72100</v>
      </c>
      <c r="L52" t="s">
        <v>30</v>
      </c>
      <c r="M52" t="s">
        <v>51</v>
      </c>
      <c r="N52" t="s">
        <v>87</v>
      </c>
      <c r="O52" t="s">
        <v>24</v>
      </c>
    </row>
    <row r="53" spans="1:15" x14ac:dyDescent="0.35">
      <c r="A53" t="s">
        <v>216</v>
      </c>
      <c r="B53" s="2">
        <v>46172</v>
      </c>
      <c r="C53" t="s">
        <v>217</v>
      </c>
      <c r="D53" t="s">
        <v>218</v>
      </c>
      <c r="E53" t="s">
        <v>84</v>
      </c>
      <c r="F53" t="s">
        <v>85</v>
      </c>
      <c r="G53" t="s">
        <v>43</v>
      </c>
      <c r="H53" t="s">
        <v>177</v>
      </c>
      <c r="I53">
        <v>3</v>
      </c>
      <c r="J53" s="3">
        <v>18900</v>
      </c>
      <c r="K53" s="3">
        <v>12100</v>
      </c>
      <c r="L53" t="s">
        <v>96</v>
      </c>
      <c r="M53" t="s">
        <v>51</v>
      </c>
      <c r="N53" t="s">
        <v>23</v>
      </c>
      <c r="O53" t="s">
        <v>24</v>
      </c>
    </row>
    <row r="54" spans="1:15" x14ac:dyDescent="0.35">
      <c r="A54" t="s">
        <v>219</v>
      </c>
      <c r="B54" s="2">
        <v>46267</v>
      </c>
      <c r="C54" t="s">
        <v>220</v>
      </c>
      <c r="D54" t="s">
        <v>173</v>
      </c>
      <c r="E54" t="s">
        <v>77</v>
      </c>
      <c r="F54" t="s">
        <v>78</v>
      </c>
      <c r="G54" t="s">
        <v>34</v>
      </c>
      <c r="H54" t="s">
        <v>158</v>
      </c>
      <c r="I54">
        <v>9</v>
      </c>
      <c r="J54" s="3">
        <v>99800</v>
      </c>
      <c r="K54" s="3">
        <v>67900</v>
      </c>
      <c r="L54" t="s">
        <v>96</v>
      </c>
      <c r="M54" t="s">
        <v>22</v>
      </c>
      <c r="N54" t="s">
        <v>23</v>
      </c>
      <c r="O54" t="s">
        <v>91</v>
      </c>
    </row>
    <row r="55" spans="1:15" x14ac:dyDescent="0.35">
      <c r="A55" t="s">
        <v>221</v>
      </c>
      <c r="B55" s="2">
        <v>46064</v>
      </c>
      <c r="C55" t="s">
        <v>222</v>
      </c>
      <c r="D55" t="s">
        <v>223</v>
      </c>
      <c r="E55" t="s">
        <v>18</v>
      </c>
      <c r="F55" t="s">
        <v>18</v>
      </c>
      <c r="G55" t="s">
        <v>43</v>
      </c>
      <c r="H55" t="s">
        <v>162</v>
      </c>
      <c r="I55">
        <v>2</v>
      </c>
      <c r="J55" s="3">
        <v>8400</v>
      </c>
      <c r="K55" s="3">
        <v>5000</v>
      </c>
      <c r="L55" t="s">
        <v>36</v>
      </c>
      <c r="M55" t="s">
        <v>51</v>
      </c>
      <c r="N55" t="s">
        <v>52</v>
      </c>
      <c r="O55" t="s">
        <v>91</v>
      </c>
    </row>
    <row r="56" spans="1:15" x14ac:dyDescent="0.35">
      <c r="A56" t="s">
        <v>224</v>
      </c>
      <c r="B56" s="2">
        <v>46220</v>
      </c>
      <c r="C56" t="s">
        <v>225</v>
      </c>
      <c r="D56" t="s">
        <v>226</v>
      </c>
      <c r="E56" t="s">
        <v>18</v>
      </c>
      <c r="F56" t="s">
        <v>18</v>
      </c>
      <c r="G56" t="s">
        <v>43</v>
      </c>
      <c r="H56" t="s">
        <v>162</v>
      </c>
      <c r="I56">
        <v>6</v>
      </c>
      <c r="J56" s="3">
        <v>7600</v>
      </c>
      <c r="K56" s="3">
        <v>5200</v>
      </c>
      <c r="L56" t="s">
        <v>73</v>
      </c>
      <c r="M56" t="s">
        <v>31</v>
      </c>
      <c r="N56" t="s">
        <v>52</v>
      </c>
      <c r="O56" t="s">
        <v>24</v>
      </c>
    </row>
    <row r="57" spans="1:15" x14ac:dyDescent="0.35">
      <c r="A57" t="s">
        <v>227</v>
      </c>
      <c r="B57" s="2">
        <v>46189</v>
      </c>
      <c r="C57" t="s">
        <v>228</v>
      </c>
      <c r="D57" t="s">
        <v>229</v>
      </c>
      <c r="E57" t="s">
        <v>18</v>
      </c>
      <c r="F57" t="s">
        <v>18</v>
      </c>
      <c r="G57" t="s">
        <v>34</v>
      </c>
      <c r="H57" t="s">
        <v>35</v>
      </c>
      <c r="I57">
        <v>9</v>
      </c>
      <c r="J57" s="3">
        <v>55000</v>
      </c>
      <c r="K57" s="3">
        <v>37800</v>
      </c>
      <c r="L57" t="s">
        <v>73</v>
      </c>
      <c r="M57" t="s">
        <v>51</v>
      </c>
      <c r="N57" t="s">
        <v>23</v>
      </c>
      <c r="O57" t="s">
        <v>24</v>
      </c>
    </row>
    <row r="58" spans="1:15" x14ac:dyDescent="0.35">
      <c r="A58" t="s">
        <v>230</v>
      </c>
      <c r="B58" s="2">
        <v>46143</v>
      </c>
      <c r="C58" t="s">
        <v>231</v>
      </c>
      <c r="D58" t="s">
        <v>232</v>
      </c>
      <c r="E58" t="s">
        <v>18</v>
      </c>
      <c r="F58" t="s">
        <v>18</v>
      </c>
      <c r="G58" t="s">
        <v>43</v>
      </c>
      <c r="H58" t="s">
        <v>177</v>
      </c>
      <c r="I58">
        <v>8</v>
      </c>
      <c r="J58" s="3">
        <v>17100</v>
      </c>
      <c r="K58" s="3">
        <v>12500</v>
      </c>
      <c r="L58" t="s">
        <v>96</v>
      </c>
      <c r="M58" t="s">
        <v>51</v>
      </c>
      <c r="N58" t="s">
        <v>52</v>
      </c>
      <c r="O58" t="s">
        <v>45</v>
      </c>
    </row>
    <row r="59" spans="1:15" x14ac:dyDescent="0.35">
      <c r="A59" t="s">
        <v>233</v>
      </c>
      <c r="B59" s="2">
        <v>46355</v>
      </c>
      <c r="C59" t="s">
        <v>234</v>
      </c>
      <c r="D59" t="s">
        <v>235</v>
      </c>
      <c r="E59" t="s">
        <v>56</v>
      </c>
      <c r="F59" t="s">
        <v>57</v>
      </c>
      <c r="G59" t="s">
        <v>43</v>
      </c>
      <c r="H59" t="s">
        <v>162</v>
      </c>
      <c r="I59">
        <v>6</v>
      </c>
      <c r="J59" s="3">
        <v>8000</v>
      </c>
      <c r="K59" s="3">
        <v>4800</v>
      </c>
      <c r="L59" t="s">
        <v>21</v>
      </c>
      <c r="M59" t="s">
        <v>22</v>
      </c>
      <c r="N59" t="s">
        <v>52</v>
      </c>
      <c r="O59" t="s">
        <v>24</v>
      </c>
    </row>
    <row r="60" spans="1:15" x14ac:dyDescent="0.35">
      <c r="A60" t="s">
        <v>236</v>
      </c>
      <c r="B60" s="2">
        <v>46167</v>
      </c>
      <c r="C60" t="s">
        <v>237</v>
      </c>
      <c r="D60" t="s">
        <v>238</v>
      </c>
      <c r="E60" t="s">
        <v>77</v>
      </c>
      <c r="F60" t="s">
        <v>78</v>
      </c>
      <c r="G60" t="s">
        <v>28</v>
      </c>
      <c r="H60" t="s">
        <v>72</v>
      </c>
      <c r="I60">
        <v>10</v>
      </c>
      <c r="J60" s="3">
        <v>10000</v>
      </c>
      <c r="K60" s="3">
        <v>6000</v>
      </c>
      <c r="L60" t="s">
        <v>36</v>
      </c>
      <c r="M60" t="s">
        <v>22</v>
      </c>
      <c r="N60" t="s">
        <v>23</v>
      </c>
      <c r="O60" t="s">
        <v>45</v>
      </c>
    </row>
    <row r="61" spans="1:15" x14ac:dyDescent="0.35">
      <c r="A61" t="s">
        <v>239</v>
      </c>
      <c r="B61" s="2">
        <v>46118</v>
      </c>
      <c r="C61" t="s">
        <v>240</v>
      </c>
      <c r="D61" t="s">
        <v>241</v>
      </c>
      <c r="E61" t="s">
        <v>70</v>
      </c>
      <c r="F61" t="s">
        <v>71</v>
      </c>
      <c r="G61" t="s">
        <v>34</v>
      </c>
      <c r="H61" t="s">
        <v>158</v>
      </c>
      <c r="I61">
        <v>6</v>
      </c>
      <c r="J61" s="3">
        <v>99800</v>
      </c>
      <c r="K61" s="3">
        <v>67900</v>
      </c>
      <c r="L61" t="s">
        <v>50</v>
      </c>
      <c r="M61" t="s">
        <v>37</v>
      </c>
      <c r="N61" t="s">
        <v>87</v>
      </c>
      <c r="O61" t="s">
        <v>91</v>
      </c>
    </row>
    <row r="62" spans="1:15" x14ac:dyDescent="0.35">
      <c r="A62" t="s">
        <v>242</v>
      </c>
      <c r="B62" s="2">
        <v>46079</v>
      </c>
      <c r="C62" t="s">
        <v>243</v>
      </c>
      <c r="D62" t="s">
        <v>244</v>
      </c>
      <c r="E62" t="s">
        <v>18</v>
      </c>
      <c r="F62" t="s">
        <v>18</v>
      </c>
      <c r="G62" t="s">
        <v>19</v>
      </c>
      <c r="H62" t="s">
        <v>166</v>
      </c>
      <c r="I62">
        <v>6</v>
      </c>
      <c r="J62" s="3">
        <v>133000</v>
      </c>
      <c r="K62" s="3">
        <v>97000</v>
      </c>
      <c r="L62" t="s">
        <v>73</v>
      </c>
      <c r="M62" t="s">
        <v>22</v>
      </c>
      <c r="N62" t="s">
        <v>87</v>
      </c>
      <c r="O62" t="s">
        <v>24</v>
      </c>
    </row>
    <row r="63" spans="1:15" x14ac:dyDescent="0.35">
      <c r="A63" t="s">
        <v>245</v>
      </c>
      <c r="B63" s="2">
        <v>46242</v>
      </c>
      <c r="C63" t="s">
        <v>246</v>
      </c>
      <c r="D63" t="s">
        <v>247</v>
      </c>
      <c r="E63" t="s">
        <v>156</v>
      </c>
      <c r="F63" t="s">
        <v>170</v>
      </c>
      <c r="G63" t="s">
        <v>28</v>
      </c>
      <c r="H63" t="s">
        <v>248</v>
      </c>
      <c r="I63">
        <v>10</v>
      </c>
      <c r="J63" s="3">
        <v>26200</v>
      </c>
      <c r="K63" s="3">
        <v>15500</v>
      </c>
      <c r="L63" t="s">
        <v>96</v>
      </c>
      <c r="M63" t="s">
        <v>37</v>
      </c>
      <c r="N63" t="s">
        <v>52</v>
      </c>
      <c r="O63" t="s">
        <v>45</v>
      </c>
    </row>
    <row r="64" spans="1:15" x14ac:dyDescent="0.35">
      <c r="A64" t="s">
        <v>249</v>
      </c>
      <c r="B64" s="2">
        <v>46325</v>
      </c>
      <c r="C64" t="s">
        <v>143</v>
      </c>
      <c r="D64" t="s">
        <v>250</v>
      </c>
      <c r="E64" t="s">
        <v>156</v>
      </c>
      <c r="F64" t="s">
        <v>170</v>
      </c>
      <c r="G64" t="s">
        <v>19</v>
      </c>
      <c r="H64" t="s">
        <v>112</v>
      </c>
      <c r="I64">
        <v>5</v>
      </c>
      <c r="J64" s="3">
        <v>85000</v>
      </c>
      <c r="K64" s="3">
        <v>62000</v>
      </c>
      <c r="L64" t="s">
        <v>21</v>
      </c>
      <c r="M64" t="s">
        <v>37</v>
      </c>
      <c r="N64" t="s">
        <v>87</v>
      </c>
      <c r="O64" t="s">
        <v>24</v>
      </c>
    </row>
    <row r="65" spans="1:15" x14ac:dyDescent="0.35">
      <c r="A65" t="s">
        <v>251</v>
      </c>
      <c r="B65" s="2">
        <v>46212</v>
      </c>
      <c r="C65" t="s">
        <v>252</v>
      </c>
      <c r="D65" t="s">
        <v>253</v>
      </c>
      <c r="E65" t="s">
        <v>84</v>
      </c>
      <c r="F65" t="s">
        <v>85</v>
      </c>
      <c r="G65" t="s">
        <v>19</v>
      </c>
      <c r="H65" t="s">
        <v>166</v>
      </c>
      <c r="I65">
        <v>6</v>
      </c>
      <c r="J65" s="3">
        <v>140000</v>
      </c>
      <c r="K65" s="3">
        <v>97000</v>
      </c>
      <c r="L65" t="s">
        <v>50</v>
      </c>
      <c r="M65" t="s">
        <v>51</v>
      </c>
      <c r="N65" t="s">
        <v>23</v>
      </c>
      <c r="O65" t="s">
        <v>24</v>
      </c>
    </row>
    <row r="66" spans="1:15" x14ac:dyDescent="0.35">
      <c r="A66" t="s">
        <v>254</v>
      </c>
      <c r="B66" s="2">
        <v>46340</v>
      </c>
      <c r="C66" t="s">
        <v>255</v>
      </c>
      <c r="D66" t="s">
        <v>256</v>
      </c>
      <c r="E66" t="s">
        <v>77</v>
      </c>
      <c r="F66" t="s">
        <v>78</v>
      </c>
      <c r="G66" t="s">
        <v>34</v>
      </c>
      <c r="H66" t="s">
        <v>141</v>
      </c>
      <c r="I66">
        <v>2</v>
      </c>
      <c r="J66" s="3">
        <v>152000</v>
      </c>
      <c r="K66" s="3">
        <v>120000</v>
      </c>
      <c r="L66" t="s">
        <v>36</v>
      </c>
      <c r="M66" t="s">
        <v>51</v>
      </c>
      <c r="N66" t="s">
        <v>87</v>
      </c>
      <c r="O66" t="s">
        <v>24</v>
      </c>
    </row>
    <row r="67" spans="1:15" x14ac:dyDescent="0.35">
      <c r="A67" t="s">
        <v>257</v>
      </c>
      <c r="B67" s="2">
        <v>46239</v>
      </c>
      <c r="C67" t="s">
        <v>258</v>
      </c>
      <c r="D67" t="s">
        <v>259</v>
      </c>
      <c r="E67" t="s">
        <v>156</v>
      </c>
      <c r="F67" t="s">
        <v>170</v>
      </c>
      <c r="G67" t="s">
        <v>43</v>
      </c>
      <c r="H67" t="s">
        <v>162</v>
      </c>
      <c r="I67">
        <v>4</v>
      </c>
      <c r="J67" s="3">
        <v>8400</v>
      </c>
      <c r="K67" s="3">
        <v>4800</v>
      </c>
      <c r="L67" t="s">
        <v>96</v>
      </c>
      <c r="M67" t="s">
        <v>51</v>
      </c>
      <c r="N67" t="s">
        <v>52</v>
      </c>
      <c r="O67" t="s">
        <v>24</v>
      </c>
    </row>
    <row r="68" spans="1:15" x14ac:dyDescent="0.35">
      <c r="A68" t="s">
        <v>260</v>
      </c>
      <c r="B68" s="2">
        <v>46217</v>
      </c>
      <c r="C68" t="s">
        <v>261</v>
      </c>
      <c r="D68" t="s">
        <v>262</v>
      </c>
      <c r="E68" t="s">
        <v>84</v>
      </c>
      <c r="F68" t="s">
        <v>85</v>
      </c>
      <c r="G68" t="s">
        <v>34</v>
      </c>
      <c r="H68" t="s">
        <v>158</v>
      </c>
      <c r="I68">
        <v>2</v>
      </c>
      <c r="J68" s="3">
        <v>99800</v>
      </c>
      <c r="K68" s="3">
        <v>70000</v>
      </c>
      <c r="L68" t="s">
        <v>80</v>
      </c>
      <c r="M68" t="s">
        <v>31</v>
      </c>
      <c r="N68" t="s">
        <v>52</v>
      </c>
      <c r="O68" t="s">
        <v>45</v>
      </c>
    </row>
    <row r="69" spans="1:15" x14ac:dyDescent="0.35">
      <c r="A69" t="s">
        <v>263</v>
      </c>
      <c r="B69" s="2">
        <v>46254</v>
      </c>
      <c r="C69" t="s">
        <v>264</v>
      </c>
      <c r="D69" t="s">
        <v>213</v>
      </c>
      <c r="E69" t="s">
        <v>18</v>
      </c>
      <c r="F69" t="s">
        <v>18</v>
      </c>
      <c r="G69" t="s">
        <v>43</v>
      </c>
      <c r="H69" t="s">
        <v>177</v>
      </c>
      <c r="I69">
        <v>2</v>
      </c>
      <c r="J69" s="3">
        <v>18900</v>
      </c>
      <c r="K69" s="3">
        <v>12900</v>
      </c>
      <c r="L69" t="s">
        <v>21</v>
      </c>
      <c r="M69" t="s">
        <v>37</v>
      </c>
      <c r="N69" t="s">
        <v>87</v>
      </c>
      <c r="O69" t="s">
        <v>24</v>
      </c>
    </row>
    <row r="70" spans="1:15" x14ac:dyDescent="0.35">
      <c r="A70" t="s">
        <v>265</v>
      </c>
      <c r="B70" s="2">
        <v>46283</v>
      </c>
      <c r="C70" t="s">
        <v>266</v>
      </c>
      <c r="D70" t="s">
        <v>267</v>
      </c>
      <c r="E70" t="s">
        <v>156</v>
      </c>
      <c r="F70" t="s">
        <v>170</v>
      </c>
      <c r="G70" t="s">
        <v>34</v>
      </c>
      <c r="H70" t="s">
        <v>158</v>
      </c>
      <c r="I70">
        <v>1</v>
      </c>
      <c r="J70" s="3">
        <v>90200</v>
      </c>
      <c r="K70" s="3">
        <v>72100</v>
      </c>
      <c r="L70" t="s">
        <v>21</v>
      </c>
      <c r="M70" t="s">
        <v>37</v>
      </c>
      <c r="N70" t="s">
        <v>52</v>
      </c>
      <c r="O70" t="s">
        <v>24</v>
      </c>
    </row>
    <row r="71" spans="1:15" x14ac:dyDescent="0.35">
      <c r="A71" t="s">
        <v>268</v>
      </c>
      <c r="B71" s="2">
        <v>46050</v>
      </c>
      <c r="C71" t="s">
        <v>269</v>
      </c>
      <c r="D71" t="s">
        <v>270</v>
      </c>
      <c r="E71" t="s">
        <v>18</v>
      </c>
      <c r="F71" t="s">
        <v>18</v>
      </c>
      <c r="G71" t="s">
        <v>19</v>
      </c>
      <c r="H71" t="s">
        <v>61</v>
      </c>
      <c r="I71">
        <v>10</v>
      </c>
      <c r="J71" s="3">
        <v>231000</v>
      </c>
      <c r="K71" s="3">
        <v>160000</v>
      </c>
      <c r="L71" t="s">
        <v>36</v>
      </c>
      <c r="M71" t="s">
        <v>22</v>
      </c>
      <c r="N71" t="s">
        <v>52</v>
      </c>
      <c r="O71" t="s">
        <v>45</v>
      </c>
    </row>
    <row r="72" spans="1:15" x14ac:dyDescent="0.35">
      <c r="A72" t="s">
        <v>271</v>
      </c>
      <c r="B72" s="2">
        <v>46028</v>
      </c>
      <c r="C72" t="s">
        <v>272</v>
      </c>
      <c r="D72" t="s">
        <v>273</v>
      </c>
      <c r="E72" t="s">
        <v>84</v>
      </c>
      <c r="F72" t="s">
        <v>85</v>
      </c>
      <c r="G72" t="s">
        <v>19</v>
      </c>
      <c r="H72" t="s">
        <v>166</v>
      </c>
      <c r="I72">
        <v>8</v>
      </c>
      <c r="J72" s="3">
        <v>140000</v>
      </c>
      <c r="K72" s="3">
        <v>97000</v>
      </c>
      <c r="L72" t="s">
        <v>36</v>
      </c>
      <c r="M72" t="s">
        <v>37</v>
      </c>
      <c r="N72" t="s">
        <v>23</v>
      </c>
      <c r="O72" t="s">
        <v>24</v>
      </c>
    </row>
    <row r="73" spans="1:15" x14ac:dyDescent="0.35">
      <c r="A73" t="s">
        <v>274</v>
      </c>
      <c r="B73" s="2">
        <v>46124</v>
      </c>
      <c r="C73" t="s">
        <v>275</v>
      </c>
      <c r="D73" t="s">
        <v>276</v>
      </c>
      <c r="E73" t="s">
        <v>18</v>
      </c>
      <c r="F73" t="s">
        <v>18</v>
      </c>
      <c r="G73" t="s">
        <v>43</v>
      </c>
      <c r="H73" t="s">
        <v>162</v>
      </c>
      <c r="I73">
        <v>10</v>
      </c>
      <c r="J73" s="3">
        <v>8000</v>
      </c>
      <c r="K73" s="3">
        <v>5000</v>
      </c>
      <c r="L73" t="s">
        <v>80</v>
      </c>
      <c r="M73" t="s">
        <v>31</v>
      </c>
      <c r="N73" t="s">
        <v>87</v>
      </c>
      <c r="O73" t="s">
        <v>24</v>
      </c>
    </row>
    <row r="74" spans="1:15" x14ac:dyDescent="0.35">
      <c r="A74" t="s">
        <v>277</v>
      </c>
      <c r="B74" s="2">
        <v>46106</v>
      </c>
      <c r="C74" t="s">
        <v>199</v>
      </c>
      <c r="D74" t="s">
        <v>278</v>
      </c>
      <c r="E74" t="s">
        <v>156</v>
      </c>
      <c r="F74" t="s">
        <v>157</v>
      </c>
      <c r="G74" t="s">
        <v>28</v>
      </c>
      <c r="H74" t="s">
        <v>131</v>
      </c>
      <c r="I74">
        <v>10</v>
      </c>
      <c r="J74" s="3">
        <v>31500</v>
      </c>
      <c r="K74" s="3">
        <v>19600</v>
      </c>
      <c r="L74" t="s">
        <v>73</v>
      </c>
      <c r="M74" t="s">
        <v>22</v>
      </c>
      <c r="N74" t="s">
        <v>52</v>
      </c>
      <c r="O74" t="s">
        <v>24</v>
      </c>
    </row>
    <row r="75" spans="1:15" x14ac:dyDescent="0.35">
      <c r="A75" t="s">
        <v>279</v>
      </c>
      <c r="B75" s="2">
        <v>46384</v>
      </c>
      <c r="C75" t="s">
        <v>280</v>
      </c>
      <c r="D75" t="s">
        <v>281</v>
      </c>
      <c r="E75" t="s">
        <v>56</v>
      </c>
      <c r="F75" t="s">
        <v>57</v>
      </c>
      <c r="G75" t="s">
        <v>34</v>
      </c>
      <c r="H75" t="s">
        <v>95</v>
      </c>
      <c r="I75">
        <v>9</v>
      </c>
      <c r="J75" s="3">
        <v>427500</v>
      </c>
      <c r="K75" s="3">
        <v>370000</v>
      </c>
      <c r="L75" t="s">
        <v>73</v>
      </c>
      <c r="M75" t="s">
        <v>22</v>
      </c>
      <c r="N75" t="s">
        <v>23</v>
      </c>
      <c r="O75" t="s">
        <v>45</v>
      </c>
    </row>
    <row r="76" spans="1:15" x14ac:dyDescent="0.35">
      <c r="A76" t="s">
        <v>282</v>
      </c>
      <c r="B76" s="2">
        <v>46231</v>
      </c>
      <c r="C76" t="s">
        <v>283</v>
      </c>
      <c r="D76" t="s">
        <v>284</v>
      </c>
      <c r="E76" t="s">
        <v>70</v>
      </c>
      <c r="F76" t="s">
        <v>71</v>
      </c>
      <c r="G76" t="s">
        <v>19</v>
      </c>
      <c r="H76" t="s">
        <v>112</v>
      </c>
      <c r="I76">
        <v>8</v>
      </c>
      <c r="J76" s="3">
        <v>85000</v>
      </c>
      <c r="K76" s="3">
        <v>60100</v>
      </c>
      <c r="L76" t="s">
        <v>50</v>
      </c>
      <c r="M76" t="s">
        <v>37</v>
      </c>
      <c r="N76" t="s">
        <v>23</v>
      </c>
      <c r="O76" t="s">
        <v>24</v>
      </c>
    </row>
    <row r="77" spans="1:15" x14ac:dyDescent="0.35">
      <c r="A77" t="s">
        <v>285</v>
      </c>
      <c r="B77" s="2">
        <v>46305</v>
      </c>
      <c r="C77" t="s">
        <v>286</v>
      </c>
      <c r="D77" t="s">
        <v>287</v>
      </c>
      <c r="E77" t="s">
        <v>18</v>
      </c>
      <c r="F77" t="s">
        <v>18</v>
      </c>
      <c r="G77" t="s">
        <v>43</v>
      </c>
      <c r="H77" t="s">
        <v>44</v>
      </c>
      <c r="I77">
        <v>7</v>
      </c>
      <c r="J77" s="3">
        <v>15000</v>
      </c>
      <c r="K77" s="3">
        <v>9500</v>
      </c>
      <c r="L77" t="s">
        <v>21</v>
      </c>
      <c r="M77" t="s">
        <v>31</v>
      </c>
      <c r="N77" t="s">
        <v>23</v>
      </c>
      <c r="O77" t="s">
        <v>24</v>
      </c>
    </row>
    <row r="78" spans="1:15" x14ac:dyDescent="0.35">
      <c r="A78" t="s">
        <v>288</v>
      </c>
      <c r="B78" s="2">
        <v>46245</v>
      </c>
      <c r="C78" t="s">
        <v>133</v>
      </c>
      <c r="D78" t="s">
        <v>184</v>
      </c>
      <c r="E78" t="s">
        <v>84</v>
      </c>
      <c r="F78" t="s">
        <v>85</v>
      </c>
      <c r="G78" t="s">
        <v>34</v>
      </c>
      <c r="H78" t="s">
        <v>141</v>
      </c>
      <c r="I78">
        <v>5</v>
      </c>
      <c r="J78" s="3">
        <v>168000</v>
      </c>
      <c r="K78" s="3">
        <v>120000</v>
      </c>
      <c r="L78" t="s">
        <v>66</v>
      </c>
      <c r="M78" t="s">
        <v>31</v>
      </c>
      <c r="N78" t="s">
        <v>52</v>
      </c>
      <c r="O78" t="s">
        <v>24</v>
      </c>
    </row>
    <row r="79" spans="1:15" x14ac:dyDescent="0.35">
      <c r="A79" t="s">
        <v>289</v>
      </c>
      <c r="B79" s="2">
        <v>46162</v>
      </c>
      <c r="C79" t="s">
        <v>290</v>
      </c>
      <c r="D79" t="s">
        <v>291</v>
      </c>
      <c r="E79" t="s">
        <v>77</v>
      </c>
      <c r="F79" t="s">
        <v>78</v>
      </c>
      <c r="G79" t="s">
        <v>19</v>
      </c>
      <c r="H79" t="s">
        <v>20</v>
      </c>
      <c r="I79">
        <v>9</v>
      </c>
      <c r="J79" s="3">
        <v>61800</v>
      </c>
      <c r="K79" s="3">
        <v>46400</v>
      </c>
      <c r="L79" t="s">
        <v>80</v>
      </c>
      <c r="M79" t="s">
        <v>51</v>
      </c>
      <c r="N79" t="s">
        <v>23</v>
      </c>
      <c r="O79" t="s">
        <v>24</v>
      </c>
    </row>
    <row r="80" spans="1:15" x14ac:dyDescent="0.35">
      <c r="A80" t="s">
        <v>292</v>
      </c>
      <c r="B80" s="2">
        <v>46162</v>
      </c>
      <c r="C80" t="s">
        <v>293</v>
      </c>
      <c r="D80" t="s">
        <v>294</v>
      </c>
      <c r="E80" t="s">
        <v>41</v>
      </c>
      <c r="F80" t="s">
        <v>42</v>
      </c>
      <c r="G80" t="s">
        <v>43</v>
      </c>
      <c r="H80" t="s">
        <v>49</v>
      </c>
      <c r="I80">
        <v>7</v>
      </c>
      <c r="J80" s="3">
        <v>8600</v>
      </c>
      <c r="K80" s="3">
        <v>6000</v>
      </c>
      <c r="L80" t="s">
        <v>36</v>
      </c>
      <c r="M80" t="s">
        <v>22</v>
      </c>
      <c r="N80" t="s">
        <v>23</v>
      </c>
      <c r="O80" t="s">
        <v>24</v>
      </c>
    </row>
    <row r="81" spans="1:15" x14ac:dyDescent="0.35">
      <c r="A81" t="s">
        <v>295</v>
      </c>
      <c r="B81" s="2">
        <v>46280</v>
      </c>
      <c r="C81" t="s">
        <v>296</v>
      </c>
      <c r="D81" t="s">
        <v>297</v>
      </c>
      <c r="E81" t="s">
        <v>70</v>
      </c>
      <c r="F81" t="s">
        <v>71</v>
      </c>
      <c r="G81" t="s">
        <v>19</v>
      </c>
      <c r="H81" t="s">
        <v>61</v>
      </c>
      <c r="I81">
        <v>5</v>
      </c>
      <c r="J81" s="3">
        <v>209000</v>
      </c>
      <c r="K81" s="3">
        <v>164800</v>
      </c>
      <c r="L81" t="s">
        <v>66</v>
      </c>
      <c r="M81" t="s">
        <v>22</v>
      </c>
      <c r="N81" t="s">
        <v>87</v>
      </c>
      <c r="O81" t="s">
        <v>91</v>
      </c>
    </row>
    <row r="82" spans="1:15" x14ac:dyDescent="0.35">
      <c r="A82" t="s">
        <v>298</v>
      </c>
      <c r="B82" s="2">
        <v>46285</v>
      </c>
      <c r="C82" t="s">
        <v>299</v>
      </c>
      <c r="D82" t="s">
        <v>300</v>
      </c>
      <c r="E82" t="s">
        <v>70</v>
      </c>
      <c r="F82" t="s">
        <v>71</v>
      </c>
      <c r="G82" t="s">
        <v>28</v>
      </c>
      <c r="H82" t="s">
        <v>65</v>
      </c>
      <c r="I82">
        <v>1</v>
      </c>
      <c r="J82" s="3">
        <v>12000</v>
      </c>
      <c r="K82" s="3">
        <v>7300</v>
      </c>
      <c r="L82" t="s">
        <v>30</v>
      </c>
      <c r="M82" t="s">
        <v>37</v>
      </c>
      <c r="N82" t="s">
        <v>52</v>
      </c>
      <c r="O82" t="s">
        <v>24</v>
      </c>
    </row>
    <row r="83" spans="1:15" x14ac:dyDescent="0.35">
      <c r="A83" t="s">
        <v>301</v>
      </c>
      <c r="B83" s="2">
        <v>46127</v>
      </c>
      <c r="C83" t="s">
        <v>302</v>
      </c>
      <c r="D83" t="s">
        <v>303</v>
      </c>
      <c r="E83" t="s">
        <v>18</v>
      </c>
      <c r="F83" t="s">
        <v>18</v>
      </c>
      <c r="G83" t="s">
        <v>43</v>
      </c>
      <c r="H83" t="s">
        <v>79</v>
      </c>
      <c r="I83">
        <v>10</v>
      </c>
      <c r="J83" s="3">
        <v>6000</v>
      </c>
      <c r="K83" s="3">
        <v>4200</v>
      </c>
      <c r="L83" t="s">
        <v>50</v>
      </c>
      <c r="M83" t="s">
        <v>31</v>
      </c>
      <c r="N83" t="s">
        <v>23</v>
      </c>
      <c r="O83" t="s">
        <v>24</v>
      </c>
    </row>
    <row r="84" spans="1:15" x14ac:dyDescent="0.35">
      <c r="A84" t="s">
        <v>304</v>
      </c>
      <c r="B84" s="2">
        <v>46213</v>
      </c>
      <c r="C84" t="s">
        <v>305</v>
      </c>
      <c r="D84" t="s">
        <v>306</v>
      </c>
      <c r="E84" t="s">
        <v>18</v>
      </c>
      <c r="F84" t="s">
        <v>18</v>
      </c>
      <c r="G84" t="s">
        <v>43</v>
      </c>
      <c r="H84" t="s">
        <v>44</v>
      </c>
      <c r="I84">
        <v>3</v>
      </c>
      <c r="J84" s="3">
        <v>15800</v>
      </c>
      <c r="K84" s="3">
        <v>9800</v>
      </c>
      <c r="L84" t="s">
        <v>30</v>
      </c>
      <c r="M84" t="s">
        <v>22</v>
      </c>
      <c r="N84" t="s">
        <v>52</v>
      </c>
      <c r="O84" t="s">
        <v>24</v>
      </c>
    </row>
    <row r="85" spans="1:15" x14ac:dyDescent="0.35">
      <c r="A85" t="s">
        <v>307</v>
      </c>
      <c r="B85" s="2">
        <v>46049</v>
      </c>
      <c r="C85" t="s">
        <v>308</v>
      </c>
      <c r="D85" t="s">
        <v>309</v>
      </c>
      <c r="E85" t="s">
        <v>190</v>
      </c>
      <c r="F85" t="s">
        <v>191</v>
      </c>
      <c r="G85" t="s">
        <v>34</v>
      </c>
      <c r="H85" t="s">
        <v>158</v>
      </c>
      <c r="I85">
        <v>10</v>
      </c>
      <c r="J85" s="3">
        <v>90200</v>
      </c>
      <c r="K85" s="3">
        <v>72100</v>
      </c>
      <c r="L85" t="s">
        <v>21</v>
      </c>
      <c r="M85" t="s">
        <v>22</v>
      </c>
      <c r="N85" t="s">
        <v>52</v>
      </c>
      <c r="O85" t="s">
        <v>45</v>
      </c>
    </row>
    <row r="86" spans="1:15" x14ac:dyDescent="0.35">
      <c r="A86" t="s">
        <v>310</v>
      </c>
      <c r="B86" s="2">
        <v>46253</v>
      </c>
      <c r="C86" t="s">
        <v>311</v>
      </c>
      <c r="D86" t="s">
        <v>312</v>
      </c>
      <c r="E86" t="s">
        <v>84</v>
      </c>
      <c r="F86" t="s">
        <v>85</v>
      </c>
      <c r="G86" t="s">
        <v>43</v>
      </c>
      <c r="H86" t="s">
        <v>44</v>
      </c>
      <c r="I86">
        <v>6</v>
      </c>
      <c r="J86" s="3">
        <v>15800</v>
      </c>
      <c r="K86" s="3">
        <v>9500</v>
      </c>
      <c r="L86" t="s">
        <v>96</v>
      </c>
      <c r="M86" t="s">
        <v>22</v>
      </c>
      <c r="N86" t="s">
        <v>23</v>
      </c>
      <c r="O86" t="s">
        <v>24</v>
      </c>
    </row>
    <row r="87" spans="1:15" x14ac:dyDescent="0.35">
      <c r="A87" t="s">
        <v>313</v>
      </c>
      <c r="B87" s="2">
        <v>46244</v>
      </c>
      <c r="C87" t="s">
        <v>314</v>
      </c>
      <c r="D87" t="s">
        <v>55</v>
      </c>
      <c r="E87" t="s">
        <v>84</v>
      </c>
      <c r="F87" t="s">
        <v>85</v>
      </c>
      <c r="G87" t="s">
        <v>19</v>
      </c>
      <c r="H87" t="s">
        <v>61</v>
      </c>
      <c r="I87">
        <v>6</v>
      </c>
      <c r="J87" s="3">
        <v>220000</v>
      </c>
      <c r="K87" s="3">
        <v>155200</v>
      </c>
      <c r="L87" t="s">
        <v>30</v>
      </c>
      <c r="M87" t="s">
        <v>31</v>
      </c>
      <c r="N87" t="s">
        <v>52</v>
      </c>
      <c r="O87" t="s">
        <v>91</v>
      </c>
    </row>
    <row r="88" spans="1:15" x14ac:dyDescent="0.35">
      <c r="A88" t="s">
        <v>315</v>
      </c>
      <c r="B88" s="2">
        <v>46281</v>
      </c>
      <c r="C88" t="s">
        <v>316</v>
      </c>
      <c r="D88" t="s">
        <v>317</v>
      </c>
      <c r="E88" t="s">
        <v>84</v>
      </c>
      <c r="F88" t="s">
        <v>85</v>
      </c>
      <c r="G88" t="s">
        <v>19</v>
      </c>
      <c r="H88" t="s">
        <v>61</v>
      </c>
      <c r="I88">
        <v>4</v>
      </c>
      <c r="J88" s="3">
        <v>231000</v>
      </c>
      <c r="K88" s="3">
        <v>164800</v>
      </c>
      <c r="L88" t="s">
        <v>50</v>
      </c>
      <c r="M88" t="s">
        <v>31</v>
      </c>
      <c r="N88" t="s">
        <v>87</v>
      </c>
      <c r="O88" t="s">
        <v>45</v>
      </c>
    </row>
    <row r="89" spans="1:15" x14ac:dyDescent="0.35">
      <c r="A89" t="s">
        <v>318</v>
      </c>
      <c r="B89" s="2">
        <v>46045</v>
      </c>
      <c r="C89" t="s">
        <v>319</v>
      </c>
      <c r="D89" t="s">
        <v>152</v>
      </c>
      <c r="E89" t="s">
        <v>18</v>
      </c>
      <c r="F89" t="s">
        <v>18</v>
      </c>
      <c r="G89" t="s">
        <v>43</v>
      </c>
      <c r="H89" t="s">
        <v>49</v>
      </c>
      <c r="I89">
        <v>7</v>
      </c>
      <c r="J89" s="3">
        <v>9000</v>
      </c>
      <c r="K89" s="3">
        <v>5800</v>
      </c>
      <c r="L89" t="s">
        <v>96</v>
      </c>
      <c r="M89" t="s">
        <v>22</v>
      </c>
      <c r="N89" t="s">
        <v>52</v>
      </c>
      <c r="O89" t="s">
        <v>24</v>
      </c>
    </row>
    <row r="90" spans="1:15" x14ac:dyDescent="0.35">
      <c r="A90" t="s">
        <v>320</v>
      </c>
      <c r="B90" s="2">
        <v>46126</v>
      </c>
      <c r="C90" t="s">
        <v>47</v>
      </c>
      <c r="D90" t="s">
        <v>321</v>
      </c>
      <c r="E90" t="s">
        <v>70</v>
      </c>
      <c r="F90" t="s">
        <v>71</v>
      </c>
      <c r="G90" t="s">
        <v>34</v>
      </c>
      <c r="H90" t="s">
        <v>35</v>
      </c>
      <c r="I90">
        <v>3</v>
      </c>
      <c r="J90" s="3">
        <v>57800</v>
      </c>
      <c r="K90" s="3">
        <v>37800</v>
      </c>
      <c r="L90" t="s">
        <v>21</v>
      </c>
      <c r="M90" t="s">
        <v>37</v>
      </c>
      <c r="N90" t="s">
        <v>23</v>
      </c>
      <c r="O90" t="s">
        <v>24</v>
      </c>
    </row>
    <row r="91" spans="1:15" x14ac:dyDescent="0.35">
      <c r="A91" t="s">
        <v>322</v>
      </c>
      <c r="B91" s="2">
        <v>46352</v>
      </c>
      <c r="C91" t="s">
        <v>323</v>
      </c>
      <c r="D91" t="s">
        <v>324</v>
      </c>
      <c r="E91" t="s">
        <v>70</v>
      </c>
      <c r="F91" t="s">
        <v>71</v>
      </c>
      <c r="G91" t="s">
        <v>28</v>
      </c>
      <c r="H91" t="s">
        <v>72</v>
      </c>
      <c r="I91">
        <v>10</v>
      </c>
      <c r="J91" s="3">
        <v>10500</v>
      </c>
      <c r="K91" s="3">
        <v>6200</v>
      </c>
      <c r="L91" t="s">
        <v>21</v>
      </c>
      <c r="M91" t="s">
        <v>22</v>
      </c>
      <c r="N91" t="s">
        <v>23</v>
      </c>
      <c r="O91" t="s">
        <v>24</v>
      </c>
    </row>
    <row r="92" spans="1:15" x14ac:dyDescent="0.35">
      <c r="A92" t="s">
        <v>325</v>
      </c>
      <c r="B92" s="2">
        <v>46316</v>
      </c>
      <c r="C92" t="s">
        <v>326</v>
      </c>
      <c r="D92" t="s">
        <v>327</v>
      </c>
      <c r="E92" t="s">
        <v>18</v>
      </c>
      <c r="F92" t="s">
        <v>18</v>
      </c>
      <c r="G92" t="s">
        <v>19</v>
      </c>
      <c r="H92" t="s">
        <v>166</v>
      </c>
      <c r="I92">
        <v>2</v>
      </c>
      <c r="J92" s="3">
        <v>140000</v>
      </c>
      <c r="K92" s="3">
        <v>103000</v>
      </c>
      <c r="L92" t="s">
        <v>96</v>
      </c>
      <c r="M92" t="s">
        <v>31</v>
      </c>
      <c r="N92" t="s">
        <v>23</v>
      </c>
      <c r="O92" t="s">
        <v>91</v>
      </c>
    </row>
    <row r="93" spans="1:15" x14ac:dyDescent="0.35">
      <c r="A93" t="s">
        <v>328</v>
      </c>
      <c r="B93" s="2">
        <v>46150</v>
      </c>
      <c r="C93" t="s">
        <v>136</v>
      </c>
      <c r="D93" t="s">
        <v>329</v>
      </c>
      <c r="E93" t="s">
        <v>18</v>
      </c>
      <c r="F93" t="s">
        <v>18</v>
      </c>
      <c r="G93" t="s">
        <v>43</v>
      </c>
      <c r="H93" t="s">
        <v>49</v>
      </c>
      <c r="I93">
        <v>6</v>
      </c>
      <c r="J93" s="3">
        <v>9000</v>
      </c>
      <c r="K93" s="3">
        <v>6000</v>
      </c>
      <c r="L93" t="s">
        <v>50</v>
      </c>
      <c r="M93" t="s">
        <v>22</v>
      </c>
      <c r="N93" t="s">
        <v>52</v>
      </c>
      <c r="O93" t="s">
        <v>24</v>
      </c>
    </row>
    <row r="94" spans="1:15" x14ac:dyDescent="0.35">
      <c r="A94" t="s">
        <v>330</v>
      </c>
      <c r="B94" s="2">
        <v>46045</v>
      </c>
      <c r="C94" t="s">
        <v>331</v>
      </c>
      <c r="D94" t="s">
        <v>332</v>
      </c>
      <c r="E94" t="s">
        <v>18</v>
      </c>
      <c r="F94" t="s">
        <v>18</v>
      </c>
      <c r="G94" t="s">
        <v>34</v>
      </c>
      <c r="H94" t="s">
        <v>35</v>
      </c>
      <c r="I94">
        <v>9</v>
      </c>
      <c r="J94" s="3">
        <v>57800</v>
      </c>
      <c r="K94" s="3">
        <v>37800</v>
      </c>
      <c r="L94" t="s">
        <v>66</v>
      </c>
      <c r="M94" t="s">
        <v>37</v>
      </c>
      <c r="N94" t="s">
        <v>52</v>
      </c>
      <c r="O94" t="s">
        <v>24</v>
      </c>
    </row>
    <row r="95" spans="1:15" x14ac:dyDescent="0.35">
      <c r="A95" t="s">
        <v>333</v>
      </c>
      <c r="B95" s="2">
        <v>46276</v>
      </c>
      <c r="C95" t="s">
        <v>334</v>
      </c>
      <c r="D95" t="s">
        <v>335</v>
      </c>
      <c r="E95" t="s">
        <v>18</v>
      </c>
      <c r="F95" t="s">
        <v>18</v>
      </c>
      <c r="G95" t="s">
        <v>34</v>
      </c>
      <c r="H95" t="s">
        <v>95</v>
      </c>
      <c r="I95">
        <v>2</v>
      </c>
      <c r="J95" s="3">
        <v>472500</v>
      </c>
      <c r="K95" s="3">
        <v>358900</v>
      </c>
      <c r="L95" t="s">
        <v>80</v>
      </c>
      <c r="M95" t="s">
        <v>31</v>
      </c>
      <c r="N95" t="s">
        <v>23</v>
      </c>
      <c r="O95" t="s">
        <v>24</v>
      </c>
    </row>
    <row r="96" spans="1:15" x14ac:dyDescent="0.35">
      <c r="A96" t="s">
        <v>336</v>
      </c>
      <c r="B96" s="2">
        <v>46133</v>
      </c>
      <c r="C96" t="s">
        <v>337</v>
      </c>
      <c r="D96" t="s">
        <v>149</v>
      </c>
      <c r="E96" t="s">
        <v>84</v>
      </c>
      <c r="F96" t="s">
        <v>85</v>
      </c>
      <c r="G96" t="s">
        <v>43</v>
      </c>
      <c r="H96" t="s">
        <v>162</v>
      </c>
      <c r="I96">
        <v>10</v>
      </c>
      <c r="J96" s="3">
        <v>8000</v>
      </c>
      <c r="K96" s="3">
        <v>5200</v>
      </c>
      <c r="L96" t="s">
        <v>73</v>
      </c>
      <c r="M96" t="s">
        <v>31</v>
      </c>
      <c r="N96" t="s">
        <v>23</v>
      </c>
      <c r="O96" t="s">
        <v>24</v>
      </c>
    </row>
    <row r="97" spans="1:15" x14ac:dyDescent="0.35">
      <c r="A97" t="s">
        <v>338</v>
      </c>
      <c r="B97" s="2">
        <v>46064</v>
      </c>
      <c r="C97" t="s">
        <v>339</v>
      </c>
      <c r="D97" t="s">
        <v>340</v>
      </c>
      <c r="E97" t="s">
        <v>41</v>
      </c>
      <c r="F97" t="s">
        <v>42</v>
      </c>
      <c r="G97" t="s">
        <v>43</v>
      </c>
      <c r="H97" t="s">
        <v>177</v>
      </c>
      <c r="I97">
        <v>3</v>
      </c>
      <c r="J97" s="3">
        <v>18000</v>
      </c>
      <c r="K97" s="3">
        <v>12100</v>
      </c>
      <c r="L97" t="s">
        <v>96</v>
      </c>
      <c r="M97" t="s">
        <v>31</v>
      </c>
      <c r="N97" t="s">
        <v>23</v>
      </c>
      <c r="O97" t="s">
        <v>24</v>
      </c>
    </row>
    <row r="98" spans="1:15" x14ac:dyDescent="0.35">
      <c r="A98" t="s">
        <v>341</v>
      </c>
      <c r="B98" s="2">
        <v>46247</v>
      </c>
      <c r="C98" t="s">
        <v>264</v>
      </c>
      <c r="D98" t="s">
        <v>342</v>
      </c>
      <c r="E98" t="s">
        <v>56</v>
      </c>
      <c r="F98" t="s">
        <v>57</v>
      </c>
      <c r="G98" t="s">
        <v>19</v>
      </c>
      <c r="H98" t="s">
        <v>61</v>
      </c>
      <c r="I98">
        <v>5</v>
      </c>
      <c r="J98" s="3">
        <v>220000</v>
      </c>
      <c r="K98" s="3">
        <v>164800</v>
      </c>
      <c r="L98" t="s">
        <v>30</v>
      </c>
      <c r="M98" t="s">
        <v>37</v>
      </c>
      <c r="N98" t="s">
        <v>23</v>
      </c>
      <c r="O98" t="s">
        <v>91</v>
      </c>
    </row>
    <row r="99" spans="1:15" x14ac:dyDescent="0.35">
      <c r="A99" t="s">
        <v>343</v>
      </c>
      <c r="B99" s="2">
        <v>46189</v>
      </c>
      <c r="C99" t="s">
        <v>344</v>
      </c>
      <c r="D99" t="s">
        <v>345</v>
      </c>
      <c r="E99" t="s">
        <v>18</v>
      </c>
      <c r="F99" t="s">
        <v>18</v>
      </c>
      <c r="G99" t="s">
        <v>43</v>
      </c>
      <c r="H99" t="s">
        <v>79</v>
      </c>
      <c r="I99">
        <v>2</v>
      </c>
      <c r="J99" s="3">
        <v>6000</v>
      </c>
      <c r="K99" s="3">
        <v>4300</v>
      </c>
      <c r="L99" t="s">
        <v>21</v>
      </c>
      <c r="M99" t="s">
        <v>51</v>
      </c>
      <c r="N99" t="s">
        <v>23</v>
      </c>
      <c r="O99" t="s">
        <v>24</v>
      </c>
    </row>
    <row r="100" spans="1:15" x14ac:dyDescent="0.35">
      <c r="A100" t="s">
        <v>346</v>
      </c>
      <c r="B100" s="2">
        <v>46203</v>
      </c>
      <c r="C100" t="s">
        <v>347</v>
      </c>
      <c r="D100" t="s">
        <v>348</v>
      </c>
      <c r="E100" t="s">
        <v>156</v>
      </c>
      <c r="F100" t="s">
        <v>170</v>
      </c>
      <c r="G100" t="s">
        <v>43</v>
      </c>
      <c r="H100" t="s">
        <v>44</v>
      </c>
      <c r="I100">
        <v>5</v>
      </c>
      <c r="J100" s="3">
        <v>15000</v>
      </c>
      <c r="K100" s="3">
        <v>9500</v>
      </c>
      <c r="L100" t="s">
        <v>80</v>
      </c>
      <c r="M100" t="s">
        <v>31</v>
      </c>
      <c r="N100" t="s">
        <v>52</v>
      </c>
      <c r="O100" t="s">
        <v>45</v>
      </c>
    </row>
    <row r="101" spans="1:15" x14ac:dyDescent="0.35">
      <c r="A101" t="s">
        <v>349</v>
      </c>
      <c r="B101" s="2">
        <v>46205</v>
      </c>
      <c r="C101" t="s">
        <v>350</v>
      </c>
      <c r="D101" t="s">
        <v>351</v>
      </c>
      <c r="E101" t="s">
        <v>77</v>
      </c>
      <c r="F101" t="s">
        <v>78</v>
      </c>
      <c r="G101" t="s">
        <v>19</v>
      </c>
      <c r="H101" t="s">
        <v>61</v>
      </c>
      <c r="I101">
        <v>8</v>
      </c>
      <c r="J101" s="3">
        <v>209000</v>
      </c>
      <c r="K101" s="3">
        <v>160000</v>
      </c>
      <c r="L101" t="s">
        <v>73</v>
      </c>
      <c r="M101" t="s">
        <v>37</v>
      </c>
      <c r="N101" t="s">
        <v>23</v>
      </c>
      <c r="O101" t="s">
        <v>45</v>
      </c>
    </row>
    <row r="102" spans="1:15" x14ac:dyDescent="0.35">
      <c r="A102" t="s">
        <v>352</v>
      </c>
      <c r="B102" s="2">
        <v>46295</v>
      </c>
      <c r="C102" t="s">
        <v>353</v>
      </c>
      <c r="D102" t="s">
        <v>354</v>
      </c>
      <c r="E102" t="s">
        <v>18</v>
      </c>
      <c r="F102" t="s">
        <v>18</v>
      </c>
      <c r="G102" t="s">
        <v>28</v>
      </c>
      <c r="H102" t="s">
        <v>65</v>
      </c>
      <c r="I102">
        <v>4</v>
      </c>
      <c r="J102" s="3">
        <v>12000</v>
      </c>
      <c r="K102" s="3">
        <v>7700</v>
      </c>
      <c r="L102" t="s">
        <v>66</v>
      </c>
      <c r="M102" t="s">
        <v>31</v>
      </c>
      <c r="N102" t="s">
        <v>23</v>
      </c>
      <c r="O102" t="s">
        <v>24</v>
      </c>
    </row>
    <row r="103" spans="1:15" x14ac:dyDescent="0.35">
      <c r="A103" t="s">
        <v>355</v>
      </c>
      <c r="B103" s="2">
        <v>46127</v>
      </c>
      <c r="C103" t="s">
        <v>104</v>
      </c>
      <c r="D103" t="s">
        <v>356</v>
      </c>
      <c r="E103" t="s">
        <v>18</v>
      </c>
      <c r="F103" t="s">
        <v>18</v>
      </c>
      <c r="G103" t="s">
        <v>34</v>
      </c>
      <c r="H103" t="s">
        <v>86</v>
      </c>
      <c r="I103">
        <v>9</v>
      </c>
      <c r="J103" s="3">
        <v>180000</v>
      </c>
      <c r="K103" s="3">
        <v>135000</v>
      </c>
      <c r="L103" t="s">
        <v>36</v>
      </c>
      <c r="M103" t="s">
        <v>37</v>
      </c>
      <c r="N103" t="s">
        <v>87</v>
      </c>
      <c r="O103" t="s">
        <v>45</v>
      </c>
    </row>
    <row r="104" spans="1:15" x14ac:dyDescent="0.35">
      <c r="A104" t="s">
        <v>357</v>
      </c>
      <c r="B104" s="2">
        <v>46113</v>
      </c>
      <c r="C104" t="s">
        <v>358</v>
      </c>
      <c r="D104" t="s">
        <v>359</v>
      </c>
      <c r="E104" t="s">
        <v>41</v>
      </c>
      <c r="F104" t="s">
        <v>42</v>
      </c>
      <c r="G104" t="s">
        <v>19</v>
      </c>
      <c r="H104" t="s">
        <v>20</v>
      </c>
      <c r="I104">
        <v>1</v>
      </c>
      <c r="J104" s="3"/>
      <c r="K104" s="3">
        <v>45000</v>
      </c>
      <c r="L104" t="s">
        <v>36</v>
      </c>
      <c r="M104" t="s">
        <v>37</v>
      </c>
      <c r="N104" t="s">
        <v>52</v>
      </c>
      <c r="O104" t="s">
        <v>24</v>
      </c>
    </row>
    <row r="105" spans="1:15" x14ac:dyDescent="0.35">
      <c r="A105" t="s">
        <v>360</v>
      </c>
      <c r="B105" s="2">
        <v>46212</v>
      </c>
      <c r="C105" t="s">
        <v>361</v>
      </c>
      <c r="D105" t="s">
        <v>362</v>
      </c>
      <c r="E105" t="s">
        <v>84</v>
      </c>
      <c r="F105" t="s">
        <v>85</v>
      </c>
      <c r="G105" t="s">
        <v>34</v>
      </c>
      <c r="H105" t="s">
        <v>141</v>
      </c>
      <c r="I105">
        <v>8</v>
      </c>
      <c r="J105" s="3">
        <v>160000</v>
      </c>
      <c r="K105" s="3">
        <v>120000</v>
      </c>
      <c r="L105" t="s">
        <v>30</v>
      </c>
      <c r="M105" t="s">
        <v>37</v>
      </c>
      <c r="N105" t="s">
        <v>52</v>
      </c>
      <c r="O105" t="s">
        <v>45</v>
      </c>
    </row>
    <row r="106" spans="1:15" x14ac:dyDescent="0.35">
      <c r="A106" t="s">
        <v>363</v>
      </c>
      <c r="B106" s="2">
        <v>46382</v>
      </c>
      <c r="C106" t="s">
        <v>364</v>
      </c>
      <c r="D106" t="s">
        <v>247</v>
      </c>
      <c r="E106" t="s">
        <v>77</v>
      </c>
      <c r="F106" t="s">
        <v>78</v>
      </c>
      <c r="G106" t="s">
        <v>34</v>
      </c>
      <c r="H106" t="s">
        <v>141</v>
      </c>
      <c r="I106">
        <v>1</v>
      </c>
      <c r="J106" s="3">
        <v>152000</v>
      </c>
      <c r="K106" s="3">
        <v>116400</v>
      </c>
      <c r="L106" t="s">
        <v>21</v>
      </c>
      <c r="M106" t="s">
        <v>22</v>
      </c>
      <c r="N106" t="s">
        <v>23</v>
      </c>
      <c r="O106" t="s">
        <v>24</v>
      </c>
    </row>
    <row r="107" spans="1:15" x14ac:dyDescent="0.35">
      <c r="A107" t="s">
        <v>365</v>
      </c>
      <c r="B107" s="2">
        <v>46243</v>
      </c>
      <c r="C107" t="s">
        <v>366</v>
      </c>
      <c r="D107" t="s">
        <v>367</v>
      </c>
      <c r="E107" t="s">
        <v>18</v>
      </c>
      <c r="F107" t="s">
        <v>18</v>
      </c>
      <c r="G107" t="s">
        <v>368</v>
      </c>
      <c r="H107" t="s">
        <v>95</v>
      </c>
      <c r="I107">
        <v>6</v>
      </c>
      <c r="J107" s="3">
        <v>450000</v>
      </c>
      <c r="K107" s="3">
        <v>370000</v>
      </c>
      <c r="L107" t="s">
        <v>66</v>
      </c>
      <c r="M107" t="s">
        <v>22</v>
      </c>
      <c r="N107" t="s">
        <v>23</v>
      </c>
      <c r="O107" t="s">
        <v>24</v>
      </c>
    </row>
    <row r="108" spans="1:15" x14ac:dyDescent="0.35">
      <c r="A108" t="s">
        <v>369</v>
      </c>
      <c r="B108" s="2">
        <v>46351</v>
      </c>
      <c r="C108" t="s">
        <v>370</v>
      </c>
      <c r="D108" t="s">
        <v>371</v>
      </c>
      <c r="E108" t="s">
        <v>70</v>
      </c>
      <c r="F108" t="s">
        <v>71</v>
      </c>
      <c r="G108" t="s">
        <v>43</v>
      </c>
      <c r="H108" t="s">
        <v>44</v>
      </c>
      <c r="I108">
        <v>1</v>
      </c>
      <c r="J108" s="3">
        <v>15800</v>
      </c>
      <c r="K108" s="3">
        <v>9200</v>
      </c>
      <c r="L108" t="s">
        <v>80</v>
      </c>
      <c r="M108" t="s">
        <v>37</v>
      </c>
      <c r="N108" t="s">
        <v>23</v>
      </c>
      <c r="O108" t="s">
        <v>45</v>
      </c>
    </row>
    <row r="109" spans="1:15" x14ac:dyDescent="0.35">
      <c r="A109" t="s">
        <v>372</v>
      </c>
      <c r="B109" s="2">
        <v>46311</v>
      </c>
      <c r="C109" t="s">
        <v>373</v>
      </c>
      <c r="D109" t="s">
        <v>374</v>
      </c>
      <c r="E109" t="s">
        <v>156</v>
      </c>
      <c r="F109" t="s">
        <v>170</v>
      </c>
      <c r="G109" t="s">
        <v>34</v>
      </c>
      <c r="H109" t="s">
        <v>158</v>
      </c>
      <c r="I109">
        <v>10</v>
      </c>
      <c r="J109" s="3">
        <v>99800</v>
      </c>
      <c r="K109" s="3">
        <v>70000</v>
      </c>
      <c r="L109" t="s">
        <v>30</v>
      </c>
      <c r="M109" t="s">
        <v>37</v>
      </c>
      <c r="N109" t="s">
        <v>87</v>
      </c>
      <c r="O109" t="s">
        <v>24</v>
      </c>
    </row>
    <row r="110" spans="1:15" x14ac:dyDescent="0.35">
      <c r="A110" t="s">
        <v>375</v>
      </c>
      <c r="B110" s="2">
        <v>46352</v>
      </c>
      <c r="C110" t="s">
        <v>376</v>
      </c>
      <c r="D110" t="s">
        <v>377</v>
      </c>
      <c r="E110" t="s">
        <v>18</v>
      </c>
      <c r="F110" t="s">
        <v>18</v>
      </c>
      <c r="G110" t="s">
        <v>19</v>
      </c>
      <c r="H110" t="s">
        <v>166</v>
      </c>
      <c r="I110">
        <v>1</v>
      </c>
      <c r="J110" s="3">
        <v>140000</v>
      </c>
      <c r="K110" s="3">
        <v>103000</v>
      </c>
      <c r="L110" t="s">
        <v>36</v>
      </c>
      <c r="M110" t="s">
        <v>51</v>
      </c>
      <c r="N110" t="s">
        <v>52</v>
      </c>
      <c r="O110" t="s">
        <v>24</v>
      </c>
    </row>
    <row r="111" spans="1:15" x14ac:dyDescent="0.35">
      <c r="A111" t="s">
        <v>378</v>
      </c>
      <c r="B111" s="2">
        <v>46256</v>
      </c>
      <c r="C111" t="s">
        <v>379</v>
      </c>
      <c r="D111" t="s">
        <v>380</v>
      </c>
      <c r="E111" t="s">
        <v>84</v>
      </c>
      <c r="F111" t="s">
        <v>85</v>
      </c>
      <c r="G111" t="s">
        <v>28</v>
      </c>
      <c r="H111" t="s">
        <v>131</v>
      </c>
      <c r="I111">
        <v>6</v>
      </c>
      <c r="J111" s="3">
        <v>30000</v>
      </c>
      <c r="K111" s="3">
        <v>18400</v>
      </c>
      <c r="L111" t="s">
        <v>21</v>
      </c>
      <c r="M111" t="s">
        <v>31</v>
      </c>
      <c r="N111" t="s">
        <v>23</v>
      </c>
      <c r="O111" t="s">
        <v>24</v>
      </c>
    </row>
    <row r="112" spans="1:15" x14ac:dyDescent="0.35">
      <c r="A112" t="s">
        <v>381</v>
      </c>
      <c r="B112" s="2">
        <v>46117</v>
      </c>
      <c r="C112" t="s">
        <v>382</v>
      </c>
      <c r="D112" t="s">
        <v>383</v>
      </c>
      <c r="E112" t="s">
        <v>70</v>
      </c>
      <c r="F112" t="s">
        <v>71</v>
      </c>
      <c r="G112" t="s">
        <v>34</v>
      </c>
      <c r="H112" t="s">
        <v>158</v>
      </c>
      <c r="I112">
        <v>4</v>
      </c>
      <c r="J112" s="3">
        <v>95000</v>
      </c>
      <c r="K112" s="3">
        <v>70000</v>
      </c>
      <c r="L112" t="s">
        <v>36</v>
      </c>
      <c r="M112" t="s">
        <v>31</v>
      </c>
      <c r="N112" t="s">
        <v>52</v>
      </c>
      <c r="O112" t="s">
        <v>24</v>
      </c>
    </row>
    <row r="113" spans="1:15" x14ac:dyDescent="0.35">
      <c r="A113" t="s">
        <v>384</v>
      </c>
      <c r="B113" s="2">
        <v>46079</v>
      </c>
      <c r="C113" t="s">
        <v>283</v>
      </c>
      <c r="D113" t="s">
        <v>385</v>
      </c>
      <c r="E113" t="s">
        <v>18</v>
      </c>
      <c r="F113" t="s">
        <v>18</v>
      </c>
      <c r="G113" t="s">
        <v>28</v>
      </c>
      <c r="H113" t="s">
        <v>29</v>
      </c>
      <c r="I113">
        <v>1</v>
      </c>
      <c r="J113" s="3">
        <v>7400</v>
      </c>
      <c r="K113" s="3">
        <v>4000</v>
      </c>
      <c r="L113" t="s">
        <v>66</v>
      </c>
      <c r="M113" t="s">
        <v>37</v>
      </c>
      <c r="N113" t="s">
        <v>23</v>
      </c>
      <c r="O113" t="s">
        <v>45</v>
      </c>
    </row>
    <row r="114" spans="1:15" x14ac:dyDescent="0.35">
      <c r="A114" t="s">
        <v>386</v>
      </c>
      <c r="B114" s="2">
        <v>46260</v>
      </c>
      <c r="C114" t="s">
        <v>387</v>
      </c>
      <c r="D114" t="s">
        <v>388</v>
      </c>
      <c r="E114" t="s">
        <v>156</v>
      </c>
      <c r="F114" t="s">
        <v>157</v>
      </c>
      <c r="G114" t="s">
        <v>43</v>
      </c>
      <c r="H114" t="s">
        <v>49</v>
      </c>
      <c r="I114">
        <v>1</v>
      </c>
      <c r="J114" s="3">
        <v>8600</v>
      </c>
      <c r="K114" s="3">
        <v>6000</v>
      </c>
      <c r="L114" t="s">
        <v>30</v>
      </c>
      <c r="M114" t="s">
        <v>31</v>
      </c>
      <c r="N114" t="s">
        <v>23</v>
      </c>
      <c r="O114" t="s">
        <v>24</v>
      </c>
    </row>
    <row r="115" spans="1:15" x14ac:dyDescent="0.35">
      <c r="A115" t="s">
        <v>389</v>
      </c>
      <c r="B115" s="2">
        <v>46135</v>
      </c>
      <c r="C115" t="s">
        <v>390</v>
      </c>
      <c r="D115" t="s">
        <v>391</v>
      </c>
      <c r="E115" t="s">
        <v>18</v>
      </c>
      <c r="F115" t="s">
        <v>18</v>
      </c>
      <c r="G115" t="s">
        <v>34</v>
      </c>
      <c r="H115" t="s">
        <v>141</v>
      </c>
      <c r="I115">
        <v>7</v>
      </c>
      <c r="J115" s="3">
        <v>152000</v>
      </c>
      <c r="K115" s="3">
        <v>116400</v>
      </c>
      <c r="L115" t="s">
        <v>66</v>
      </c>
      <c r="M115" t="s">
        <v>51</v>
      </c>
      <c r="N115" t="s">
        <v>52</v>
      </c>
      <c r="O115" t="s">
        <v>24</v>
      </c>
    </row>
    <row r="116" spans="1:15" x14ac:dyDescent="0.35">
      <c r="A116" t="s">
        <v>392</v>
      </c>
      <c r="B116" s="2">
        <v>46295</v>
      </c>
      <c r="C116" t="s">
        <v>393</v>
      </c>
      <c r="D116" t="s">
        <v>394</v>
      </c>
      <c r="E116" t="s">
        <v>77</v>
      </c>
      <c r="F116" t="s">
        <v>78</v>
      </c>
      <c r="G116" t="s">
        <v>28</v>
      </c>
      <c r="H116" t="s">
        <v>29</v>
      </c>
      <c r="I116">
        <v>9</v>
      </c>
      <c r="J116" s="3">
        <v>7400</v>
      </c>
      <c r="K116" s="3">
        <v>3900</v>
      </c>
      <c r="L116" t="s">
        <v>80</v>
      </c>
      <c r="M116" t="s">
        <v>51</v>
      </c>
      <c r="N116" t="s">
        <v>87</v>
      </c>
      <c r="O116" t="s">
        <v>24</v>
      </c>
    </row>
    <row r="117" spans="1:15" x14ac:dyDescent="0.35">
      <c r="A117" t="s">
        <v>395</v>
      </c>
      <c r="B117" s="2">
        <v>46093</v>
      </c>
      <c r="C117" t="s">
        <v>396</v>
      </c>
      <c r="D117" t="s">
        <v>397</v>
      </c>
      <c r="E117" t="s">
        <v>41</v>
      </c>
      <c r="F117" t="s">
        <v>42</v>
      </c>
      <c r="G117" t="s">
        <v>19</v>
      </c>
      <c r="H117" t="s">
        <v>166</v>
      </c>
      <c r="I117">
        <v>9</v>
      </c>
      <c r="J117" s="3">
        <v>140000</v>
      </c>
      <c r="K117" s="3">
        <v>100000</v>
      </c>
      <c r="L117" t="s">
        <v>21</v>
      </c>
      <c r="M117" t="s">
        <v>22</v>
      </c>
      <c r="N117" t="s">
        <v>87</v>
      </c>
      <c r="O117" t="s">
        <v>24</v>
      </c>
    </row>
    <row r="118" spans="1:15" x14ac:dyDescent="0.35">
      <c r="A118" t="s">
        <v>398</v>
      </c>
      <c r="B118" s="2">
        <v>46237</v>
      </c>
      <c r="C118" t="s">
        <v>399</v>
      </c>
      <c r="D118" t="s">
        <v>400</v>
      </c>
      <c r="E118" t="s">
        <v>156</v>
      </c>
      <c r="F118" t="s">
        <v>157</v>
      </c>
      <c r="G118" t="s">
        <v>28</v>
      </c>
      <c r="H118" t="s">
        <v>131</v>
      </c>
      <c r="I118">
        <v>4</v>
      </c>
      <c r="J118" s="3">
        <v>30000</v>
      </c>
      <c r="K118" s="3">
        <v>19000</v>
      </c>
      <c r="L118" t="s">
        <v>66</v>
      </c>
      <c r="M118" t="s">
        <v>37</v>
      </c>
      <c r="N118" t="s">
        <v>23</v>
      </c>
      <c r="O118" t="s">
        <v>24</v>
      </c>
    </row>
    <row r="119" spans="1:15" x14ac:dyDescent="0.35">
      <c r="A119" t="s">
        <v>401</v>
      </c>
      <c r="B119" s="2">
        <v>46278</v>
      </c>
      <c r="C119" t="s">
        <v>402</v>
      </c>
      <c r="D119" t="s">
        <v>403</v>
      </c>
      <c r="E119" t="s">
        <v>190</v>
      </c>
      <c r="F119" t="s">
        <v>191</v>
      </c>
      <c r="G119" t="s">
        <v>28</v>
      </c>
      <c r="H119" t="s">
        <v>248</v>
      </c>
      <c r="I119">
        <v>7</v>
      </c>
      <c r="J119" s="3">
        <v>26200</v>
      </c>
      <c r="K119" s="3">
        <v>15500</v>
      </c>
      <c r="L119" t="s">
        <v>21</v>
      </c>
      <c r="M119" t="s">
        <v>37</v>
      </c>
      <c r="N119" t="s">
        <v>23</v>
      </c>
      <c r="O119" t="s">
        <v>24</v>
      </c>
    </row>
    <row r="120" spans="1:15" x14ac:dyDescent="0.35">
      <c r="A120" t="s">
        <v>404</v>
      </c>
      <c r="B120" s="2">
        <v>46329</v>
      </c>
      <c r="C120" t="s">
        <v>405</v>
      </c>
      <c r="D120" t="s">
        <v>406</v>
      </c>
      <c r="E120" t="s">
        <v>41</v>
      </c>
      <c r="F120" t="s">
        <v>42</v>
      </c>
      <c r="G120" t="s">
        <v>34</v>
      </c>
      <c r="H120" t="s">
        <v>35</v>
      </c>
      <c r="I120">
        <v>2</v>
      </c>
      <c r="J120" s="3">
        <v>52200</v>
      </c>
      <c r="K120" s="3">
        <v>40200</v>
      </c>
      <c r="L120" t="s">
        <v>50</v>
      </c>
      <c r="M120" t="s">
        <v>51</v>
      </c>
      <c r="N120" t="s">
        <v>23</v>
      </c>
      <c r="O120" t="s">
        <v>24</v>
      </c>
    </row>
    <row r="121" spans="1:15" x14ac:dyDescent="0.35">
      <c r="A121" t="s">
        <v>407</v>
      </c>
      <c r="B121" s="2">
        <v>46379</v>
      </c>
      <c r="C121" t="s">
        <v>54</v>
      </c>
      <c r="D121" t="s">
        <v>408</v>
      </c>
      <c r="E121" t="s">
        <v>18</v>
      </c>
      <c r="F121" t="s">
        <v>18</v>
      </c>
      <c r="G121" t="s">
        <v>34</v>
      </c>
      <c r="H121" t="s">
        <v>141</v>
      </c>
      <c r="I121">
        <v>6</v>
      </c>
      <c r="J121" s="3">
        <v>160000</v>
      </c>
      <c r="K121" s="3">
        <v>120000</v>
      </c>
      <c r="L121" t="s">
        <v>36</v>
      </c>
      <c r="M121" t="s">
        <v>51</v>
      </c>
      <c r="N121" t="s">
        <v>52</v>
      </c>
      <c r="O121" t="s">
        <v>24</v>
      </c>
    </row>
    <row r="122" spans="1:15" x14ac:dyDescent="0.35">
      <c r="A122" t="s">
        <v>409</v>
      </c>
      <c r="B122" s="2">
        <v>46299</v>
      </c>
      <c r="C122" t="s">
        <v>410</v>
      </c>
      <c r="D122" t="s">
        <v>411</v>
      </c>
      <c r="E122" t="s">
        <v>18</v>
      </c>
      <c r="F122" t="s">
        <v>18</v>
      </c>
      <c r="G122" t="s">
        <v>34</v>
      </c>
      <c r="H122" t="s">
        <v>95</v>
      </c>
      <c r="I122">
        <v>3</v>
      </c>
      <c r="J122" s="3">
        <v>472500</v>
      </c>
      <c r="K122" s="3">
        <v>358900</v>
      </c>
      <c r="L122" t="s">
        <v>80</v>
      </c>
      <c r="M122" t="s">
        <v>51</v>
      </c>
      <c r="N122" t="s">
        <v>23</v>
      </c>
      <c r="O122" t="s">
        <v>24</v>
      </c>
    </row>
    <row r="123" spans="1:15" x14ac:dyDescent="0.35">
      <c r="A123" t="s">
        <v>412</v>
      </c>
      <c r="B123" s="2">
        <v>46322</v>
      </c>
      <c r="C123" t="s">
        <v>413</v>
      </c>
      <c r="D123" t="s">
        <v>414</v>
      </c>
      <c r="E123" t="s">
        <v>190</v>
      </c>
      <c r="F123" t="s">
        <v>191</v>
      </c>
      <c r="G123" t="s">
        <v>34</v>
      </c>
      <c r="H123" t="s">
        <v>158</v>
      </c>
      <c r="I123">
        <v>7</v>
      </c>
      <c r="J123" s="3">
        <v>90200</v>
      </c>
      <c r="K123" s="3">
        <v>70000</v>
      </c>
      <c r="L123" t="s">
        <v>21</v>
      </c>
      <c r="M123" t="s">
        <v>37</v>
      </c>
      <c r="N123" t="s">
        <v>87</v>
      </c>
      <c r="O123" t="s">
        <v>91</v>
      </c>
    </row>
    <row r="124" spans="1:15" x14ac:dyDescent="0.35">
      <c r="A124" t="s">
        <v>415</v>
      </c>
      <c r="B124" s="2">
        <v>46072</v>
      </c>
      <c r="C124" t="s">
        <v>416</v>
      </c>
      <c r="D124" t="s">
        <v>417</v>
      </c>
      <c r="E124" t="s">
        <v>41</v>
      </c>
      <c r="F124" t="s">
        <v>42</v>
      </c>
      <c r="G124" t="s">
        <v>34</v>
      </c>
      <c r="H124" t="s">
        <v>86</v>
      </c>
      <c r="I124">
        <v>5</v>
      </c>
      <c r="J124" s="3">
        <v>180000</v>
      </c>
      <c r="K124" s="3">
        <v>139000</v>
      </c>
      <c r="L124" t="s">
        <v>73</v>
      </c>
      <c r="M124" t="s">
        <v>22</v>
      </c>
      <c r="N124" t="s">
        <v>52</v>
      </c>
      <c r="O124" t="s">
        <v>24</v>
      </c>
    </row>
    <row r="125" spans="1:15" x14ac:dyDescent="0.35">
      <c r="A125" t="s">
        <v>418</v>
      </c>
      <c r="B125" s="2">
        <v>46079</v>
      </c>
      <c r="C125" t="s">
        <v>419</v>
      </c>
      <c r="D125" t="s">
        <v>420</v>
      </c>
      <c r="E125" t="s">
        <v>77</v>
      </c>
      <c r="F125" t="s">
        <v>78</v>
      </c>
      <c r="G125" t="s">
        <v>34</v>
      </c>
      <c r="H125" t="s">
        <v>95</v>
      </c>
      <c r="I125">
        <v>8</v>
      </c>
      <c r="J125" s="3">
        <v>450000</v>
      </c>
      <c r="K125" s="3">
        <v>358900</v>
      </c>
      <c r="L125" t="s">
        <v>66</v>
      </c>
      <c r="M125" t="s">
        <v>37</v>
      </c>
      <c r="N125" t="s">
        <v>23</v>
      </c>
      <c r="O125" t="s">
        <v>45</v>
      </c>
    </row>
    <row r="126" spans="1:15" x14ac:dyDescent="0.35">
      <c r="A126" t="s">
        <v>421</v>
      </c>
      <c r="B126" s="2">
        <v>46055</v>
      </c>
      <c r="C126" t="s">
        <v>379</v>
      </c>
      <c r="D126" t="s">
        <v>422</v>
      </c>
      <c r="E126" t="s">
        <v>18</v>
      </c>
      <c r="F126" t="s">
        <v>18</v>
      </c>
      <c r="G126" t="s">
        <v>34</v>
      </c>
      <c r="H126" t="s">
        <v>158</v>
      </c>
      <c r="I126">
        <v>5</v>
      </c>
      <c r="J126" s="3">
        <v>95000</v>
      </c>
      <c r="K126" s="3">
        <v>70000</v>
      </c>
      <c r="L126" t="s">
        <v>66</v>
      </c>
      <c r="M126" t="s">
        <v>37</v>
      </c>
      <c r="N126" t="s">
        <v>87</v>
      </c>
      <c r="O126" t="s">
        <v>45</v>
      </c>
    </row>
    <row r="127" spans="1:15" x14ac:dyDescent="0.35">
      <c r="A127" t="s">
        <v>423</v>
      </c>
      <c r="B127" s="2">
        <v>46381</v>
      </c>
      <c r="C127" t="s">
        <v>424</v>
      </c>
      <c r="D127" t="s">
        <v>425</v>
      </c>
      <c r="E127" t="s">
        <v>41</v>
      </c>
      <c r="F127" t="s">
        <v>42</v>
      </c>
      <c r="G127" t="s">
        <v>19</v>
      </c>
      <c r="H127" t="s">
        <v>166</v>
      </c>
      <c r="I127">
        <v>7</v>
      </c>
      <c r="J127" s="3">
        <v>133000</v>
      </c>
      <c r="K127" s="3">
        <v>97000</v>
      </c>
      <c r="L127" t="s">
        <v>66</v>
      </c>
      <c r="M127" t="s">
        <v>37</v>
      </c>
      <c r="N127" t="s">
        <v>23</v>
      </c>
      <c r="O127" t="s">
        <v>24</v>
      </c>
    </row>
    <row r="128" spans="1:15" x14ac:dyDescent="0.35">
      <c r="A128" t="s">
        <v>426</v>
      </c>
      <c r="B128" s="2">
        <v>46073</v>
      </c>
      <c r="C128" t="s">
        <v>427</v>
      </c>
      <c r="D128" t="s">
        <v>27</v>
      </c>
      <c r="E128" t="s">
        <v>190</v>
      </c>
      <c r="F128" t="s">
        <v>191</v>
      </c>
      <c r="G128" t="s">
        <v>28</v>
      </c>
      <c r="H128" t="s">
        <v>72</v>
      </c>
      <c r="I128">
        <v>10</v>
      </c>
      <c r="J128" s="3">
        <v>10000</v>
      </c>
      <c r="K128" s="3">
        <v>6200</v>
      </c>
      <c r="L128" t="s">
        <v>80</v>
      </c>
      <c r="M128" t="s">
        <v>37</v>
      </c>
      <c r="N128" t="s">
        <v>23</v>
      </c>
      <c r="O128" t="s">
        <v>24</v>
      </c>
    </row>
    <row r="129" spans="1:15" x14ac:dyDescent="0.35">
      <c r="A129" t="s">
        <v>428</v>
      </c>
      <c r="B129" s="2">
        <v>46155</v>
      </c>
      <c r="C129" t="s">
        <v>47</v>
      </c>
      <c r="D129" t="s">
        <v>429</v>
      </c>
      <c r="E129" t="s">
        <v>156</v>
      </c>
      <c r="F129" t="s">
        <v>170</v>
      </c>
      <c r="G129" t="s">
        <v>19</v>
      </c>
      <c r="H129" t="s">
        <v>166</v>
      </c>
      <c r="I129">
        <v>10</v>
      </c>
      <c r="J129" s="3">
        <v>147000</v>
      </c>
      <c r="K129" s="3">
        <v>103000</v>
      </c>
      <c r="L129" t="s">
        <v>21</v>
      </c>
      <c r="M129" t="s">
        <v>37</v>
      </c>
      <c r="N129" t="s">
        <v>23</v>
      </c>
      <c r="O129" t="s">
        <v>24</v>
      </c>
    </row>
    <row r="130" spans="1:15" x14ac:dyDescent="0.35">
      <c r="A130" t="s">
        <v>430</v>
      </c>
      <c r="B130" s="2">
        <v>46074</v>
      </c>
      <c r="C130" t="s">
        <v>431</v>
      </c>
      <c r="D130" t="s">
        <v>432</v>
      </c>
      <c r="E130" t="s">
        <v>18</v>
      </c>
      <c r="F130" t="s">
        <v>18</v>
      </c>
      <c r="G130" t="s">
        <v>34</v>
      </c>
      <c r="H130" t="s">
        <v>86</v>
      </c>
      <c r="I130">
        <v>1</v>
      </c>
      <c r="J130" s="3">
        <v>171000</v>
      </c>
      <c r="K130" s="3">
        <v>131000</v>
      </c>
      <c r="L130" t="s">
        <v>66</v>
      </c>
      <c r="M130" t="s">
        <v>37</v>
      </c>
      <c r="N130" t="s">
        <v>87</v>
      </c>
      <c r="O130" t="s">
        <v>24</v>
      </c>
    </row>
    <row r="131" spans="1:15" x14ac:dyDescent="0.35">
      <c r="A131" t="s">
        <v>433</v>
      </c>
      <c r="B131" s="2">
        <v>46236</v>
      </c>
      <c r="C131" t="s">
        <v>434</v>
      </c>
      <c r="D131" t="s">
        <v>435</v>
      </c>
      <c r="E131" t="s">
        <v>41</v>
      </c>
      <c r="F131" t="s">
        <v>42</v>
      </c>
      <c r="G131" t="s">
        <v>43</v>
      </c>
      <c r="H131" t="s">
        <v>162</v>
      </c>
      <c r="I131">
        <v>7</v>
      </c>
      <c r="J131" s="3">
        <v>8000</v>
      </c>
      <c r="K131" s="3">
        <v>5200</v>
      </c>
      <c r="L131" t="s">
        <v>66</v>
      </c>
      <c r="M131" t="s">
        <v>51</v>
      </c>
      <c r="N131" t="s">
        <v>52</v>
      </c>
      <c r="O131" t="s">
        <v>24</v>
      </c>
    </row>
    <row r="132" spans="1:15" x14ac:dyDescent="0.35">
      <c r="A132" t="s">
        <v>436</v>
      </c>
      <c r="B132" s="2">
        <v>46327</v>
      </c>
      <c r="C132" t="s">
        <v>437</v>
      </c>
      <c r="D132" t="s">
        <v>438</v>
      </c>
      <c r="E132" t="s">
        <v>18</v>
      </c>
      <c r="F132" t="s">
        <v>18</v>
      </c>
      <c r="G132" t="s">
        <v>34</v>
      </c>
      <c r="H132" t="s">
        <v>158</v>
      </c>
      <c r="I132">
        <v>2</v>
      </c>
      <c r="J132" s="3">
        <v>95000</v>
      </c>
      <c r="K132" s="3">
        <v>72100</v>
      </c>
      <c r="L132" t="s">
        <v>96</v>
      </c>
      <c r="M132" t="s">
        <v>37</v>
      </c>
      <c r="N132" t="s">
        <v>23</v>
      </c>
      <c r="O132" t="s">
        <v>45</v>
      </c>
    </row>
    <row r="133" spans="1:15" x14ac:dyDescent="0.35">
      <c r="A133" t="s">
        <v>439</v>
      </c>
      <c r="B133" s="2">
        <v>46165</v>
      </c>
      <c r="C133" t="s">
        <v>63</v>
      </c>
      <c r="D133" t="s">
        <v>440</v>
      </c>
      <c r="E133" t="s">
        <v>70</v>
      </c>
      <c r="F133" t="s">
        <v>71</v>
      </c>
      <c r="G133" t="s">
        <v>19</v>
      </c>
      <c r="H133" t="s">
        <v>166</v>
      </c>
      <c r="I133">
        <v>2</v>
      </c>
      <c r="J133" s="3">
        <v>147000</v>
      </c>
      <c r="K133" s="3">
        <v>100000</v>
      </c>
      <c r="L133" t="s">
        <v>21</v>
      </c>
      <c r="M133" t="s">
        <v>51</v>
      </c>
      <c r="N133" t="s">
        <v>23</v>
      </c>
      <c r="O133" t="s">
        <v>91</v>
      </c>
    </row>
    <row r="134" spans="1:15" x14ac:dyDescent="0.35">
      <c r="A134" t="s">
        <v>441</v>
      </c>
      <c r="B134" s="2">
        <v>46061</v>
      </c>
      <c r="C134" t="s">
        <v>353</v>
      </c>
      <c r="D134" t="s">
        <v>442</v>
      </c>
      <c r="E134" t="s">
        <v>156</v>
      </c>
      <c r="F134" t="s">
        <v>170</v>
      </c>
      <c r="G134" t="s">
        <v>34</v>
      </c>
      <c r="H134" t="s">
        <v>141</v>
      </c>
      <c r="I134">
        <v>9</v>
      </c>
      <c r="J134" s="3">
        <v>152000</v>
      </c>
      <c r="K134" s="3">
        <v>123600</v>
      </c>
      <c r="L134" t="s">
        <v>80</v>
      </c>
      <c r="M134" t="s">
        <v>22</v>
      </c>
      <c r="N134" t="s">
        <v>52</v>
      </c>
      <c r="O134" t="s">
        <v>24</v>
      </c>
    </row>
    <row r="135" spans="1:15" x14ac:dyDescent="0.35">
      <c r="A135" t="s">
        <v>443</v>
      </c>
      <c r="B135" s="2">
        <v>46294</v>
      </c>
      <c r="C135" t="s">
        <v>444</v>
      </c>
      <c r="D135" t="s">
        <v>406</v>
      </c>
      <c r="E135" t="s">
        <v>77</v>
      </c>
      <c r="F135" t="s">
        <v>78</v>
      </c>
      <c r="G135" t="s">
        <v>34</v>
      </c>
      <c r="H135" t="s">
        <v>35</v>
      </c>
      <c r="I135">
        <v>8</v>
      </c>
      <c r="J135" s="3">
        <v>55000</v>
      </c>
      <c r="K135" s="3">
        <v>40200</v>
      </c>
      <c r="L135" t="s">
        <v>73</v>
      </c>
      <c r="M135" t="s">
        <v>22</v>
      </c>
      <c r="N135" t="s">
        <v>52</v>
      </c>
      <c r="O135" t="s">
        <v>24</v>
      </c>
    </row>
    <row r="136" spans="1:15" x14ac:dyDescent="0.35">
      <c r="A136" t="s">
        <v>445</v>
      </c>
      <c r="B136" s="2">
        <v>46057</v>
      </c>
      <c r="C136" t="s">
        <v>446</v>
      </c>
      <c r="D136" t="s">
        <v>447</v>
      </c>
      <c r="E136" t="s">
        <v>18</v>
      </c>
      <c r="F136" t="s">
        <v>18</v>
      </c>
      <c r="G136" t="s">
        <v>34</v>
      </c>
      <c r="H136" t="s">
        <v>95</v>
      </c>
      <c r="I136">
        <v>8</v>
      </c>
      <c r="J136" s="3">
        <v>450000</v>
      </c>
      <c r="K136" s="3">
        <v>381100</v>
      </c>
      <c r="L136" t="s">
        <v>50</v>
      </c>
      <c r="M136" t="s">
        <v>37</v>
      </c>
      <c r="N136" t="s">
        <v>87</v>
      </c>
      <c r="O136" t="s">
        <v>91</v>
      </c>
    </row>
    <row r="137" spans="1:15" x14ac:dyDescent="0.35">
      <c r="A137" t="s">
        <v>448</v>
      </c>
      <c r="B137" s="2">
        <v>46227</v>
      </c>
      <c r="C137" t="s">
        <v>449</v>
      </c>
      <c r="D137" t="s">
        <v>450</v>
      </c>
      <c r="E137" t="s">
        <v>18</v>
      </c>
      <c r="F137" t="s">
        <v>18</v>
      </c>
      <c r="G137" t="s">
        <v>43</v>
      </c>
      <c r="H137" t="s">
        <v>162</v>
      </c>
      <c r="I137">
        <v>4</v>
      </c>
      <c r="J137" s="3">
        <v>8000</v>
      </c>
      <c r="K137" s="3">
        <v>4800</v>
      </c>
      <c r="L137" t="s">
        <v>21</v>
      </c>
      <c r="M137" t="s">
        <v>51</v>
      </c>
      <c r="N137" t="s">
        <v>52</v>
      </c>
      <c r="O137" t="s">
        <v>45</v>
      </c>
    </row>
    <row r="138" spans="1:15" x14ac:dyDescent="0.35">
      <c r="A138" t="s">
        <v>451</v>
      </c>
      <c r="B138" s="2">
        <v>46165</v>
      </c>
      <c r="C138" t="s">
        <v>452</v>
      </c>
      <c r="D138" t="s">
        <v>453</v>
      </c>
      <c r="E138" t="s">
        <v>18</v>
      </c>
      <c r="F138" t="s">
        <v>18</v>
      </c>
      <c r="G138" t="s">
        <v>19</v>
      </c>
      <c r="H138" t="s">
        <v>166</v>
      </c>
      <c r="I138">
        <v>6</v>
      </c>
      <c r="J138" s="3">
        <v>133000</v>
      </c>
      <c r="K138" s="3">
        <v>100000</v>
      </c>
      <c r="L138" t="s">
        <v>96</v>
      </c>
      <c r="M138" t="s">
        <v>37</v>
      </c>
      <c r="N138" t="s">
        <v>52</v>
      </c>
      <c r="O138" t="s">
        <v>91</v>
      </c>
    </row>
    <row r="139" spans="1:15" x14ac:dyDescent="0.35">
      <c r="A139" t="s">
        <v>454</v>
      </c>
      <c r="B139" s="2">
        <v>46200</v>
      </c>
      <c r="C139" t="s">
        <v>455</v>
      </c>
      <c r="D139" t="s">
        <v>456</v>
      </c>
      <c r="E139" t="s">
        <v>70</v>
      </c>
      <c r="F139" t="s">
        <v>71</v>
      </c>
      <c r="G139" t="s">
        <v>28</v>
      </c>
      <c r="H139" t="s">
        <v>248</v>
      </c>
      <c r="I139">
        <v>4</v>
      </c>
      <c r="J139" s="3">
        <v>26200</v>
      </c>
      <c r="K139" s="3">
        <v>16500</v>
      </c>
      <c r="L139" t="s">
        <v>80</v>
      </c>
      <c r="M139" t="s">
        <v>51</v>
      </c>
      <c r="N139" t="s">
        <v>23</v>
      </c>
      <c r="O139" t="s">
        <v>24</v>
      </c>
    </row>
    <row r="140" spans="1:15" x14ac:dyDescent="0.35">
      <c r="A140" t="s">
        <v>457</v>
      </c>
      <c r="B140" s="2">
        <v>46337</v>
      </c>
      <c r="C140" t="s">
        <v>458</v>
      </c>
      <c r="D140" t="s">
        <v>459</v>
      </c>
      <c r="E140" t="s">
        <v>41</v>
      </c>
      <c r="F140" t="s">
        <v>42</v>
      </c>
      <c r="G140" t="s">
        <v>34</v>
      </c>
      <c r="H140" t="s">
        <v>86</v>
      </c>
      <c r="I140">
        <v>5</v>
      </c>
      <c r="J140" s="3">
        <v>180000</v>
      </c>
      <c r="K140" s="3">
        <v>135000</v>
      </c>
      <c r="L140" t="s">
        <v>21</v>
      </c>
      <c r="M140" t="s">
        <v>37</v>
      </c>
      <c r="N140" t="s">
        <v>23</v>
      </c>
      <c r="O140" t="s">
        <v>24</v>
      </c>
    </row>
    <row r="141" spans="1:15" x14ac:dyDescent="0.35">
      <c r="A141" t="s">
        <v>460</v>
      </c>
      <c r="B141" s="2">
        <v>46272</v>
      </c>
      <c r="C141" t="s">
        <v>461</v>
      </c>
      <c r="D141" t="s">
        <v>462</v>
      </c>
      <c r="E141" t="s">
        <v>56</v>
      </c>
      <c r="F141" t="s">
        <v>57</v>
      </c>
      <c r="G141" t="s">
        <v>28</v>
      </c>
      <c r="H141" t="s">
        <v>65</v>
      </c>
      <c r="I141">
        <v>5</v>
      </c>
      <c r="J141" s="3">
        <v>12000</v>
      </c>
      <c r="K141" s="3">
        <v>7300</v>
      </c>
      <c r="L141" t="s">
        <v>36</v>
      </c>
      <c r="M141" t="s">
        <v>37</v>
      </c>
      <c r="N141" t="s">
        <v>87</v>
      </c>
      <c r="O141" t="s">
        <v>24</v>
      </c>
    </row>
    <row r="142" spans="1:15" x14ac:dyDescent="0.35">
      <c r="A142" t="s">
        <v>463</v>
      </c>
      <c r="B142" s="2">
        <v>46250</v>
      </c>
      <c r="C142" t="s">
        <v>449</v>
      </c>
      <c r="D142" t="s">
        <v>161</v>
      </c>
      <c r="E142" t="s">
        <v>70</v>
      </c>
      <c r="F142" t="s">
        <v>71</v>
      </c>
      <c r="G142" t="s">
        <v>34</v>
      </c>
      <c r="H142" t="s">
        <v>158</v>
      </c>
      <c r="I142">
        <v>1</v>
      </c>
      <c r="J142" s="3">
        <v>90200</v>
      </c>
      <c r="K142" s="3">
        <v>67900</v>
      </c>
      <c r="L142" t="s">
        <v>80</v>
      </c>
      <c r="M142" t="s">
        <v>22</v>
      </c>
      <c r="N142" t="s">
        <v>52</v>
      </c>
      <c r="O142" t="s">
        <v>24</v>
      </c>
    </row>
    <row r="143" spans="1:15" x14ac:dyDescent="0.35">
      <c r="A143" t="s">
        <v>464</v>
      </c>
      <c r="B143" s="2">
        <v>46257</v>
      </c>
      <c r="C143" t="s">
        <v>237</v>
      </c>
      <c r="D143" t="s">
        <v>465</v>
      </c>
      <c r="E143" t="s">
        <v>18</v>
      </c>
      <c r="F143" t="s">
        <v>18</v>
      </c>
      <c r="G143" t="s">
        <v>34</v>
      </c>
      <c r="H143" t="s">
        <v>95</v>
      </c>
      <c r="I143">
        <v>2</v>
      </c>
      <c r="J143" s="3">
        <v>472500</v>
      </c>
      <c r="K143" s="3">
        <v>358900</v>
      </c>
      <c r="L143" t="s">
        <v>21</v>
      </c>
      <c r="M143" t="s">
        <v>37</v>
      </c>
      <c r="N143" t="s">
        <v>52</v>
      </c>
      <c r="O143" t="s">
        <v>24</v>
      </c>
    </row>
    <row r="144" spans="1:15" x14ac:dyDescent="0.35">
      <c r="A144" t="s">
        <v>466</v>
      </c>
      <c r="B144" s="2">
        <v>46280</v>
      </c>
      <c r="C144" t="s">
        <v>467</v>
      </c>
      <c r="D144" t="s">
        <v>468</v>
      </c>
      <c r="E144" t="s">
        <v>77</v>
      </c>
      <c r="F144" t="s">
        <v>78</v>
      </c>
      <c r="G144" t="s">
        <v>34</v>
      </c>
      <c r="H144" t="s">
        <v>86</v>
      </c>
      <c r="I144">
        <v>4</v>
      </c>
      <c r="J144" s="3">
        <v>171000</v>
      </c>
      <c r="K144" s="3">
        <v>131000</v>
      </c>
      <c r="L144" t="s">
        <v>50</v>
      </c>
      <c r="M144" t="s">
        <v>37</v>
      </c>
      <c r="N144" t="s">
        <v>23</v>
      </c>
      <c r="O144" t="s">
        <v>24</v>
      </c>
    </row>
    <row r="145" spans="1:15" x14ac:dyDescent="0.35">
      <c r="A145" t="s">
        <v>469</v>
      </c>
      <c r="B145" s="2">
        <v>46304</v>
      </c>
      <c r="C145" t="s">
        <v>101</v>
      </c>
      <c r="D145" t="s">
        <v>470</v>
      </c>
      <c r="E145" t="s">
        <v>41</v>
      </c>
      <c r="F145" t="s">
        <v>42</v>
      </c>
      <c r="G145" t="s">
        <v>34</v>
      </c>
      <c r="H145" t="s">
        <v>35</v>
      </c>
      <c r="I145">
        <v>9</v>
      </c>
      <c r="J145" s="3">
        <v>55000</v>
      </c>
      <c r="K145" s="3">
        <v>40200</v>
      </c>
      <c r="L145" t="s">
        <v>21</v>
      </c>
      <c r="M145" t="s">
        <v>22</v>
      </c>
      <c r="N145" t="s">
        <v>87</v>
      </c>
      <c r="O145" t="s">
        <v>45</v>
      </c>
    </row>
    <row r="146" spans="1:15" x14ac:dyDescent="0.35">
      <c r="A146" t="s">
        <v>471</v>
      </c>
      <c r="B146" s="2">
        <v>46153</v>
      </c>
      <c r="C146" t="s">
        <v>472</v>
      </c>
      <c r="D146" t="s">
        <v>473</v>
      </c>
      <c r="E146" t="s">
        <v>84</v>
      </c>
      <c r="F146" t="s">
        <v>85</v>
      </c>
      <c r="G146" t="s">
        <v>28</v>
      </c>
      <c r="H146" t="s">
        <v>65</v>
      </c>
      <c r="I146">
        <v>2</v>
      </c>
      <c r="J146" s="3">
        <v>11400</v>
      </c>
      <c r="K146" s="3">
        <v>7700</v>
      </c>
      <c r="L146" t="s">
        <v>50</v>
      </c>
      <c r="M146" t="s">
        <v>22</v>
      </c>
      <c r="N146" t="s">
        <v>87</v>
      </c>
      <c r="O146" t="s">
        <v>24</v>
      </c>
    </row>
    <row r="147" spans="1:15" x14ac:dyDescent="0.35">
      <c r="A147" t="s">
        <v>474</v>
      </c>
      <c r="B147" s="2">
        <v>46331</v>
      </c>
      <c r="C147" t="s">
        <v>475</v>
      </c>
      <c r="D147" t="s">
        <v>476</v>
      </c>
      <c r="E147" t="s">
        <v>18</v>
      </c>
      <c r="F147" t="s">
        <v>18</v>
      </c>
      <c r="G147" t="s">
        <v>19</v>
      </c>
      <c r="H147" t="s">
        <v>61</v>
      </c>
      <c r="I147">
        <v>5</v>
      </c>
      <c r="J147" s="3">
        <v>209000</v>
      </c>
      <c r="K147" s="3">
        <v>155200</v>
      </c>
      <c r="L147" t="s">
        <v>66</v>
      </c>
      <c r="M147" t="s">
        <v>22</v>
      </c>
      <c r="N147" t="s">
        <v>23</v>
      </c>
      <c r="O147" t="s">
        <v>45</v>
      </c>
    </row>
    <row r="148" spans="1:15" x14ac:dyDescent="0.35">
      <c r="A148" t="s">
        <v>477</v>
      </c>
      <c r="B148" s="2">
        <v>46362</v>
      </c>
      <c r="C148" t="s">
        <v>478</v>
      </c>
      <c r="D148" t="s">
        <v>479</v>
      </c>
      <c r="E148" t="s">
        <v>18</v>
      </c>
      <c r="F148" t="s">
        <v>18</v>
      </c>
      <c r="G148" t="s">
        <v>19</v>
      </c>
      <c r="H148" t="s">
        <v>61</v>
      </c>
      <c r="I148">
        <v>1</v>
      </c>
      <c r="J148" s="3">
        <v>220000</v>
      </c>
      <c r="K148" s="3">
        <v>155200</v>
      </c>
      <c r="L148" t="s">
        <v>73</v>
      </c>
      <c r="M148" t="s">
        <v>37</v>
      </c>
      <c r="N148" t="s">
        <v>23</v>
      </c>
      <c r="O148" t="s">
        <v>45</v>
      </c>
    </row>
    <row r="149" spans="1:15" x14ac:dyDescent="0.35">
      <c r="A149" t="s">
        <v>480</v>
      </c>
      <c r="B149" s="2">
        <v>46259</v>
      </c>
      <c r="C149" t="s">
        <v>481</v>
      </c>
      <c r="D149" t="s">
        <v>482</v>
      </c>
      <c r="E149" t="s">
        <v>190</v>
      </c>
      <c r="F149" t="s">
        <v>191</v>
      </c>
      <c r="G149" t="s">
        <v>28</v>
      </c>
      <c r="H149" t="s">
        <v>65</v>
      </c>
      <c r="I149">
        <v>8</v>
      </c>
      <c r="J149" s="3">
        <v>11400</v>
      </c>
      <c r="K149" s="3">
        <v>7500</v>
      </c>
      <c r="L149" t="s">
        <v>30</v>
      </c>
      <c r="M149" t="s">
        <v>37</v>
      </c>
      <c r="N149" t="s">
        <v>23</v>
      </c>
      <c r="O149" t="s">
        <v>24</v>
      </c>
    </row>
    <row r="150" spans="1:15" x14ac:dyDescent="0.35">
      <c r="A150" t="s">
        <v>483</v>
      </c>
      <c r="B150" s="2">
        <v>46161</v>
      </c>
      <c r="C150" t="s">
        <v>484</v>
      </c>
      <c r="D150" t="s">
        <v>276</v>
      </c>
      <c r="E150" t="s">
        <v>18</v>
      </c>
      <c r="F150" t="s">
        <v>18</v>
      </c>
      <c r="G150" t="s">
        <v>34</v>
      </c>
      <c r="H150" t="s">
        <v>141</v>
      </c>
      <c r="I150">
        <v>7</v>
      </c>
      <c r="J150" s="3">
        <v>160000</v>
      </c>
      <c r="K150" s="3">
        <v>116400</v>
      </c>
      <c r="L150" t="s">
        <v>30</v>
      </c>
      <c r="M150" t="s">
        <v>37</v>
      </c>
      <c r="N150" t="s">
        <v>23</v>
      </c>
      <c r="O150" t="s">
        <v>24</v>
      </c>
    </row>
    <row r="151" spans="1:15" x14ac:dyDescent="0.35">
      <c r="A151" t="s">
        <v>485</v>
      </c>
      <c r="B151" s="2">
        <v>46116</v>
      </c>
      <c r="C151" t="s">
        <v>486</v>
      </c>
      <c r="D151" t="s">
        <v>487</v>
      </c>
      <c r="E151" t="s">
        <v>18</v>
      </c>
      <c r="F151" t="s">
        <v>18</v>
      </c>
      <c r="G151" t="s">
        <v>34</v>
      </c>
      <c r="H151" t="s">
        <v>95</v>
      </c>
      <c r="I151">
        <v>3</v>
      </c>
      <c r="J151" s="3">
        <v>450000</v>
      </c>
      <c r="K151" s="3">
        <v>358900</v>
      </c>
      <c r="L151" t="s">
        <v>50</v>
      </c>
      <c r="M151" t="s">
        <v>31</v>
      </c>
      <c r="N151" t="s">
        <v>23</v>
      </c>
      <c r="O151" t="s">
        <v>24</v>
      </c>
    </row>
    <row r="152" spans="1:15" x14ac:dyDescent="0.35">
      <c r="A152" t="s">
        <v>488</v>
      </c>
      <c r="B152" s="2">
        <v>46284</v>
      </c>
      <c r="C152" t="s">
        <v>489</v>
      </c>
      <c r="D152" t="s">
        <v>490</v>
      </c>
      <c r="E152" t="s">
        <v>70</v>
      </c>
      <c r="F152" t="s">
        <v>71</v>
      </c>
      <c r="G152" t="s">
        <v>19</v>
      </c>
      <c r="H152" t="s">
        <v>166</v>
      </c>
      <c r="I152">
        <v>4</v>
      </c>
      <c r="J152" s="3">
        <v>140000</v>
      </c>
      <c r="K152" s="3">
        <v>97000</v>
      </c>
      <c r="L152" t="s">
        <v>21</v>
      </c>
      <c r="M152" t="s">
        <v>37</v>
      </c>
      <c r="N152" t="s">
        <v>87</v>
      </c>
      <c r="O152" t="s">
        <v>24</v>
      </c>
    </row>
    <row r="153" spans="1:15" x14ac:dyDescent="0.35">
      <c r="A153" t="s">
        <v>491</v>
      </c>
      <c r="B153" s="2">
        <v>46138</v>
      </c>
      <c r="C153" t="s">
        <v>492</v>
      </c>
      <c r="D153" t="s">
        <v>493</v>
      </c>
      <c r="E153" t="s">
        <v>18</v>
      </c>
      <c r="F153" t="s">
        <v>18</v>
      </c>
      <c r="G153" t="s">
        <v>28</v>
      </c>
      <c r="H153" t="s">
        <v>248</v>
      </c>
      <c r="I153">
        <v>9</v>
      </c>
      <c r="J153" s="3">
        <v>26200</v>
      </c>
      <c r="K153" s="3">
        <v>15500</v>
      </c>
      <c r="L153" t="s">
        <v>96</v>
      </c>
      <c r="M153" t="s">
        <v>37</v>
      </c>
      <c r="N153" t="s">
        <v>23</v>
      </c>
      <c r="O153" t="s">
        <v>91</v>
      </c>
    </row>
    <row r="154" spans="1:15" x14ac:dyDescent="0.35">
      <c r="A154" t="s">
        <v>494</v>
      </c>
      <c r="B154" s="2">
        <v>46127</v>
      </c>
      <c r="C154" t="s">
        <v>495</v>
      </c>
      <c r="D154" t="s">
        <v>267</v>
      </c>
      <c r="E154" t="s">
        <v>41</v>
      </c>
      <c r="F154" t="s">
        <v>42</v>
      </c>
      <c r="G154" t="s">
        <v>19</v>
      </c>
      <c r="H154" t="s">
        <v>166</v>
      </c>
      <c r="I154">
        <v>5</v>
      </c>
      <c r="J154" s="3">
        <v>133000</v>
      </c>
      <c r="K154" s="3">
        <v>100000</v>
      </c>
      <c r="L154" t="s">
        <v>66</v>
      </c>
      <c r="M154" t="s">
        <v>22</v>
      </c>
      <c r="N154" t="s">
        <v>23</v>
      </c>
      <c r="O154" t="s">
        <v>24</v>
      </c>
    </row>
    <row r="155" spans="1:15" x14ac:dyDescent="0.35">
      <c r="A155" t="s">
        <v>496</v>
      </c>
      <c r="B155" s="2">
        <v>46271</v>
      </c>
      <c r="C155" t="s">
        <v>497</v>
      </c>
      <c r="D155" t="s">
        <v>498</v>
      </c>
      <c r="E155" t="s">
        <v>190</v>
      </c>
      <c r="F155" t="s">
        <v>191</v>
      </c>
      <c r="G155" t="s">
        <v>34</v>
      </c>
      <c r="H155" t="s">
        <v>141</v>
      </c>
      <c r="I155">
        <v>7</v>
      </c>
      <c r="J155" s="3">
        <v>168000</v>
      </c>
      <c r="K155" s="3">
        <v>116400</v>
      </c>
      <c r="L155" t="s">
        <v>36</v>
      </c>
      <c r="M155" t="s">
        <v>37</v>
      </c>
      <c r="N155" t="s">
        <v>23</v>
      </c>
      <c r="O155" t="s">
        <v>24</v>
      </c>
    </row>
    <row r="156" spans="1:15" x14ac:dyDescent="0.35">
      <c r="A156" t="s">
        <v>499</v>
      </c>
      <c r="B156" s="2">
        <v>46101</v>
      </c>
      <c r="C156" t="s">
        <v>500</v>
      </c>
      <c r="D156" t="s">
        <v>501</v>
      </c>
      <c r="E156" t="s">
        <v>190</v>
      </c>
      <c r="F156" t="s">
        <v>191</v>
      </c>
      <c r="G156" t="s">
        <v>19</v>
      </c>
      <c r="H156" t="s">
        <v>20</v>
      </c>
      <c r="I156">
        <v>6</v>
      </c>
      <c r="J156" s="3">
        <v>65000</v>
      </c>
      <c r="K156" s="3">
        <v>46400</v>
      </c>
      <c r="L156" t="s">
        <v>21</v>
      </c>
      <c r="M156" t="s">
        <v>37</v>
      </c>
      <c r="N156" t="s">
        <v>87</v>
      </c>
      <c r="O156" t="s">
        <v>24</v>
      </c>
    </row>
    <row r="157" spans="1:15" x14ac:dyDescent="0.35">
      <c r="A157" t="s">
        <v>502</v>
      </c>
      <c r="B157" s="2">
        <v>46045</v>
      </c>
      <c r="C157" t="s">
        <v>503</v>
      </c>
      <c r="D157" t="s">
        <v>504</v>
      </c>
      <c r="E157" t="s">
        <v>18</v>
      </c>
      <c r="F157" t="s">
        <v>18</v>
      </c>
      <c r="G157" t="s">
        <v>43</v>
      </c>
      <c r="H157" t="s">
        <v>49</v>
      </c>
      <c r="I157">
        <v>9</v>
      </c>
      <c r="J157" s="3">
        <v>9000</v>
      </c>
      <c r="K157" s="3">
        <v>5600</v>
      </c>
      <c r="L157" t="s">
        <v>80</v>
      </c>
      <c r="M157" t="s">
        <v>37</v>
      </c>
      <c r="N157" t="s">
        <v>23</v>
      </c>
      <c r="O157" t="s">
        <v>91</v>
      </c>
    </row>
    <row r="158" spans="1:15" x14ac:dyDescent="0.35">
      <c r="A158" t="s">
        <v>505</v>
      </c>
      <c r="B158" s="2">
        <v>46258</v>
      </c>
      <c r="C158" t="s">
        <v>506</v>
      </c>
      <c r="D158" t="s">
        <v>507</v>
      </c>
      <c r="E158" t="s">
        <v>18</v>
      </c>
      <c r="F158" t="s">
        <v>18</v>
      </c>
      <c r="G158" t="s">
        <v>43</v>
      </c>
      <c r="H158" t="s">
        <v>44</v>
      </c>
      <c r="I158">
        <v>8</v>
      </c>
      <c r="J158" s="3">
        <v>14200</v>
      </c>
      <c r="K158" s="3">
        <v>9200</v>
      </c>
      <c r="L158" t="s">
        <v>50</v>
      </c>
      <c r="M158" t="s">
        <v>22</v>
      </c>
      <c r="N158" t="s">
        <v>23</v>
      </c>
      <c r="O158" t="s">
        <v>24</v>
      </c>
    </row>
    <row r="159" spans="1:15" x14ac:dyDescent="0.35">
      <c r="A159" t="s">
        <v>508</v>
      </c>
      <c r="B159" s="2">
        <v>46341</v>
      </c>
      <c r="C159" t="s">
        <v>114</v>
      </c>
      <c r="D159" t="s">
        <v>278</v>
      </c>
      <c r="E159" t="s">
        <v>56</v>
      </c>
      <c r="F159" t="s">
        <v>57</v>
      </c>
      <c r="G159" t="s">
        <v>19</v>
      </c>
      <c r="H159" t="s">
        <v>112</v>
      </c>
      <c r="I159">
        <v>2</v>
      </c>
      <c r="J159" s="3">
        <v>85000</v>
      </c>
      <c r="K159" s="3">
        <v>62000</v>
      </c>
      <c r="L159" t="s">
        <v>66</v>
      </c>
      <c r="M159" t="s">
        <v>22</v>
      </c>
      <c r="N159" t="s">
        <v>87</v>
      </c>
      <c r="O159" t="s">
        <v>45</v>
      </c>
    </row>
    <row r="160" spans="1:15" x14ac:dyDescent="0.35">
      <c r="A160" t="s">
        <v>509</v>
      </c>
      <c r="B160" s="2">
        <v>46263</v>
      </c>
      <c r="C160" t="s">
        <v>510</v>
      </c>
      <c r="D160" t="s">
        <v>511</v>
      </c>
      <c r="E160" t="s">
        <v>18</v>
      </c>
      <c r="F160" t="s">
        <v>18</v>
      </c>
      <c r="G160" t="s">
        <v>28</v>
      </c>
      <c r="H160" t="s">
        <v>131</v>
      </c>
      <c r="I160">
        <v>6</v>
      </c>
      <c r="J160" s="3">
        <v>28500</v>
      </c>
      <c r="K160" s="3">
        <v>19600</v>
      </c>
      <c r="L160" t="s">
        <v>36</v>
      </c>
      <c r="M160" t="s">
        <v>37</v>
      </c>
      <c r="N160" t="s">
        <v>23</v>
      </c>
      <c r="O160" t="s">
        <v>24</v>
      </c>
    </row>
    <row r="161" spans="1:15" x14ac:dyDescent="0.35">
      <c r="A161" t="s">
        <v>512</v>
      </c>
      <c r="B161" s="2">
        <v>46062</v>
      </c>
      <c r="C161" t="s">
        <v>513</v>
      </c>
      <c r="D161" t="s">
        <v>514</v>
      </c>
      <c r="E161" t="s">
        <v>18</v>
      </c>
      <c r="F161" t="s">
        <v>18</v>
      </c>
      <c r="G161" t="s">
        <v>34</v>
      </c>
      <c r="H161" t="s">
        <v>141</v>
      </c>
      <c r="I161">
        <v>5</v>
      </c>
      <c r="J161" s="3">
        <v>152000</v>
      </c>
      <c r="K161" s="3">
        <v>120000</v>
      </c>
      <c r="L161" t="s">
        <v>66</v>
      </c>
      <c r="M161" t="s">
        <v>37</v>
      </c>
      <c r="N161" t="s">
        <v>87</v>
      </c>
      <c r="O161" t="s">
        <v>24</v>
      </c>
    </row>
    <row r="162" spans="1:15" x14ac:dyDescent="0.35">
      <c r="A162" t="s">
        <v>515</v>
      </c>
      <c r="B162" s="2">
        <v>46186</v>
      </c>
      <c r="C162" t="s">
        <v>151</v>
      </c>
      <c r="D162" t="s">
        <v>516</v>
      </c>
      <c r="E162" t="s">
        <v>84</v>
      </c>
      <c r="F162" t="s">
        <v>85</v>
      </c>
      <c r="G162" t="s">
        <v>19</v>
      </c>
      <c r="H162" t="s">
        <v>112</v>
      </c>
      <c r="I162">
        <v>1</v>
      </c>
      <c r="J162" s="3">
        <v>85000</v>
      </c>
      <c r="K162" s="3">
        <v>63900</v>
      </c>
      <c r="L162" t="s">
        <v>96</v>
      </c>
      <c r="M162" t="s">
        <v>51</v>
      </c>
      <c r="N162" t="s">
        <v>87</v>
      </c>
      <c r="O162" t="s">
        <v>24</v>
      </c>
    </row>
    <row r="163" spans="1:15" x14ac:dyDescent="0.35">
      <c r="A163" t="s">
        <v>517</v>
      </c>
      <c r="B163" s="2">
        <v>46047</v>
      </c>
      <c r="C163" t="s">
        <v>518</v>
      </c>
      <c r="D163" t="s">
        <v>519</v>
      </c>
      <c r="E163" t="s">
        <v>190</v>
      </c>
      <c r="F163" t="s">
        <v>191</v>
      </c>
      <c r="G163" t="s">
        <v>43</v>
      </c>
      <c r="H163" t="s">
        <v>177</v>
      </c>
      <c r="I163">
        <v>6</v>
      </c>
      <c r="J163" s="3">
        <v>18000</v>
      </c>
      <c r="K163" s="3">
        <v>12900</v>
      </c>
      <c r="L163" t="s">
        <v>66</v>
      </c>
      <c r="M163" t="s">
        <v>37</v>
      </c>
      <c r="N163" t="s">
        <v>52</v>
      </c>
      <c r="O163" t="s">
        <v>24</v>
      </c>
    </row>
    <row r="164" spans="1:15" x14ac:dyDescent="0.35">
      <c r="A164" t="s">
        <v>520</v>
      </c>
      <c r="B164" s="2">
        <v>46366</v>
      </c>
      <c r="C164" t="s">
        <v>350</v>
      </c>
      <c r="D164" t="s">
        <v>521</v>
      </c>
      <c r="E164" t="s">
        <v>18</v>
      </c>
      <c r="F164" t="s">
        <v>18</v>
      </c>
      <c r="G164" t="s">
        <v>34</v>
      </c>
      <c r="H164" t="s">
        <v>158</v>
      </c>
      <c r="I164">
        <v>4</v>
      </c>
      <c r="J164" s="3">
        <v>95000</v>
      </c>
      <c r="K164" s="3">
        <v>72100</v>
      </c>
      <c r="L164" t="s">
        <v>80</v>
      </c>
      <c r="M164" t="s">
        <v>51</v>
      </c>
      <c r="N164" t="s">
        <v>23</v>
      </c>
      <c r="O164" t="s">
        <v>24</v>
      </c>
    </row>
    <row r="165" spans="1:15" x14ac:dyDescent="0.35">
      <c r="A165" t="s">
        <v>522</v>
      </c>
      <c r="B165" s="2">
        <v>46325</v>
      </c>
      <c r="C165" t="s">
        <v>523</v>
      </c>
      <c r="D165" t="s">
        <v>524</v>
      </c>
      <c r="E165" t="s">
        <v>56</v>
      </c>
      <c r="F165" t="s">
        <v>57</v>
      </c>
      <c r="G165" t="s">
        <v>28</v>
      </c>
      <c r="H165" t="s">
        <v>72</v>
      </c>
      <c r="I165">
        <v>4</v>
      </c>
      <c r="J165" s="3">
        <v>10500</v>
      </c>
      <c r="K165" s="3">
        <v>6000</v>
      </c>
      <c r="L165" t="s">
        <v>80</v>
      </c>
      <c r="M165" t="s">
        <v>51</v>
      </c>
      <c r="N165" t="s">
        <v>87</v>
      </c>
      <c r="O165" t="s">
        <v>24</v>
      </c>
    </row>
    <row r="166" spans="1:15" x14ac:dyDescent="0.35">
      <c r="A166" t="s">
        <v>525</v>
      </c>
      <c r="B166" s="2">
        <v>46245</v>
      </c>
      <c r="C166" t="s">
        <v>526</v>
      </c>
      <c r="D166" t="s">
        <v>309</v>
      </c>
      <c r="E166" t="s">
        <v>156</v>
      </c>
      <c r="F166" t="s">
        <v>170</v>
      </c>
      <c r="G166" t="s">
        <v>34</v>
      </c>
      <c r="H166" t="s">
        <v>86</v>
      </c>
      <c r="I166">
        <v>10</v>
      </c>
      <c r="J166" s="3">
        <v>189000</v>
      </c>
      <c r="K166" s="3">
        <v>135000</v>
      </c>
      <c r="L166" t="s">
        <v>80</v>
      </c>
      <c r="M166" t="s">
        <v>37</v>
      </c>
      <c r="N166" t="s">
        <v>87</v>
      </c>
      <c r="O166" t="s">
        <v>91</v>
      </c>
    </row>
    <row r="167" spans="1:15" x14ac:dyDescent="0.35">
      <c r="A167" t="s">
        <v>527</v>
      </c>
      <c r="B167" s="2">
        <v>46364</v>
      </c>
      <c r="C167" t="s">
        <v>311</v>
      </c>
      <c r="D167" t="s">
        <v>450</v>
      </c>
      <c r="E167" t="s">
        <v>18</v>
      </c>
      <c r="F167" t="s">
        <v>18</v>
      </c>
      <c r="G167" t="s">
        <v>43</v>
      </c>
      <c r="H167" t="s">
        <v>44</v>
      </c>
      <c r="I167">
        <v>1</v>
      </c>
      <c r="J167" s="3">
        <v>15000</v>
      </c>
      <c r="K167" s="3">
        <v>9500</v>
      </c>
      <c r="L167" t="s">
        <v>36</v>
      </c>
      <c r="M167" t="s">
        <v>51</v>
      </c>
      <c r="N167" t="s">
        <v>52</v>
      </c>
      <c r="O167" t="s">
        <v>24</v>
      </c>
    </row>
    <row r="168" spans="1:15" x14ac:dyDescent="0.35">
      <c r="A168" t="s">
        <v>528</v>
      </c>
      <c r="B168" s="2">
        <v>46193</v>
      </c>
      <c r="C168" t="s">
        <v>529</v>
      </c>
      <c r="D168" t="s">
        <v>530</v>
      </c>
      <c r="E168" t="s">
        <v>190</v>
      </c>
      <c r="F168" t="s">
        <v>191</v>
      </c>
      <c r="G168" t="s">
        <v>19</v>
      </c>
      <c r="H168" t="s">
        <v>61</v>
      </c>
      <c r="I168">
        <v>1</v>
      </c>
      <c r="J168" s="3">
        <v>220000</v>
      </c>
      <c r="K168" s="3">
        <v>164800</v>
      </c>
      <c r="L168" t="s">
        <v>66</v>
      </c>
      <c r="M168" t="s">
        <v>51</v>
      </c>
      <c r="N168" t="s">
        <v>23</v>
      </c>
      <c r="O168" t="s">
        <v>45</v>
      </c>
    </row>
    <row r="169" spans="1:15" x14ac:dyDescent="0.35">
      <c r="A169" t="s">
        <v>531</v>
      </c>
      <c r="B169" s="2">
        <v>46062</v>
      </c>
      <c r="C169" t="s">
        <v>532</v>
      </c>
      <c r="D169" t="s">
        <v>533</v>
      </c>
      <c r="E169" t="s">
        <v>190</v>
      </c>
      <c r="F169" t="s">
        <v>191</v>
      </c>
      <c r="G169" t="s">
        <v>43</v>
      </c>
      <c r="H169" t="s">
        <v>44</v>
      </c>
      <c r="I169">
        <v>3</v>
      </c>
      <c r="J169" s="3">
        <v>15000</v>
      </c>
      <c r="K169" s="3">
        <v>9200</v>
      </c>
      <c r="L169" t="s">
        <v>96</v>
      </c>
      <c r="M169" t="s">
        <v>51</v>
      </c>
      <c r="N169" t="s">
        <v>23</v>
      </c>
      <c r="O169" t="s">
        <v>24</v>
      </c>
    </row>
    <row r="170" spans="1:15" x14ac:dyDescent="0.35">
      <c r="A170" t="s">
        <v>534</v>
      </c>
      <c r="B170" s="2">
        <v>46067</v>
      </c>
      <c r="C170" t="s">
        <v>264</v>
      </c>
      <c r="D170" t="s">
        <v>535</v>
      </c>
      <c r="E170" t="s">
        <v>18</v>
      </c>
      <c r="F170" t="s">
        <v>18</v>
      </c>
      <c r="G170" t="s">
        <v>28</v>
      </c>
      <c r="H170" t="s">
        <v>131</v>
      </c>
      <c r="I170">
        <v>7</v>
      </c>
      <c r="J170" s="3">
        <v>31500</v>
      </c>
      <c r="K170" s="3">
        <v>19600</v>
      </c>
      <c r="L170" t="s">
        <v>73</v>
      </c>
      <c r="M170" t="s">
        <v>37</v>
      </c>
      <c r="N170" t="s">
        <v>87</v>
      </c>
      <c r="O170" t="s">
        <v>45</v>
      </c>
    </row>
    <row r="171" spans="1:15" x14ac:dyDescent="0.35">
      <c r="A171" t="s">
        <v>536</v>
      </c>
      <c r="B171" s="2">
        <v>46294</v>
      </c>
      <c r="C171" t="s">
        <v>537</v>
      </c>
      <c r="D171" t="s">
        <v>155</v>
      </c>
      <c r="E171" t="s">
        <v>156</v>
      </c>
      <c r="F171" t="s">
        <v>157</v>
      </c>
      <c r="G171" t="s">
        <v>28</v>
      </c>
      <c r="H171" t="s">
        <v>248</v>
      </c>
      <c r="I171">
        <v>10</v>
      </c>
      <c r="J171" s="3">
        <v>23800</v>
      </c>
      <c r="K171" s="3">
        <v>15500</v>
      </c>
      <c r="L171" t="s">
        <v>50</v>
      </c>
      <c r="M171" t="s">
        <v>51</v>
      </c>
      <c r="N171" t="s">
        <v>52</v>
      </c>
      <c r="O171" t="s">
        <v>24</v>
      </c>
    </row>
    <row r="172" spans="1:15" x14ac:dyDescent="0.35">
      <c r="A172" t="s">
        <v>538</v>
      </c>
      <c r="B172" s="2">
        <v>46164</v>
      </c>
      <c r="C172" t="s">
        <v>539</v>
      </c>
      <c r="D172" t="s">
        <v>540</v>
      </c>
      <c r="E172" t="s">
        <v>18</v>
      </c>
      <c r="F172" t="s">
        <v>18</v>
      </c>
      <c r="G172" t="s">
        <v>34</v>
      </c>
      <c r="H172" t="s">
        <v>158</v>
      </c>
      <c r="I172">
        <v>8</v>
      </c>
      <c r="J172" s="3">
        <v>90200</v>
      </c>
      <c r="K172" s="3">
        <v>67900</v>
      </c>
      <c r="L172" t="s">
        <v>96</v>
      </c>
      <c r="M172" t="s">
        <v>37</v>
      </c>
      <c r="N172" t="s">
        <v>87</v>
      </c>
      <c r="O172" t="s">
        <v>45</v>
      </c>
    </row>
    <row r="173" spans="1:15" x14ac:dyDescent="0.35">
      <c r="A173" t="s">
        <v>541</v>
      </c>
      <c r="B173" s="2">
        <v>46122</v>
      </c>
      <c r="C173" t="s">
        <v>503</v>
      </c>
      <c r="D173" t="s">
        <v>253</v>
      </c>
      <c r="E173" t="s">
        <v>18</v>
      </c>
      <c r="F173" t="s">
        <v>18</v>
      </c>
      <c r="G173" t="s">
        <v>34</v>
      </c>
      <c r="H173" t="s">
        <v>141</v>
      </c>
      <c r="I173">
        <v>10</v>
      </c>
      <c r="J173" s="3">
        <v>160000</v>
      </c>
      <c r="K173" s="3">
        <v>120000</v>
      </c>
      <c r="L173" t="s">
        <v>66</v>
      </c>
      <c r="M173" t="s">
        <v>37</v>
      </c>
      <c r="N173" t="s">
        <v>23</v>
      </c>
      <c r="O173" t="s">
        <v>24</v>
      </c>
    </row>
    <row r="174" spans="1:15" x14ac:dyDescent="0.35">
      <c r="A174" t="s">
        <v>542</v>
      </c>
      <c r="B174" s="2">
        <v>46070</v>
      </c>
      <c r="C174" t="s">
        <v>370</v>
      </c>
      <c r="D174" t="s">
        <v>543</v>
      </c>
      <c r="E174" t="s">
        <v>18</v>
      </c>
      <c r="F174" t="s">
        <v>18</v>
      </c>
      <c r="G174" t="s">
        <v>19</v>
      </c>
      <c r="H174" t="s">
        <v>166</v>
      </c>
      <c r="I174">
        <v>8</v>
      </c>
      <c r="J174" s="3">
        <v>133000</v>
      </c>
      <c r="K174" s="3">
        <v>97000</v>
      </c>
      <c r="L174" t="s">
        <v>36</v>
      </c>
      <c r="M174" t="s">
        <v>31</v>
      </c>
      <c r="N174" t="s">
        <v>23</v>
      </c>
      <c r="O174" t="s">
        <v>24</v>
      </c>
    </row>
    <row r="175" spans="1:15" x14ac:dyDescent="0.35">
      <c r="A175" t="s">
        <v>544</v>
      </c>
      <c r="B175" s="2">
        <v>46240</v>
      </c>
      <c r="C175" t="s">
        <v>545</v>
      </c>
      <c r="D175" t="s">
        <v>546</v>
      </c>
      <c r="E175" t="s">
        <v>156</v>
      </c>
      <c r="F175" t="s">
        <v>157</v>
      </c>
      <c r="G175" t="s">
        <v>19</v>
      </c>
      <c r="H175" t="s">
        <v>112</v>
      </c>
      <c r="I175">
        <v>1</v>
      </c>
      <c r="J175" s="3">
        <v>89200</v>
      </c>
      <c r="K175" s="3">
        <v>63900</v>
      </c>
      <c r="L175" t="s">
        <v>73</v>
      </c>
      <c r="M175" t="s">
        <v>37</v>
      </c>
      <c r="N175" t="s">
        <v>52</v>
      </c>
      <c r="O175" t="s">
        <v>24</v>
      </c>
    </row>
    <row r="176" spans="1:15" x14ac:dyDescent="0.35">
      <c r="A176" t="s">
        <v>547</v>
      </c>
      <c r="B176" s="2">
        <v>46182</v>
      </c>
      <c r="C176" t="s">
        <v>548</v>
      </c>
      <c r="D176" t="s">
        <v>549</v>
      </c>
      <c r="E176" t="s">
        <v>41</v>
      </c>
      <c r="F176" t="s">
        <v>42</v>
      </c>
      <c r="G176" t="s">
        <v>34</v>
      </c>
      <c r="H176" t="s">
        <v>86</v>
      </c>
      <c r="I176">
        <v>4</v>
      </c>
      <c r="J176" s="3">
        <v>189000</v>
      </c>
      <c r="K176" s="3">
        <v>131000</v>
      </c>
      <c r="L176" t="s">
        <v>21</v>
      </c>
      <c r="M176" t="s">
        <v>37</v>
      </c>
      <c r="N176" t="s">
        <v>87</v>
      </c>
      <c r="O176" t="s">
        <v>45</v>
      </c>
    </row>
    <row r="177" spans="1:15" x14ac:dyDescent="0.35">
      <c r="A177" t="s">
        <v>550</v>
      </c>
      <c r="B177" s="2">
        <v>46058</v>
      </c>
      <c r="C177" t="s">
        <v>455</v>
      </c>
      <c r="D177" t="s">
        <v>173</v>
      </c>
      <c r="E177" t="s">
        <v>18</v>
      </c>
      <c r="F177" t="s">
        <v>18</v>
      </c>
      <c r="G177" t="s">
        <v>19</v>
      </c>
      <c r="H177" t="s">
        <v>166</v>
      </c>
      <c r="I177">
        <v>4</v>
      </c>
      <c r="J177" s="3">
        <v>140000</v>
      </c>
      <c r="K177" s="3">
        <v>97000</v>
      </c>
      <c r="L177" t="s">
        <v>96</v>
      </c>
      <c r="M177" t="s">
        <v>37</v>
      </c>
      <c r="N177" t="s">
        <v>23</v>
      </c>
      <c r="O177" t="s">
        <v>24</v>
      </c>
    </row>
    <row r="178" spans="1:15" x14ac:dyDescent="0.35">
      <c r="A178" t="s">
        <v>551</v>
      </c>
      <c r="B178" s="2">
        <v>46267</v>
      </c>
      <c r="C178" t="s">
        <v>231</v>
      </c>
      <c r="D178" t="s">
        <v>552</v>
      </c>
      <c r="E178" t="s">
        <v>190</v>
      </c>
      <c r="F178" t="s">
        <v>191</v>
      </c>
      <c r="G178" t="s">
        <v>19</v>
      </c>
      <c r="H178" t="s">
        <v>166</v>
      </c>
      <c r="I178">
        <v>8</v>
      </c>
      <c r="J178" s="3">
        <v>140000</v>
      </c>
      <c r="K178" s="3">
        <v>97000</v>
      </c>
      <c r="L178" t="s">
        <v>50</v>
      </c>
      <c r="M178" t="s">
        <v>31</v>
      </c>
      <c r="N178" t="s">
        <v>23</v>
      </c>
      <c r="O178" t="s">
        <v>24</v>
      </c>
    </row>
    <row r="179" spans="1:15" x14ac:dyDescent="0.35">
      <c r="A179" t="s">
        <v>553</v>
      </c>
      <c r="B179" s="2">
        <v>46322</v>
      </c>
      <c r="C179" t="s">
        <v>554</v>
      </c>
      <c r="D179" t="s">
        <v>555</v>
      </c>
      <c r="E179" t="s">
        <v>84</v>
      </c>
      <c r="F179" t="s">
        <v>85</v>
      </c>
      <c r="G179" t="s">
        <v>34</v>
      </c>
      <c r="H179" t="s">
        <v>141</v>
      </c>
      <c r="I179">
        <v>8</v>
      </c>
      <c r="J179" s="3">
        <v>160000</v>
      </c>
      <c r="K179" s="3">
        <v>120000</v>
      </c>
      <c r="L179" t="s">
        <v>96</v>
      </c>
      <c r="M179" t="s">
        <v>31</v>
      </c>
      <c r="N179" t="s">
        <v>87</v>
      </c>
      <c r="O179" t="s">
        <v>24</v>
      </c>
    </row>
    <row r="180" spans="1:15" x14ac:dyDescent="0.35">
      <c r="A180" t="s">
        <v>556</v>
      </c>
      <c r="B180" s="2">
        <v>46315</v>
      </c>
      <c r="C180" t="s">
        <v>557</v>
      </c>
      <c r="D180" t="s">
        <v>229</v>
      </c>
      <c r="E180" t="s">
        <v>156</v>
      </c>
      <c r="F180" t="s">
        <v>157</v>
      </c>
      <c r="G180" t="s">
        <v>28</v>
      </c>
      <c r="H180" t="s">
        <v>72</v>
      </c>
      <c r="I180">
        <v>6</v>
      </c>
      <c r="J180" s="3">
        <v>10000</v>
      </c>
      <c r="K180" s="3">
        <v>6400</v>
      </c>
      <c r="L180" t="s">
        <v>21</v>
      </c>
      <c r="M180" t="s">
        <v>22</v>
      </c>
      <c r="N180" t="s">
        <v>52</v>
      </c>
      <c r="O180" t="s">
        <v>24</v>
      </c>
    </row>
    <row r="181" spans="1:15" x14ac:dyDescent="0.35">
      <c r="A181" t="s">
        <v>558</v>
      </c>
      <c r="B181" s="2">
        <v>46140</v>
      </c>
      <c r="C181" t="s">
        <v>559</v>
      </c>
      <c r="D181" t="s">
        <v>560</v>
      </c>
      <c r="E181" t="s">
        <v>84</v>
      </c>
      <c r="F181" t="s">
        <v>85</v>
      </c>
      <c r="G181" t="s">
        <v>34</v>
      </c>
      <c r="H181" t="s">
        <v>86</v>
      </c>
      <c r="J181" s="3">
        <v>189000</v>
      </c>
      <c r="K181" s="3">
        <v>131000</v>
      </c>
      <c r="L181" t="s">
        <v>36</v>
      </c>
      <c r="M181" t="s">
        <v>37</v>
      </c>
      <c r="N181" t="s">
        <v>87</v>
      </c>
      <c r="O181" t="s">
        <v>45</v>
      </c>
    </row>
    <row r="182" spans="1:15" x14ac:dyDescent="0.35">
      <c r="A182" t="s">
        <v>561</v>
      </c>
      <c r="B182" s="2">
        <v>46121</v>
      </c>
      <c r="C182" t="s">
        <v>562</v>
      </c>
      <c r="D182" t="s">
        <v>442</v>
      </c>
      <c r="E182" t="s">
        <v>18</v>
      </c>
      <c r="F182" t="s">
        <v>18</v>
      </c>
      <c r="G182" t="s">
        <v>34</v>
      </c>
      <c r="H182" t="s">
        <v>86</v>
      </c>
      <c r="I182">
        <v>2</v>
      </c>
      <c r="J182" s="3">
        <v>171000</v>
      </c>
      <c r="K182" s="3">
        <v>131000</v>
      </c>
      <c r="L182" t="s">
        <v>50</v>
      </c>
      <c r="M182" t="s">
        <v>31</v>
      </c>
      <c r="N182" t="s">
        <v>52</v>
      </c>
      <c r="O182" t="s">
        <v>24</v>
      </c>
    </row>
    <row r="183" spans="1:15" x14ac:dyDescent="0.35">
      <c r="A183" t="s">
        <v>563</v>
      </c>
      <c r="B183" s="2">
        <v>46079</v>
      </c>
      <c r="C183" t="s">
        <v>564</v>
      </c>
      <c r="D183" t="s">
        <v>565</v>
      </c>
      <c r="E183" t="s">
        <v>190</v>
      </c>
      <c r="F183" t="s">
        <v>191</v>
      </c>
      <c r="G183" t="s">
        <v>43</v>
      </c>
      <c r="H183" t="s">
        <v>162</v>
      </c>
      <c r="I183">
        <v>7</v>
      </c>
      <c r="J183" s="3">
        <v>8000</v>
      </c>
      <c r="K183" s="3">
        <v>5000</v>
      </c>
      <c r="L183" t="s">
        <v>36</v>
      </c>
      <c r="M183" t="s">
        <v>31</v>
      </c>
      <c r="N183" t="s">
        <v>23</v>
      </c>
      <c r="O183" t="s">
        <v>24</v>
      </c>
    </row>
    <row r="184" spans="1:15" x14ac:dyDescent="0.35">
      <c r="A184" t="s">
        <v>566</v>
      </c>
      <c r="B184" s="2">
        <v>46350</v>
      </c>
      <c r="C184" t="s">
        <v>286</v>
      </c>
      <c r="D184" t="s">
        <v>567</v>
      </c>
      <c r="E184" t="s">
        <v>156</v>
      </c>
      <c r="F184" t="s">
        <v>170</v>
      </c>
      <c r="G184" t="s">
        <v>34</v>
      </c>
      <c r="H184" t="s">
        <v>35</v>
      </c>
      <c r="I184">
        <v>10</v>
      </c>
      <c r="J184" s="3">
        <v>57800</v>
      </c>
      <c r="K184" s="3">
        <v>40200</v>
      </c>
      <c r="L184" t="s">
        <v>30</v>
      </c>
      <c r="M184" t="s">
        <v>51</v>
      </c>
      <c r="N184" t="s">
        <v>23</v>
      </c>
      <c r="O184" t="s">
        <v>45</v>
      </c>
    </row>
    <row r="185" spans="1:15" x14ac:dyDescent="0.35">
      <c r="A185" t="s">
        <v>568</v>
      </c>
      <c r="B185" s="2">
        <v>46120</v>
      </c>
      <c r="C185" t="s">
        <v>569</v>
      </c>
      <c r="D185" t="s">
        <v>570</v>
      </c>
      <c r="E185" t="s">
        <v>18</v>
      </c>
      <c r="F185" t="s">
        <v>18</v>
      </c>
      <c r="G185" t="s">
        <v>34</v>
      </c>
      <c r="H185" t="s">
        <v>95</v>
      </c>
      <c r="I185">
        <v>6</v>
      </c>
      <c r="J185" s="3">
        <v>450000</v>
      </c>
      <c r="K185" s="3">
        <v>381100</v>
      </c>
      <c r="L185" t="s">
        <v>96</v>
      </c>
      <c r="M185" t="s">
        <v>37</v>
      </c>
      <c r="N185" t="s">
        <v>52</v>
      </c>
      <c r="O185" t="s">
        <v>24</v>
      </c>
    </row>
    <row r="186" spans="1:15" x14ac:dyDescent="0.35">
      <c r="A186" t="s">
        <v>571</v>
      </c>
      <c r="B186" s="2">
        <v>46171</v>
      </c>
      <c r="C186" t="s">
        <v>506</v>
      </c>
      <c r="D186" t="s">
        <v>572</v>
      </c>
      <c r="E186" t="s">
        <v>18</v>
      </c>
      <c r="F186" t="s">
        <v>18</v>
      </c>
      <c r="G186" t="s">
        <v>34</v>
      </c>
      <c r="H186" t="s">
        <v>95</v>
      </c>
      <c r="I186">
        <v>5</v>
      </c>
      <c r="J186" s="3">
        <v>472500</v>
      </c>
      <c r="K186" s="3">
        <v>358900</v>
      </c>
      <c r="L186" t="s">
        <v>36</v>
      </c>
      <c r="M186" t="s">
        <v>51</v>
      </c>
      <c r="N186" t="s">
        <v>52</v>
      </c>
      <c r="O186" t="s">
        <v>24</v>
      </c>
    </row>
    <row r="187" spans="1:15" x14ac:dyDescent="0.35">
      <c r="A187" t="s">
        <v>573</v>
      </c>
      <c r="B187" s="2">
        <v>46118</v>
      </c>
      <c r="C187" t="s">
        <v>569</v>
      </c>
      <c r="D187" t="s">
        <v>267</v>
      </c>
      <c r="E187" t="s">
        <v>18</v>
      </c>
      <c r="F187" t="s">
        <v>18</v>
      </c>
      <c r="G187" t="s">
        <v>43</v>
      </c>
      <c r="H187" t="s">
        <v>162</v>
      </c>
      <c r="I187">
        <v>2</v>
      </c>
      <c r="J187" s="3">
        <v>8000</v>
      </c>
      <c r="K187" s="3">
        <v>4800</v>
      </c>
      <c r="L187" t="s">
        <v>21</v>
      </c>
      <c r="M187" t="s">
        <v>22</v>
      </c>
      <c r="N187" t="s">
        <v>23</v>
      </c>
      <c r="O187" t="s">
        <v>24</v>
      </c>
    </row>
    <row r="188" spans="1:15" x14ac:dyDescent="0.35">
      <c r="A188" t="s">
        <v>574</v>
      </c>
      <c r="B188" s="2">
        <v>46274</v>
      </c>
      <c r="C188" t="s">
        <v>575</v>
      </c>
      <c r="D188" t="s">
        <v>576</v>
      </c>
      <c r="E188" t="s">
        <v>56</v>
      </c>
      <c r="F188" t="s">
        <v>57</v>
      </c>
      <c r="G188" t="s">
        <v>19</v>
      </c>
      <c r="H188" t="s">
        <v>20</v>
      </c>
      <c r="I188">
        <v>8</v>
      </c>
      <c r="J188" s="3">
        <v>65000</v>
      </c>
      <c r="K188" s="3">
        <v>43600</v>
      </c>
      <c r="L188" t="s">
        <v>36</v>
      </c>
      <c r="M188" t="s">
        <v>37</v>
      </c>
      <c r="N188" t="s">
        <v>23</v>
      </c>
      <c r="O188" t="s">
        <v>24</v>
      </c>
    </row>
    <row r="189" spans="1:15" x14ac:dyDescent="0.35">
      <c r="A189" t="s">
        <v>577</v>
      </c>
      <c r="B189" s="2">
        <v>46251</v>
      </c>
      <c r="C189" t="s">
        <v>578</v>
      </c>
      <c r="D189" t="s">
        <v>200</v>
      </c>
      <c r="E189" t="s">
        <v>70</v>
      </c>
      <c r="F189" t="s">
        <v>71</v>
      </c>
      <c r="G189" t="s">
        <v>34</v>
      </c>
      <c r="H189" t="s">
        <v>86</v>
      </c>
      <c r="I189">
        <v>10</v>
      </c>
      <c r="J189" s="3">
        <v>180000</v>
      </c>
      <c r="K189" s="3">
        <v>135000</v>
      </c>
      <c r="L189" t="s">
        <v>30</v>
      </c>
      <c r="M189" t="s">
        <v>51</v>
      </c>
      <c r="N189" t="s">
        <v>23</v>
      </c>
      <c r="O189" t="s">
        <v>24</v>
      </c>
    </row>
    <row r="190" spans="1:15" x14ac:dyDescent="0.35">
      <c r="A190" t="s">
        <v>579</v>
      </c>
      <c r="B190" s="2">
        <v>46302</v>
      </c>
      <c r="C190" t="s">
        <v>580</v>
      </c>
      <c r="D190" t="s">
        <v>581</v>
      </c>
      <c r="E190" t="s">
        <v>18</v>
      </c>
      <c r="F190" t="s">
        <v>18</v>
      </c>
      <c r="G190" t="s">
        <v>28</v>
      </c>
      <c r="H190" t="s">
        <v>29</v>
      </c>
      <c r="I190">
        <v>3</v>
      </c>
      <c r="J190" s="3">
        <v>6600</v>
      </c>
      <c r="K190" s="3">
        <v>4000</v>
      </c>
      <c r="L190" t="s">
        <v>30</v>
      </c>
      <c r="M190" t="s">
        <v>22</v>
      </c>
      <c r="N190" t="s">
        <v>23</v>
      </c>
      <c r="O190" t="s">
        <v>24</v>
      </c>
    </row>
    <row r="191" spans="1:15" x14ac:dyDescent="0.35">
      <c r="A191" t="s">
        <v>582</v>
      </c>
      <c r="B191" s="2">
        <v>46189</v>
      </c>
      <c r="C191" t="s">
        <v>583</v>
      </c>
      <c r="D191" t="s">
        <v>121</v>
      </c>
      <c r="E191" t="s">
        <v>56</v>
      </c>
      <c r="F191" t="s">
        <v>57</v>
      </c>
      <c r="G191" t="s">
        <v>34</v>
      </c>
      <c r="H191" t="s">
        <v>141</v>
      </c>
      <c r="I191">
        <v>6</v>
      </c>
      <c r="J191" s="3">
        <v>168000</v>
      </c>
      <c r="K191" s="3">
        <v>123600</v>
      </c>
      <c r="L191" t="s">
        <v>36</v>
      </c>
      <c r="M191" t="s">
        <v>51</v>
      </c>
      <c r="N191" t="s">
        <v>23</v>
      </c>
      <c r="O191" t="s">
        <v>45</v>
      </c>
    </row>
    <row r="192" spans="1:15" x14ac:dyDescent="0.35">
      <c r="A192" t="s">
        <v>584</v>
      </c>
      <c r="B192" s="2">
        <v>46208</v>
      </c>
      <c r="C192" t="s">
        <v>585</v>
      </c>
      <c r="D192" t="s">
        <v>586</v>
      </c>
      <c r="E192" t="s">
        <v>77</v>
      </c>
      <c r="F192" t="s">
        <v>78</v>
      </c>
      <c r="G192" t="s">
        <v>19</v>
      </c>
      <c r="H192" t="s">
        <v>166</v>
      </c>
      <c r="I192">
        <v>5</v>
      </c>
      <c r="J192" s="3">
        <v>140000</v>
      </c>
      <c r="K192" s="3">
        <v>97000</v>
      </c>
      <c r="L192" t="s">
        <v>80</v>
      </c>
      <c r="M192" t="s">
        <v>51</v>
      </c>
      <c r="N192" t="s">
        <v>23</v>
      </c>
      <c r="O192" t="s">
        <v>24</v>
      </c>
    </row>
    <row r="193" spans="1:15" x14ac:dyDescent="0.35">
      <c r="A193" t="s">
        <v>587</v>
      </c>
      <c r="B193" s="2">
        <v>46202</v>
      </c>
      <c r="C193" t="s">
        <v>588</v>
      </c>
      <c r="D193" t="s">
        <v>589</v>
      </c>
      <c r="E193" t="s">
        <v>18</v>
      </c>
      <c r="F193" t="s">
        <v>18</v>
      </c>
      <c r="G193" t="s">
        <v>34</v>
      </c>
      <c r="H193" t="s">
        <v>141</v>
      </c>
      <c r="I193">
        <v>3</v>
      </c>
      <c r="J193" s="3">
        <v>160000</v>
      </c>
      <c r="K193" s="3">
        <v>123600</v>
      </c>
      <c r="L193" t="s">
        <v>80</v>
      </c>
      <c r="M193" t="s">
        <v>37</v>
      </c>
      <c r="N193" t="s">
        <v>23</v>
      </c>
      <c r="O193" t="s">
        <v>24</v>
      </c>
    </row>
    <row r="194" spans="1:15" x14ac:dyDescent="0.35">
      <c r="A194" t="s">
        <v>590</v>
      </c>
      <c r="B194" s="2">
        <v>46297</v>
      </c>
      <c r="C194" t="s">
        <v>591</v>
      </c>
      <c r="D194" t="s">
        <v>40</v>
      </c>
      <c r="E194" t="s">
        <v>156</v>
      </c>
      <c r="F194" t="s">
        <v>170</v>
      </c>
      <c r="G194" t="s">
        <v>28</v>
      </c>
      <c r="H194" t="s">
        <v>131</v>
      </c>
      <c r="I194">
        <v>6</v>
      </c>
      <c r="J194" s="3">
        <v>30000</v>
      </c>
      <c r="K194" s="3">
        <v>19000</v>
      </c>
      <c r="L194" t="s">
        <v>36</v>
      </c>
      <c r="M194" t="s">
        <v>31</v>
      </c>
      <c r="N194" t="s">
        <v>52</v>
      </c>
      <c r="O194" t="s">
        <v>24</v>
      </c>
    </row>
    <row r="195" spans="1:15" x14ac:dyDescent="0.35">
      <c r="A195" t="s">
        <v>592</v>
      </c>
      <c r="B195" s="2">
        <v>46055</v>
      </c>
      <c r="C195" t="s">
        <v>593</v>
      </c>
      <c r="D195" t="s">
        <v>594</v>
      </c>
      <c r="E195" t="s">
        <v>84</v>
      </c>
      <c r="F195" t="s">
        <v>85</v>
      </c>
      <c r="G195" t="s">
        <v>34</v>
      </c>
      <c r="H195" t="s">
        <v>35</v>
      </c>
      <c r="I195">
        <v>10</v>
      </c>
      <c r="J195" s="3">
        <v>57800</v>
      </c>
      <c r="K195" s="3">
        <v>37800</v>
      </c>
      <c r="L195" t="s">
        <v>73</v>
      </c>
      <c r="M195" t="s">
        <v>37</v>
      </c>
      <c r="N195" t="s">
        <v>23</v>
      </c>
      <c r="O195" t="s">
        <v>91</v>
      </c>
    </row>
    <row r="196" spans="1:15" x14ac:dyDescent="0.35">
      <c r="A196" t="s">
        <v>595</v>
      </c>
      <c r="B196" s="2">
        <v>46179</v>
      </c>
      <c r="C196" t="s">
        <v>596</v>
      </c>
      <c r="D196" t="s">
        <v>332</v>
      </c>
      <c r="E196" t="s">
        <v>56</v>
      </c>
      <c r="F196" t="s">
        <v>57</v>
      </c>
      <c r="G196" t="s">
        <v>34</v>
      </c>
      <c r="H196" t="s">
        <v>158</v>
      </c>
      <c r="I196">
        <v>8</v>
      </c>
      <c r="J196" s="3">
        <v>90200</v>
      </c>
      <c r="K196" s="3">
        <v>70000</v>
      </c>
      <c r="L196" t="s">
        <v>21</v>
      </c>
      <c r="M196" t="s">
        <v>51</v>
      </c>
      <c r="N196" t="s">
        <v>23</v>
      </c>
      <c r="O196" t="s">
        <v>91</v>
      </c>
    </row>
    <row r="197" spans="1:15" x14ac:dyDescent="0.35">
      <c r="A197" t="s">
        <v>597</v>
      </c>
      <c r="B197" s="2">
        <v>46090</v>
      </c>
      <c r="C197" t="s">
        <v>598</v>
      </c>
      <c r="D197" t="s">
        <v>479</v>
      </c>
      <c r="E197" t="s">
        <v>18</v>
      </c>
      <c r="F197" t="s">
        <v>18</v>
      </c>
      <c r="G197" t="s">
        <v>34</v>
      </c>
      <c r="H197" t="s">
        <v>141</v>
      </c>
      <c r="I197">
        <v>4</v>
      </c>
      <c r="J197" s="3">
        <v>168000</v>
      </c>
      <c r="K197" s="3">
        <v>116400</v>
      </c>
      <c r="L197" t="s">
        <v>96</v>
      </c>
      <c r="M197" t="s">
        <v>51</v>
      </c>
      <c r="N197" t="s">
        <v>23</v>
      </c>
      <c r="O197" t="s">
        <v>24</v>
      </c>
    </row>
    <row r="198" spans="1:15" x14ac:dyDescent="0.35">
      <c r="A198" t="s">
        <v>599</v>
      </c>
      <c r="B198" s="2">
        <v>46379</v>
      </c>
      <c r="C198" t="s">
        <v>600</v>
      </c>
      <c r="D198" t="s">
        <v>601</v>
      </c>
      <c r="E198" t="s">
        <v>18</v>
      </c>
      <c r="F198" t="s">
        <v>18</v>
      </c>
      <c r="G198" t="s">
        <v>43</v>
      </c>
      <c r="H198" t="s">
        <v>44</v>
      </c>
      <c r="I198">
        <v>10</v>
      </c>
      <c r="J198" s="3">
        <v>15000</v>
      </c>
      <c r="K198" s="3">
        <v>9500</v>
      </c>
      <c r="L198" t="s">
        <v>96</v>
      </c>
      <c r="M198" t="s">
        <v>51</v>
      </c>
      <c r="N198" t="s">
        <v>52</v>
      </c>
      <c r="O198" t="s">
        <v>24</v>
      </c>
    </row>
    <row r="199" spans="1:15" x14ac:dyDescent="0.35">
      <c r="A199" t="s">
        <v>602</v>
      </c>
      <c r="B199" s="2">
        <v>46227</v>
      </c>
      <c r="C199" t="s">
        <v>603</v>
      </c>
      <c r="D199" t="s">
        <v>155</v>
      </c>
      <c r="E199" t="s">
        <v>18</v>
      </c>
      <c r="F199" t="s">
        <v>18</v>
      </c>
      <c r="G199" t="s">
        <v>19</v>
      </c>
      <c r="H199" t="s">
        <v>166</v>
      </c>
      <c r="I199">
        <v>7</v>
      </c>
      <c r="J199" s="3">
        <v>140000</v>
      </c>
      <c r="K199" s="3">
        <v>103000</v>
      </c>
      <c r="L199" t="s">
        <v>96</v>
      </c>
      <c r="M199" t="s">
        <v>37</v>
      </c>
      <c r="N199" t="s">
        <v>23</v>
      </c>
      <c r="O199" t="s">
        <v>24</v>
      </c>
    </row>
    <row r="200" spans="1:15" x14ac:dyDescent="0.35">
      <c r="A200" t="s">
        <v>604</v>
      </c>
      <c r="B200" s="2">
        <v>46309</v>
      </c>
      <c r="C200" t="s">
        <v>605</v>
      </c>
      <c r="D200" t="s">
        <v>189</v>
      </c>
      <c r="E200" t="s">
        <v>190</v>
      </c>
      <c r="F200" t="s">
        <v>191</v>
      </c>
      <c r="G200" t="s">
        <v>28</v>
      </c>
      <c r="H200" t="s">
        <v>131</v>
      </c>
      <c r="I200">
        <v>5</v>
      </c>
      <c r="J200" s="3">
        <v>31500</v>
      </c>
      <c r="K200" s="3">
        <v>19600</v>
      </c>
      <c r="L200" t="s">
        <v>50</v>
      </c>
      <c r="M200" t="s">
        <v>31</v>
      </c>
      <c r="N200" t="s">
        <v>52</v>
      </c>
      <c r="O200" t="s">
        <v>24</v>
      </c>
    </row>
    <row r="201" spans="1:15" x14ac:dyDescent="0.35">
      <c r="A201" t="s">
        <v>606</v>
      </c>
      <c r="B201" s="2">
        <v>46159</v>
      </c>
      <c r="C201" t="s">
        <v>607</v>
      </c>
      <c r="D201" t="s">
        <v>287</v>
      </c>
      <c r="E201" t="s">
        <v>84</v>
      </c>
      <c r="F201" t="s">
        <v>85</v>
      </c>
      <c r="G201" t="s">
        <v>28</v>
      </c>
      <c r="H201" t="s">
        <v>248</v>
      </c>
      <c r="I201">
        <v>7</v>
      </c>
      <c r="J201" s="3">
        <v>25000</v>
      </c>
      <c r="K201" s="3">
        <v>16500</v>
      </c>
      <c r="L201" t="s">
        <v>30</v>
      </c>
      <c r="M201" t="s">
        <v>51</v>
      </c>
      <c r="N201" t="s">
        <v>23</v>
      </c>
      <c r="O201" t="s">
        <v>45</v>
      </c>
    </row>
    <row r="202" spans="1:15" x14ac:dyDescent="0.35">
      <c r="A202" t="s">
        <v>608</v>
      </c>
      <c r="B202" s="2">
        <v>46277</v>
      </c>
      <c r="C202" t="s">
        <v>609</v>
      </c>
      <c r="D202" t="s">
        <v>610</v>
      </c>
      <c r="E202" t="s">
        <v>77</v>
      </c>
      <c r="F202" t="s">
        <v>78</v>
      </c>
      <c r="G202" t="s">
        <v>28</v>
      </c>
      <c r="H202" t="s">
        <v>65</v>
      </c>
      <c r="I202">
        <v>10</v>
      </c>
      <c r="J202" s="3">
        <v>12000</v>
      </c>
      <c r="K202" s="3">
        <v>7500</v>
      </c>
      <c r="L202" t="s">
        <v>96</v>
      </c>
      <c r="M202" t="s">
        <v>22</v>
      </c>
      <c r="N202" t="s">
        <v>23</v>
      </c>
      <c r="O202" t="s">
        <v>24</v>
      </c>
    </row>
    <row r="203" spans="1:15" x14ac:dyDescent="0.35">
      <c r="A203" t="s">
        <v>611</v>
      </c>
      <c r="B203" s="2">
        <v>46185</v>
      </c>
      <c r="C203" t="s">
        <v>612</v>
      </c>
      <c r="D203" t="s">
        <v>613</v>
      </c>
      <c r="E203" t="s">
        <v>77</v>
      </c>
      <c r="F203" t="s">
        <v>78</v>
      </c>
      <c r="G203" t="s">
        <v>34</v>
      </c>
      <c r="H203" t="s">
        <v>141</v>
      </c>
      <c r="I203">
        <v>2</v>
      </c>
      <c r="J203" s="3">
        <v>160000</v>
      </c>
      <c r="K203" s="3">
        <v>123600</v>
      </c>
      <c r="L203" t="s">
        <v>30</v>
      </c>
      <c r="M203" t="s">
        <v>37</v>
      </c>
      <c r="N203" t="s">
        <v>23</v>
      </c>
      <c r="O203" t="s">
        <v>24</v>
      </c>
    </row>
    <row r="204" spans="1:15" x14ac:dyDescent="0.35">
      <c r="A204" t="s">
        <v>614</v>
      </c>
      <c r="B204" s="2">
        <v>46291</v>
      </c>
      <c r="C204" t="s">
        <v>615</v>
      </c>
      <c r="D204" t="s">
        <v>616</v>
      </c>
      <c r="E204" t="s">
        <v>18</v>
      </c>
      <c r="F204" t="s">
        <v>18</v>
      </c>
      <c r="G204" t="s">
        <v>34</v>
      </c>
      <c r="H204" t="s">
        <v>158</v>
      </c>
      <c r="I204">
        <v>2</v>
      </c>
      <c r="J204" s="3">
        <v>95000</v>
      </c>
      <c r="K204" s="3">
        <v>70000</v>
      </c>
      <c r="L204" t="s">
        <v>96</v>
      </c>
      <c r="M204" t="s">
        <v>37</v>
      </c>
      <c r="N204" t="s">
        <v>52</v>
      </c>
      <c r="O204" t="s">
        <v>24</v>
      </c>
    </row>
    <row r="205" spans="1:15" x14ac:dyDescent="0.35">
      <c r="A205" t="s">
        <v>617</v>
      </c>
      <c r="B205" s="2">
        <v>46166</v>
      </c>
      <c r="C205" t="s">
        <v>618</v>
      </c>
      <c r="D205" t="s">
        <v>619</v>
      </c>
      <c r="E205" t="s">
        <v>41</v>
      </c>
      <c r="F205" t="s">
        <v>42</v>
      </c>
      <c r="G205" t="s">
        <v>34</v>
      </c>
      <c r="H205" t="s">
        <v>95</v>
      </c>
      <c r="I205">
        <v>7</v>
      </c>
      <c r="J205" s="3">
        <v>450000</v>
      </c>
      <c r="K205" s="3">
        <v>370000</v>
      </c>
      <c r="L205" t="s">
        <v>36</v>
      </c>
      <c r="M205" t="s">
        <v>31</v>
      </c>
      <c r="N205" t="s">
        <v>87</v>
      </c>
      <c r="O205" t="s">
        <v>24</v>
      </c>
    </row>
    <row r="206" spans="1:15" x14ac:dyDescent="0.35">
      <c r="A206" t="s">
        <v>620</v>
      </c>
      <c r="B206" s="2">
        <v>46254</v>
      </c>
      <c r="C206" t="s">
        <v>621</v>
      </c>
      <c r="D206" t="s">
        <v>622</v>
      </c>
      <c r="E206" t="s">
        <v>18</v>
      </c>
      <c r="F206" t="s">
        <v>18</v>
      </c>
      <c r="G206" t="s">
        <v>19</v>
      </c>
      <c r="H206" t="s">
        <v>166</v>
      </c>
      <c r="I206">
        <v>4</v>
      </c>
      <c r="J206" s="3">
        <v>147000</v>
      </c>
      <c r="K206" s="3">
        <v>97000</v>
      </c>
      <c r="L206" t="s">
        <v>30</v>
      </c>
      <c r="M206" t="s">
        <v>37</v>
      </c>
      <c r="N206" t="s">
        <v>23</v>
      </c>
      <c r="O206" t="s">
        <v>24</v>
      </c>
    </row>
    <row r="207" spans="1:15" x14ac:dyDescent="0.35">
      <c r="A207" t="s">
        <v>623</v>
      </c>
      <c r="B207" s="2">
        <v>46151</v>
      </c>
      <c r="C207" t="s">
        <v>624</v>
      </c>
      <c r="D207" t="s">
        <v>137</v>
      </c>
      <c r="E207" t="s">
        <v>56</v>
      </c>
      <c r="F207" t="s">
        <v>57</v>
      </c>
      <c r="G207" t="s">
        <v>19</v>
      </c>
      <c r="H207" t="s">
        <v>166</v>
      </c>
      <c r="I207">
        <v>2</v>
      </c>
      <c r="J207" s="3">
        <v>140000</v>
      </c>
      <c r="K207" s="3">
        <v>97000</v>
      </c>
      <c r="L207" t="s">
        <v>80</v>
      </c>
      <c r="M207" t="s">
        <v>37</v>
      </c>
      <c r="N207" t="s">
        <v>23</v>
      </c>
      <c r="O207" t="s">
        <v>45</v>
      </c>
    </row>
    <row r="208" spans="1:15" x14ac:dyDescent="0.35">
      <c r="A208" t="s">
        <v>625</v>
      </c>
      <c r="B208" s="2">
        <v>46201</v>
      </c>
      <c r="C208" t="s">
        <v>626</v>
      </c>
      <c r="D208" t="s">
        <v>627</v>
      </c>
      <c r="E208" t="s">
        <v>190</v>
      </c>
      <c r="F208" t="s">
        <v>191</v>
      </c>
      <c r="G208" t="s">
        <v>28</v>
      </c>
      <c r="H208" t="s">
        <v>72</v>
      </c>
      <c r="I208">
        <v>2</v>
      </c>
      <c r="J208" s="3">
        <v>10000</v>
      </c>
      <c r="K208" s="3">
        <v>6000</v>
      </c>
      <c r="L208" t="s">
        <v>73</v>
      </c>
      <c r="M208" t="s">
        <v>31</v>
      </c>
      <c r="N208" t="s">
        <v>23</v>
      </c>
      <c r="O208" t="s">
        <v>91</v>
      </c>
    </row>
    <row r="209" spans="1:15" x14ac:dyDescent="0.35">
      <c r="A209" t="s">
        <v>628</v>
      </c>
      <c r="B209" s="2">
        <v>46375</v>
      </c>
      <c r="C209" t="s">
        <v>537</v>
      </c>
      <c r="D209" t="s">
        <v>629</v>
      </c>
      <c r="E209" t="s">
        <v>156</v>
      </c>
      <c r="F209" t="s">
        <v>157</v>
      </c>
      <c r="G209" t="s">
        <v>34</v>
      </c>
      <c r="H209" t="s">
        <v>95</v>
      </c>
      <c r="I209">
        <v>10</v>
      </c>
      <c r="J209" s="3">
        <v>472500</v>
      </c>
      <c r="K209" s="3">
        <v>370000</v>
      </c>
      <c r="L209" t="s">
        <v>30</v>
      </c>
      <c r="M209" t="s">
        <v>51</v>
      </c>
      <c r="N209" t="s">
        <v>52</v>
      </c>
      <c r="O209" t="s">
        <v>24</v>
      </c>
    </row>
    <row r="210" spans="1:15" x14ac:dyDescent="0.35">
      <c r="A210" t="s">
        <v>630</v>
      </c>
      <c r="B210" s="2">
        <v>46273</v>
      </c>
      <c r="C210" t="s">
        <v>376</v>
      </c>
      <c r="D210" t="s">
        <v>631</v>
      </c>
      <c r="E210" t="s">
        <v>18</v>
      </c>
      <c r="F210" t="s">
        <v>18</v>
      </c>
      <c r="G210" t="s">
        <v>19</v>
      </c>
      <c r="H210" t="s">
        <v>20</v>
      </c>
      <c r="I210">
        <v>7</v>
      </c>
      <c r="J210" s="3">
        <v>68200</v>
      </c>
      <c r="K210" s="3">
        <v>43600</v>
      </c>
      <c r="L210" t="s">
        <v>50</v>
      </c>
      <c r="M210" t="s">
        <v>37</v>
      </c>
      <c r="N210" t="s">
        <v>23</v>
      </c>
      <c r="O210" t="s">
        <v>91</v>
      </c>
    </row>
    <row r="211" spans="1:15" x14ac:dyDescent="0.35">
      <c r="A211" t="s">
        <v>632</v>
      </c>
      <c r="B211" s="2">
        <v>46335</v>
      </c>
      <c r="C211" t="s">
        <v>598</v>
      </c>
      <c r="D211" t="s">
        <v>633</v>
      </c>
      <c r="E211" t="s">
        <v>156</v>
      </c>
      <c r="F211" t="s">
        <v>170</v>
      </c>
      <c r="G211" t="s">
        <v>19</v>
      </c>
      <c r="H211" t="s">
        <v>61</v>
      </c>
      <c r="I211">
        <v>1</v>
      </c>
      <c r="J211" s="3">
        <v>209000</v>
      </c>
      <c r="K211" s="3">
        <v>160000</v>
      </c>
      <c r="L211" t="s">
        <v>21</v>
      </c>
      <c r="M211" t="s">
        <v>22</v>
      </c>
      <c r="N211" t="s">
        <v>52</v>
      </c>
      <c r="O211" t="s">
        <v>24</v>
      </c>
    </row>
    <row r="212" spans="1:15" x14ac:dyDescent="0.35">
      <c r="A212" t="s">
        <v>634</v>
      </c>
      <c r="B212" s="2">
        <v>46247</v>
      </c>
      <c r="C212" t="s">
        <v>635</v>
      </c>
      <c r="D212" t="s">
        <v>636</v>
      </c>
      <c r="E212" t="s">
        <v>84</v>
      </c>
      <c r="F212" t="s">
        <v>85</v>
      </c>
      <c r="G212" t="s">
        <v>34</v>
      </c>
      <c r="H212" t="s">
        <v>141</v>
      </c>
      <c r="I212">
        <v>4</v>
      </c>
      <c r="J212" s="3">
        <v>160000</v>
      </c>
      <c r="K212" s="3">
        <v>123600</v>
      </c>
      <c r="L212" t="s">
        <v>30</v>
      </c>
      <c r="M212" t="s">
        <v>37</v>
      </c>
      <c r="N212" t="s">
        <v>23</v>
      </c>
      <c r="O212" t="s">
        <v>24</v>
      </c>
    </row>
    <row r="213" spans="1:15" x14ac:dyDescent="0.35">
      <c r="A213" t="s">
        <v>637</v>
      </c>
      <c r="B213" s="2">
        <v>46348</v>
      </c>
      <c r="C213" t="s">
        <v>638</v>
      </c>
      <c r="D213" t="s">
        <v>639</v>
      </c>
      <c r="E213" t="s">
        <v>18</v>
      </c>
      <c r="F213" t="s">
        <v>18</v>
      </c>
      <c r="G213" t="s">
        <v>19</v>
      </c>
      <c r="H213" t="s">
        <v>61</v>
      </c>
      <c r="I213">
        <v>10</v>
      </c>
      <c r="J213" s="3">
        <v>209000</v>
      </c>
      <c r="K213" s="3">
        <v>164800</v>
      </c>
      <c r="L213" t="s">
        <v>96</v>
      </c>
      <c r="M213" t="s">
        <v>51</v>
      </c>
      <c r="N213" t="s">
        <v>23</v>
      </c>
      <c r="O213" t="s">
        <v>24</v>
      </c>
    </row>
    <row r="214" spans="1:15" x14ac:dyDescent="0.35">
      <c r="A214" t="s">
        <v>640</v>
      </c>
      <c r="B214" s="2">
        <v>46053</v>
      </c>
      <c r="C214" t="s">
        <v>626</v>
      </c>
      <c r="D214" t="s">
        <v>64</v>
      </c>
      <c r="E214" t="s">
        <v>190</v>
      </c>
      <c r="F214" t="s">
        <v>191</v>
      </c>
      <c r="G214" t="s">
        <v>43</v>
      </c>
      <c r="H214" t="s">
        <v>49</v>
      </c>
      <c r="I214">
        <v>7</v>
      </c>
      <c r="J214" s="3">
        <v>8600</v>
      </c>
      <c r="K214" s="3">
        <v>5600</v>
      </c>
      <c r="L214" t="s">
        <v>80</v>
      </c>
      <c r="M214" t="s">
        <v>37</v>
      </c>
      <c r="N214" t="s">
        <v>23</v>
      </c>
      <c r="O214" t="s">
        <v>24</v>
      </c>
    </row>
    <row r="215" spans="1:15" x14ac:dyDescent="0.35">
      <c r="A215" t="s">
        <v>641</v>
      </c>
      <c r="B215" s="2">
        <v>46159</v>
      </c>
      <c r="C215" t="s">
        <v>642</v>
      </c>
      <c r="D215" t="s">
        <v>643</v>
      </c>
      <c r="E215" t="s">
        <v>18</v>
      </c>
      <c r="F215" t="s">
        <v>18</v>
      </c>
      <c r="G215" t="s">
        <v>34</v>
      </c>
      <c r="H215" t="s">
        <v>141</v>
      </c>
      <c r="I215">
        <v>9</v>
      </c>
      <c r="J215" s="3">
        <v>160000</v>
      </c>
      <c r="K215" s="3">
        <v>123600</v>
      </c>
      <c r="L215" t="s">
        <v>50</v>
      </c>
      <c r="M215" t="s">
        <v>37</v>
      </c>
      <c r="N215" t="s">
        <v>23</v>
      </c>
      <c r="O215" t="s">
        <v>24</v>
      </c>
    </row>
    <row r="216" spans="1:15" x14ac:dyDescent="0.35">
      <c r="A216" t="s">
        <v>644</v>
      </c>
      <c r="B216" s="2">
        <v>46185</v>
      </c>
      <c r="C216" t="s">
        <v>645</v>
      </c>
      <c r="D216" t="s">
        <v>646</v>
      </c>
      <c r="E216" t="s">
        <v>70</v>
      </c>
      <c r="F216" t="s">
        <v>71</v>
      </c>
      <c r="G216" t="s">
        <v>19</v>
      </c>
      <c r="H216" t="s">
        <v>166</v>
      </c>
      <c r="I216">
        <v>4</v>
      </c>
      <c r="J216" s="3">
        <v>133000</v>
      </c>
      <c r="K216" s="3">
        <v>100000</v>
      </c>
      <c r="L216" t="s">
        <v>21</v>
      </c>
      <c r="M216" t="s">
        <v>51</v>
      </c>
      <c r="N216" t="s">
        <v>52</v>
      </c>
      <c r="O216" t="s">
        <v>24</v>
      </c>
    </row>
    <row r="217" spans="1:15" x14ac:dyDescent="0.35">
      <c r="A217" t="s">
        <v>647</v>
      </c>
      <c r="B217" s="2">
        <v>46261</v>
      </c>
      <c r="C217" t="s">
        <v>396</v>
      </c>
      <c r="D217" t="s">
        <v>380</v>
      </c>
      <c r="E217" t="s">
        <v>18</v>
      </c>
      <c r="F217" t="s">
        <v>18</v>
      </c>
      <c r="G217" t="s">
        <v>28</v>
      </c>
      <c r="H217" t="s">
        <v>65</v>
      </c>
      <c r="I217">
        <v>5</v>
      </c>
      <c r="J217" s="3">
        <v>11400</v>
      </c>
      <c r="K217" s="3">
        <v>7500</v>
      </c>
      <c r="L217" t="s">
        <v>21</v>
      </c>
      <c r="M217" t="s">
        <v>37</v>
      </c>
      <c r="N217" t="s">
        <v>23</v>
      </c>
      <c r="O217" t="s">
        <v>24</v>
      </c>
    </row>
    <row r="218" spans="1:15" x14ac:dyDescent="0.35">
      <c r="A218" t="s">
        <v>648</v>
      </c>
      <c r="B218" s="2">
        <v>46097</v>
      </c>
      <c r="C218" t="s">
        <v>649</v>
      </c>
      <c r="D218" t="s">
        <v>650</v>
      </c>
      <c r="E218" t="s">
        <v>18</v>
      </c>
      <c r="F218" t="s">
        <v>18</v>
      </c>
      <c r="G218" t="s">
        <v>19</v>
      </c>
      <c r="H218" t="s">
        <v>20</v>
      </c>
      <c r="I218">
        <v>1</v>
      </c>
      <c r="J218" s="3">
        <v>68200</v>
      </c>
      <c r="K218" s="3">
        <v>43600</v>
      </c>
      <c r="L218" t="s">
        <v>66</v>
      </c>
      <c r="M218" t="s">
        <v>51</v>
      </c>
      <c r="N218" t="s">
        <v>23</v>
      </c>
      <c r="O218" t="s">
        <v>24</v>
      </c>
    </row>
    <row r="219" spans="1:15" x14ac:dyDescent="0.35">
      <c r="A219" t="s">
        <v>651</v>
      </c>
      <c r="B219" s="2">
        <v>46133</v>
      </c>
      <c r="C219" t="s">
        <v>652</v>
      </c>
      <c r="D219" t="s">
        <v>374</v>
      </c>
      <c r="E219" t="s">
        <v>41</v>
      </c>
      <c r="F219" t="s">
        <v>42</v>
      </c>
      <c r="G219" t="s">
        <v>368</v>
      </c>
      <c r="H219" t="s">
        <v>35</v>
      </c>
      <c r="I219">
        <v>1</v>
      </c>
      <c r="J219" s="3">
        <v>52200</v>
      </c>
      <c r="K219" s="3">
        <v>40200</v>
      </c>
      <c r="L219" t="s">
        <v>66</v>
      </c>
      <c r="M219" t="s">
        <v>37</v>
      </c>
      <c r="N219" t="s">
        <v>23</v>
      </c>
      <c r="O219" t="s">
        <v>24</v>
      </c>
    </row>
    <row r="220" spans="1:15" x14ac:dyDescent="0.35">
      <c r="A220" t="s">
        <v>653</v>
      </c>
      <c r="B220" s="2">
        <v>46376</v>
      </c>
      <c r="C220" t="s">
        <v>654</v>
      </c>
      <c r="D220" t="s">
        <v>619</v>
      </c>
      <c r="E220" t="s">
        <v>84</v>
      </c>
      <c r="F220" t="s">
        <v>85</v>
      </c>
      <c r="G220" t="s">
        <v>28</v>
      </c>
      <c r="H220" t="s">
        <v>131</v>
      </c>
      <c r="I220">
        <v>6</v>
      </c>
      <c r="J220" s="3">
        <v>31500</v>
      </c>
      <c r="K220" s="3">
        <v>19600</v>
      </c>
      <c r="L220" t="s">
        <v>96</v>
      </c>
      <c r="M220" t="s">
        <v>22</v>
      </c>
      <c r="N220" t="s">
        <v>23</v>
      </c>
      <c r="O220" t="s">
        <v>24</v>
      </c>
    </row>
    <row r="221" spans="1:15" x14ac:dyDescent="0.35">
      <c r="A221" t="s">
        <v>655</v>
      </c>
      <c r="B221" s="2">
        <v>46136</v>
      </c>
      <c r="C221" t="s">
        <v>656</v>
      </c>
      <c r="D221" t="s">
        <v>589</v>
      </c>
      <c r="E221" t="s">
        <v>84</v>
      </c>
      <c r="F221" t="s">
        <v>85</v>
      </c>
      <c r="G221" t="s">
        <v>28</v>
      </c>
      <c r="H221" t="s">
        <v>65</v>
      </c>
      <c r="I221">
        <v>8</v>
      </c>
      <c r="J221" s="3">
        <v>12600</v>
      </c>
      <c r="K221" s="3">
        <v>7300</v>
      </c>
      <c r="L221" t="s">
        <v>96</v>
      </c>
      <c r="M221" t="s">
        <v>51</v>
      </c>
      <c r="N221" t="s">
        <v>52</v>
      </c>
      <c r="O221" t="s">
        <v>24</v>
      </c>
    </row>
    <row r="222" spans="1:15" x14ac:dyDescent="0.35">
      <c r="A222" t="s">
        <v>657</v>
      </c>
      <c r="B222" s="2">
        <v>46135</v>
      </c>
      <c r="C222" t="s">
        <v>652</v>
      </c>
      <c r="D222" t="s">
        <v>291</v>
      </c>
      <c r="E222" t="s">
        <v>56</v>
      </c>
      <c r="F222" t="s">
        <v>57</v>
      </c>
      <c r="G222" t="s">
        <v>43</v>
      </c>
      <c r="H222" t="s">
        <v>44</v>
      </c>
      <c r="I222">
        <v>2</v>
      </c>
      <c r="J222" s="3">
        <v>15000</v>
      </c>
      <c r="K222" s="3">
        <v>9800</v>
      </c>
      <c r="L222" t="s">
        <v>50</v>
      </c>
      <c r="M222" t="s">
        <v>51</v>
      </c>
      <c r="N222" t="s">
        <v>87</v>
      </c>
      <c r="O222" t="s">
        <v>24</v>
      </c>
    </row>
    <row r="223" spans="1:15" x14ac:dyDescent="0.35">
      <c r="A223" t="s">
        <v>658</v>
      </c>
      <c r="B223" s="2">
        <v>46375</v>
      </c>
      <c r="C223" t="s">
        <v>659</v>
      </c>
      <c r="D223" t="s">
        <v>660</v>
      </c>
      <c r="E223" t="s">
        <v>84</v>
      </c>
      <c r="F223" t="s">
        <v>85</v>
      </c>
      <c r="G223" t="s">
        <v>34</v>
      </c>
      <c r="H223" t="s">
        <v>86</v>
      </c>
      <c r="I223">
        <v>10</v>
      </c>
      <c r="J223" s="3">
        <v>189000</v>
      </c>
      <c r="K223" s="3">
        <v>131000</v>
      </c>
      <c r="L223" t="s">
        <v>80</v>
      </c>
      <c r="M223" t="s">
        <v>31</v>
      </c>
      <c r="N223" t="s">
        <v>52</v>
      </c>
      <c r="O223" t="s">
        <v>91</v>
      </c>
    </row>
    <row r="224" spans="1:15" x14ac:dyDescent="0.35">
      <c r="A224" t="s">
        <v>661</v>
      </c>
      <c r="B224" s="2">
        <v>46081</v>
      </c>
      <c r="C224" t="s">
        <v>133</v>
      </c>
      <c r="D224" t="s">
        <v>662</v>
      </c>
      <c r="E224" t="s">
        <v>18</v>
      </c>
      <c r="F224" t="s">
        <v>18</v>
      </c>
      <c r="G224" t="s">
        <v>19</v>
      </c>
      <c r="H224" t="s">
        <v>166</v>
      </c>
      <c r="I224">
        <v>8</v>
      </c>
      <c r="J224" s="3">
        <v>140000</v>
      </c>
      <c r="K224" s="3">
        <v>103000</v>
      </c>
      <c r="L224" t="s">
        <v>96</v>
      </c>
      <c r="M224" t="s">
        <v>51</v>
      </c>
      <c r="N224" t="s">
        <v>52</v>
      </c>
      <c r="O224" t="s">
        <v>24</v>
      </c>
    </row>
    <row r="225" spans="1:15" x14ac:dyDescent="0.35">
      <c r="A225" t="s">
        <v>663</v>
      </c>
      <c r="B225" s="2">
        <v>46116</v>
      </c>
      <c r="C225" t="s">
        <v>664</v>
      </c>
      <c r="D225" t="s">
        <v>665</v>
      </c>
      <c r="E225" t="s">
        <v>190</v>
      </c>
      <c r="F225" t="s">
        <v>191</v>
      </c>
      <c r="G225" t="s">
        <v>28</v>
      </c>
      <c r="H225" t="s">
        <v>248</v>
      </c>
      <c r="I225">
        <v>8</v>
      </c>
      <c r="J225" s="3">
        <v>25000</v>
      </c>
      <c r="K225" s="3">
        <v>16000</v>
      </c>
      <c r="L225" t="s">
        <v>66</v>
      </c>
      <c r="M225" t="s">
        <v>51</v>
      </c>
      <c r="N225" t="s">
        <v>23</v>
      </c>
      <c r="O225" t="s">
        <v>91</v>
      </c>
    </row>
    <row r="226" spans="1:15" x14ac:dyDescent="0.35">
      <c r="A226" t="s">
        <v>666</v>
      </c>
      <c r="B226" s="2">
        <v>46296</v>
      </c>
      <c r="C226" t="s">
        <v>376</v>
      </c>
      <c r="D226" t="s">
        <v>667</v>
      </c>
      <c r="E226" t="s">
        <v>77</v>
      </c>
      <c r="F226" t="s">
        <v>78</v>
      </c>
      <c r="G226" t="s">
        <v>34</v>
      </c>
      <c r="H226" t="s">
        <v>158</v>
      </c>
      <c r="I226">
        <v>9</v>
      </c>
      <c r="J226" s="3">
        <v>95000</v>
      </c>
      <c r="K226" s="3">
        <v>70000</v>
      </c>
      <c r="L226" t="s">
        <v>21</v>
      </c>
      <c r="M226" t="s">
        <v>51</v>
      </c>
      <c r="N226" t="s">
        <v>23</v>
      </c>
      <c r="O226" t="s">
        <v>24</v>
      </c>
    </row>
    <row r="227" spans="1:15" x14ac:dyDescent="0.35">
      <c r="A227" t="s">
        <v>668</v>
      </c>
      <c r="B227" s="2">
        <v>46248</v>
      </c>
      <c r="C227" t="s">
        <v>486</v>
      </c>
      <c r="D227" t="s">
        <v>669</v>
      </c>
      <c r="E227" t="s">
        <v>77</v>
      </c>
      <c r="F227" t="s">
        <v>78</v>
      </c>
      <c r="G227" t="s">
        <v>34</v>
      </c>
      <c r="H227" t="s">
        <v>35</v>
      </c>
      <c r="I227">
        <v>9</v>
      </c>
      <c r="J227" s="3">
        <v>57800</v>
      </c>
      <c r="K227" s="3">
        <v>39000</v>
      </c>
      <c r="L227" t="s">
        <v>50</v>
      </c>
      <c r="M227" t="s">
        <v>51</v>
      </c>
      <c r="N227" t="s">
        <v>52</v>
      </c>
      <c r="O227" t="s">
        <v>24</v>
      </c>
    </row>
    <row r="228" spans="1:15" x14ac:dyDescent="0.35">
      <c r="A228" t="s">
        <v>670</v>
      </c>
      <c r="B228" s="2">
        <v>46338</v>
      </c>
      <c r="C228" t="s">
        <v>671</v>
      </c>
      <c r="D228" t="s">
        <v>672</v>
      </c>
      <c r="E228" t="s">
        <v>77</v>
      </c>
      <c r="F228" t="s">
        <v>78</v>
      </c>
      <c r="G228" t="s">
        <v>43</v>
      </c>
      <c r="H228" t="s">
        <v>162</v>
      </c>
      <c r="I228">
        <v>2</v>
      </c>
      <c r="J228" s="3">
        <v>8400</v>
      </c>
      <c r="K228" s="3">
        <v>4800</v>
      </c>
      <c r="L228" t="s">
        <v>30</v>
      </c>
      <c r="M228" t="s">
        <v>37</v>
      </c>
      <c r="N228" t="s">
        <v>52</v>
      </c>
      <c r="O228" t="s">
        <v>24</v>
      </c>
    </row>
    <row r="229" spans="1:15" x14ac:dyDescent="0.35">
      <c r="A229" t="s">
        <v>673</v>
      </c>
      <c r="B229" s="2">
        <v>46029</v>
      </c>
      <c r="C229" t="s">
        <v>212</v>
      </c>
      <c r="D229" t="s">
        <v>674</v>
      </c>
      <c r="E229" t="s">
        <v>18</v>
      </c>
      <c r="F229" t="s">
        <v>18</v>
      </c>
      <c r="G229" t="s">
        <v>19</v>
      </c>
      <c r="H229" t="s">
        <v>61</v>
      </c>
      <c r="I229">
        <v>5</v>
      </c>
      <c r="J229" s="3">
        <v>220000</v>
      </c>
      <c r="K229" s="3">
        <v>155200</v>
      </c>
      <c r="L229" t="s">
        <v>66</v>
      </c>
      <c r="M229" t="s">
        <v>51</v>
      </c>
      <c r="N229" t="s">
        <v>87</v>
      </c>
      <c r="O229" t="s">
        <v>24</v>
      </c>
    </row>
    <row r="230" spans="1:15" x14ac:dyDescent="0.35">
      <c r="A230" t="s">
        <v>675</v>
      </c>
      <c r="B230" s="2">
        <v>46367</v>
      </c>
      <c r="C230" t="s">
        <v>600</v>
      </c>
      <c r="D230" t="s">
        <v>676</v>
      </c>
      <c r="E230" t="s">
        <v>70</v>
      </c>
      <c r="F230" t="s">
        <v>71</v>
      </c>
      <c r="G230" t="s">
        <v>34</v>
      </c>
      <c r="H230" t="s">
        <v>95</v>
      </c>
      <c r="I230">
        <v>7</v>
      </c>
      <c r="J230" s="3">
        <v>450000</v>
      </c>
      <c r="K230" s="3">
        <v>370000</v>
      </c>
      <c r="L230" t="s">
        <v>50</v>
      </c>
      <c r="M230" t="s">
        <v>51</v>
      </c>
      <c r="N230" t="s">
        <v>23</v>
      </c>
      <c r="O230" t="s">
        <v>24</v>
      </c>
    </row>
    <row r="231" spans="1:15" x14ac:dyDescent="0.35">
      <c r="A231" t="s">
        <v>677</v>
      </c>
      <c r="B231" s="2">
        <v>46245</v>
      </c>
      <c r="C231" t="s">
        <v>678</v>
      </c>
      <c r="D231" t="s">
        <v>679</v>
      </c>
      <c r="E231" t="s">
        <v>18</v>
      </c>
      <c r="F231" t="s">
        <v>18</v>
      </c>
      <c r="G231" t="s">
        <v>28</v>
      </c>
      <c r="H231" t="s">
        <v>29</v>
      </c>
      <c r="I231">
        <v>10</v>
      </c>
      <c r="J231" s="3">
        <v>7000</v>
      </c>
      <c r="K231" s="3">
        <v>4000</v>
      </c>
      <c r="L231" t="s">
        <v>73</v>
      </c>
      <c r="M231" t="s">
        <v>37</v>
      </c>
      <c r="N231" t="s">
        <v>23</v>
      </c>
      <c r="O231" t="s">
        <v>24</v>
      </c>
    </row>
    <row r="232" spans="1:15" x14ac:dyDescent="0.35">
      <c r="A232" t="s">
        <v>680</v>
      </c>
      <c r="B232" s="2">
        <v>46225</v>
      </c>
      <c r="C232" t="s">
        <v>299</v>
      </c>
      <c r="D232" t="s">
        <v>127</v>
      </c>
      <c r="E232" t="s">
        <v>18</v>
      </c>
      <c r="F232" t="s">
        <v>18</v>
      </c>
      <c r="G232" t="s">
        <v>34</v>
      </c>
      <c r="H232" t="s">
        <v>158</v>
      </c>
      <c r="I232">
        <v>10</v>
      </c>
      <c r="J232" s="3">
        <v>95000</v>
      </c>
      <c r="K232" s="3">
        <v>72100</v>
      </c>
      <c r="L232" t="s">
        <v>66</v>
      </c>
      <c r="M232" t="s">
        <v>51</v>
      </c>
      <c r="N232" t="s">
        <v>52</v>
      </c>
      <c r="O232" t="s">
        <v>45</v>
      </c>
    </row>
    <row r="233" spans="1:15" x14ac:dyDescent="0.35">
      <c r="A233" t="s">
        <v>681</v>
      </c>
      <c r="B233" s="2">
        <v>46208</v>
      </c>
      <c r="C233" t="s">
        <v>275</v>
      </c>
      <c r="D233" t="s">
        <v>17</v>
      </c>
      <c r="E233" t="s">
        <v>41</v>
      </c>
      <c r="F233" t="s">
        <v>42</v>
      </c>
      <c r="G233" t="s">
        <v>19</v>
      </c>
      <c r="H233" t="s">
        <v>166</v>
      </c>
      <c r="I233">
        <v>5</v>
      </c>
      <c r="J233" s="3">
        <v>133000</v>
      </c>
      <c r="K233" s="3">
        <v>103000</v>
      </c>
      <c r="L233" t="s">
        <v>50</v>
      </c>
      <c r="M233" t="s">
        <v>51</v>
      </c>
      <c r="N233" t="s">
        <v>52</v>
      </c>
      <c r="O233" t="s">
        <v>24</v>
      </c>
    </row>
    <row r="234" spans="1:15" x14ac:dyDescent="0.35">
      <c r="A234" t="s">
        <v>682</v>
      </c>
      <c r="B234" s="2">
        <v>46082</v>
      </c>
      <c r="C234" t="s">
        <v>683</v>
      </c>
      <c r="D234" t="s">
        <v>586</v>
      </c>
      <c r="E234" t="s">
        <v>156</v>
      </c>
      <c r="F234" t="s">
        <v>170</v>
      </c>
      <c r="G234" t="s">
        <v>34</v>
      </c>
      <c r="H234" t="s">
        <v>141</v>
      </c>
      <c r="I234">
        <v>9</v>
      </c>
      <c r="J234" s="3">
        <v>168000</v>
      </c>
      <c r="K234" s="3">
        <v>116400</v>
      </c>
      <c r="L234" t="s">
        <v>66</v>
      </c>
      <c r="M234" t="s">
        <v>37</v>
      </c>
      <c r="N234" t="s">
        <v>87</v>
      </c>
      <c r="O234" t="s">
        <v>91</v>
      </c>
    </row>
    <row r="235" spans="1:15" x14ac:dyDescent="0.35">
      <c r="A235" t="s">
        <v>684</v>
      </c>
      <c r="B235" s="2">
        <v>46260</v>
      </c>
      <c r="C235" t="s">
        <v>685</v>
      </c>
      <c r="D235" t="s">
        <v>519</v>
      </c>
      <c r="E235" t="s">
        <v>77</v>
      </c>
      <c r="F235" t="s">
        <v>78</v>
      </c>
      <c r="G235" t="s">
        <v>43</v>
      </c>
      <c r="H235" t="s">
        <v>44</v>
      </c>
      <c r="I235">
        <v>8</v>
      </c>
      <c r="J235" s="3">
        <v>15000</v>
      </c>
      <c r="K235" s="3">
        <v>9200</v>
      </c>
      <c r="L235" t="s">
        <v>73</v>
      </c>
      <c r="M235" t="s">
        <v>51</v>
      </c>
      <c r="N235" t="s">
        <v>23</v>
      </c>
      <c r="O235" t="s">
        <v>24</v>
      </c>
    </row>
    <row r="236" spans="1:15" x14ac:dyDescent="0.35">
      <c r="A236" t="s">
        <v>686</v>
      </c>
      <c r="B236" s="2">
        <v>46107</v>
      </c>
      <c r="C236" t="s">
        <v>687</v>
      </c>
      <c r="D236" t="s">
        <v>688</v>
      </c>
      <c r="E236" t="s">
        <v>84</v>
      </c>
      <c r="F236" t="s">
        <v>85</v>
      </c>
      <c r="G236" t="s">
        <v>34</v>
      </c>
      <c r="H236" t="s">
        <v>86</v>
      </c>
      <c r="I236">
        <v>4</v>
      </c>
      <c r="J236" s="3">
        <v>180000</v>
      </c>
      <c r="K236" s="3">
        <v>139000</v>
      </c>
      <c r="L236" t="s">
        <v>73</v>
      </c>
      <c r="M236" t="s">
        <v>22</v>
      </c>
      <c r="N236" t="s">
        <v>23</v>
      </c>
      <c r="O236" t="s">
        <v>24</v>
      </c>
    </row>
    <row r="237" spans="1:15" x14ac:dyDescent="0.35">
      <c r="A237" t="s">
        <v>689</v>
      </c>
      <c r="B237" s="2">
        <v>46272</v>
      </c>
      <c r="C237" t="s">
        <v>690</v>
      </c>
      <c r="D237" t="s">
        <v>691</v>
      </c>
      <c r="E237" t="s">
        <v>18</v>
      </c>
      <c r="F237" t="s">
        <v>18</v>
      </c>
      <c r="G237" t="s">
        <v>34</v>
      </c>
      <c r="H237" t="s">
        <v>141</v>
      </c>
      <c r="I237">
        <v>10</v>
      </c>
      <c r="J237" s="3">
        <v>168000</v>
      </c>
      <c r="K237" s="3">
        <v>123600</v>
      </c>
      <c r="L237" t="s">
        <v>66</v>
      </c>
      <c r="M237" t="s">
        <v>22</v>
      </c>
      <c r="N237" t="s">
        <v>23</v>
      </c>
      <c r="O237" t="s">
        <v>24</v>
      </c>
    </row>
    <row r="238" spans="1:15" x14ac:dyDescent="0.35">
      <c r="A238" t="s">
        <v>692</v>
      </c>
      <c r="B238" s="2">
        <v>46284</v>
      </c>
      <c r="C238" t="s">
        <v>252</v>
      </c>
      <c r="D238" t="s">
        <v>676</v>
      </c>
      <c r="E238" t="s">
        <v>18</v>
      </c>
      <c r="F238" t="s">
        <v>18</v>
      </c>
      <c r="G238" t="s">
        <v>43</v>
      </c>
      <c r="H238" t="s">
        <v>49</v>
      </c>
      <c r="I238">
        <v>2</v>
      </c>
      <c r="J238" s="3">
        <v>8600</v>
      </c>
      <c r="K238" s="3">
        <v>5600</v>
      </c>
      <c r="L238" t="s">
        <v>30</v>
      </c>
      <c r="M238" t="s">
        <v>37</v>
      </c>
      <c r="N238" t="s">
        <v>87</v>
      </c>
      <c r="O238" t="s">
        <v>45</v>
      </c>
    </row>
    <row r="239" spans="1:15" x14ac:dyDescent="0.35">
      <c r="A239" t="s">
        <v>693</v>
      </c>
      <c r="B239" s="2">
        <v>46118</v>
      </c>
      <c r="C239" t="s">
        <v>694</v>
      </c>
      <c r="D239" t="s">
        <v>695</v>
      </c>
      <c r="E239" t="s">
        <v>18</v>
      </c>
      <c r="F239" t="s">
        <v>18</v>
      </c>
      <c r="G239" t="s">
        <v>28</v>
      </c>
      <c r="H239" t="s">
        <v>29</v>
      </c>
      <c r="I239">
        <v>9</v>
      </c>
      <c r="J239" s="3">
        <v>7000</v>
      </c>
      <c r="K239" s="3">
        <v>4000</v>
      </c>
      <c r="L239" t="s">
        <v>30</v>
      </c>
      <c r="M239" t="s">
        <v>51</v>
      </c>
      <c r="N239" t="s">
        <v>23</v>
      </c>
      <c r="O239" t="s">
        <v>24</v>
      </c>
    </row>
    <row r="240" spans="1:15" x14ac:dyDescent="0.35">
      <c r="A240" t="s">
        <v>696</v>
      </c>
      <c r="B240" s="2">
        <v>46091</v>
      </c>
      <c r="C240" t="s">
        <v>523</v>
      </c>
      <c r="D240" t="s">
        <v>697</v>
      </c>
      <c r="E240" t="s">
        <v>18</v>
      </c>
      <c r="F240" t="s">
        <v>18</v>
      </c>
      <c r="G240" t="s">
        <v>28</v>
      </c>
      <c r="H240" t="s">
        <v>248</v>
      </c>
      <c r="I240">
        <v>10</v>
      </c>
      <c r="J240" s="3">
        <v>26200</v>
      </c>
      <c r="K240" s="3">
        <v>16000</v>
      </c>
      <c r="L240" t="s">
        <v>36</v>
      </c>
      <c r="M240" t="s">
        <v>51</v>
      </c>
      <c r="N240" t="s">
        <v>52</v>
      </c>
      <c r="O240" t="s">
        <v>24</v>
      </c>
    </row>
    <row r="241" spans="1:15" x14ac:dyDescent="0.35">
      <c r="A241" t="s">
        <v>698</v>
      </c>
      <c r="B241" s="2">
        <v>46090</v>
      </c>
      <c r="C241" t="s">
        <v>699</v>
      </c>
      <c r="D241" t="s">
        <v>700</v>
      </c>
      <c r="E241" t="s">
        <v>41</v>
      </c>
      <c r="F241" t="s">
        <v>42</v>
      </c>
      <c r="G241" t="s">
        <v>28</v>
      </c>
      <c r="H241" t="s">
        <v>65</v>
      </c>
      <c r="I241">
        <v>1</v>
      </c>
      <c r="J241" s="3">
        <v>12000</v>
      </c>
      <c r="K241" s="3">
        <v>7300</v>
      </c>
      <c r="L241" t="s">
        <v>96</v>
      </c>
      <c r="M241" t="s">
        <v>51</v>
      </c>
      <c r="N241" t="s">
        <v>52</v>
      </c>
      <c r="O241" t="s">
        <v>24</v>
      </c>
    </row>
    <row r="242" spans="1:15" x14ac:dyDescent="0.35">
      <c r="A242" t="s">
        <v>701</v>
      </c>
      <c r="B242" s="2">
        <v>46323</v>
      </c>
      <c r="C242" t="s">
        <v>702</v>
      </c>
      <c r="D242" t="s">
        <v>703</v>
      </c>
      <c r="E242" t="s">
        <v>70</v>
      </c>
      <c r="F242" t="s">
        <v>71</v>
      </c>
      <c r="G242" t="s">
        <v>34</v>
      </c>
      <c r="H242" t="s">
        <v>95</v>
      </c>
      <c r="I242">
        <v>5</v>
      </c>
      <c r="J242" s="3">
        <v>450000</v>
      </c>
      <c r="K242" s="3">
        <v>381100</v>
      </c>
      <c r="L242" t="s">
        <v>36</v>
      </c>
      <c r="M242" t="s">
        <v>37</v>
      </c>
      <c r="N242" t="s">
        <v>52</v>
      </c>
      <c r="O242" t="s">
        <v>24</v>
      </c>
    </row>
    <row r="243" spans="1:15" x14ac:dyDescent="0.35">
      <c r="A243" t="s">
        <v>704</v>
      </c>
      <c r="B243" s="2">
        <v>46351</v>
      </c>
      <c r="C243" t="s">
        <v>373</v>
      </c>
      <c r="D243" t="s">
        <v>705</v>
      </c>
      <c r="E243" t="s">
        <v>18</v>
      </c>
      <c r="F243" t="s">
        <v>18</v>
      </c>
      <c r="G243" t="s">
        <v>34</v>
      </c>
      <c r="H243" t="s">
        <v>141</v>
      </c>
      <c r="I243">
        <v>3</v>
      </c>
      <c r="J243" s="3">
        <v>168000</v>
      </c>
      <c r="K243" s="3">
        <v>120000</v>
      </c>
      <c r="L243" t="s">
        <v>80</v>
      </c>
      <c r="M243" t="s">
        <v>51</v>
      </c>
      <c r="N243" t="s">
        <v>52</v>
      </c>
      <c r="O243" t="s">
        <v>24</v>
      </c>
    </row>
    <row r="244" spans="1:15" x14ac:dyDescent="0.35">
      <c r="A244" t="s">
        <v>706</v>
      </c>
      <c r="B244" s="2">
        <v>46371</v>
      </c>
      <c r="C244" t="s">
        <v>707</v>
      </c>
      <c r="D244" t="s">
        <v>291</v>
      </c>
      <c r="E244" t="s">
        <v>84</v>
      </c>
      <c r="F244" t="s">
        <v>85</v>
      </c>
      <c r="G244" t="s">
        <v>28</v>
      </c>
      <c r="H244" t="s">
        <v>72</v>
      </c>
      <c r="I244">
        <v>5</v>
      </c>
      <c r="J244" s="3">
        <v>9500</v>
      </c>
      <c r="K244" s="3">
        <v>6200</v>
      </c>
      <c r="L244" t="s">
        <v>73</v>
      </c>
      <c r="M244" t="s">
        <v>31</v>
      </c>
      <c r="N244" t="s">
        <v>87</v>
      </c>
      <c r="O244" t="s">
        <v>45</v>
      </c>
    </row>
    <row r="245" spans="1:15" x14ac:dyDescent="0.35">
      <c r="A245" t="s">
        <v>708</v>
      </c>
      <c r="B245" s="2">
        <v>46376</v>
      </c>
      <c r="C245" t="s">
        <v>305</v>
      </c>
      <c r="D245" t="s">
        <v>709</v>
      </c>
      <c r="E245" t="s">
        <v>18</v>
      </c>
      <c r="F245" t="s">
        <v>18</v>
      </c>
      <c r="G245" t="s">
        <v>43</v>
      </c>
      <c r="H245" t="s">
        <v>79</v>
      </c>
      <c r="I245">
        <v>5</v>
      </c>
      <c r="J245" s="3">
        <v>5700</v>
      </c>
      <c r="K245" s="3">
        <v>4100</v>
      </c>
      <c r="L245" t="s">
        <v>66</v>
      </c>
      <c r="M245" t="s">
        <v>37</v>
      </c>
      <c r="N245" t="s">
        <v>23</v>
      </c>
      <c r="O245" t="s">
        <v>24</v>
      </c>
    </row>
    <row r="246" spans="1:15" x14ac:dyDescent="0.35">
      <c r="A246" t="s">
        <v>710</v>
      </c>
      <c r="B246" s="2">
        <v>46129</v>
      </c>
      <c r="C246" t="s">
        <v>626</v>
      </c>
      <c r="D246" t="s">
        <v>711</v>
      </c>
      <c r="E246" t="s">
        <v>70</v>
      </c>
      <c r="F246" t="s">
        <v>71</v>
      </c>
      <c r="G246" t="s">
        <v>19</v>
      </c>
      <c r="H246" t="s">
        <v>20</v>
      </c>
      <c r="I246">
        <v>2</v>
      </c>
      <c r="J246" s="3">
        <v>61800</v>
      </c>
      <c r="K246" s="3">
        <v>45000</v>
      </c>
      <c r="L246" t="s">
        <v>73</v>
      </c>
      <c r="M246" t="s">
        <v>51</v>
      </c>
      <c r="N246" t="s">
        <v>52</v>
      </c>
      <c r="O246" t="s">
        <v>91</v>
      </c>
    </row>
    <row r="247" spans="1:15" x14ac:dyDescent="0.35">
      <c r="A247" t="s">
        <v>712</v>
      </c>
      <c r="B247" s="2">
        <v>46032</v>
      </c>
      <c r="C247" t="s">
        <v>199</v>
      </c>
      <c r="D247" t="s">
        <v>713</v>
      </c>
      <c r="E247" t="s">
        <v>156</v>
      </c>
      <c r="F247" t="s">
        <v>157</v>
      </c>
      <c r="G247" t="s">
        <v>34</v>
      </c>
      <c r="H247" t="s">
        <v>158</v>
      </c>
      <c r="I247">
        <v>1</v>
      </c>
      <c r="J247" s="3">
        <v>90200</v>
      </c>
      <c r="K247" s="3">
        <v>67900</v>
      </c>
      <c r="L247" t="s">
        <v>50</v>
      </c>
      <c r="M247" t="s">
        <v>51</v>
      </c>
      <c r="N247" t="s">
        <v>87</v>
      </c>
      <c r="O247" t="s">
        <v>45</v>
      </c>
    </row>
    <row r="248" spans="1:15" x14ac:dyDescent="0.35">
      <c r="A248" t="s">
        <v>714</v>
      </c>
      <c r="B248" s="2">
        <v>46032</v>
      </c>
      <c r="C248" t="s">
        <v>694</v>
      </c>
      <c r="D248" t="s">
        <v>715</v>
      </c>
      <c r="E248" t="s">
        <v>156</v>
      </c>
      <c r="F248" t="s">
        <v>170</v>
      </c>
      <c r="G248" t="s">
        <v>34</v>
      </c>
      <c r="H248" t="s">
        <v>86</v>
      </c>
      <c r="I248">
        <v>6</v>
      </c>
      <c r="J248" s="3">
        <v>189000</v>
      </c>
      <c r="K248" s="3">
        <v>131000</v>
      </c>
      <c r="L248" t="s">
        <v>30</v>
      </c>
      <c r="M248" t="s">
        <v>51</v>
      </c>
      <c r="N248" t="s">
        <v>23</v>
      </c>
      <c r="O248" t="s">
        <v>24</v>
      </c>
    </row>
    <row r="249" spans="1:15" x14ac:dyDescent="0.35">
      <c r="A249" t="s">
        <v>716</v>
      </c>
      <c r="B249" s="2">
        <v>46240</v>
      </c>
      <c r="C249" t="s">
        <v>717</v>
      </c>
      <c r="D249" t="s">
        <v>718</v>
      </c>
      <c r="E249" t="s">
        <v>18</v>
      </c>
      <c r="F249" t="s">
        <v>18</v>
      </c>
      <c r="G249" t="s">
        <v>34</v>
      </c>
      <c r="H249" t="s">
        <v>35</v>
      </c>
      <c r="I249">
        <v>10</v>
      </c>
      <c r="J249" s="3">
        <v>55000</v>
      </c>
      <c r="K249" s="3">
        <v>40200</v>
      </c>
      <c r="L249" t="s">
        <v>36</v>
      </c>
      <c r="M249" t="s">
        <v>22</v>
      </c>
      <c r="N249" t="s">
        <v>87</v>
      </c>
      <c r="O249" t="s">
        <v>24</v>
      </c>
    </row>
    <row r="250" spans="1:15" x14ac:dyDescent="0.35">
      <c r="A250" t="s">
        <v>719</v>
      </c>
      <c r="B250" s="2">
        <v>46249</v>
      </c>
      <c r="C250" t="s">
        <v>618</v>
      </c>
      <c r="D250" t="s">
        <v>720</v>
      </c>
      <c r="E250" t="s">
        <v>41</v>
      </c>
      <c r="F250" t="s">
        <v>42</v>
      </c>
      <c r="G250" t="s">
        <v>19</v>
      </c>
      <c r="H250" t="s">
        <v>20</v>
      </c>
      <c r="I250">
        <v>2</v>
      </c>
      <c r="J250" s="3">
        <v>65000</v>
      </c>
      <c r="K250" s="3">
        <v>46400</v>
      </c>
      <c r="L250" t="s">
        <v>36</v>
      </c>
      <c r="M250" t="s">
        <v>31</v>
      </c>
      <c r="N250" t="s">
        <v>52</v>
      </c>
      <c r="O250" t="s">
        <v>24</v>
      </c>
    </row>
    <row r="251" spans="1:15" x14ac:dyDescent="0.35">
      <c r="A251" t="s">
        <v>721</v>
      </c>
      <c r="B251" s="2">
        <v>46172</v>
      </c>
      <c r="C251" t="s">
        <v>117</v>
      </c>
      <c r="D251" t="s">
        <v>662</v>
      </c>
      <c r="E251" t="s">
        <v>156</v>
      </c>
      <c r="F251" t="s">
        <v>157</v>
      </c>
      <c r="G251" t="s">
        <v>34</v>
      </c>
      <c r="H251" t="s">
        <v>141</v>
      </c>
      <c r="I251">
        <v>3</v>
      </c>
      <c r="J251" s="3">
        <v>160000</v>
      </c>
      <c r="K251" s="3">
        <v>120000</v>
      </c>
      <c r="L251" t="s">
        <v>96</v>
      </c>
      <c r="M251" t="s">
        <v>51</v>
      </c>
      <c r="N251" t="s">
        <v>52</v>
      </c>
      <c r="O251" t="s">
        <v>45</v>
      </c>
    </row>
    <row r="252" spans="1:15" x14ac:dyDescent="0.35">
      <c r="A252" t="s">
        <v>722</v>
      </c>
      <c r="B252" s="2">
        <v>46351</v>
      </c>
      <c r="C252" t="s">
        <v>618</v>
      </c>
      <c r="D252" t="s">
        <v>155</v>
      </c>
      <c r="E252" t="s">
        <v>18</v>
      </c>
      <c r="F252" t="s">
        <v>18</v>
      </c>
      <c r="G252" t="s">
        <v>43</v>
      </c>
      <c r="H252" t="s">
        <v>162</v>
      </c>
      <c r="I252">
        <v>10</v>
      </c>
      <c r="J252" s="3">
        <v>8000</v>
      </c>
      <c r="K252" s="3">
        <v>5200</v>
      </c>
      <c r="L252" t="s">
        <v>66</v>
      </c>
      <c r="M252" t="s">
        <v>37</v>
      </c>
      <c r="N252" t="s">
        <v>87</v>
      </c>
      <c r="O252" t="s">
        <v>24</v>
      </c>
    </row>
    <row r="253" spans="1:15" x14ac:dyDescent="0.35">
      <c r="A253" t="s">
        <v>723</v>
      </c>
      <c r="B253" s="2">
        <v>46229</v>
      </c>
      <c r="C253" t="s">
        <v>326</v>
      </c>
      <c r="D253" t="s">
        <v>724</v>
      </c>
      <c r="E253" t="s">
        <v>18</v>
      </c>
      <c r="F253" t="s">
        <v>18</v>
      </c>
      <c r="G253" t="s">
        <v>28</v>
      </c>
      <c r="H253" t="s">
        <v>248</v>
      </c>
      <c r="I253">
        <v>6</v>
      </c>
      <c r="J253" s="3">
        <v>25000</v>
      </c>
      <c r="K253" s="3">
        <v>16000</v>
      </c>
      <c r="L253" t="s">
        <v>73</v>
      </c>
      <c r="M253" t="s">
        <v>22</v>
      </c>
      <c r="N253" t="s">
        <v>23</v>
      </c>
      <c r="O253" t="s">
        <v>24</v>
      </c>
    </row>
    <row r="254" spans="1:15" x14ac:dyDescent="0.35">
      <c r="A254" t="s">
        <v>725</v>
      </c>
      <c r="B254" s="2">
        <v>46275</v>
      </c>
      <c r="C254" t="s">
        <v>266</v>
      </c>
      <c r="D254" t="s">
        <v>397</v>
      </c>
      <c r="E254" t="s">
        <v>190</v>
      </c>
      <c r="F254" t="s">
        <v>191</v>
      </c>
      <c r="G254" t="s">
        <v>43</v>
      </c>
      <c r="H254" t="s">
        <v>44</v>
      </c>
      <c r="I254">
        <v>1</v>
      </c>
      <c r="J254" s="3">
        <v>15800</v>
      </c>
      <c r="K254" s="3">
        <v>9800</v>
      </c>
      <c r="L254" t="s">
        <v>50</v>
      </c>
      <c r="M254" t="s">
        <v>31</v>
      </c>
      <c r="N254" t="s">
        <v>87</v>
      </c>
      <c r="O254" t="s">
        <v>24</v>
      </c>
    </row>
    <row r="255" spans="1:15" x14ac:dyDescent="0.35">
      <c r="A255" t="s">
        <v>726</v>
      </c>
      <c r="B255" s="2">
        <v>46111</v>
      </c>
      <c r="C255" t="s">
        <v>727</v>
      </c>
      <c r="D255" t="s">
        <v>728</v>
      </c>
      <c r="E255" t="s">
        <v>18</v>
      </c>
      <c r="F255" t="s">
        <v>18</v>
      </c>
      <c r="G255" t="s">
        <v>19</v>
      </c>
      <c r="H255" t="s">
        <v>166</v>
      </c>
      <c r="I255">
        <v>4</v>
      </c>
      <c r="J255" s="3">
        <v>140000</v>
      </c>
      <c r="K255" s="3">
        <v>103000</v>
      </c>
      <c r="L255" t="s">
        <v>21</v>
      </c>
      <c r="M255" t="s">
        <v>31</v>
      </c>
      <c r="N255" t="s">
        <v>87</v>
      </c>
      <c r="O255" t="s">
        <v>24</v>
      </c>
    </row>
    <row r="256" spans="1:15" x14ac:dyDescent="0.35">
      <c r="A256" t="s">
        <v>729</v>
      </c>
      <c r="B256" s="2">
        <v>46241</v>
      </c>
      <c r="C256" t="s">
        <v>730</v>
      </c>
      <c r="D256" t="s">
        <v>731</v>
      </c>
      <c r="E256" t="s">
        <v>18</v>
      </c>
      <c r="F256" t="s">
        <v>18</v>
      </c>
      <c r="G256" t="s">
        <v>28</v>
      </c>
      <c r="H256" t="s">
        <v>131</v>
      </c>
      <c r="I256">
        <v>4</v>
      </c>
      <c r="J256" s="3">
        <v>31500</v>
      </c>
      <c r="K256" s="3">
        <v>19000</v>
      </c>
      <c r="L256" t="s">
        <v>96</v>
      </c>
      <c r="M256" t="s">
        <v>37</v>
      </c>
      <c r="N256" t="s">
        <v>23</v>
      </c>
      <c r="O256" t="s">
        <v>24</v>
      </c>
    </row>
    <row r="257" spans="1:15" x14ac:dyDescent="0.35">
      <c r="A257" t="s">
        <v>732</v>
      </c>
      <c r="B257" s="2">
        <v>46041</v>
      </c>
      <c r="C257" t="s">
        <v>733</v>
      </c>
      <c r="D257" t="s">
        <v>388</v>
      </c>
      <c r="E257" t="s">
        <v>156</v>
      </c>
      <c r="F257" t="s">
        <v>157</v>
      </c>
      <c r="G257" t="s">
        <v>43</v>
      </c>
      <c r="H257" t="s">
        <v>44</v>
      </c>
      <c r="I257">
        <v>6</v>
      </c>
      <c r="J257" s="3">
        <v>15000</v>
      </c>
      <c r="K257" s="3">
        <v>9500</v>
      </c>
      <c r="M257" t="s">
        <v>37</v>
      </c>
      <c r="N257" t="s">
        <v>52</v>
      </c>
      <c r="O257" t="s">
        <v>24</v>
      </c>
    </row>
    <row r="258" spans="1:15" x14ac:dyDescent="0.35">
      <c r="A258" t="s">
        <v>734</v>
      </c>
      <c r="B258" s="2">
        <v>46365</v>
      </c>
      <c r="C258" t="s">
        <v>735</v>
      </c>
      <c r="D258" t="s">
        <v>736</v>
      </c>
      <c r="E258" t="s">
        <v>70</v>
      </c>
      <c r="F258" t="s">
        <v>71</v>
      </c>
      <c r="G258" t="s">
        <v>19</v>
      </c>
      <c r="H258" t="s">
        <v>61</v>
      </c>
      <c r="I258">
        <v>1</v>
      </c>
      <c r="J258" s="3">
        <v>231000</v>
      </c>
      <c r="K258" s="3">
        <v>155200</v>
      </c>
      <c r="L258" t="s">
        <v>21</v>
      </c>
      <c r="M258" t="s">
        <v>37</v>
      </c>
      <c r="N258" t="s">
        <v>23</v>
      </c>
      <c r="O258" t="s">
        <v>45</v>
      </c>
    </row>
    <row r="259" spans="1:15" x14ac:dyDescent="0.35">
      <c r="A259" t="s">
        <v>737</v>
      </c>
      <c r="B259" s="2">
        <v>46096</v>
      </c>
      <c r="C259" t="s">
        <v>580</v>
      </c>
      <c r="D259" t="s">
        <v>738</v>
      </c>
      <c r="E259" t="s">
        <v>18</v>
      </c>
      <c r="F259" t="s">
        <v>18</v>
      </c>
      <c r="G259" t="s">
        <v>34</v>
      </c>
      <c r="H259" t="s">
        <v>141</v>
      </c>
      <c r="I259">
        <v>8</v>
      </c>
      <c r="J259" s="3">
        <v>152000</v>
      </c>
      <c r="K259" s="3">
        <v>120000</v>
      </c>
      <c r="L259" t="s">
        <v>66</v>
      </c>
      <c r="M259" t="s">
        <v>22</v>
      </c>
      <c r="N259" t="s">
        <v>52</v>
      </c>
      <c r="O259" t="s">
        <v>24</v>
      </c>
    </row>
    <row r="260" spans="1:15" x14ac:dyDescent="0.35">
      <c r="A260" t="s">
        <v>739</v>
      </c>
      <c r="B260" s="2">
        <v>46353</v>
      </c>
      <c r="C260" t="s">
        <v>649</v>
      </c>
      <c r="D260" t="s">
        <v>134</v>
      </c>
      <c r="E260" t="s">
        <v>18</v>
      </c>
      <c r="F260" t="s">
        <v>18</v>
      </c>
      <c r="G260" t="s">
        <v>43</v>
      </c>
      <c r="H260" t="s">
        <v>162</v>
      </c>
      <c r="I260">
        <v>3</v>
      </c>
      <c r="J260" s="3">
        <v>7600</v>
      </c>
      <c r="K260" s="3">
        <v>4800</v>
      </c>
      <c r="L260" t="s">
        <v>66</v>
      </c>
      <c r="M260" t="s">
        <v>37</v>
      </c>
      <c r="N260" t="s">
        <v>87</v>
      </c>
      <c r="O260" t="s">
        <v>24</v>
      </c>
    </row>
    <row r="261" spans="1:15" x14ac:dyDescent="0.35">
      <c r="A261" t="s">
        <v>740</v>
      </c>
      <c r="B261" s="2">
        <v>46170</v>
      </c>
      <c r="C261" t="s">
        <v>645</v>
      </c>
      <c r="D261" t="s">
        <v>741</v>
      </c>
      <c r="E261" t="s">
        <v>41</v>
      </c>
      <c r="F261" t="s">
        <v>42</v>
      </c>
      <c r="G261" t="s">
        <v>34</v>
      </c>
      <c r="H261" t="s">
        <v>95</v>
      </c>
      <c r="I261">
        <v>4</v>
      </c>
      <c r="J261" s="3">
        <v>472500</v>
      </c>
      <c r="K261" s="3">
        <v>358900</v>
      </c>
      <c r="L261" t="s">
        <v>36</v>
      </c>
      <c r="M261" t="s">
        <v>37</v>
      </c>
      <c r="N261" t="s">
        <v>52</v>
      </c>
      <c r="O261" t="s">
        <v>24</v>
      </c>
    </row>
    <row r="262" spans="1:15" x14ac:dyDescent="0.35">
      <c r="A262" t="s">
        <v>742</v>
      </c>
      <c r="B262" s="2">
        <v>46195</v>
      </c>
      <c r="C262" t="s">
        <v>413</v>
      </c>
      <c r="D262" t="s">
        <v>743</v>
      </c>
      <c r="E262" t="s">
        <v>84</v>
      </c>
      <c r="F262" t="s">
        <v>85</v>
      </c>
      <c r="G262" t="s">
        <v>28</v>
      </c>
      <c r="H262" t="s">
        <v>248</v>
      </c>
      <c r="I262">
        <v>8</v>
      </c>
      <c r="J262" s="3">
        <v>26200</v>
      </c>
      <c r="K262" s="3">
        <v>16500</v>
      </c>
      <c r="L262" t="s">
        <v>21</v>
      </c>
      <c r="M262" t="s">
        <v>31</v>
      </c>
      <c r="N262" t="s">
        <v>52</v>
      </c>
      <c r="O262" t="s">
        <v>45</v>
      </c>
    </row>
    <row r="263" spans="1:15" x14ac:dyDescent="0.35">
      <c r="A263" t="s">
        <v>744</v>
      </c>
      <c r="B263" s="2">
        <v>46111</v>
      </c>
      <c r="C263" t="s">
        <v>559</v>
      </c>
      <c r="D263" t="s">
        <v>705</v>
      </c>
      <c r="E263" t="s">
        <v>18</v>
      </c>
      <c r="F263" t="s">
        <v>18</v>
      </c>
      <c r="G263" t="s">
        <v>28</v>
      </c>
      <c r="H263" t="s">
        <v>248</v>
      </c>
      <c r="I263">
        <v>2</v>
      </c>
      <c r="J263" s="3">
        <v>25000</v>
      </c>
      <c r="K263" s="3">
        <v>15500</v>
      </c>
      <c r="L263" t="s">
        <v>50</v>
      </c>
      <c r="M263" t="s">
        <v>37</v>
      </c>
      <c r="N263" t="s">
        <v>23</v>
      </c>
      <c r="O263" t="s">
        <v>24</v>
      </c>
    </row>
    <row r="264" spans="1:15" x14ac:dyDescent="0.35">
      <c r="A264" t="s">
        <v>745</v>
      </c>
      <c r="B264" s="2">
        <v>46329</v>
      </c>
      <c r="C264" t="s">
        <v>746</v>
      </c>
      <c r="D264" t="s">
        <v>747</v>
      </c>
      <c r="E264" t="s">
        <v>190</v>
      </c>
      <c r="F264" t="s">
        <v>191</v>
      </c>
      <c r="G264" t="s">
        <v>19</v>
      </c>
      <c r="H264" t="s">
        <v>20</v>
      </c>
      <c r="I264">
        <v>3</v>
      </c>
      <c r="J264" s="3">
        <v>61800</v>
      </c>
      <c r="K264" s="3">
        <v>45000</v>
      </c>
      <c r="L264" t="s">
        <v>21</v>
      </c>
      <c r="M264" t="s">
        <v>31</v>
      </c>
      <c r="N264" t="s">
        <v>87</v>
      </c>
      <c r="O264" t="s">
        <v>91</v>
      </c>
    </row>
    <row r="265" spans="1:15" x14ac:dyDescent="0.35">
      <c r="A265" t="s">
        <v>748</v>
      </c>
      <c r="B265" s="2">
        <v>46262</v>
      </c>
      <c r="C265" t="s">
        <v>749</v>
      </c>
      <c r="D265" t="s">
        <v>750</v>
      </c>
      <c r="E265" t="s">
        <v>41</v>
      </c>
      <c r="F265" t="s">
        <v>42</v>
      </c>
      <c r="G265" t="s">
        <v>19</v>
      </c>
      <c r="H265" t="s">
        <v>20</v>
      </c>
      <c r="I265">
        <v>2</v>
      </c>
      <c r="J265" s="3">
        <v>65000</v>
      </c>
      <c r="K265" s="3">
        <v>46400</v>
      </c>
      <c r="L265" t="s">
        <v>21</v>
      </c>
      <c r="M265" t="s">
        <v>37</v>
      </c>
      <c r="N265" t="s">
        <v>23</v>
      </c>
      <c r="O265" t="s">
        <v>91</v>
      </c>
    </row>
    <row r="266" spans="1:15" x14ac:dyDescent="0.35">
      <c r="A266" t="s">
        <v>751</v>
      </c>
      <c r="B266" s="2">
        <v>46214</v>
      </c>
      <c r="C266" t="s">
        <v>379</v>
      </c>
      <c r="D266" t="s">
        <v>504</v>
      </c>
      <c r="E266" t="s">
        <v>41</v>
      </c>
      <c r="F266" t="s">
        <v>42</v>
      </c>
      <c r="G266" t="s">
        <v>28</v>
      </c>
      <c r="H266" t="s">
        <v>65</v>
      </c>
      <c r="I266">
        <v>3</v>
      </c>
      <c r="J266" s="3">
        <v>12600</v>
      </c>
      <c r="K266" s="3">
        <v>7700</v>
      </c>
      <c r="L266" t="s">
        <v>80</v>
      </c>
      <c r="M266" t="s">
        <v>37</v>
      </c>
      <c r="N266" t="s">
        <v>87</v>
      </c>
      <c r="O266" t="s">
        <v>24</v>
      </c>
    </row>
    <row r="267" spans="1:15" x14ac:dyDescent="0.35">
      <c r="A267" t="s">
        <v>752</v>
      </c>
      <c r="B267" s="2">
        <v>46323</v>
      </c>
      <c r="C267" t="s">
        <v>753</v>
      </c>
      <c r="D267" t="s">
        <v>747</v>
      </c>
      <c r="E267" t="s">
        <v>56</v>
      </c>
      <c r="F267" t="s">
        <v>57</v>
      </c>
      <c r="G267" t="s">
        <v>28</v>
      </c>
      <c r="H267" t="s">
        <v>248</v>
      </c>
      <c r="I267">
        <v>3</v>
      </c>
      <c r="J267" s="3">
        <v>26200</v>
      </c>
      <c r="K267" s="3">
        <v>16500</v>
      </c>
      <c r="L267" t="s">
        <v>66</v>
      </c>
      <c r="M267" t="s">
        <v>37</v>
      </c>
      <c r="N267" t="s">
        <v>87</v>
      </c>
      <c r="O267" t="s">
        <v>45</v>
      </c>
    </row>
    <row r="268" spans="1:15" x14ac:dyDescent="0.35">
      <c r="A268" t="s">
        <v>754</v>
      </c>
      <c r="B268" s="2">
        <v>46291</v>
      </c>
      <c r="C268" t="s">
        <v>126</v>
      </c>
      <c r="D268" t="s">
        <v>755</v>
      </c>
      <c r="E268" t="s">
        <v>156</v>
      </c>
      <c r="F268" t="s">
        <v>170</v>
      </c>
      <c r="G268" t="s">
        <v>43</v>
      </c>
      <c r="H268" t="s">
        <v>49</v>
      </c>
      <c r="I268">
        <v>10</v>
      </c>
      <c r="J268" s="3">
        <v>9000</v>
      </c>
      <c r="K268" s="3">
        <v>6000</v>
      </c>
      <c r="L268" t="s">
        <v>73</v>
      </c>
      <c r="M268" t="s">
        <v>37</v>
      </c>
      <c r="N268" t="s">
        <v>23</v>
      </c>
      <c r="O268" t="s">
        <v>24</v>
      </c>
    </row>
    <row r="269" spans="1:15" x14ac:dyDescent="0.35">
      <c r="A269" t="s">
        <v>756</v>
      </c>
      <c r="B269" s="2">
        <v>46249</v>
      </c>
      <c r="C269" t="s">
        <v>757</v>
      </c>
      <c r="D269" t="s">
        <v>479</v>
      </c>
      <c r="E269" t="s">
        <v>41</v>
      </c>
      <c r="F269" t="s">
        <v>42</v>
      </c>
      <c r="G269" t="s">
        <v>34</v>
      </c>
      <c r="H269" t="s">
        <v>158</v>
      </c>
      <c r="I269">
        <v>2</v>
      </c>
      <c r="J269" s="3">
        <v>90200</v>
      </c>
      <c r="K269" s="3">
        <v>70000</v>
      </c>
      <c r="L269" t="s">
        <v>21</v>
      </c>
      <c r="M269" t="s">
        <v>51</v>
      </c>
      <c r="N269" t="s">
        <v>52</v>
      </c>
      <c r="O269" t="s">
        <v>24</v>
      </c>
    </row>
    <row r="270" spans="1:15" x14ac:dyDescent="0.35">
      <c r="A270" t="s">
        <v>758</v>
      </c>
      <c r="B270" s="2">
        <v>46324</v>
      </c>
      <c r="C270" t="s">
        <v>759</v>
      </c>
      <c r="D270" t="s">
        <v>760</v>
      </c>
      <c r="E270" t="s">
        <v>70</v>
      </c>
      <c r="F270" t="s">
        <v>71</v>
      </c>
      <c r="G270" t="s">
        <v>34</v>
      </c>
      <c r="H270" t="s">
        <v>86</v>
      </c>
      <c r="I270">
        <v>5</v>
      </c>
      <c r="J270" s="3">
        <v>180000</v>
      </c>
      <c r="K270" s="3">
        <v>135000</v>
      </c>
      <c r="L270" t="s">
        <v>36</v>
      </c>
      <c r="M270" t="s">
        <v>37</v>
      </c>
      <c r="N270" t="s">
        <v>52</v>
      </c>
      <c r="O270" t="s">
        <v>24</v>
      </c>
    </row>
    <row r="271" spans="1:15" x14ac:dyDescent="0.35">
      <c r="A271" t="s">
        <v>761</v>
      </c>
      <c r="B271" s="2">
        <v>46060</v>
      </c>
      <c r="C271" t="s">
        <v>361</v>
      </c>
      <c r="D271" t="s">
        <v>284</v>
      </c>
      <c r="E271" t="s">
        <v>84</v>
      </c>
      <c r="F271" t="s">
        <v>85</v>
      </c>
      <c r="G271" t="s">
        <v>43</v>
      </c>
      <c r="H271" t="s">
        <v>44</v>
      </c>
      <c r="I271">
        <v>6</v>
      </c>
      <c r="J271" s="3">
        <v>15000</v>
      </c>
      <c r="K271" s="3">
        <v>9200</v>
      </c>
      <c r="L271" t="s">
        <v>66</v>
      </c>
      <c r="M271" t="s">
        <v>31</v>
      </c>
      <c r="N271" t="s">
        <v>52</v>
      </c>
      <c r="O271" t="s">
        <v>24</v>
      </c>
    </row>
    <row r="272" spans="1:15" x14ac:dyDescent="0.35">
      <c r="A272" t="s">
        <v>762</v>
      </c>
      <c r="B272" s="2">
        <v>46362</v>
      </c>
      <c r="C272" t="s">
        <v>424</v>
      </c>
      <c r="D272" t="s">
        <v>411</v>
      </c>
      <c r="E272" t="s">
        <v>156</v>
      </c>
      <c r="F272" t="s">
        <v>157</v>
      </c>
      <c r="G272" t="s">
        <v>34</v>
      </c>
      <c r="H272" t="s">
        <v>158</v>
      </c>
      <c r="I272">
        <v>6</v>
      </c>
      <c r="J272" s="3">
        <v>95000</v>
      </c>
      <c r="K272" s="3">
        <v>67900</v>
      </c>
      <c r="L272" t="s">
        <v>30</v>
      </c>
      <c r="M272" t="s">
        <v>37</v>
      </c>
      <c r="N272" t="s">
        <v>52</v>
      </c>
      <c r="O272" t="s">
        <v>24</v>
      </c>
    </row>
    <row r="273" spans="1:15" x14ac:dyDescent="0.35">
      <c r="A273" t="s">
        <v>763</v>
      </c>
      <c r="B273" s="2">
        <v>46248</v>
      </c>
      <c r="C273" t="s">
        <v>63</v>
      </c>
      <c r="D273" t="s">
        <v>764</v>
      </c>
      <c r="E273" t="s">
        <v>190</v>
      </c>
      <c r="F273" t="s">
        <v>191</v>
      </c>
      <c r="G273" t="s">
        <v>34</v>
      </c>
      <c r="H273" t="s">
        <v>141</v>
      </c>
      <c r="I273">
        <v>3</v>
      </c>
      <c r="J273" s="3">
        <v>160000</v>
      </c>
      <c r="K273" s="3">
        <v>116400</v>
      </c>
      <c r="L273" t="s">
        <v>66</v>
      </c>
      <c r="M273" t="s">
        <v>51</v>
      </c>
      <c r="N273" t="s">
        <v>52</v>
      </c>
      <c r="O273" t="s">
        <v>24</v>
      </c>
    </row>
    <row r="274" spans="1:15" x14ac:dyDescent="0.35">
      <c r="A274" t="s">
        <v>765</v>
      </c>
      <c r="B274" s="2">
        <v>46029</v>
      </c>
      <c r="C274" t="s">
        <v>766</v>
      </c>
      <c r="D274" t="s">
        <v>767</v>
      </c>
      <c r="E274" t="s">
        <v>18</v>
      </c>
      <c r="F274" t="s">
        <v>18</v>
      </c>
      <c r="G274" t="s">
        <v>34</v>
      </c>
      <c r="H274" t="s">
        <v>158</v>
      </c>
      <c r="I274">
        <v>5</v>
      </c>
      <c r="J274" s="3">
        <v>95000</v>
      </c>
      <c r="K274" s="3">
        <v>70000</v>
      </c>
      <c r="L274" t="s">
        <v>73</v>
      </c>
      <c r="M274" t="s">
        <v>51</v>
      </c>
      <c r="N274" t="s">
        <v>52</v>
      </c>
      <c r="O274" t="s">
        <v>24</v>
      </c>
    </row>
    <row r="275" spans="1:15" x14ac:dyDescent="0.35">
      <c r="A275" t="s">
        <v>768</v>
      </c>
      <c r="B275" s="2">
        <v>46325</v>
      </c>
      <c r="C275" t="s">
        <v>769</v>
      </c>
      <c r="D275" t="s">
        <v>208</v>
      </c>
      <c r="E275" t="s">
        <v>190</v>
      </c>
      <c r="F275" t="s">
        <v>191</v>
      </c>
      <c r="G275" t="s">
        <v>28</v>
      </c>
      <c r="H275" t="s">
        <v>29</v>
      </c>
      <c r="I275">
        <v>8</v>
      </c>
      <c r="J275" s="3">
        <v>7000</v>
      </c>
      <c r="K275" s="3">
        <v>4000</v>
      </c>
      <c r="L275" t="s">
        <v>96</v>
      </c>
      <c r="M275" t="s">
        <v>37</v>
      </c>
      <c r="N275" t="s">
        <v>52</v>
      </c>
      <c r="O275" t="s">
        <v>24</v>
      </c>
    </row>
    <row r="276" spans="1:15" x14ac:dyDescent="0.35">
      <c r="A276" t="s">
        <v>770</v>
      </c>
      <c r="B276" s="2">
        <v>46214</v>
      </c>
      <c r="C276" t="s">
        <v>771</v>
      </c>
      <c r="D276" t="s">
        <v>27</v>
      </c>
      <c r="E276" t="s">
        <v>56</v>
      </c>
      <c r="F276" t="s">
        <v>57</v>
      </c>
      <c r="G276" t="s">
        <v>43</v>
      </c>
      <c r="H276" t="s">
        <v>44</v>
      </c>
      <c r="I276">
        <v>3</v>
      </c>
      <c r="J276" s="3">
        <v>15800</v>
      </c>
      <c r="K276" s="3">
        <v>9200</v>
      </c>
      <c r="L276" t="s">
        <v>21</v>
      </c>
      <c r="M276" t="s">
        <v>51</v>
      </c>
      <c r="N276" t="s">
        <v>23</v>
      </c>
      <c r="O276" t="s">
        <v>45</v>
      </c>
    </row>
    <row r="277" spans="1:15" x14ac:dyDescent="0.35">
      <c r="A277" t="s">
        <v>772</v>
      </c>
      <c r="B277" s="2">
        <v>46170</v>
      </c>
      <c r="C277" t="s">
        <v>266</v>
      </c>
      <c r="D277" t="s">
        <v>118</v>
      </c>
      <c r="E277" t="s">
        <v>18</v>
      </c>
      <c r="F277" t="s">
        <v>18</v>
      </c>
      <c r="G277" t="s">
        <v>43</v>
      </c>
      <c r="H277" t="s">
        <v>79</v>
      </c>
      <c r="I277">
        <v>10</v>
      </c>
      <c r="J277" s="3">
        <v>6000</v>
      </c>
      <c r="K277" s="3">
        <v>4200</v>
      </c>
      <c r="L277" t="s">
        <v>36</v>
      </c>
      <c r="M277" t="s">
        <v>22</v>
      </c>
      <c r="N277" t="s">
        <v>23</v>
      </c>
      <c r="O277" t="s">
        <v>24</v>
      </c>
    </row>
    <row r="278" spans="1:15" x14ac:dyDescent="0.35">
      <c r="A278" t="s">
        <v>773</v>
      </c>
      <c r="B278" s="2">
        <v>46196</v>
      </c>
      <c r="C278" t="s">
        <v>774</v>
      </c>
      <c r="D278" t="s">
        <v>775</v>
      </c>
      <c r="E278" t="s">
        <v>18</v>
      </c>
      <c r="F278" t="s">
        <v>18</v>
      </c>
      <c r="G278" t="s">
        <v>34</v>
      </c>
      <c r="H278" t="s">
        <v>86</v>
      </c>
      <c r="I278">
        <v>2</v>
      </c>
      <c r="J278" s="3">
        <v>189000</v>
      </c>
      <c r="K278" s="3">
        <v>131000</v>
      </c>
      <c r="L278" t="s">
        <v>21</v>
      </c>
      <c r="M278" t="s">
        <v>37</v>
      </c>
      <c r="N278" t="s">
        <v>23</v>
      </c>
      <c r="O278" t="s">
        <v>24</v>
      </c>
    </row>
    <row r="279" spans="1:15" x14ac:dyDescent="0.35">
      <c r="A279" t="s">
        <v>776</v>
      </c>
      <c r="B279" s="2">
        <v>46105</v>
      </c>
      <c r="C279" t="s">
        <v>777</v>
      </c>
      <c r="D279" t="s">
        <v>586</v>
      </c>
      <c r="E279" t="s">
        <v>41</v>
      </c>
      <c r="F279" t="s">
        <v>42</v>
      </c>
      <c r="G279" t="s">
        <v>34</v>
      </c>
      <c r="H279" t="s">
        <v>141</v>
      </c>
      <c r="I279">
        <v>10</v>
      </c>
      <c r="J279" s="3">
        <v>168000</v>
      </c>
      <c r="K279" s="3">
        <v>123600</v>
      </c>
      <c r="L279" t="s">
        <v>96</v>
      </c>
      <c r="M279" t="s">
        <v>37</v>
      </c>
      <c r="N279" t="s">
        <v>23</v>
      </c>
      <c r="O279" t="s">
        <v>45</v>
      </c>
    </row>
    <row r="280" spans="1:15" x14ac:dyDescent="0.35">
      <c r="A280" t="s">
        <v>778</v>
      </c>
      <c r="B280" s="2">
        <v>46065</v>
      </c>
      <c r="C280" t="s">
        <v>656</v>
      </c>
      <c r="D280" t="s">
        <v>779</v>
      </c>
      <c r="E280" t="s">
        <v>156</v>
      </c>
      <c r="F280" t="s">
        <v>157</v>
      </c>
      <c r="G280" t="s">
        <v>19</v>
      </c>
      <c r="H280" t="s">
        <v>166</v>
      </c>
      <c r="I280">
        <v>4</v>
      </c>
      <c r="J280" s="3">
        <v>140000</v>
      </c>
      <c r="K280" s="3">
        <v>100000</v>
      </c>
      <c r="L280" t="s">
        <v>30</v>
      </c>
      <c r="M280" t="s">
        <v>22</v>
      </c>
      <c r="N280" t="s">
        <v>23</v>
      </c>
      <c r="O280" t="s">
        <v>24</v>
      </c>
    </row>
    <row r="281" spans="1:15" x14ac:dyDescent="0.35">
      <c r="A281" t="s">
        <v>780</v>
      </c>
      <c r="B281" s="2">
        <v>46068</v>
      </c>
      <c r="C281" t="s">
        <v>656</v>
      </c>
      <c r="D281" t="s">
        <v>781</v>
      </c>
      <c r="E281" t="s">
        <v>18</v>
      </c>
      <c r="F281" t="s">
        <v>18</v>
      </c>
      <c r="G281" t="s">
        <v>34</v>
      </c>
      <c r="H281" t="s">
        <v>35</v>
      </c>
      <c r="I281">
        <v>3</v>
      </c>
      <c r="J281" s="3">
        <v>52200</v>
      </c>
      <c r="K281" s="3">
        <v>40200</v>
      </c>
      <c r="L281" t="s">
        <v>66</v>
      </c>
      <c r="M281" t="s">
        <v>37</v>
      </c>
      <c r="N281" t="s">
        <v>52</v>
      </c>
      <c r="O281" t="s">
        <v>24</v>
      </c>
    </row>
    <row r="282" spans="1:15" x14ac:dyDescent="0.35">
      <c r="A282" t="s">
        <v>782</v>
      </c>
      <c r="B282" s="2">
        <v>46212</v>
      </c>
      <c r="C282" t="s">
        <v>783</v>
      </c>
      <c r="D282" t="s">
        <v>784</v>
      </c>
      <c r="E282" t="s">
        <v>18</v>
      </c>
      <c r="F282" t="s">
        <v>18</v>
      </c>
      <c r="G282" t="s">
        <v>28</v>
      </c>
      <c r="H282" t="s">
        <v>65</v>
      </c>
      <c r="I282">
        <v>8</v>
      </c>
      <c r="J282" s="3">
        <v>12600</v>
      </c>
      <c r="K282" s="3">
        <v>7500</v>
      </c>
      <c r="L282" t="s">
        <v>66</v>
      </c>
      <c r="M282" t="s">
        <v>37</v>
      </c>
      <c r="N282" t="s">
        <v>87</v>
      </c>
      <c r="O282" t="s">
        <v>24</v>
      </c>
    </row>
    <row r="283" spans="1:15" x14ac:dyDescent="0.35">
      <c r="A283" t="s">
        <v>785</v>
      </c>
      <c r="B283" s="2">
        <v>46168</v>
      </c>
      <c r="C283" t="s">
        <v>786</v>
      </c>
      <c r="D283" t="s">
        <v>111</v>
      </c>
      <c r="E283" t="s">
        <v>70</v>
      </c>
      <c r="F283" t="s">
        <v>71</v>
      </c>
      <c r="G283" t="s">
        <v>34</v>
      </c>
      <c r="H283" t="s">
        <v>86</v>
      </c>
      <c r="I283">
        <v>10</v>
      </c>
      <c r="J283" s="3">
        <v>180000</v>
      </c>
      <c r="K283" s="3">
        <v>139000</v>
      </c>
      <c r="L283" t="s">
        <v>30</v>
      </c>
      <c r="M283" t="s">
        <v>37</v>
      </c>
      <c r="N283" t="s">
        <v>23</v>
      </c>
      <c r="O283" t="s">
        <v>24</v>
      </c>
    </row>
    <row r="284" spans="1:15" x14ac:dyDescent="0.35">
      <c r="A284" t="s">
        <v>787</v>
      </c>
      <c r="B284" s="2">
        <v>46026</v>
      </c>
      <c r="C284" t="s">
        <v>788</v>
      </c>
      <c r="D284" t="s">
        <v>789</v>
      </c>
      <c r="E284" t="s">
        <v>77</v>
      </c>
      <c r="F284" t="s">
        <v>78</v>
      </c>
      <c r="G284" t="s">
        <v>34</v>
      </c>
      <c r="H284" t="s">
        <v>158</v>
      </c>
      <c r="I284">
        <v>4</v>
      </c>
      <c r="J284" s="3">
        <v>99800</v>
      </c>
      <c r="K284" s="3">
        <v>70000</v>
      </c>
      <c r="L284" t="s">
        <v>30</v>
      </c>
      <c r="M284" t="s">
        <v>31</v>
      </c>
      <c r="N284" t="s">
        <v>23</v>
      </c>
      <c r="O284" t="s">
        <v>24</v>
      </c>
    </row>
    <row r="285" spans="1:15" x14ac:dyDescent="0.35">
      <c r="A285" t="s">
        <v>790</v>
      </c>
      <c r="B285" s="2">
        <v>46129</v>
      </c>
      <c r="C285" t="s">
        <v>791</v>
      </c>
      <c r="D285" t="s">
        <v>432</v>
      </c>
      <c r="E285" t="s">
        <v>41</v>
      </c>
      <c r="F285" t="s">
        <v>42</v>
      </c>
      <c r="G285" t="s">
        <v>34</v>
      </c>
      <c r="H285" t="s">
        <v>95</v>
      </c>
      <c r="I285">
        <v>8</v>
      </c>
      <c r="J285" s="3">
        <v>450000</v>
      </c>
      <c r="K285" s="3">
        <v>358900</v>
      </c>
      <c r="L285" t="s">
        <v>66</v>
      </c>
      <c r="M285" t="s">
        <v>22</v>
      </c>
      <c r="N285" t="s">
        <v>87</v>
      </c>
      <c r="O285" t="s">
        <v>24</v>
      </c>
    </row>
    <row r="286" spans="1:15" x14ac:dyDescent="0.35">
      <c r="A286" t="s">
        <v>792</v>
      </c>
      <c r="B286" s="2">
        <v>46221</v>
      </c>
      <c r="C286" t="s">
        <v>793</v>
      </c>
      <c r="D286" t="s">
        <v>619</v>
      </c>
      <c r="E286" t="s">
        <v>18</v>
      </c>
      <c r="F286" t="s">
        <v>18</v>
      </c>
      <c r="G286" t="s">
        <v>34</v>
      </c>
      <c r="H286" t="s">
        <v>141</v>
      </c>
      <c r="I286">
        <v>4</v>
      </c>
      <c r="J286" s="3">
        <v>152000</v>
      </c>
      <c r="K286" s="3">
        <v>116400</v>
      </c>
      <c r="L286" t="s">
        <v>66</v>
      </c>
      <c r="M286" t="s">
        <v>51</v>
      </c>
      <c r="N286" t="s">
        <v>52</v>
      </c>
      <c r="O286" t="s">
        <v>24</v>
      </c>
    </row>
    <row r="287" spans="1:15" x14ac:dyDescent="0.35">
      <c r="A287" t="s">
        <v>794</v>
      </c>
      <c r="B287" s="2">
        <v>46286</v>
      </c>
      <c r="C287" t="s">
        <v>795</v>
      </c>
      <c r="D287" t="s">
        <v>796</v>
      </c>
      <c r="E287" t="s">
        <v>18</v>
      </c>
      <c r="F287" t="s">
        <v>18</v>
      </c>
      <c r="G287" t="s">
        <v>43</v>
      </c>
      <c r="H287" t="s">
        <v>79</v>
      </c>
      <c r="I287">
        <v>4</v>
      </c>
      <c r="J287" s="3">
        <v>6000</v>
      </c>
      <c r="K287" s="3">
        <v>4100</v>
      </c>
      <c r="L287" t="s">
        <v>96</v>
      </c>
      <c r="M287" t="s">
        <v>22</v>
      </c>
      <c r="N287" t="s">
        <v>23</v>
      </c>
      <c r="O287" t="s">
        <v>24</v>
      </c>
    </row>
    <row r="288" spans="1:15" x14ac:dyDescent="0.35">
      <c r="A288" t="s">
        <v>797</v>
      </c>
      <c r="B288" s="2">
        <v>46325</v>
      </c>
      <c r="C288" t="s">
        <v>529</v>
      </c>
      <c r="D288" t="s">
        <v>259</v>
      </c>
      <c r="E288" t="s">
        <v>18</v>
      </c>
      <c r="F288" t="s">
        <v>18</v>
      </c>
      <c r="G288" t="s">
        <v>34</v>
      </c>
      <c r="H288" t="s">
        <v>158</v>
      </c>
      <c r="I288">
        <v>6</v>
      </c>
      <c r="J288" s="3">
        <v>90200</v>
      </c>
      <c r="K288" s="3">
        <v>67900</v>
      </c>
      <c r="L288" t="s">
        <v>73</v>
      </c>
      <c r="M288" t="s">
        <v>37</v>
      </c>
      <c r="N288" t="s">
        <v>52</v>
      </c>
      <c r="O288" t="s">
        <v>24</v>
      </c>
    </row>
    <row r="289" spans="1:15" x14ac:dyDescent="0.35">
      <c r="A289" t="s">
        <v>798</v>
      </c>
      <c r="B289" s="2">
        <v>46272</v>
      </c>
      <c r="C289" t="s">
        <v>799</v>
      </c>
      <c r="D289" t="s">
        <v>800</v>
      </c>
      <c r="E289" t="s">
        <v>18</v>
      </c>
      <c r="F289" t="s">
        <v>18</v>
      </c>
      <c r="G289" t="s">
        <v>43</v>
      </c>
      <c r="H289" t="s">
        <v>49</v>
      </c>
      <c r="I289">
        <v>4</v>
      </c>
      <c r="J289" s="3">
        <v>9000</v>
      </c>
      <c r="K289" s="3">
        <v>6000</v>
      </c>
      <c r="L289" t="s">
        <v>66</v>
      </c>
      <c r="M289" t="s">
        <v>37</v>
      </c>
      <c r="N289" t="s">
        <v>23</v>
      </c>
      <c r="O289" t="s">
        <v>24</v>
      </c>
    </row>
    <row r="290" spans="1:15" x14ac:dyDescent="0.35">
      <c r="A290" t="s">
        <v>801</v>
      </c>
      <c r="B290" s="2">
        <v>46110</v>
      </c>
      <c r="C290" t="s">
        <v>390</v>
      </c>
      <c r="D290" t="s">
        <v>631</v>
      </c>
      <c r="E290" t="s">
        <v>156</v>
      </c>
      <c r="F290" t="s">
        <v>170</v>
      </c>
      <c r="G290" t="s">
        <v>34</v>
      </c>
      <c r="H290" t="s">
        <v>141</v>
      </c>
      <c r="I290">
        <v>2</v>
      </c>
      <c r="J290" s="3">
        <v>152000</v>
      </c>
      <c r="K290" s="3">
        <v>123600</v>
      </c>
      <c r="L290" t="s">
        <v>36</v>
      </c>
      <c r="M290" t="s">
        <v>51</v>
      </c>
      <c r="N290" t="s">
        <v>23</v>
      </c>
      <c r="O290" t="s">
        <v>24</v>
      </c>
    </row>
    <row r="291" spans="1:15" x14ac:dyDescent="0.35">
      <c r="A291" t="s">
        <v>802</v>
      </c>
      <c r="B291" s="2">
        <v>46073</v>
      </c>
      <c r="C291" t="s">
        <v>283</v>
      </c>
      <c r="D291" t="s">
        <v>803</v>
      </c>
      <c r="E291" t="s">
        <v>18</v>
      </c>
      <c r="F291" t="s">
        <v>18</v>
      </c>
      <c r="G291" t="s">
        <v>19</v>
      </c>
      <c r="H291" t="s">
        <v>112</v>
      </c>
      <c r="I291">
        <v>4</v>
      </c>
      <c r="J291" s="3">
        <v>85000</v>
      </c>
      <c r="K291" s="3">
        <v>60100</v>
      </c>
      <c r="L291" t="s">
        <v>36</v>
      </c>
      <c r="M291" t="s">
        <v>37</v>
      </c>
      <c r="N291" t="s">
        <v>23</v>
      </c>
      <c r="O291" t="s">
        <v>24</v>
      </c>
    </row>
    <row r="292" spans="1:15" x14ac:dyDescent="0.35">
      <c r="A292" t="s">
        <v>804</v>
      </c>
      <c r="B292" s="2">
        <v>46153</v>
      </c>
      <c r="C292" t="s">
        <v>805</v>
      </c>
      <c r="D292" t="s">
        <v>806</v>
      </c>
      <c r="E292" t="s">
        <v>156</v>
      </c>
      <c r="F292" t="s">
        <v>157</v>
      </c>
      <c r="G292" t="s">
        <v>34</v>
      </c>
      <c r="H292" t="s">
        <v>35</v>
      </c>
      <c r="I292">
        <v>6</v>
      </c>
      <c r="J292" s="3">
        <v>55000</v>
      </c>
      <c r="K292" s="3">
        <v>39000</v>
      </c>
      <c r="L292" t="s">
        <v>80</v>
      </c>
      <c r="M292" t="s">
        <v>37</v>
      </c>
      <c r="N292" t="s">
        <v>23</v>
      </c>
      <c r="O292" t="s">
        <v>24</v>
      </c>
    </row>
    <row r="293" spans="1:15" x14ac:dyDescent="0.35">
      <c r="A293" t="s">
        <v>807</v>
      </c>
      <c r="B293" s="2">
        <v>46192</v>
      </c>
      <c r="C293" t="s">
        <v>808</v>
      </c>
      <c r="D293" t="s">
        <v>809</v>
      </c>
      <c r="E293" t="s">
        <v>190</v>
      </c>
      <c r="F293" t="s">
        <v>191</v>
      </c>
      <c r="G293" t="s">
        <v>34</v>
      </c>
      <c r="H293" t="s">
        <v>86</v>
      </c>
      <c r="I293">
        <v>10</v>
      </c>
      <c r="J293" s="3">
        <v>189000</v>
      </c>
      <c r="K293" s="3">
        <v>135000</v>
      </c>
      <c r="L293" t="s">
        <v>30</v>
      </c>
      <c r="M293" t="s">
        <v>37</v>
      </c>
      <c r="N293" t="s">
        <v>23</v>
      </c>
      <c r="O293" t="s">
        <v>24</v>
      </c>
    </row>
    <row r="294" spans="1:15" x14ac:dyDescent="0.35">
      <c r="A294" t="s">
        <v>810</v>
      </c>
      <c r="B294" s="2">
        <v>46033</v>
      </c>
      <c r="C294" t="s">
        <v>811</v>
      </c>
      <c r="D294" t="s">
        <v>812</v>
      </c>
      <c r="E294" t="s">
        <v>156</v>
      </c>
      <c r="F294" t="s">
        <v>157</v>
      </c>
      <c r="G294" t="s">
        <v>43</v>
      </c>
      <c r="H294" t="s">
        <v>79</v>
      </c>
      <c r="I294">
        <v>5</v>
      </c>
      <c r="J294" s="3">
        <v>6300</v>
      </c>
      <c r="K294" s="3">
        <v>4300</v>
      </c>
      <c r="L294" t="s">
        <v>66</v>
      </c>
      <c r="M294" t="s">
        <v>37</v>
      </c>
      <c r="N294" t="s">
        <v>52</v>
      </c>
      <c r="O294" t="s">
        <v>24</v>
      </c>
    </row>
    <row r="295" spans="1:15" x14ac:dyDescent="0.35">
      <c r="A295" t="s">
        <v>813</v>
      </c>
      <c r="B295" s="2">
        <v>46228</v>
      </c>
      <c r="C295" t="s">
        <v>788</v>
      </c>
      <c r="D295" t="s">
        <v>814</v>
      </c>
      <c r="E295" t="s">
        <v>41</v>
      </c>
      <c r="F295" t="s">
        <v>42</v>
      </c>
      <c r="G295" t="s">
        <v>43</v>
      </c>
      <c r="H295" t="s">
        <v>177</v>
      </c>
      <c r="I295">
        <v>7</v>
      </c>
      <c r="J295" s="3">
        <v>18000</v>
      </c>
      <c r="K295" s="3">
        <v>12900</v>
      </c>
      <c r="L295" t="s">
        <v>30</v>
      </c>
      <c r="M295" t="s">
        <v>51</v>
      </c>
      <c r="N295" t="s">
        <v>23</v>
      </c>
      <c r="O295" t="s">
        <v>24</v>
      </c>
    </row>
    <row r="296" spans="1:15" x14ac:dyDescent="0.35">
      <c r="A296" t="s">
        <v>815</v>
      </c>
      <c r="B296" s="2">
        <v>46151</v>
      </c>
      <c r="C296" t="s">
        <v>816</v>
      </c>
      <c r="D296" t="s">
        <v>244</v>
      </c>
      <c r="E296" t="s">
        <v>41</v>
      </c>
      <c r="F296" t="s">
        <v>42</v>
      </c>
      <c r="G296" t="s">
        <v>34</v>
      </c>
      <c r="H296" t="s">
        <v>158</v>
      </c>
      <c r="I296">
        <v>3</v>
      </c>
      <c r="J296" s="3">
        <v>95000</v>
      </c>
      <c r="K296" s="3">
        <v>72100</v>
      </c>
      <c r="L296" t="s">
        <v>73</v>
      </c>
      <c r="M296" t="s">
        <v>51</v>
      </c>
      <c r="N296" t="s">
        <v>52</v>
      </c>
      <c r="O296" t="s">
        <v>24</v>
      </c>
    </row>
    <row r="297" spans="1:15" x14ac:dyDescent="0.35">
      <c r="A297" t="s">
        <v>817</v>
      </c>
      <c r="B297" s="2">
        <v>46364</v>
      </c>
      <c r="C297" t="s">
        <v>818</v>
      </c>
      <c r="D297" t="s">
        <v>83</v>
      </c>
      <c r="E297" t="s">
        <v>41</v>
      </c>
      <c r="F297" t="s">
        <v>42</v>
      </c>
      <c r="G297" t="s">
        <v>34</v>
      </c>
      <c r="H297" t="s">
        <v>86</v>
      </c>
      <c r="I297">
        <v>10</v>
      </c>
      <c r="J297" s="3">
        <v>189000</v>
      </c>
      <c r="K297" s="3">
        <v>131000</v>
      </c>
      <c r="L297" t="s">
        <v>36</v>
      </c>
      <c r="M297" t="s">
        <v>22</v>
      </c>
      <c r="N297" t="s">
        <v>23</v>
      </c>
      <c r="O297" t="s">
        <v>24</v>
      </c>
    </row>
    <row r="298" spans="1:15" x14ac:dyDescent="0.35">
      <c r="A298" t="s">
        <v>819</v>
      </c>
      <c r="B298" s="2">
        <v>46122</v>
      </c>
      <c r="C298" t="s">
        <v>820</v>
      </c>
      <c r="D298" t="s">
        <v>821</v>
      </c>
      <c r="E298" t="s">
        <v>18</v>
      </c>
      <c r="F298" t="s">
        <v>18</v>
      </c>
      <c r="G298" t="s">
        <v>28</v>
      </c>
      <c r="H298" t="s">
        <v>65</v>
      </c>
      <c r="I298">
        <v>6</v>
      </c>
      <c r="J298" s="3">
        <v>12000</v>
      </c>
      <c r="K298" s="3">
        <v>7700</v>
      </c>
      <c r="L298" t="s">
        <v>73</v>
      </c>
      <c r="M298" t="s">
        <v>37</v>
      </c>
      <c r="N298" t="s">
        <v>23</v>
      </c>
      <c r="O298" t="s">
        <v>24</v>
      </c>
    </row>
    <row r="299" spans="1:15" x14ac:dyDescent="0.35">
      <c r="A299" t="s">
        <v>822</v>
      </c>
      <c r="B299" s="2">
        <v>46224</v>
      </c>
      <c r="C299" t="s">
        <v>475</v>
      </c>
      <c r="D299" t="s">
        <v>823</v>
      </c>
      <c r="E299" t="s">
        <v>18</v>
      </c>
      <c r="F299" t="s">
        <v>18</v>
      </c>
      <c r="G299" t="s">
        <v>34</v>
      </c>
      <c r="H299" t="s">
        <v>158</v>
      </c>
      <c r="I299">
        <v>9</v>
      </c>
      <c r="J299" s="3">
        <v>99800</v>
      </c>
      <c r="K299" s="3">
        <v>72100</v>
      </c>
      <c r="L299" t="s">
        <v>73</v>
      </c>
      <c r="M299" t="s">
        <v>37</v>
      </c>
      <c r="N299" t="s">
        <v>52</v>
      </c>
      <c r="O299" t="s">
        <v>24</v>
      </c>
    </row>
    <row r="300" spans="1:15" x14ac:dyDescent="0.35">
      <c r="A300" t="s">
        <v>824</v>
      </c>
      <c r="B300" s="2">
        <v>46215</v>
      </c>
      <c r="C300" t="s">
        <v>825</v>
      </c>
      <c r="D300" t="s">
        <v>27</v>
      </c>
      <c r="E300" t="s">
        <v>84</v>
      </c>
      <c r="F300" t="s">
        <v>85</v>
      </c>
      <c r="G300" t="s">
        <v>34</v>
      </c>
      <c r="H300" t="s">
        <v>141</v>
      </c>
      <c r="I300">
        <v>1</v>
      </c>
      <c r="J300" s="3">
        <v>168000</v>
      </c>
      <c r="K300" s="3">
        <v>120000</v>
      </c>
      <c r="L300" t="s">
        <v>36</v>
      </c>
      <c r="M300" t="s">
        <v>31</v>
      </c>
      <c r="N300" t="s">
        <v>23</v>
      </c>
      <c r="O300" t="s">
        <v>24</v>
      </c>
    </row>
    <row r="301" spans="1:15" x14ac:dyDescent="0.35">
      <c r="A301" t="s">
        <v>826</v>
      </c>
      <c r="B301" s="2">
        <v>46225</v>
      </c>
      <c r="C301" t="s">
        <v>827</v>
      </c>
      <c r="D301" t="s">
        <v>828</v>
      </c>
      <c r="E301" t="s">
        <v>56</v>
      </c>
      <c r="F301" t="s">
        <v>57</v>
      </c>
      <c r="G301" t="s">
        <v>34</v>
      </c>
      <c r="H301" t="s">
        <v>86</v>
      </c>
      <c r="I301">
        <v>4</v>
      </c>
      <c r="J301" s="3">
        <v>180000</v>
      </c>
      <c r="K301" s="3">
        <v>139000</v>
      </c>
      <c r="L301" t="s">
        <v>80</v>
      </c>
      <c r="M301" t="s">
        <v>22</v>
      </c>
      <c r="N301" t="s">
        <v>87</v>
      </c>
      <c r="O301" t="s">
        <v>24</v>
      </c>
    </row>
    <row r="302" spans="1:15" x14ac:dyDescent="0.35">
      <c r="A302" t="s">
        <v>829</v>
      </c>
      <c r="B302" s="2">
        <v>46288</v>
      </c>
      <c r="C302" t="s">
        <v>830</v>
      </c>
      <c r="D302" t="s">
        <v>317</v>
      </c>
      <c r="E302" t="s">
        <v>18</v>
      </c>
      <c r="F302" t="s">
        <v>18</v>
      </c>
      <c r="G302" t="s">
        <v>34</v>
      </c>
      <c r="H302" t="s">
        <v>35</v>
      </c>
      <c r="I302">
        <v>6</v>
      </c>
      <c r="J302" s="3">
        <v>55000</v>
      </c>
      <c r="K302" s="3">
        <v>39000</v>
      </c>
      <c r="L302" t="s">
        <v>21</v>
      </c>
      <c r="M302" t="s">
        <v>37</v>
      </c>
      <c r="N302" t="s">
        <v>52</v>
      </c>
      <c r="O302" t="s">
        <v>24</v>
      </c>
    </row>
    <row r="303" spans="1:15" x14ac:dyDescent="0.35">
      <c r="A303" t="s">
        <v>831</v>
      </c>
      <c r="B303" s="2">
        <v>46173</v>
      </c>
      <c r="C303" t="s">
        <v>832</v>
      </c>
      <c r="D303" t="s">
        <v>833</v>
      </c>
      <c r="E303" t="s">
        <v>156</v>
      </c>
      <c r="F303" t="s">
        <v>157</v>
      </c>
      <c r="G303" t="s">
        <v>34</v>
      </c>
      <c r="H303" t="s">
        <v>35</v>
      </c>
      <c r="I303">
        <v>4</v>
      </c>
      <c r="J303" s="3">
        <v>52200</v>
      </c>
      <c r="K303" s="3">
        <v>40200</v>
      </c>
      <c r="L303" t="s">
        <v>21</v>
      </c>
      <c r="M303" t="s">
        <v>51</v>
      </c>
      <c r="N303" t="s">
        <v>87</v>
      </c>
      <c r="O303" t="s">
        <v>24</v>
      </c>
    </row>
    <row r="304" spans="1:15" x14ac:dyDescent="0.35">
      <c r="A304" t="s">
        <v>834</v>
      </c>
      <c r="B304" s="2">
        <v>46142</v>
      </c>
      <c r="C304" t="s">
        <v>193</v>
      </c>
      <c r="D304" t="s">
        <v>667</v>
      </c>
      <c r="E304" t="s">
        <v>18</v>
      </c>
      <c r="F304" t="s">
        <v>18</v>
      </c>
      <c r="G304" t="s">
        <v>34</v>
      </c>
      <c r="H304" t="s">
        <v>95</v>
      </c>
      <c r="I304">
        <v>2</v>
      </c>
      <c r="J304" s="3">
        <v>450000</v>
      </c>
      <c r="K304" s="3">
        <v>358900</v>
      </c>
      <c r="L304" t="s">
        <v>73</v>
      </c>
      <c r="M304" t="s">
        <v>37</v>
      </c>
      <c r="N304" t="s">
        <v>23</v>
      </c>
      <c r="O304" t="s">
        <v>24</v>
      </c>
    </row>
    <row r="305" spans="1:15" x14ac:dyDescent="0.35">
      <c r="A305" t="s">
        <v>835</v>
      </c>
      <c r="B305" s="2">
        <v>46215</v>
      </c>
      <c r="C305" t="s">
        <v>836</v>
      </c>
      <c r="D305" t="s">
        <v>781</v>
      </c>
      <c r="E305" t="s">
        <v>18</v>
      </c>
      <c r="F305" t="s">
        <v>18</v>
      </c>
      <c r="G305" t="s">
        <v>19</v>
      </c>
      <c r="H305" t="s">
        <v>112</v>
      </c>
      <c r="I305">
        <v>7</v>
      </c>
      <c r="J305" s="3">
        <v>85000</v>
      </c>
      <c r="K305" s="3">
        <v>60100</v>
      </c>
      <c r="L305" t="s">
        <v>21</v>
      </c>
      <c r="M305" t="s">
        <v>22</v>
      </c>
      <c r="N305" t="s">
        <v>52</v>
      </c>
      <c r="O305" t="s">
        <v>24</v>
      </c>
    </row>
    <row r="306" spans="1:15" x14ac:dyDescent="0.35">
      <c r="A306" t="s">
        <v>837</v>
      </c>
      <c r="B306" s="2">
        <v>46354</v>
      </c>
      <c r="C306" t="s">
        <v>838</v>
      </c>
      <c r="D306" t="s">
        <v>839</v>
      </c>
      <c r="E306" t="s">
        <v>156</v>
      </c>
      <c r="F306" t="s">
        <v>157</v>
      </c>
      <c r="G306" t="s">
        <v>43</v>
      </c>
      <c r="H306" t="s">
        <v>177</v>
      </c>
      <c r="I306">
        <v>2</v>
      </c>
      <c r="J306" s="3">
        <v>18900</v>
      </c>
      <c r="K306" s="3">
        <v>12100</v>
      </c>
      <c r="L306" t="s">
        <v>36</v>
      </c>
      <c r="M306" t="s">
        <v>31</v>
      </c>
      <c r="N306" t="s">
        <v>52</v>
      </c>
      <c r="O306" t="s">
        <v>24</v>
      </c>
    </row>
    <row r="307" spans="1:15" x14ac:dyDescent="0.35">
      <c r="A307" t="s">
        <v>840</v>
      </c>
      <c r="B307" s="2">
        <v>46138</v>
      </c>
      <c r="C307" t="s">
        <v>841</v>
      </c>
      <c r="D307" t="s">
        <v>842</v>
      </c>
      <c r="E307" t="s">
        <v>56</v>
      </c>
      <c r="F307" t="s">
        <v>57</v>
      </c>
      <c r="G307" t="s">
        <v>28</v>
      </c>
      <c r="H307" t="s">
        <v>72</v>
      </c>
      <c r="I307">
        <v>3</v>
      </c>
      <c r="J307" s="3">
        <v>10000</v>
      </c>
      <c r="K307" s="3">
        <v>6000</v>
      </c>
      <c r="L307" t="s">
        <v>50</v>
      </c>
      <c r="M307" t="s">
        <v>22</v>
      </c>
      <c r="N307" t="s">
        <v>87</v>
      </c>
      <c r="O307" t="s">
        <v>24</v>
      </c>
    </row>
    <row r="308" spans="1:15" x14ac:dyDescent="0.35">
      <c r="A308" t="s">
        <v>843</v>
      </c>
      <c r="B308" s="2">
        <v>46129</v>
      </c>
      <c r="C308" t="s">
        <v>694</v>
      </c>
      <c r="D308" t="s">
        <v>844</v>
      </c>
      <c r="E308" t="s">
        <v>41</v>
      </c>
      <c r="F308" t="s">
        <v>42</v>
      </c>
      <c r="G308" t="s">
        <v>43</v>
      </c>
      <c r="H308" t="s">
        <v>49</v>
      </c>
      <c r="I308">
        <v>8</v>
      </c>
      <c r="J308" s="3">
        <v>9000</v>
      </c>
      <c r="K308" s="3">
        <v>6000</v>
      </c>
      <c r="L308" t="s">
        <v>30</v>
      </c>
      <c r="M308" t="s">
        <v>51</v>
      </c>
      <c r="N308" t="s">
        <v>87</v>
      </c>
      <c r="O308" t="s">
        <v>45</v>
      </c>
    </row>
    <row r="309" spans="1:15" x14ac:dyDescent="0.35">
      <c r="A309" t="s">
        <v>845</v>
      </c>
      <c r="B309" s="2">
        <v>46273</v>
      </c>
      <c r="C309" t="s">
        <v>607</v>
      </c>
      <c r="D309" t="s">
        <v>846</v>
      </c>
      <c r="E309" t="s">
        <v>41</v>
      </c>
      <c r="F309" t="s">
        <v>42</v>
      </c>
      <c r="G309" t="s">
        <v>28</v>
      </c>
      <c r="H309" t="s">
        <v>65</v>
      </c>
      <c r="I309">
        <v>4</v>
      </c>
      <c r="J309" s="3">
        <v>11400</v>
      </c>
      <c r="K309" s="3">
        <v>7500</v>
      </c>
      <c r="L309" t="s">
        <v>66</v>
      </c>
      <c r="M309" t="s">
        <v>37</v>
      </c>
      <c r="N309" t="s">
        <v>23</v>
      </c>
      <c r="O309" t="s">
        <v>24</v>
      </c>
    </row>
    <row r="310" spans="1:15" x14ac:dyDescent="0.35">
      <c r="A310" t="s">
        <v>847</v>
      </c>
      <c r="B310" s="2">
        <v>46292</v>
      </c>
      <c r="C310" t="s">
        <v>848</v>
      </c>
      <c r="D310" t="s">
        <v>276</v>
      </c>
      <c r="E310" t="s">
        <v>156</v>
      </c>
      <c r="F310" t="s">
        <v>157</v>
      </c>
      <c r="G310" t="s">
        <v>19</v>
      </c>
      <c r="H310" t="s">
        <v>166</v>
      </c>
      <c r="I310">
        <v>6</v>
      </c>
      <c r="J310" s="3">
        <v>133000</v>
      </c>
      <c r="K310" s="3">
        <v>103000</v>
      </c>
      <c r="L310" t="s">
        <v>21</v>
      </c>
      <c r="M310" t="s">
        <v>31</v>
      </c>
      <c r="N310" t="s">
        <v>23</v>
      </c>
      <c r="O310" t="s">
        <v>91</v>
      </c>
    </row>
    <row r="311" spans="1:15" x14ac:dyDescent="0.35">
      <c r="A311" t="s">
        <v>849</v>
      </c>
      <c r="B311" s="2">
        <v>46217</v>
      </c>
      <c r="C311" t="s">
        <v>850</v>
      </c>
      <c r="D311" t="s">
        <v>55</v>
      </c>
      <c r="E311" t="s">
        <v>77</v>
      </c>
      <c r="F311" t="s">
        <v>78</v>
      </c>
      <c r="G311" t="s">
        <v>34</v>
      </c>
      <c r="H311" t="s">
        <v>95</v>
      </c>
      <c r="I311">
        <v>5</v>
      </c>
      <c r="J311" s="3">
        <v>427500</v>
      </c>
      <c r="K311" s="3">
        <v>370000</v>
      </c>
      <c r="L311" t="s">
        <v>96</v>
      </c>
      <c r="M311" t="s">
        <v>37</v>
      </c>
      <c r="N311" t="s">
        <v>52</v>
      </c>
      <c r="O311" t="s">
        <v>45</v>
      </c>
    </row>
    <row r="312" spans="1:15" x14ac:dyDescent="0.35">
      <c r="A312" t="s">
        <v>851</v>
      </c>
      <c r="B312" s="2">
        <v>46336</v>
      </c>
      <c r="C312" t="s">
        <v>510</v>
      </c>
      <c r="D312" t="s">
        <v>152</v>
      </c>
      <c r="E312" t="s">
        <v>190</v>
      </c>
      <c r="F312" t="s">
        <v>191</v>
      </c>
      <c r="G312" t="s">
        <v>34</v>
      </c>
      <c r="H312" t="s">
        <v>86</v>
      </c>
      <c r="I312">
        <v>3</v>
      </c>
      <c r="J312" s="3">
        <v>171000</v>
      </c>
      <c r="K312" s="3">
        <v>139000</v>
      </c>
      <c r="L312" t="s">
        <v>50</v>
      </c>
      <c r="M312" t="s">
        <v>51</v>
      </c>
      <c r="N312" t="s">
        <v>87</v>
      </c>
      <c r="O312" t="s">
        <v>24</v>
      </c>
    </row>
    <row r="313" spans="1:15" x14ac:dyDescent="0.35">
      <c r="A313" t="s">
        <v>852</v>
      </c>
      <c r="B313" s="2">
        <v>46367</v>
      </c>
      <c r="C313" t="s">
        <v>853</v>
      </c>
      <c r="D313" t="s">
        <v>854</v>
      </c>
      <c r="E313" t="s">
        <v>18</v>
      </c>
      <c r="F313" t="s">
        <v>18</v>
      </c>
      <c r="G313" t="s">
        <v>43</v>
      </c>
      <c r="H313" t="s">
        <v>162</v>
      </c>
      <c r="I313">
        <v>7</v>
      </c>
      <c r="J313" s="3">
        <v>8000</v>
      </c>
      <c r="K313" s="3">
        <v>5000</v>
      </c>
      <c r="L313" t="s">
        <v>66</v>
      </c>
      <c r="M313" t="s">
        <v>37</v>
      </c>
      <c r="N313" t="s">
        <v>52</v>
      </c>
      <c r="O313" t="s">
        <v>24</v>
      </c>
    </row>
    <row r="314" spans="1:15" x14ac:dyDescent="0.35">
      <c r="A314" t="s">
        <v>855</v>
      </c>
      <c r="B314" s="2">
        <v>46196</v>
      </c>
      <c r="C314" t="s">
        <v>231</v>
      </c>
      <c r="D314" t="s">
        <v>856</v>
      </c>
      <c r="E314" t="s">
        <v>77</v>
      </c>
      <c r="F314" t="s">
        <v>78</v>
      </c>
      <c r="G314" t="s">
        <v>34</v>
      </c>
      <c r="H314" t="s">
        <v>86</v>
      </c>
      <c r="I314">
        <v>6</v>
      </c>
      <c r="J314" s="3">
        <v>171000</v>
      </c>
      <c r="K314" s="3">
        <v>135000</v>
      </c>
      <c r="L314" t="s">
        <v>73</v>
      </c>
      <c r="M314" t="s">
        <v>37</v>
      </c>
      <c r="N314" t="s">
        <v>52</v>
      </c>
      <c r="O314" t="s">
        <v>24</v>
      </c>
    </row>
    <row r="315" spans="1:15" x14ac:dyDescent="0.35">
      <c r="A315" t="s">
        <v>857</v>
      </c>
      <c r="B315" s="2">
        <v>46159</v>
      </c>
      <c r="C315" t="s">
        <v>858</v>
      </c>
      <c r="D315" t="s">
        <v>859</v>
      </c>
      <c r="E315" t="s">
        <v>41</v>
      </c>
      <c r="F315" t="s">
        <v>42</v>
      </c>
      <c r="G315" t="s">
        <v>34</v>
      </c>
      <c r="H315" t="s">
        <v>141</v>
      </c>
      <c r="I315">
        <v>10</v>
      </c>
      <c r="J315" s="3">
        <v>168000</v>
      </c>
      <c r="K315" s="3">
        <v>116400</v>
      </c>
      <c r="L315" t="s">
        <v>80</v>
      </c>
      <c r="M315" t="s">
        <v>37</v>
      </c>
      <c r="N315" t="s">
        <v>23</v>
      </c>
      <c r="O315" t="s">
        <v>24</v>
      </c>
    </row>
    <row r="316" spans="1:15" x14ac:dyDescent="0.35">
      <c r="A316" t="s">
        <v>860</v>
      </c>
      <c r="B316" s="2">
        <v>46368</v>
      </c>
      <c r="C316" t="s">
        <v>148</v>
      </c>
      <c r="D316" t="s">
        <v>259</v>
      </c>
      <c r="E316" t="s">
        <v>18</v>
      </c>
      <c r="F316" t="s">
        <v>18</v>
      </c>
      <c r="G316" t="s">
        <v>28</v>
      </c>
      <c r="H316" t="s">
        <v>65</v>
      </c>
      <c r="I316">
        <v>5</v>
      </c>
      <c r="J316" s="3">
        <v>12000</v>
      </c>
      <c r="K316" s="3">
        <v>7500</v>
      </c>
      <c r="L316" t="s">
        <v>80</v>
      </c>
      <c r="M316" t="s">
        <v>51</v>
      </c>
      <c r="N316" t="s">
        <v>23</v>
      </c>
      <c r="O316" t="s">
        <v>24</v>
      </c>
    </row>
    <row r="317" spans="1:15" x14ac:dyDescent="0.35">
      <c r="A317" t="s">
        <v>861</v>
      </c>
      <c r="B317" s="2">
        <v>46083</v>
      </c>
      <c r="C317" t="s">
        <v>850</v>
      </c>
      <c r="D317" t="s">
        <v>465</v>
      </c>
      <c r="E317" t="s">
        <v>41</v>
      </c>
      <c r="F317" t="s">
        <v>42</v>
      </c>
      <c r="G317" t="s">
        <v>34</v>
      </c>
      <c r="H317" t="s">
        <v>95</v>
      </c>
      <c r="I317">
        <v>3</v>
      </c>
      <c r="J317" s="3">
        <v>472500</v>
      </c>
      <c r="K317" s="3">
        <v>370000</v>
      </c>
      <c r="L317" t="s">
        <v>73</v>
      </c>
      <c r="M317" t="s">
        <v>51</v>
      </c>
      <c r="N317" t="s">
        <v>23</v>
      </c>
      <c r="O317" t="s">
        <v>24</v>
      </c>
    </row>
    <row r="318" spans="1:15" x14ac:dyDescent="0.35">
      <c r="A318" t="s">
        <v>862</v>
      </c>
      <c r="B318" s="2">
        <v>46163</v>
      </c>
      <c r="C318" t="s">
        <v>863</v>
      </c>
      <c r="D318" t="s">
        <v>516</v>
      </c>
      <c r="E318" t="s">
        <v>70</v>
      </c>
      <c r="F318" t="s">
        <v>71</v>
      </c>
      <c r="G318" t="s">
        <v>28</v>
      </c>
      <c r="H318" t="s">
        <v>131</v>
      </c>
      <c r="I318">
        <v>2</v>
      </c>
      <c r="J318" s="3">
        <v>30000</v>
      </c>
      <c r="K318" s="3">
        <v>18400</v>
      </c>
      <c r="L318" t="s">
        <v>36</v>
      </c>
      <c r="M318" t="s">
        <v>37</v>
      </c>
      <c r="N318" t="s">
        <v>23</v>
      </c>
      <c r="O318" t="s">
        <v>24</v>
      </c>
    </row>
    <row r="319" spans="1:15" x14ac:dyDescent="0.35">
      <c r="A319" t="s">
        <v>864</v>
      </c>
      <c r="B319" s="2">
        <v>46285</v>
      </c>
      <c r="C319" t="s">
        <v>452</v>
      </c>
      <c r="D319" t="s">
        <v>821</v>
      </c>
      <c r="E319" t="s">
        <v>156</v>
      </c>
      <c r="F319" t="s">
        <v>157</v>
      </c>
      <c r="G319" t="s">
        <v>34</v>
      </c>
      <c r="H319" t="s">
        <v>158</v>
      </c>
      <c r="I319">
        <v>4</v>
      </c>
      <c r="J319" s="3">
        <v>90200</v>
      </c>
      <c r="K319" s="3">
        <v>67900</v>
      </c>
      <c r="L319" t="s">
        <v>21</v>
      </c>
      <c r="M319" t="s">
        <v>51</v>
      </c>
      <c r="N319" t="s">
        <v>23</v>
      </c>
      <c r="O319" t="s">
        <v>24</v>
      </c>
    </row>
    <row r="320" spans="1:15" x14ac:dyDescent="0.35">
      <c r="A320" t="s">
        <v>865</v>
      </c>
      <c r="B320" s="2">
        <v>46195</v>
      </c>
      <c r="C320" t="s">
        <v>104</v>
      </c>
      <c r="D320" t="s">
        <v>866</v>
      </c>
      <c r="E320" t="s">
        <v>18</v>
      </c>
      <c r="F320" t="s">
        <v>18</v>
      </c>
      <c r="G320" t="s">
        <v>43</v>
      </c>
      <c r="H320" t="s">
        <v>79</v>
      </c>
      <c r="I320">
        <v>7</v>
      </c>
      <c r="J320" s="3">
        <v>5700</v>
      </c>
      <c r="K320" s="3">
        <v>4100</v>
      </c>
      <c r="L320" t="s">
        <v>96</v>
      </c>
      <c r="M320" t="s">
        <v>51</v>
      </c>
      <c r="N320" t="s">
        <v>23</v>
      </c>
      <c r="O320" t="s">
        <v>24</v>
      </c>
    </row>
    <row r="321" spans="1:15" x14ac:dyDescent="0.35">
      <c r="A321" t="s">
        <v>867</v>
      </c>
      <c r="B321" s="2">
        <v>46026</v>
      </c>
      <c r="C321" t="s">
        <v>868</v>
      </c>
      <c r="D321" t="s">
        <v>869</v>
      </c>
      <c r="E321" t="s">
        <v>18</v>
      </c>
      <c r="F321" t="s">
        <v>18</v>
      </c>
      <c r="G321" t="s">
        <v>28</v>
      </c>
      <c r="H321" t="s">
        <v>72</v>
      </c>
      <c r="I321">
        <v>10</v>
      </c>
      <c r="J321" s="3">
        <v>10500</v>
      </c>
      <c r="K321" s="3">
        <v>6200</v>
      </c>
      <c r="L321" t="s">
        <v>80</v>
      </c>
      <c r="M321" t="s">
        <v>37</v>
      </c>
      <c r="N321" t="s">
        <v>23</v>
      </c>
      <c r="O321" t="s">
        <v>24</v>
      </c>
    </row>
    <row r="322" spans="1:15" x14ac:dyDescent="0.35">
      <c r="A322" t="s">
        <v>870</v>
      </c>
      <c r="B322" s="2">
        <v>46087</v>
      </c>
      <c r="C322" t="s">
        <v>871</v>
      </c>
      <c r="D322" t="s">
        <v>872</v>
      </c>
      <c r="E322" t="s">
        <v>84</v>
      </c>
      <c r="F322" t="s">
        <v>85</v>
      </c>
      <c r="G322" t="s">
        <v>34</v>
      </c>
      <c r="H322" t="s">
        <v>95</v>
      </c>
      <c r="I322">
        <v>9</v>
      </c>
      <c r="J322" s="3">
        <v>450000</v>
      </c>
      <c r="K322" s="3">
        <v>358900</v>
      </c>
      <c r="L322" t="s">
        <v>80</v>
      </c>
      <c r="M322" t="s">
        <v>51</v>
      </c>
      <c r="N322" t="s">
        <v>23</v>
      </c>
      <c r="O322" t="s">
        <v>24</v>
      </c>
    </row>
    <row r="323" spans="1:15" x14ac:dyDescent="0.35">
      <c r="A323" t="s">
        <v>873</v>
      </c>
      <c r="B323" s="2">
        <v>46296</v>
      </c>
      <c r="C323" t="s">
        <v>874</v>
      </c>
      <c r="D323" t="s">
        <v>875</v>
      </c>
      <c r="E323" t="s">
        <v>156</v>
      </c>
      <c r="F323" t="s">
        <v>157</v>
      </c>
      <c r="G323" t="s">
        <v>34</v>
      </c>
      <c r="H323" t="s">
        <v>35</v>
      </c>
      <c r="I323">
        <v>7</v>
      </c>
      <c r="J323" s="3">
        <v>55000</v>
      </c>
      <c r="K323" s="3">
        <v>40200</v>
      </c>
      <c r="L323" t="s">
        <v>30</v>
      </c>
      <c r="M323" t="s">
        <v>37</v>
      </c>
      <c r="N323" t="s">
        <v>87</v>
      </c>
      <c r="O323" t="s">
        <v>45</v>
      </c>
    </row>
    <row r="324" spans="1:15" x14ac:dyDescent="0.35">
      <c r="A324" t="s">
        <v>876</v>
      </c>
      <c r="B324" s="2">
        <v>46304</v>
      </c>
      <c r="C324" t="s">
        <v>877</v>
      </c>
      <c r="D324" t="s">
        <v>878</v>
      </c>
      <c r="E324" t="s">
        <v>156</v>
      </c>
      <c r="F324" t="s">
        <v>157</v>
      </c>
      <c r="G324" t="s">
        <v>43</v>
      </c>
      <c r="H324" t="s">
        <v>49</v>
      </c>
      <c r="I324">
        <v>3</v>
      </c>
      <c r="J324" s="3">
        <v>9400</v>
      </c>
      <c r="K324" s="3">
        <v>6000</v>
      </c>
      <c r="L324" t="s">
        <v>96</v>
      </c>
      <c r="M324" t="s">
        <v>31</v>
      </c>
      <c r="N324" t="s">
        <v>87</v>
      </c>
      <c r="O324" t="s">
        <v>24</v>
      </c>
    </row>
    <row r="325" spans="1:15" x14ac:dyDescent="0.35">
      <c r="A325" t="s">
        <v>879</v>
      </c>
      <c r="B325" s="2">
        <v>46382</v>
      </c>
      <c r="C325" t="s">
        <v>393</v>
      </c>
      <c r="D325" t="s">
        <v>880</v>
      </c>
      <c r="E325" t="s">
        <v>18</v>
      </c>
      <c r="F325" t="s">
        <v>18</v>
      </c>
      <c r="G325" t="s">
        <v>34</v>
      </c>
      <c r="H325" t="s">
        <v>95</v>
      </c>
      <c r="I325">
        <v>8</v>
      </c>
      <c r="J325" s="3">
        <v>450000</v>
      </c>
      <c r="K325" s="3">
        <v>358900</v>
      </c>
      <c r="L325" t="s">
        <v>21</v>
      </c>
      <c r="M325" t="s">
        <v>51</v>
      </c>
      <c r="N325" t="s">
        <v>87</v>
      </c>
      <c r="O325" t="s">
        <v>91</v>
      </c>
    </row>
    <row r="326" spans="1:15" x14ac:dyDescent="0.35">
      <c r="A326" t="s">
        <v>881</v>
      </c>
      <c r="B326" s="2">
        <v>46271</v>
      </c>
      <c r="C326" t="s">
        <v>882</v>
      </c>
      <c r="D326" t="s">
        <v>169</v>
      </c>
      <c r="E326" t="s">
        <v>156</v>
      </c>
      <c r="F326" t="s">
        <v>157</v>
      </c>
      <c r="G326" t="s">
        <v>34</v>
      </c>
      <c r="H326" t="s">
        <v>141</v>
      </c>
      <c r="I326">
        <v>6</v>
      </c>
      <c r="J326" s="3">
        <v>160000</v>
      </c>
      <c r="K326" s="3">
        <v>123600</v>
      </c>
      <c r="L326" t="s">
        <v>30</v>
      </c>
      <c r="M326" t="s">
        <v>37</v>
      </c>
      <c r="N326" t="s">
        <v>23</v>
      </c>
      <c r="O326" t="s">
        <v>24</v>
      </c>
    </row>
    <row r="327" spans="1:15" x14ac:dyDescent="0.35">
      <c r="A327" t="s">
        <v>883</v>
      </c>
      <c r="B327" s="2">
        <v>46274</v>
      </c>
      <c r="C327" t="s">
        <v>39</v>
      </c>
      <c r="D327" t="s">
        <v>507</v>
      </c>
      <c r="E327" t="s">
        <v>18</v>
      </c>
      <c r="F327" t="s">
        <v>18</v>
      </c>
      <c r="G327" t="s">
        <v>34</v>
      </c>
      <c r="H327" t="s">
        <v>158</v>
      </c>
      <c r="I327">
        <v>10</v>
      </c>
      <c r="J327" s="3">
        <v>99800</v>
      </c>
      <c r="K327" s="3">
        <v>72100</v>
      </c>
      <c r="L327" t="s">
        <v>96</v>
      </c>
      <c r="M327" t="s">
        <v>31</v>
      </c>
      <c r="N327" t="s">
        <v>23</v>
      </c>
      <c r="O327" t="s">
        <v>45</v>
      </c>
    </row>
    <row r="328" spans="1:15" x14ac:dyDescent="0.35">
      <c r="A328" t="s">
        <v>884</v>
      </c>
      <c r="B328" s="2">
        <v>46077</v>
      </c>
      <c r="C328" t="s">
        <v>101</v>
      </c>
      <c r="D328" t="s">
        <v>276</v>
      </c>
      <c r="E328" t="s">
        <v>18</v>
      </c>
      <c r="F328" t="s">
        <v>18</v>
      </c>
      <c r="G328" t="s">
        <v>43</v>
      </c>
      <c r="H328" t="s">
        <v>49</v>
      </c>
      <c r="I328">
        <v>7</v>
      </c>
      <c r="J328" s="3">
        <v>9000</v>
      </c>
      <c r="K328" s="3">
        <v>5600</v>
      </c>
      <c r="L328" t="s">
        <v>21</v>
      </c>
      <c r="M328" t="s">
        <v>37</v>
      </c>
      <c r="N328" t="s">
        <v>23</v>
      </c>
      <c r="O328" t="s">
        <v>24</v>
      </c>
    </row>
    <row r="329" spans="1:15" x14ac:dyDescent="0.35">
      <c r="A329" t="s">
        <v>885</v>
      </c>
      <c r="B329" s="2">
        <v>46299</v>
      </c>
      <c r="C329" t="s">
        <v>886</v>
      </c>
      <c r="D329" t="s">
        <v>833</v>
      </c>
      <c r="E329" t="s">
        <v>77</v>
      </c>
      <c r="F329" t="s">
        <v>78</v>
      </c>
      <c r="G329" t="s">
        <v>28</v>
      </c>
      <c r="H329" t="s">
        <v>72</v>
      </c>
      <c r="I329">
        <v>2</v>
      </c>
      <c r="J329" s="3">
        <v>10500</v>
      </c>
      <c r="K329" s="3">
        <v>6000</v>
      </c>
      <c r="L329" t="s">
        <v>50</v>
      </c>
      <c r="M329" t="s">
        <v>22</v>
      </c>
      <c r="N329" t="s">
        <v>23</v>
      </c>
      <c r="O329" t="s">
        <v>24</v>
      </c>
    </row>
    <row r="330" spans="1:15" x14ac:dyDescent="0.35">
      <c r="A330" t="s">
        <v>887</v>
      </c>
      <c r="B330" s="2">
        <v>46272</v>
      </c>
      <c r="C330" t="s">
        <v>888</v>
      </c>
      <c r="D330" t="s">
        <v>889</v>
      </c>
      <c r="E330" t="s">
        <v>41</v>
      </c>
      <c r="F330" t="s">
        <v>42</v>
      </c>
      <c r="G330" t="s">
        <v>43</v>
      </c>
      <c r="H330" t="s">
        <v>79</v>
      </c>
      <c r="I330">
        <v>4</v>
      </c>
      <c r="J330" s="3">
        <v>6000</v>
      </c>
      <c r="K330" s="3">
        <v>4100</v>
      </c>
      <c r="L330" t="s">
        <v>21</v>
      </c>
      <c r="M330" t="s">
        <v>31</v>
      </c>
      <c r="N330" t="s">
        <v>23</v>
      </c>
      <c r="O330" t="s">
        <v>24</v>
      </c>
    </row>
    <row r="331" spans="1:15" x14ac:dyDescent="0.35">
      <c r="A331" t="s">
        <v>890</v>
      </c>
      <c r="B331" s="2">
        <v>46190</v>
      </c>
      <c r="C331" t="s">
        <v>175</v>
      </c>
      <c r="D331" t="s">
        <v>755</v>
      </c>
      <c r="E331" t="s">
        <v>18</v>
      </c>
      <c r="F331" t="s">
        <v>18</v>
      </c>
      <c r="G331" t="s">
        <v>43</v>
      </c>
      <c r="H331" t="s">
        <v>44</v>
      </c>
      <c r="I331">
        <v>9</v>
      </c>
      <c r="J331" s="3">
        <v>14200</v>
      </c>
      <c r="K331" s="3">
        <v>9800</v>
      </c>
      <c r="L331" t="s">
        <v>50</v>
      </c>
      <c r="M331" t="s">
        <v>31</v>
      </c>
      <c r="N331" t="s">
        <v>23</v>
      </c>
      <c r="O331" t="s">
        <v>24</v>
      </c>
    </row>
    <row r="332" spans="1:15" x14ac:dyDescent="0.35">
      <c r="A332" t="s">
        <v>891</v>
      </c>
      <c r="B332" s="2">
        <v>46358</v>
      </c>
      <c r="C332" t="s">
        <v>892</v>
      </c>
      <c r="D332" t="s">
        <v>893</v>
      </c>
      <c r="E332" t="s">
        <v>18</v>
      </c>
      <c r="F332" t="s">
        <v>18</v>
      </c>
      <c r="G332" t="s">
        <v>19</v>
      </c>
      <c r="H332" t="s">
        <v>112</v>
      </c>
      <c r="I332">
        <v>7</v>
      </c>
      <c r="J332" s="3">
        <v>85000</v>
      </c>
      <c r="K332" s="3">
        <v>63900</v>
      </c>
      <c r="L332" t="s">
        <v>30</v>
      </c>
      <c r="M332" t="s">
        <v>31</v>
      </c>
      <c r="N332" t="s">
        <v>52</v>
      </c>
      <c r="O332" t="s">
        <v>91</v>
      </c>
    </row>
    <row r="333" spans="1:15" x14ac:dyDescent="0.35">
      <c r="A333" t="s">
        <v>894</v>
      </c>
      <c r="B333" s="2">
        <v>46128</v>
      </c>
      <c r="C333" t="s">
        <v>642</v>
      </c>
      <c r="D333" t="s">
        <v>374</v>
      </c>
      <c r="E333" t="s">
        <v>18</v>
      </c>
      <c r="F333" t="s">
        <v>18</v>
      </c>
      <c r="G333" t="s">
        <v>43</v>
      </c>
      <c r="H333" t="s">
        <v>49</v>
      </c>
      <c r="I333">
        <v>1</v>
      </c>
      <c r="J333" s="3">
        <v>9000</v>
      </c>
      <c r="K333" s="3">
        <v>6000</v>
      </c>
      <c r="L333" t="s">
        <v>36</v>
      </c>
      <c r="M333" t="s">
        <v>22</v>
      </c>
      <c r="N333" t="s">
        <v>23</v>
      </c>
      <c r="O333" t="s">
        <v>24</v>
      </c>
    </row>
    <row r="334" spans="1:15" x14ac:dyDescent="0.35">
      <c r="A334" t="s">
        <v>895</v>
      </c>
      <c r="B334" s="2">
        <v>46170</v>
      </c>
      <c r="C334" t="s">
        <v>896</v>
      </c>
      <c r="D334" t="s">
        <v>256</v>
      </c>
      <c r="E334" t="s">
        <v>18</v>
      </c>
      <c r="F334" t="s">
        <v>18</v>
      </c>
      <c r="G334" t="s">
        <v>34</v>
      </c>
      <c r="H334" t="s">
        <v>35</v>
      </c>
      <c r="I334">
        <v>6</v>
      </c>
      <c r="J334" s="3">
        <v>52200</v>
      </c>
      <c r="K334" s="3">
        <v>37800</v>
      </c>
      <c r="L334" t="s">
        <v>30</v>
      </c>
      <c r="M334" t="s">
        <v>51</v>
      </c>
      <c r="N334" t="s">
        <v>23</v>
      </c>
      <c r="O334" t="s">
        <v>24</v>
      </c>
    </row>
    <row r="335" spans="1:15" x14ac:dyDescent="0.35">
      <c r="A335" t="s">
        <v>897</v>
      </c>
      <c r="B335" s="2">
        <v>46176</v>
      </c>
      <c r="C335" t="s">
        <v>243</v>
      </c>
      <c r="D335" t="s">
        <v>898</v>
      </c>
      <c r="E335" t="s">
        <v>70</v>
      </c>
      <c r="F335" t="s">
        <v>71</v>
      </c>
      <c r="G335" t="s">
        <v>43</v>
      </c>
      <c r="H335" t="s">
        <v>177</v>
      </c>
      <c r="I335">
        <v>8</v>
      </c>
      <c r="J335" s="3">
        <v>18000</v>
      </c>
      <c r="K335" s="3">
        <v>12500</v>
      </c>
      <c r="L335" t="s">
        <v>73</v>
      </c>
      <c r="M335" t="s">
        <v>51</v>
      </c>
      <c r="N335" t="s">
        <v>87</v>
      </c>
      <c r="O335" t="s">
        <v>24</v>
      </c>
    </row>
    <row r="336" spans="1:15" x14ac:dyDescent="0.35">
      <c r="A336" t="s">
        <v>899</v>
      </c>
      <c r="B336" s="2">
        <v>46250</v>
      </c>
      <c r="C336" t="s">
        <v>841</v>
      </c>
      <c r="D336" t="s">
        <v>391</v>
      </c>
      <c r="E336" t="s">
        <v>190</v>
      </c>
      <c r="F336" t="s">
        <v>191</v>
      </c>
      <c r="G336" t="s">
        <v>28</v>
      </c>
      <c r="H336" t="s">
        <v>29</v>
      </c>
      <c r="I336">
        <v>5</v>
      </c>
      <c r="J336" s="3">
        <v>7400</v>
      </c>
      <c r="K336" s="3">
        <v>3900</v>
      </c>
      <c r="L336" t="s">
        <v>50</v>
      </c>
      <c r="M336" t="s">
        <v>51</v>
      </c>
      <c r="N336" t="s">
        <v>87</v>
      </c>
      <c r="O336" t="s">
        <v>24</v>
      </c>
    </row>
    <row r="337" spans="1:15" x14ac:dyDescent="0.35">
      <c r="A337" t="s">
        <v>900</v>
      </c>
      <c r="B337" s="2">
        <v>46305</v>
      </c>
      <c r="C337" t="s">
        <v>901</v>
      </c>
      <c r="D337" t="s">
        <v>823</v>
      </c>
      <c r="E337" t="s">
        <v>190</v>
      </c>
      <c r="F337" t="s">
        <v>191</v>
      </c>
      <c r="G337" t="s">
        <v>34</v>
      </c>
      <c r="H337" t="s">
        <v>158</v>
      </c>
      <c r="I337">
        <v>9</v>
      </c>
      <c r="J337" s="3">
        <v>99800</v>
      </c>
      <c r="K337" s="3">
        <v>67900</v>
      </c>
      <c r="L337" t="s">
        <v>73</v>
      </c>
      <c r="M337" t="s">
        <v>22</v>
      </c>
      <c r="N337" t="s">
        <v>87</v>
      </c>
      <c r="O337" t="s">
        <v>24</v>
      </c>
    </row>
    <row r="338" spans="1:15" x14ac:dyDescent="0.35">
      <c r="A338" t="s">
        <v>902</v>
      </c>
      <c r="B338" s="2">
        <v>46028</v>
      </c>
      <c r="C338" t="s">
        <v>903</v>
      </c>
      <c r="D338" t="s">
        <v>904</v>
      </c>
      <c r="E338" t="s">
        <v>18</v>
      </c>
      <c r="F338" t="s">
        <v>18</v>
      </c>
      <c r="G338" t="s">
        <v>43</v>
      </c>
      <c r="H338" t="s">
        <v>44</v>
      </c>
      <c r="I338">
        <v>9</v>
      </c>
      <c r="J338" s="3">
        <v>15000</v>
      </c>
      <c r="K338" s="3">
        <v>9800</v>
      </c>
      <c r="L338" t="s">
        <v>36</v>
      </c>
      <c r="M338" t="s">
        <v>22</v>
      </c>
      <c r="N338" t="s">
        <v>23</v>
      </c>
      <c r="O338" t="s">
        <v>91</v>
      </c>
    </row>
    <row r="339" spans="1:15" x14ac:dyDescent="0.35">
      <c r="A339" t="s">
        <v>905</v>
      </c>
      <c r="B339" s="2">
        <v>46102</v>
      </c>
      <c r="C339" t="s">
        <v>361</v>
      </c>
      <c r="D339" t="s">
        <v>906</v>
      </c>
      <c r="E339" t="s">
        <v>56</v>
      </c>
      <c r="F339" t="s">
        <v>57</v>
      </c>
      <c r="G339" t="s">
        <v>43</v>
      </c>
      <c r="H339" t="s">
        <v>79</v>
      </c>
      <c r="I339">
        <v>3</v>
      </c>
      <c r="J339" s="3">
        <v>6000</v>
      </c>
      <c r="K339" s="3">
        <v>4100</v>
      </c>
      <c r="L339" t="s">
        <v>73</v>
      </c>
      <c r="M339" t="s">
        <v>31</v>
      </c>
      <c r="N339" t="s">
        <v>52</v>
      </c>
      <c r="O339" t="s">
        <v>24</v>
      </c>
    </row>
    <row r="340" spans="1:15" x14ac:dyDescent="0.35">
      <c r="A340" t="s">
        <v>907</v>
      </c>
      <c r="B340" s="2">
        <v>46294</v>
      </c>
      <c r="C340" t="s">
        <v>908</v>
      </c>
      <c r="D340" t="s">
        <v>909</v>
      </c>
      <c r="E340" t="s">
        <v>18</v>
      </c>
      <c r="F340" t="s">
        <v>18</v>
      </c>
      <c r="G340" t="s">
        <v>43</v>
      </c>
      <c r="H340" t="s">
        <v>162</v>
      </c>
      <c r="I340">
        <v>10</v>
      </c>
      <c r="J340" s="3">
        <v>8000</v>
      </c>
      <c r="K340" s="3">
        <v>5000</v>
      </c>
      <c r="L340" t="s">
        <v>73</v>
      </c>
      <c r="M340" t="s">
        <v>37</v>
      </c>
      <c r="N340" t="s">
        <v>23</v>
      </c>
      <c r="O340" t="s">
        <v>24</v>
      </c>
    </row>
    <row r="341" spans="1:15" x14ac:dyDescent="0.35">
      <c r="A341" t="s">
        <v>910</v>
      </c>
      <c r="B341" s="2">
        <v>46373</v>
      </c>
      <c r="C341" t="s">
        <v>877</v>
      </c>
      <c r="D341" t="s">
        <v>911</v>
      </c>
      <c r="E341" t="s">
        <v>18</v>
      </c>
      <c r="F341" t="s">
        <v>18</v>
      </c>
      <c r="G341" t="s">
        <v>34</v>
      </c>
      <c r="H341" t="s">
        <v>35</v>
      </c>
      <c r="I341">
        <v>3</v>
      </c>
      <c r="J341" s="3">
        <v>55000</v>
      </c>
      <c r="K341" s="3">
        <v>37800</v>
      </c>
      <c r="L341" t="s">
        <v>36</v>
      </c>
      <c r="M341" t="s">
        <v>37</v>
      </c>
      <c r="N341" t="s">
        <v>23</v>
      </c>
      <c r="O341" t="s">
        <v>24</v>
      </c>
    </row>
    <row r="342" spans="1:15" x14ac:dyDescent="0.35">
      <c r="A342" t="s">
        <v>912</v>
      </c>
      <c r="B342" s="2">
        <v>46115</v>
      </c>
      <c r="C342" t="s">
        <v>913</v>
      </c>
      <c r="D342" t="s">
        <v>914</v>
      </c>
      <c r="E342" t="s">
        <v>56</v>
      </c>
      <c r="F342" t="s">
        <v>57</v>
      </c>
      <c r="G342" t="s">
        <v>28</v>
      </c>
      <c r="H342" t="s">
        <v>65</v>
      </c>
      <c r="I342">
        <v>8</v>
      </c>
      <c r="J342" s="3">
        <v>12000</v>
      </c>
      <c r="K342" s="3">
        <v>7300</v>
      </c>
      <c r="L342" t="s">
        <v>66</v>
      </c>
      <c r="M342" t="s">
        <v>22</v>
      </c>
      <c r="N342" t="s">
        <v>23</v>
      </c>
      <c r="O342" t="s">
        <v>24</v>
      </c>
    </row>
    <row r="343" spans="1:15" x14ac:dyDescent="0.35">
      <c r="A343" t="s">
        <v>915</v>
      </c>
      <c r="B343" s="2">
        <v>46142</v>
      </c>
      <c r="C343" t="s">
        <v>916</v>
      </c>
      <c r="D343" t="s">
        <v>140</v>
      </c>
      <c r="E343" t="s">
        <v>190</v>
      </c>
      <c r="F343" t="s">
        <v>191</v>
      </c>
      <c r="G343" t="s">
        <v>43</v>
      </c>
      <c r="H343" t="s">
        <v>177</v>
      </c>
      <c r="I343">
        <v>3</v>
      </c>
      <c r="J343" s="3">
        <v>17100</v>
      </c>
      <c r="K343" s="3">
        <v>12500</v>
      </c>
      <c r="L343" t="s">
        <v>30</v>
      </c>
      <c r="M343" t="s">
        <v>37</v>
      </c>
      <c r="N343" t="s">
        <v>23</v>
      </c>
      <c r="O343" t="s">
        <v>24</v>
      </c>
    </row>
    <row r="344" spans="1:15" x14ac:dyDescent="0.35">
      <c r="A344" t="s">
        <v>917</v>
      </c>
      <c r="B344" s="2">
        <v>46149</v>
      </c>
      <c r="C344" t="s">
        <v>39</v>
      </c>
      <c r="D344" t="s">
        <v>613</v>
      </c>
      <c r="E344" t="s">
        <v>156</v>
      </c>
      <c r="F344" t="s">
        <v>170</v>
      </c>
      <c r="G344" t="s">
        <v>28</v>
      </c>
      <c r="H344" t="s">
        <v>65</v>
      </c>
      <c r="I344">
        <v>9</v>
      </c>
      <c r="J344" s="3">
        <v>12000</v>
      </c>
      <c r="K344" s="3">
        <v>7500</v>
      </c>
      <c r="L344" t="s">
        <v>36</v>
      </c>
      <c r="M344" t="s">
        <v>37</v>
      </c>
      <c r="N344" t="s">
        <v>52</v>
      </c>
      <c r="O344" t="s">
        <v>24</v>
      </c>
    </row>
    <row r="345" spans="1:15" x14ac:dyDescent="0.35">
      <c r="A345" t="s">
        <v>918</v>
      </c>
      <c r="B345" s="2">
        <v>46169</v>
      </c>
      <c r="C345" t="s">
        <v>919</v>
      </c>
      <c r="D345" t="s">
        <v>473</v>
      </c>
      <c r="E345" t="s">
        <v>18</v>
      </c>
      <c r="F345" t="s">
        <v>18</v>
      </c>
      <c r="G345" t="s">
        <v>19</v>
      </c>
      <c r="H345" t="s">
        <v>20</v>
      </c>
      <c r="I345">
        <v>6</v>
      </c>
      <c r="J345" s="3">
        <v>65000</v>
      </c>
      <c r="K345" s="3">
        <v>46400</v>
      </c>
      <c r="L345" t="s">
        <v>30</v>
      </c>
      <c r="M345" t="s">
        <v>37</v>
      </c>
      <c r="N345" t="s">
        <v>52</v>
      </c>
      <c r="O345" t="s">
        <v>45</v>
      </c>
    </row>
    <row r="346" spans="1:15" x14ac:dyDescent="0.35">
      <c r="A346" t="s">
        <v>920</v>
      </c>
      <c r="B346" s="2">
        <v>46360</v>
      </c>
      <c r="C346" t="s">
        <v>193</v>
      </c>
      <c r="D346" t="s">
        <v>560</v>
      </c>
      <c r="E346" t="s">
        <v>190</v>
      </c>
      <c r="F346" t="s">
        <v>191</v>
      </c>
      <c r="G346" t="s">
        <v>34</v>
      </c>
      <c r="H346" t="s">
        <v>35</v>
      </c>
      <c r="I346">
        <v>4</v>
      </c>
      <c r="J346" s="3">
        <v>57800</v>
      </c>
      <c r="K346" s="3">
        <v>40200</v>
      </c>
      <c r="L346" t="s">
        <v>66</v>
      </c>
      <c r="M346" t="s">
        <v>22</v>
      </c>
      <c r="N346" t="s">
        <v>52</v>
      </c>
      <c r="O346" t="s">
        <v>24</v>
      </c>
    </row>
    <row r="347" spans="1:15" x14ac:dyDescent="0.35">
      <c r="A347" t="s">
        <v>921</v>
      </c>
      <c r="B347" s="2">
        <v>46276</v>
      </c>
      <c r="C347" t="s">
        <v>591</v>
      </c>
      <c r="D347" t="s">
        <v>922</v>
      </c>
      <c r="E347" t="s">
        <v>77</v>
      </c>
      <c r="F347" t="s">
        <v>78</v>
      </c>
      <c r="G347" t="s">
        <v>19</v>
      </c>
      <c r="H347" t="s">
        <v>112</v>
      </c>
      <c r="I347">
        <v>4</v>
      </c>
      <c r="J347" s="3">
        <v>80800</v>
      </c>
      <c r="K347" s="3">
        <v>63900</v>
      </c>
      <c r="L347" t="s">
        <v>66</v>
      </c>
      <c r="M347" t="s">
        <v>37</v>
      </c>
      <c r="N347" t="s">
        <v>23</v>
      </c>
      <c r="O347" t="s">
        <v>24</v>
      </c>
    </row>
    <row r="348" spans="1:15" x14ac:dyDescent="0.35">
      <c r="A348" t="s">
        <v>923</v>
      </c>
      <c r="B348" s="2">
        <v>46162</v>
      </c>
      <c r="C348" t="s">
        <v>749</v>
      </c>
      <c r="D348" t="s">
        <v>476</v>
      </c>
      <c r="E348" t="s">
        <v>156</v>
      </c>
      <c r="F348" t="s">
        <v>170</v>
      </c>
      <c r="G348" t="s">
        <v>34</v>
      </c>
      <c r="H348" t="s">
        <v>95</v>
      </c>
      <c r="I348">
        <v>4</v>
      </c>
      <c r="J348" s="3">
        <v>450000</v>
      </c>
      <c r="K348" s="3">
        <v>370000</v>
      </c>
      <c r="L348" t="s">
        <v>80</v>
      </c>
      <c r="M348" t="s">
        <v>37</v>
      </c>
      <c r="N348" t="s">
        <v>52</v>
      </c>
      <c r="O348" t="s">
        <v>91</v>
      </c>
    </row>
    <row r="349" spans="1:15" x14ac:dyDescent="0.35">
      <c r="A349" t="s">
        <v>924</v>
      </c>
      <c r="B349" s="2">
        <v>46256</v>
      </c>
      <c r="C349" t="s">
        <v>925</v>
      </c>
      <c r="D349" t="s">
        <v>487</v>
      </c>
      <c r="E349" t="s">
        <v>41</v>
      </c>
      <c r="F349" t="s">
        <v>42</v>
      </c>
      <c r="G349" t="s">
        <v>43</v>
      </c>
      <c r="H349" t="s">
        <v>49</v>
      </c>
      <c r="I349">
        <v>5</v>
      </c>
      <c r="J349" s="3">
        <v>9000</v>
      </c>
      <c r="K349" s="3">
        <v>5600</v>
      </c>
      <c r="L349" t="s">
        <v>73</v>
      </c>
      <c r="M349" t="s">
        <v>51</v>
      </c>
      <c r="N349" t="s">
        <v>52</v>
      </c>
      <c r="O349" t="s">
        <v>24</v>
      </c>
    </row>
    <row r="350" spans="1:15" x14ac:dyDescent="0.35">
      <c r="A350" t="s">
        <v>926</v>
      </c>
      <c r="B350" s="2">
        <v>46266</v>
      </c>
      <c r="C350" t="s">
        <v>927</v>
      </c>
      <c r="D350" t="s">
        <v>422</v>
      </c>
      <c r="E350" t="s">
        <v>41</v>
      </c>
      <c r="F350" t="s">
        <v>42</v>
      </c>
      <c r="G350" t="s">
        <v>28</v>
      </c>
      <c r="H350" t="s">
        <v>248</v>
      </c>
      <c r="I350">
        <v>2</v>
      </c>
      <c r="J350" s="3">
        <v>25000</v>
      </c>
      <c r="K350" s="3">
        <v>16000</v>
      </c>
      <c r="L350" t="s">
        <v>73</v>
      </c>
      <c r="M350" t="s">
        <v>37</v>
      </c>
      <c r="N350" t="s">
        <v>23</v>
      </c>
      <c r="O350" t="s">
        <v>24</v>
      </c>
    </row>
    <row r="351" spans="1:15" x14ac:dyDescent="0.35">
      <c r="A351" t="s">
        <v>928</v>
      </c>
      <c r="B351" s="2">
        <v>46121</v>
      </c>
      <c r="C351" t="s">
        <v>896</v>
      </c>
      <c r="D351" t="s">
        <v>94</v>
      </c>
      <c r="E351" t="s">
        <v>70</v>
      </c>
      <c r="F351" t="s">
        <v>71</v>
      </c>
      <c r="G351" t="s">
        <v>34</v>
      </c>
      <c r="H351" t="s">
        <v>35</v>
      </c>
      <c r="I351">
        <v>6</v>
      </c>
      <c r="J351" s="3">
        <v>55000</v>
      </c>
      <c r="K351" s="3">
        <v>37800</v>
      </c>
      <c r="L351" t="s">
        <v>30</v>
      </c>
      <c r="M351" t="s">
        <v>37</v>
      </c>
      <c r="N351" t="s">
        <v>23</v>
      </c>
      <c r="O351" t="s">
        <v>24</v>
      </c>
    </row>
    <row r="352" spans="1:15" x14ac:dyDescent="0.35">
      <c r="A352" t="s">
        <v>929</v>
      </c>
      <c r="B352" s="2">
        <v>46159</v>
      </c>
      <c r="C352" t="s">
        <v>930</v>
      </c>
      <c r="D352" t="s">
        <v>250</v>
      </c>
      <c r="E352" t="s">
        <v>41</v>
      </c>
      <c r="F352" t="s">
        <v>42</v>
      </c>
      <c r="G352" t="s">
        <v>43</v>
      </c>
      <c r="H352" t="s">
        <v>79</v>
      </c>
      <c r="I352">
        <v>9</v>
      </c>
      <c r="J352" s="3">
        <v>6300</v>
      </c>
      <c r="K352" s="3">
        <v>4200</v>
      </c>
      <c r="L352" t="s">
        <v>96</v>
      </c>
      <c r="M352" t="s">
        <v>51</v>
      </c>
      <c r="N352" t="s">
        <v>52</v>
      </c>
      <c r="O352" t="s">
        <v>24</v>
      </c>
    </row>
    <row r="353" spans="1:15" x14ac:dyDescent="0.35">
      <c r="A353" t="s">
        <v>931</v>
      </c>
      <c r="B353" s="2">
        <v>46129</v>
      </c>
      <c r="C353" t="s">
        <v>783</v>
      </c>
      <c r="D353" t="s">
        <v>775</v>
      </c>
      <c r="E353" t="s">
        <v>18</v>
      </c>
      <c r="F353" t="s">
        <v>18</v>
      </c>
      <c r="G353" t="s">
        <v>34</v>
      </c>
      <c r="H353" t="s">
        <v>35</v>
      </c>
      <c r="I353">
        <v>4</v>
      </c>
      <c r="J353" s="3">
        <v>57800</v>
      </c>
      <c r="K353" s="3">
        <v>37800</v>
      </c>
      <c r="L353" t="s">
        <v>73</v>
      </c>
      <c r="M353" t="s">
        <v>37</v>
      </c>
      <c r="N353" t="s">
        <v>87</v>
      </c>
      <c r="O353" t="s">
        <v>45</v>
      </c>
    </row>
    <row r="354" spans="1:15" x14ac:dyDescent="0.35">
      <c r="A354" t="s">
        <v>932</v>
      </c>
      <c r="B354" s="2">
        <v>46044</v>
      </c>
      <c r="C354" t="s">
        <v>290</v>
      </c>
      <c r="D354" t="s">
        <v>414</v>
      </c>
      <c r="E354" t="s">
        <v>70</v>
      </c>
      <c r="F354" t="s">
        <v>71</v>
      </c>
      <c r="G354" t="s">
        <v>34</v>
      </c>
      <c r="H354" t="s">
        <v>95</v>
      </c>
      <c r="I354">
        <v>1</v>
      </c>
      <c r="J354" s="3">
        <v>472500</v>
      </c>
      <c r="K354" s="3">
        <v>381100</v>
      </c>
      <c r="L354" t="s">
        <v>50</v>
      </c>
      <c r="M354" t="s">
        <v>37</v>
      </c>
      <c r="N354" t="s">
        <v>23</v>
      </c>
      <c r="O354" t="s">
        <v>24</v>
      </c>
    </row>
    <row r="355" spans="1:15" x14ac:dyDescent="0.35">
      <c r="A355" t="s">
        <v>933</v>
      </c>
      <c r="B355" s="2">
        <v>46325</v>
      </c>
      <c r="C355" t="s">
        <v>934</v>
      </c>
      <c r="D355" t="s">
        <v>800</v>
      </c>
      <c r="E355" t="s">
        <v>18</v>
      </c>
      <c r="F355" t="s">
        <v>18</v>
      </c>
      <c r="G355" t="s">
        <v>34</v>
      </c>
      <c r="H355" t="s">
        <v>86</v>
      </c>
      <c r="I355">
        <v>9</v>
      </c>
      <c r="J355" s="3">
        <v>180000</v>
      </c>
      <c r="K355" s="3">
        <v>139000</v>
      </c>
      <c r="L355" t="s">
        <v>50</v>
      </c>
      <c r="M355" t="s">
        <v>22</v>
      </c>
      <c r="N355" t="s">
        <v>23</v>
      </c>
      <c r="O355" t="s">
        <v>24</v>
      </c>
    </row>
    <row r="356" spans="1:15" x14ac:dyDescent="0.35">
      <c r="A356" t="s">
        <v>935</v>
      </c>
      <c r="B356" s="2">
        <v>46277</v>
      </c>
      <c r="C356" t="s">
        <v>769</v>
      </c>
      <c r="D356" t="s">
        <v>576</v>
      </c>
      <c r="E356" t="s">
        <v>18</v>
      </c>
      <c r="F356" t="s">
        <v>18</v>
      </c>
      <c r="G356" t="s">
        <v>34</v>
      </c>
      <c r="H356" t="s">
        <v>95</v>
      </c>
      <c r="I356">
        <v>4</v>
      </c>
      <c r="J356" s="3">
        <v>472500</v>
      </c>
      <c r="K356" s="3">
        <v>381100</v>
      </c>
      <c r="L356" t="s">
        <v>50</v>
      </c>
      <c r="M356" t="s">
        <v>51</v>
      </c>
      <c r="N356" t="s">
        <v>52</v>
      </c>
      <c r="O356" t="s">
        <v>24</v>
      </c>
    </row>
    <row r="357" spans="1:15" x14ac:dyDescent="0.35">
      <c r="A357" t="s">
        <v>936</v>
      </c>
      <c r="B357" s="2">
        <v>46306</v>
      </c>
      <c r="C357" t="s">
        <v>193</v>
      </c>
      <c r="D357" t="s">
        <v>856</v>
      </c>
      <c r="E357" t="s">
        <v>77</v>
      </c>
      <c r="F357" t="s">
        <v>78</v>
      </c>
      <c r="G357" t="s">
        <v>34</v>
      </c>
      <c r="H357" t="s">
        <v>141</v>
      </c>
      <c r="I357">
        <v>5</v>
      </c>
      <c r="J357" s="3">
        <v>160000</v>
      </c>
      <c r="K357" s="3">
        <v>120000</v>
      </c>
      <c r="L357" t="s">
        <v>50</v>
      </c>
      <c r="M357" t="s">
        <v>37</v>
      </c>
      <c r="N357" t="s">
        <v>52</v>
      </c>
      <c r="O357" t="s">
        <v>24</v>
      </c>
    </row>
    <row r="358" spans="1:15" x14ac:dyDescent="0.35">
      <c r="A358" t="s">
        <v>937</v>
      </c>
      <c r="B358" s="2">
        <v>46120</v>
      </c>
      <c r="C358" t="s">
        <v>938</v>
      </c>
      <c r="D358" t="s">
        <v>939</v>
      </c>
      <c r="E358" t="s">
        <v>18</v>
      </c>
      <c r="F358" t="s">
        <v>18</v>
      </c>
      <c r="G358" t="s">
        <v>19</v>
      </c>
      <c r="H358" t="s">
        <v>20</v>
      </c>
      <c r="I358">
        <v>6</v>
      </c>
      <c r="J358" s="3">
        <v>65000</v>
      </c>
      <c r="K358" s="3">
        <v>43600</v>
      </c>
      <c r="L358" t="s">
        <v>66</v>
      </c>
      <c r="M358" t="s">
        <v>22</v>
      </c>
      <c r="N358" t="s">
        <v>23</v>
      </c>
      <c r="O358" t="s">
        <v>45</v>
      </c>
    </row>
    <row r="359" spans="1:15" x14ac:dyDescent="0.35">
      <c r="A359" t="s">
        <v>940</v>
      </c>
      <c r="B359" s="2">
        <v>46039</v>
      </c>
      <c r="C359" t="s">
        <v>941</v>
      </c>
      <c r="D359" t="s">
        <v>259</v>
      </c>
      <c r="E359" t="s">
        <v>190</v>
      </c>
      <c r="F359" t="s">
        <v>191</v>
      </c>
      <c r="G359" t="s">
        <v>43</v>
      </c>
      <c r="H359" t="s">
        <v>162</v>
      </c>
      <c r="I359">
        <v>9</v>
      </c>
      <c r="J359" s="3">
        <v>8400</v>
      </c>
      <c r="K359" s="3">
        <v>5200</v>
      </c>
      <c r="L359" t="s">
        <v>50</v>
      </c>
      <c r="M359" t="s">
        <v>51</v>
      </c>
      <c r="N359" t="s">
        <v>23</v>
      </c>
      <c r="O359" t="s">
        <v>24</v>
      </c>
    </row>
    <row r="360" spans="1:15" x14ac:dyDescent="0.35">
      <c r="A360" t="s">
        <v>942</v>
      </c>
      <c r="B360" s="2">
        <v>46309</v>
      </c>
      <c r="C360" t="s">
        <v>943</v>
      </c>
      <c r="D360" t="s">
        <v>422</v>
      </c>
      <c r="E360" t="s">
        <v>156</v>
      </c>
      <c r="F360" t="s">
        <v>157</v>
      </c>
      <c r="G360" t="s">
        <v>19</v>
      </c>
      <c r="H360" t="s">
        <v>112</v>
      </c>
      <c r="I360">
        <v>7</v>
      </c>
      <c r="J360" s="3">
        <v>85000</v>
      </c>
      <c r="K360" s="3">
        <v>60100</v>
      </c>
      <c r="L360" t="s">
        <v>30</v>
      </c>
      <c r="M360" t="s">
        <v>51</v>
      </c>
      <c r="N360" t="s">
        <v>23</v>
      </c>
      <c r="O360" t="s">
        <v>24</v>
      </c>
    </row>
    <row r="361" spans="1:15" x14ac:dyDescent="0.35">
      <c r="A361" t="s">
        <v>944</v>
      </c>
      <c r="B361" s="2">
        <v>46178</v>
      </c>
      <c r="C361" t="s">
        <v>945</v>
      </c>
      <c r="D361" t="s">
        <v>262</v>
      </c>
      <c r="E361" t="s">
        <v>56</v>
      </c>
      <c r="F361" t="s">
        <v>57</v>
      </c>
      <c r="G361" t="s">
        <v>43</v>
      </c>
      <c r="H361" t="s">
        <v>79</v>
      </c>
      <c r="I361">
        <v>5</v>
      </c>
      <c r="J361" s="3">
        <v>5700</v>
      </c>
      <c r="K361" s="3">
        <v>4200</v>
      </c>
      <c r="L361" t="s">
        <v>21</v>
      </c>
      <c r="M361" t="s">
        <v>51</v>
      </c>
      <c r="N361" t="s">
        <v>52</v>
      </c>
      <c r="O361" t="s">
        <v>24</v>
      </c>
    </row>
    <row r="362" spans="1:15" x14ac:dyDescent="0.35">
      <c r="A362" t="s">
        <v>946</v>
      </c>
      <c r="B362" s="2">
        <v>46327</v>
      </c>
      <c r="C362" t="s">
        <v>947</v>
      </c>
      <c r="D362" t="s">
        <v>180</v>
      </c>
      <c r="E362" t="s">
        <v>56</v>
      </c>
      <c r="F362" t="s">
        <v>57</v>
      </c>
      <c r="G362" t="s">
        <v>43</v>
      </c>
      <c r="H362" t="s">
        <v>162</v>
      </c>
      <c r="I362">
        <v>1</v>
      </c>
      <c r="J362" s="3">
        <v>8000</v>
      </c>
      <c r="K362" s="3">
        <v>5200</v>
      </c>
      <c r="L362" t="s">
        <v>36</v>
      </c>
      <c r="M362" t="s">
        <v>31</v>
      </c>
      <c r="N362" t="s">
        <v>52</v>
      </c>
      <c r="O362" t="s">
        <v>91</v>
      </c>
    </row>
    <row r="363" spans="1:15" x14ac:dyDescent="0.35">
      <c r="A363" t="s">
        <v>948</v>
      </c>
      <c r="B363" s="2">
        <v>46054</v>
      </c>
      <c r="C363" t="s">
        <v>949</v>
      </c>
      <c r="D363" t="s">
        <v>950</v>
      </c>
      <c r="E363" t="s">
        <v>18</v>
      </c>
      <c r="F363" t="s">
        <v>18</v>
      </c>
      <c r="G363" t="s">
        <v>34</v>
      </c>
      <c r="H363" t="s">
        <v>141</v>
      </c>
      <c r="I363">
        <v>2</v>
      </c>
      <c r="J363" s="3">
        <v>160000</v>
      </c>
      <c r="K363" s="3">
        <v>120000</v>
      </c>
      <c r="L363" t="s">
        <v>96</v>
      </c>
      <c r="M363" t="s">
        <v>51</v>
      </c>
      <c r="N363" t="s">
        <v>52</v>
      </c>
      <c r="O363" t="s">
        <v>45</v>
      </c>
    </row>
    <row r="364" spans="1:15" x14ac:dyDescent="0.35">
      <c r="A364" t="s">
        <v>951</v>
      </c>
      <c r="B364" s="2">
        <v>46134</v>
      </c>
      <c r="C364" t="s">
        <v>952</v>
      </c>
      <c r="D364" t="s">
        <v>953</v>
      </c>
      <c r="E364" t="s">
        <v>18</v>
      </c>
      <c r="G364" t="s">
        <v>43</v>
      </c>
      <c r="H364" t="s">
        <v>79</v>
      </c>
      <c r="I364">
        <v>9</v>
      </c>
      <c r="J364" s="3">
        <v>6000</v>
      </c>
      <c r="K364" s="3">
        <v>4300</v>
      </c>
      <c r="L364" t="s">
        <v>80</v>
      </c>
      <c r="M364" t="s">
        <v>37</v>
      </c>
      <c r="N364" t="s">
        <v>52</v>
      </c>
      <c r="O364" t="s">
        <v>24</v>
      </c>
    </row>
    <row r="365" spans="1:15" x14ac:dyDescent="0.35">
      <c r="A365" t="s">
        <v>954</v>
      </c>
      <c r="B365" s="2">
        <v>46062</v>
      </c>
      <c r="C365" t="s">
        <v>955</v>
      </c>
      <c r="D365" t="s">
        <v>284</v>
      </c>
      <c r="E365" t="s">
        <v>18</v>
      </c>
      <c r="F365" t="s">
        <v>18</v>
      </c>
      <c r="G365" t="s">
        <v>43</v>
      </c>
      <c r="H365" t="s">
        <v>44</v>
      </c>
      <c r="I365">
        <v>9</v>
      </c>
      <c r="J365" s="3">
        <v>14200</v>
      </c>
      <c r="K365" s="3">
        <v>9800</v>
      </c>
      <c r="L365" t="s">
        <v>73</v>
      </c>
      <c r="M365" t="s">
        <v>22</v>
      </c>
      <c r="N365" t="s">
        <v>87</v>
      </c>
      <c r="O365" t="s">
        <v>24</v>
      </c>
    </row>
    <row r="366" spans="1:15" x14ac:dyDescent="0.35">
      <c r="A366" t="s">
        <v>956</v>
      </c>
      <c r="B366" s="2">
        <v>46311</v>
      </c>
      <c r="C366" t="s">
        <v>275</v>
      </c>
      <c r="D366" t="s">
        <v>711</v>
      </c>
      <c r="E366" t="s">
        <v>18</v>
      </c>
      <c r="F366" t="s">
        <v>18</v>
      </c>
      <c r="G366" t="s">
        <v>34</v>
      </c>
      <c r="H366" t="s">
        <v>141</v>
      </c>
      <c r="I366">
        <v>4</v>
      </c>
      <c r="J366" s="3">
        <v>160000</v>
      </c>
      <c r="K366" s="3">
        <v>116400</v>
      </c>
      <c r="L366" t="s">
        <v>80</v>
      </c>
      <c r="M366" t="s">
        <v>37</v>
      </c>
      <c r="N366" t="s">
        <v>23</v>
      </c>
      <c r="O366" t="s">
        <v>24</v>
      </c>
    </row>
    <row r="367" spans="1:15" x14ac:dyDescent="0.35">
      <c r="A367" t="s">
        <v>957</v>
      </c>
      <c r="B367" s="2">
        <v>46043</v>
      </c>
      <c r="C367" t="s">
        <v>757</v>
      </c>
      <c r="D367" t="s">
        <v>317</v>
      </c>
      <c r="E367" t="s">
        <v>18</v>
      </c>
      <c r="F367" t="s">
        <v>18</v>
      </c>
      <c r="G367" t="s">
        <v>28</v>
      </c>
      <c r="H367" t="s">
        <v>65</v>
      </c>
      <c r="I367">
        <v>2</v>
      </c>
      <c r="J367" s="3">
        <v>12600</v>
      </c>
      <c r="K367" s="3">
        <v>7300</v>
      </c>
      <c r="L367" t="s">
        <v>21</v>
      </c>
      <c r="M367" t="s">
        <v>51</v>
      </c>
      <c r="N367" t="s">
        <v>87</v>
      </c>
      <c r="O367" t="s">
        <v>45</v>
      </c>
    </row>
    <row r="368" spans="1:15" x14ac:dyDescent="0.35">
      <c r="A368" t="s">
        <v>958</v>
      </c>
      <c r="B368" s="2">
        <v>46364</v>
      </c>
      <c r="C368" t="s">
        <v>495</v>
      </c>
      <c r="D368" t="s">
        <v>144</v>
      </c>
      <c r="E368" t="s">
        <v>18</v>
      </c>
      <c r="F368" t="s">
        <v>18</v>
      </c>
      <c r="G368" t="s">
        <v>28</v>
      </c>
      <c r="H368" t="s">
        <v>65</v>
      </c>
      <c r="I368">
        <v>4</v>
      </c>
      <c r="J368" s="3">
        <v>11400</v>
      </c>
      <c r="K368" s="3">
        <v>7700</v>
      </c>
      <c r="L368" t="s">
        <v>80</v>
      </c>
      <c r="M368" t="s">
        <v>37</v>
      </c>
      <c r="N368" t="s">
        <v>23</v>
      </c>
      <c r="O368" t="s">
        <v>24</v>
      </c>
    </row>
    <row r="369" spans="1:15" x14ac:dyDescent="0.35">
      <c r="A369" t="s">
        <v>959</v>
      </c>
      <c r="B369" s="2">
        <v>46264</v>
      </c>
      <c r="C369" t="s">
        <v>683</v>
      </c>
      <c r="D369" t="s">
        <v>960</v>
      </c>
      <c r="E369" t="s">
        <v>18</v>
      </c>
      <c r="F369" t="s">
        <v>18</v>
      </c>
      <c r="G369" t="s">
        <v>34</v>
      </c>
      <c r="H369" t="s">
        <v>86</v>
      </c>
      <c r="I369">
        <v>1</v>
      </c>
      <c r="J369" s="3">
        <v>180000</v>
      </c>
      <c r="K369" s="3">
        <v>131000</v>
      </c>
      <c r="L369" t="s">
        <v>50</v>
      </c>
      <c r="M369" t="s">
        <v>51</v>
      </c>
      <c r="N369" t="s">
        <v>23</v>
      </c>
      <c r="O369" t="s">
        <v>24</v>
      </c>
    </row>
    <row r="370" spans="1:15" x14ac:dyDescent="0.35">
      <c r="A370" t="s">
        <v>961</v>
      </c>
      <c r="B370" s="2">
        <v>46380</v>
      </c>
      <c r="C370" t="s">
        <v>962</v>
      </c>
      <c r="D370" t="s">
        <v>963</v>
      </c>
      <c r="E370" t="s">
        <v>77</v>
      </c>
      <c r="F370" t="s">
        <v>78</v>
      </c>
      <c r="G370" t="s">
        <v>34</v>
      </c>
      <c r="H370" t="s">
        <v>141</v>
      </c>
      <c r="I370">
        <v>4</v>
      </c>
      <c r="J370" s="3">
        <v>160000</v>
      </c>
      <c r="K370" s="3">
        <v>120000</v>
      </c>
      <c r="L370" t="s">
        <v>21</v>
      </c>
      <c r="M370" t="s">
        <v>37</v>
      </c>
      <c r="N370" t="s">
        <v>52</v>
      </c>
      <c r="O370" t="s">
        <v>24</v>
      </c>
    </row>
    <row r="371" spans="1:15" x14ac:dyDescent="0.35">
      <c r="A371" t="s">
        <v>964</v>
      </c>
      <c r="B371" s="2">
        <v>46249</v>
      </c>
      <c r="C371" t="s">
        <v>965</v>
      </c>
      <c r="D371" t="s">
        <v>420</v>
      </c>
      <c r="E371" t="s">
        <v>77</v>
      </c>
      <c r="F371" t="s">
        <v>78</v>
      </c>
      <c r="G371" t="s">
        <v>43</v>
      </c>
      <c r="H371" t="s">
        <v>79</v>
      </c>
      <c r="I371">
        <v>6</v>
      </c>
      <c r="J371" s="3">
        <v>6000</v>
      </c>
      <c r="K371" s="3">
        <v>4200</v>
      </c>
      <c r="L371" t="s">
        <v>50</v>
      </c>
      <c r="M371" t="s">
        <v>31</v>
      </c>
      <c r="N371" t="s">
        <v>52</v>
      </c>
      <c r="O371" t="s">
        <v>24</v>
      </c>
    </row>
    <row r="372" spans="1:15" x14ac:dyDescent="0.35">
      <c r="A372" t="s">
        <v>966</v>
      </c>
      <c r="B372" s="2">
        <v>46048</v>
      </c>
      <c r="C372" t="s">
        <v>967</v>
      </c>
      <c r="D372" t="s">
        <v>750</v>
      </c>
      <c r="E372" t="s">
        <v>70</v>
      </c>
      <c r="F372" t="s">
        <v>71</v>
      </c>
      <c r="G372" t="s">
        <v>28</v>
      </c>
      <c r="H372" t="s">
        <v>131</v>
      </c>
      <c r="I372">
        <v>6</v>
      </c>
      <c r="J372" s="3">
        <v>30000</v>
      </c>
      <c r="K372" s="3">
        <v>19600</v>
      </c>
      <c r="L372" t="s">
        <v>66</v>
      </c>
      <c r="M372" t="s">
        <v>37</v>
      </c>
      <c r="N372" t="s">
        <v>52</v>
      </c>
      <c r="O372" t="s">
        <v>24</v>
      </c>
    </row>
    <row r="373" spans="1:15" x14ac:dyDescent="0.35">
      <c r="A373" t="s">
        <v>968</v>
      </c>
      <c r="B373" s="2">
        <v>46104</v>
      </c>
      <c r="C373" t="s">
        <v>402</v>
      </c>
      <c r="D373" t="s">
        <v>969</v>
      </c>
      <c r="E373" t="s">
        <v>190</v>
      </c>
      <c r="F373" t="s">
        <v>191</v>
      </c>
      <c r="G373" t="s">
        <v>28</v>
      </c>
      <c r="H373" t="s">
        <v>248</v>
      </c>
      <c r="I373">
        <v>5</v>
      </c>
      <c r="J373" s="3">
        <v>23800</v>
      </c>
      <c r="K373" s="3">
        <v>15500</v>
      </c>
      <c r="L373" t="s">
        <v>66</v>
      </c>
      <c r="M373" t="s">
        <v>22</v>
      </c>
      <c r="N373" t="s">
        <v>52</v>
      </c>
      <c r="O373" t="s">
        <v>24</v>
      </c>
    </row>
    <row r="374" spans="1:15" x14ac:dyDescent="0.35">
      <c r="A374" t="s">
        <v>970</v>
      </c>
      <c r="B374" s="2">
        <v>46307</v>
      </c>
      <c r="C374" t="s">
        <v>148</v>
      </c>
      <c r="D374" t="s">
        <v>971</v>
      </c>
      <c r="E374" t="s">
        <v>18</v>
      </c>
      <c r="F374" t="s">
        <v>18</v>
      </c>
      <c r="G374" t="s">
        <v>43</v>
      </c>
      <c r="H374" t="s">
        <v>162</v>
      </c>
      <c r="I374">
        <v>2</v>
      </c>
      <c r="J374" s="3">
        <v>8400</v>
      </c>
      <c r="K374" s="3">
        <v>5200</v>
      </c>
      <c r="L374" t="s">
        <v>96</v>
      </c>
      <c r="M374" t="s">
        <v>51</v>
      </c>
      <c r="N374" t="s">
        <v>52</v>
      </c>
      <c r="O374" t="s">
        <v>24</v>
      </c>
    </row>
    <row r="375" spans="1:15" x14ac:dyDescent="0.35">
      <c r="A375" t="s">
        <v>972</v>
      </c>
      <c r="B375" s="2">
        <v>46101</v>
      </c>
      <c r="C375" t="s">
        <v>564</v>
      </c>
      <c r="D375" t="s">
        <v>345</v>
      </c>
      <c r="E375" t="s">
        <v>156</v>
      </c>
      <c r="F375" t="s">
        <v>157</v>
      </c>
      <c r="G375" t="s">
        <v>34</v>
      </c>
      <c r="H375" t="s">
        <v>35</v>
      </c>
      <c r="I375">
        <v>4</v>
      </c>
      <c r="J375" s="3">
        <v>55000</v>
      </c>
      <c r="K375" s="3">
        <v>37800</v>
      </c>
      <c r="L375" t="s">
        <v>73</v>
      </c>
      <c r="M375" t="s">
        <v>22</v>
      </c>
      <c r="N375" t="s">
        <v>23</v>
      </c>
      <c r="O375" t="s">
        <v>24</v>
      </c>
    </row>
    <row r="376" spans="1:15" x14ac:dyDescent="0.35">
      <c r="A376" t="s">
        <v>973</v>
      </c>
      <c r="B376" s="2">
        <v>46056</v>
      </c>
      <c r="C376" t="s">
        <v>117</v>
      </c>
      <c r="D376" t="s">
        <v>974</v>
      </c>
      <c r="E376" t="s">
        <v>18</v>
      </c>
      <c r="F376" t="s">
        <v>18</v>
      </c>
      <c r="G376" t="s">
        <v>34</v>
      </c>
      <c r="H376" t="s">
        <v>141</v>
      </c>
      <c r="I376">
        <v>6</v>
      </c>
      <c r="J376" s="3">
        <v>160000</v>
      </c>
      <c r="K376" s="3">
        <v>120000</v>
      </c>
      <c r="L376" t="s">
        <v>21</v>
      </c>
      <c r="M376" t="s">
        <v>31</v>
      </c>
      <c r="N376" t="s">
        <v>87</v>
      </c>
      <c r="O376" t="s">
        <v>45</v>
      </c>
    </row>
    <row r="377" spans="1:15" x14ac:dyDescent="0.35">
      <c r="A377" t="s">
        <v>975</v>
      </c>
      <c r="B377" s="2">
        <v>46307</v>
      </c>
      <c r="C377" t="s">
        <v>976</v>
      </c>
      <c r="D377" t="s">
        <v>977</v>
      </c>
      <c r="E377" t="s">
        <v>156</v>
      </c>
      <c r="F377" t="s">
        <v>170</v>
      </c>
      <c r="G377" t="s">
        <v>19</v>
      </c>
      <c r="H377" t="s">
        <v>61</v>
      </c>
      <c r="I377">
        <v>3</v>
      </c>
      <c r="J377" s="3">
        <v>209000</v>
      </c>
      <c r="K377" s="3">
        <v>160000</v>
      </c>
      <c r="L377" t="s">
        <v>66</v>
      </c>
      <c r="M377" t="s">
        <v>31</v>
      </c>
      <c r="N377" t="s">
        <v>52</v>
      </c>
      <c r="O377" t="s">
        <v>24</v>
      </c>
    </row>
    <row r="378" spans="1:15" x14ac:dyDescent="0.35">
      <c r="A378" t="s">
        <v>978</v>
      </c>
      <c r="B378" s="2">
        <v>46282</v>
      </c>
      <c r="C378" t="s">
        <v>475</v>
      </c>
      <c r="D378" t="s">
        <v>979</v>
      </c>
      <c r="E378" t="s">
        <v>41</v>
      </c>
      <c r="F378" t="s">
        <v>42</v>
      </c>
      <c r="G378" t="s">
        <v>34</v>
      </c>
      <c r="H378" t="s">
        <v>95</v>
      </c>
      <c r="I378">
        <v>6</v>
      </c>
      <c r="J378" s="3">
        <v>472500</v>
      </c>
      <c r="K378" s="3">
        <v>370000</v>
      </c>
      <c r="L378" t="s">
        <v>96</v>
      </c>
      <c r="M378" t="s">
        <v>22</v>
      </c>
      <c r="N378" t="s">
        <v>23</v>
      </c>
      <c r="O378" t="s">
        <v>24</v>
      </c>
    </row>
    <row r="379" spans="1:15" x14ac:dyDescent="0.35">
      <c r="A379" t="s">
        <v>980</v>
      </c>
      <c r="B379" s="2">
        <v>46339</v>
      </c>
      <c r="C379" t="s">
        <v>981</v>
      </c>
      <c r="D379" t="s">
        <v>501</v>
      </c>
      <c r="E379" t="s">
        <v>18</v>
      </c>
      <c r="F379" t="s">
        <v>18</v>
      </c>
      <c r="G379" t="s">
        <v>43</v>
      </c>
      <c r="H379" t="s">
        <v>162</v>
      </c>
      <c r="I379">
        <v>8</v>
      </c>
      <c r="J379" s="3">
        <v>7600</v>
      </c>
      <c r="K379" s="3">
        <v>4800</v>
      </c>
      <c r="L379" t="s">
        <v>36</v>
      </c>
      <c r="M379" t="s">
        <v>22</v>
      </c>
      <c r="N379" t="s">
        <v>87</v>
      </c>
      <c r="O379" t="s">
        <v>24</v>
      </c>
    </row>
    <row r="380" spans="1:15" x14ac:dyDescent="0.35">
      <c r="A380" t="s">
        <v>982</v>
      </c>
      <c r="B380" s="2">
        <v>46276</v>
      </c>
      <c r="C380" t="s">
        <v>220</v>
      </c>
      <c r="D380" t="s">
        <v>180</v>
      </c>
      <c r="E380" t="s">
        <v>18</v>
      </c>
      <c r="F380" t="s">
        <v>18</v>
      </c>
      <c r="G380" t="s">
        <v>19</v>
      </c>
      <c r="H380" t="s">
        <v>166</v>
      </c>
      <c r="I380">
        <v>4</v>
      </c>
      <c r="J380" s="3">
        <v>133000</v>
      </c>
      <c r="K380" s="3">
        <v>100000</v>
      </c>
      <c r="L380" t="s">
        <v>36</v>
      </c>
      <c r="M380" t="s">
        <v>37</v>
      </c>
      <c r="N380" t="s">
        <v>23</v>
      </c>
      <c r="O380" t="s">
        <v>45</v>
      </c>
    </row>
    <row r="381" spans="1:15" x14ac:dyDescent="0.35">
      <c r="A381" t="s">
        <v>983</v>
      </c>
      <c r="B381" s="2">
        <v>46145</v>
      </c>
      <c r="C381" t="s">
        <v>373</v>
      </c>
      <c r="D381" t="s">
        <v>984</v>
      </c>
      <c r="E381" t="s">
        <v>18</v>
      </c>
      <c r="F381" t="s">
        <v>18</v>
      </c>
      <c r="G381" t="s">
        <v>34</v>
      </c>
      <c r="H381" t="s">
        <v>95</v>
      </c>
      <c r="I381">
        <v>5</v>
      </c>
      <c r="J381" s="3">
        <v>427500</v>
      </c>
      <c r="K381" s="3">
        <v>381100</v>
      </c>
      <c r="L381" t="s">
        <v>80</v>
      </c>
      <c r="M381" t="s">
        <v>37</v>
      </c>
      <c r="N381" t="s">
        <v>23</v>
      </c>
      <c r="O381" t="s">
        <v>45</v>
      </c>
    </row>
    <row r="382" spans="1:15" x14ac:dyDescent="0.35">
      <c r="A382" t="s">
        <v>985</v>
      </c>
      <c r="B382" s="2">
        <v>46305</v>
      </c>
      <c r="C382" t="s">
        <v>446</v>
      </c>
      <c r="D382" t="s">
        <v>986</v>
      </c>
      <c r="E382" t="s">
        <v>18</v>
      </c>
      <c r="F382" t="s">
        <v>18</v>
      </c>
      <c r="G382" t="s">
        <v>34</v>
      </c>
      <c r="H382" t="s">
        <v>141</v>
      </c>
      <c r="I382">
        <v>1</v>
      </c>
      <c r="J382" s="3">
        <v>168000</v>
      </c>
      <c r="K382" s="3">
        <v>123600</v>
      </c>
      <c r="L382" t="s">
        <v>21</v>
      </c>
      <c r="M382" t="s">
        <v>31</v>
      </c>
      <c r="N382" t="s">
        <v>52</v>
      </c>
      <c r="O382" t="s">
        <v>24</v>
      </c>
    </row>
    <row r="383" spans="1:15" x14ac:dyDescent="0.35">
      <c r="A383" t="s">
        <v>987</v>
      </c>
      <c r="B383" s="2">
        <v>46307</v>
      </c>
      <c r="C383" t="s">
        <v>777</v>
      </c>
      <c r="D383" t="s">
        <v>988</v>
      </c>
      <c r="E383" t="s">
        <v>77</v>
      </c>
      <c r="F383" t="s">
        <v>78</v>
      </c>
      <c r="G383" t="s">
        <v>28</v>
      </c>
      <c r="H383" t="s">
        <v>72</v>
      </c>
      <c r="I383">
        <v>9</v>
      </c>
      <c r="J383" s="3">
        <v>10000</v>
      </c>
      <c r="K383" s="3">
        <v>6000</v>
      </c>
      <c r="L383" t="s">
        <v>21</v>
      </c>
      <c r="M383" t="s">
        <v>51</v>
      </c>
      <c r="N383" t="s">
        <v>23</v>
      </c>
      <c r="O383" t="s">
        <v>24</v>
      </c>
    </row>
    <row r="384" spans="1:15" x14ac:dyDescent="0.35">
      <c r="A384" t="s">
        <v>989</v>
      </c>
      <c r="B384" s="2">
        <v>46083</v>
      </c>
      <c r="C384" t="s">
        <v>896</v>
      </c>
      <c r="D384" t="s">
        <v>990</v>
      </c>
      <c r="E384" t="s">
        <v>156</v>
      </c>
      <c r="F384" t="s">
        <v>170</v>
      </c>
      <c r="G384" t="s">
        <v>19</v>
      </c>
      <c r="H384" t="s">
        <v>61</v>
      </c>
      <c r="I384">
        <v>8</v>
      </c>
      <c r="J384" s="3">
        <v>209000</v>
      </c>
      <c r="K384" s="3">
        <v>164800</v>
      </c>
      <c r="L384" t="s">
        <v>21</v>
      </c>
      <c r="M384" t="s">
        <v>51</v>
      </c>
      <c r="N384" t="s">
        <v>23</v>
      </c>
      <c r="O384" t="s">
        <v>91</v>
      </c>
    </row>
    <row r="385" spans="1:15" x14ac:dyDescent="0.35">
      <c r="A385" t="s">
        <v>991</v>
      </c>
      <c r="B385" s="2">
        <v>46130</v>
      </c>
      <c r="C385" t="s">
        <v>148</v>
      </c>
      <c r="D385" t="s">
        <v>992</v>
      </c>
      <c r="E385" t="s">
        <v>77</v>
      </c>
      <c r="F385" t="s">
        <v>78</v>
      </c>
      <c r="G385" t="s">
        <v>34</v>
      </c>
      <c r="H385" t="s">
        <v>95</v>
      </c>
      <c r="I385">
        <v>6</v>
      </c>
      <c r="J385" s="3">
        <v>472500</v>
      </c>
      <c r="K385" s="3">
        <v>358900</v>
      </c>
      <c r="L385" t="s">
        <v>21</v>
      </c>
      <c r="M385" t="s">
        <v>37</v>
      </c>
      <c r="N385" t="s">
        <v>52</v>
      </c>
      <c r="O385" t="s">
        <v>24</v>
      </c>
    </row>
    <row r="386" spans="1:15" x14ac:dyDescent="0.35">
      <c r="A386" t="s">
        <v>993</v>
      </c>
      <c r="B386" s="2">
        <v>46260</v>
      </c>
      <c r="C386" t="s">
        <v>896</v>
      </c>
      <c r="D386" t="s">
        <v>348</v>
      </c>
      <c r="E386" t="s">
        <v>156</v>
      </c>
      <c r="F386" t="s">
        <v>157</v>
      </c>
      <c r="G386" t="s">
        <v>19</v>
      </c>
      <c r="H386" t="s">
        <v>112</v>
      </c>
      <c r="I386">
        <v>10</v>
      </c>
      <c r="J386" s="3">
        <v>80800</v>
      </c>
      <c r="K386" s="3">
        <v>62000</v>
      </c>
      <c r="L386" t="s">
        <v>73</v>
      </c>
      <c r="M386" t="s">
        <v>37</v>
      </c>
      <c r="N386" t="s">
        <v>52</v>
      </c>
      <c r="O386" t="s">
        <v>24</v>
      </c>
    </row>
    <row r="387" spans="1:15" x14ac:dyDescent="0.35">
      <c r="A387" t="s">
        <v>994</v>
      </c>
      <c r="B387" s="2">
        <v>46332</v>
      </c>
      <c r="C387" t="s">
        <v>995</v>
      </c>
      <c r="D387" t="s">
        <v>695</v>
      </c>
      <c r="E387" t="s">
        <v>190</v>
      </c>
      <c r="F387" t="s">
        <v>191</v>
      </c>
      <c r="G387" t="s">
        <v>28</v>
      </c>
      <c r="H387" t="s">
        <v>29</v>
      </c>
      <c r="I387">
        <v>7</v>
      </c>
      <c r="J387" s="3">
        <v>7400</v>
      </c>
      <c r="K387" s="3">
        <v>3900</v>
      </c>
      <c r="L387" t="s">
        <v>21</v>
      </c>
      <c r="M387" t="s">
        <v>22</v>
      </c>
      <c r="N387" t="s">
        <v>52</v>
      </c>
      <c r="O387" t="s">
        <v>24</v>
      </c>
    </row>
    <row r="388" spans="1:15" x14ac:dyDescent="0.35">
      <c r="A388" t="s">
        <v>996</v>
      </c>
      <c r="B388" s="2">
        <v>46100</v>
      </c>
      <c r="C388" t="s">
        <v>997</v>
      </c>
      <c r="D388" t="s">
        <v>998</v>
      </c>
      <c r="E388" t="s">
        <v>56</v>
      </c>
      <c r="F388" t="s">
        <v>57</v>
      </c>
      <c r="G388" t="s">
        <v>34</v>
      </c>
      <c r="H388" t="s">
        <v>141</v>
      </c>
      <c r="I388">
        <v>10</v>
      </c>
      <c r="J388" s="3">
        <v>168000</v>
      </c>
      <c r="K388" s="3">
        <v>120000</v>
      </c>
      <c r="L388" t="s">
        <v>50</v>
      </c>
      <c r="M388" t="s">
        <v>51</v>
      </c>
      <c r="N388" t="s">
        <v>52</v>
      </c>
      <c r="O388" t="s">
        <v>24</v>
      </c>
    </row>
    <row r="389" spans="1:15" x14ac:dyDescent="0.35">
      <c r="A389" t="s">
        <v>999</v>
      </c>
      <c r="B389" s="2">
        <v>46366</v>
      </c>
      <c r="C389" t="s">
        <v>537</v>
      </c>
      <c r="D389" t="s">
        <v>1000</v>
      </c>
      <c r="E389" t="s">
        <v>18</v>
      </c>
      <c r="F389" t="s">
        <v>18</v>
      </c>
      <c r="G389" t="s">
        <v>43</v>
      </c>
      <c r="H389" t="s">
        <v>44</v>
      </c>
      <c r="I389">
        <v>6</v>
      </c>
      <c r="J389" s="3">
        <v>15800</v>
      </c>
      <c r="K389" s="3">
        <v>9500</v>
      </c>
      <c r="L389" t="s">
        <v>36</v>
      </c>
      <c r="M389" t="s">
        <v>31</v>
      </c>
      <c r="N389" t="s">
        <v>23</v>
      </c>
      <c r="O389" t="s">
        <v>91</v>
      </c>
    </row>
    <row r="390" spans="1:15" x14ac:dyDescent="0.35">
      <c r="A390" t="s">
        <v>1001</v>
      </c>
      <c r="B390" s="2">
        <v>46292</v>
      </c>
      <c r="C390" t="s">
        <v>133</v>
      </c>
      <c r="D390" t="s">
        <v>152</v>
      </c>
      <c r="E390" t="s">
        <v>41</v>
      </c>
      <c r="F390" t="s">
        <v>42</v>
      </c>
      <c r="G390" t="s">
        <v>43</v>
      </c>
      <c r="H390" t="s">
        <v>177</v>
      </c>
      <c r="I390">
        <v>5</v>
      </c>
      <c r="J390" s="3">
        <v>18000</v>
      </c>
      <c r="K390" s="3">
        <v>12500</v>
      </c>
      <c r="L390" t="s">
        <v>96</v>
      </c>
      <c r="M390" t="s">
        <v>51</v>
      </c>
      <c r="N390" t="s">
        <v>23</v>
      </c>
      <c r="O390" t="s">
        <v>24</v>
      </c>
    </row>
    <row r="391" spans="1:15" x14ac:dyDescent="0.35">
      <c r="A391" t="s">
        <v>1002</v>
      </c>
      <c r="B391" s="2">
        <v>46382</v>
      </c>
      <c r="C391" t="s">
        <v>569</v>
      </c>
      <c r="D391" t="s">
        <v>27</v>
      </c>
      <c r="E391" t="s">
        <v>156</v>
      </c>
      <c r="F391" t="s">
        <v>170</v>
      </c>
      <c r="G391" t="s">
        <v>19</v>
      </c>
      <c r="H391" t="s">
        <v>112</v>
      </c>
      <c r="I391">
        <v>2</v>
      </c>
      <c r="J391" s="3">
        <v>85000</v>
      </c>
      <c r="K391" s="3">
        <v>63900</v>
      </c>
      <c r="L391" t="s">
        <v>36</v>
      </c>
      <c r="M391" t="s">
        <v>37</v>
      </c>
      <c r="N391" t="s">
        <v>52</v>
      </c>
      <c r="O391" t="s">
        <v>24</v>
      </c>
    </row>
    <row r="392" spans="1:15" x14ac:dyDescent="0.35">
      <c r="A392" t="s">
        <v>1003</v>
      </c>
      <c r="B392" s="2">
        <v>46240</v>
      </c>
      <c r="C392" t="s">
        <v>311</v>
      </c>
      <c r="D392" t="s">
        <v>215</v>
      </c>
      <c r="E392" t="s">
        <v>18</v>
      </c>
      <c r="F392" t="s">
        <v>18</v>
      </c>
      <c r="G392" t="s">
        <v>34</v>
      </c>
      <c r="H392" t="s">
        <v>86</v>
      </c>
      <c r="I392">
        <v>2</v>
      </c>
      <c r="J392" s="3">
        <v>171000</v>
      </c>
      <c r="K392" s="3">
        <v>139000</v>
      </c>
      <c r="L392" t="s">
        <v>30</v>
      </c>
      <c r="M392" t="s">
        <v>22</v>
      </c>
      <c r="N392" t="s">
        <v>87</v>
      </c>
      <c r="O392" t="s">
        <v>24</v>
      </c>
    </row>
    <row r="393" spans="1:15" x14ac:dyDescent="0.35">
      <c r="A393" t="s">
        <v>1004</v>
      </c>
      <c r="B393" s="2">
        <v>46230</v>
      </c>
      <c r="C393" t="s">
        <v>1005</v>
      </c>
      <c r="D393" t="s">
        <v>420</v>
      </c>
      <c r="E393" t="s">
        <v>84</v>
      </c>
      <c r="F393" t="s">
        <v>85</v>
      </c>
      <c r="G393" t="s">
        <v>43</v>
      </c>
      <c r="H393" t="s">
        <v>79</v>
      </c>
      <c r="I393">
        <v>7</v>
      </c>
      <c r="J393" s="3">
        <v>6000</v>
      </c>
      <c r="K393" s="3">
        <v>4200</v>
      </c>
      <c r="L393" t="s">
        <v>96</v>
      </c>
      <c r="M393" t="s">
        <v>51</v>
      </c>
      <c r="N393" t="s">
        <v>52</v>
      </c>
      <c r="O393" t="s">
        <v>24</v>
      </c>
    </row>
    <row r="394" spans="1:15" x14ac:dyDescent="0.35">
      <c r="A394" t="s">
        <v>1006</v>
      </c>
      <c r="B394" s="2">
        <v>46312</v>
      </c>
      <c r="C394" t="s">
        <v>1007</v>
      </c>
      <c r="D394" t="s">
        <v>1008</v>
      </c>
      <c r="E394" t="s">
        <v>18</v>
      </c>
      <c r="F394" t="s">
        <v>18</v>
      </c>
      <c r="G394" t="s">
        <v>28</v>
      </c>
      <c r="H394" t="s">
        <v>248</v>
      </c>
      <c r="I394">
        <v>1</v>
      </c>
      <c r="J394" s="3">
        <v>23800</v>
      </c>
      <c r="K394" s="3">
        <v>16000</v>
      </c>
      <c r="L394" t="s">
        <v>96</v>
      </c>
      <c r="M394" t="s">
        <v>31</v>
      </c>
      <c r="N394" t="s">
        <v>23</v>
      </c>
      <c r="O394" t="s">
        <v>24</v>
      </c>
    </row>
    <row r="395" spans="1:15" x14ac:dyDescent="0.35">
      <c r="A395" t="s">
        <v>1009</v>
      </c>
      <c r="B395" s="2">
        <v>46283</v>
      </c>
      <c r="C395" t="s">
        <v>1010</v>
      </c>
      <c r="D395" t="s">
        <v>728</v>
      </c>
      <c r="E395" t="s">
        <v>156</v>
      </c>
      <c r="F395" t="s">
        <v>170</v>
      </c>
      <c r="G395" t="s">
        <v>43</v>
      </c>
      <c r="H395" t="s">
        <v>49</v>
      </c>
      <c r="I395">
        <v>4</v>
      </c>
      <c r="J395" s="3">
        <v>9000</v>
      </c>
      <c r="K395" s="3">
        <v>6000</v>
      </c>
      <c r="L395" t="s">
        <v>96</v>
      </c>
      <c r="M395" t="s">
        <v>37</v>
      </c>
      <c r="N395" t="s">
        <v>52</v>
      </c>
      <c r="O395" t="s">
        <v>45</v>
      </c>
    </row>
    <row r="396" spans="1:15" x14ac:dyDescent="0.35">
      <c r="A396" t="s">
        <v>1011</v>
      </c>
      <c r="B396" s="2">
        <v>46232</v>
      </c>
      <c r="C396" t="s">
        <v>337</v>
      </c>
      <c r="D396" t="s">
        <v>1012</v>
      </c>
      <c r="E396" t="s">
        <v>18</v>
      </c>
      <c r="F396" t="s">
        <v>18</v>
      </c>
      <c r="G396" t="s">
        <v>28</v>
      </c>
      <c r="H396" t="s">
        <v>65</v>
      </c>
      <c r="I396">
        <v>3</v>
      </c>
      <c r="J396" s="3">
        <v>12600</v>
      </c>
      <c r="K396" s="3">
        <v>7300</v>
      </c>
      <c r="L396" t="s">
        <v>36</v>
      </c>
      <c r="M396" t="s">
        <v>37</v>
      </c>
      <c r="N396" t="s">
        <v>23</v>
      </c>
      <c r="O396" t="s">
        <v>45</v>
      </c>
    </row>
    <row r="397" spans="1:15" x14ac:dyDescent="0.35">
      <c r="A397" t="s">
        <v>1013</v>
      </c>
      <c r="B397" s="2">
        <v>46293</v>
      </c>
      <c r="C397" t="s">
        <v>545</v>
      </c>
      <c r="D397" t="s">
        <v>1014</v>
      </c>
      <c r="E397" t="s">
        <v>70</v>
      </c>
      <c r="F397" t="s">
        <v>71</v>
      </c>
      <c r="G397" t="s">
        <v>43</v>
      </c>
      <c r="H397" t="s">
        <v>177</v>
      </c>
      <c r="I397">
        <v>7</v>
      </c>
      <c r="J397" s="3">
        <v>17100</v>
      </c>
      <c r="K397" s="3">
        <v>12100</v>
      </c>
      <c r="L397" t="s">
        <v>36</v>
      </c>
      <c r="M397" t="s">
        <v>37</v>
      </c>
      <c r="N397" t="s">
        <v>23</v>
      </c>
      <c r="O397" t="s">
        <v>24</v>
      </c>
    </row>
    <row r="398" spans="1:15" x14ac:dyDescent="0.35">
      <c r="A398" t="s">
        <v>1015</v>
      </c>
      <c r="B398" s="2">
        <v>46273</v>
      </c>
      <c r="C398" t="s">
        <v>832</v>
      </c>
      <c r="D398" t="s">
        <v>1016</v>
      </c>
      <c r="E398" t="s">
        <v>56</v>
      </c>
      <c r="F398" t="s">
        <v>57</v>
      </c>
      <c r="G398" t="s">
        <v>19</v>
      </c>
      <c r="H398" t="s">
        <v>61</v>
      </c>
      <c r="I398">
        <v>8</v>
      </c>
      <c r="J398" s="3">
        <v>220000</v>
      </c>
      <c r="K398" s="3">
        <v>155200</v>
      </c>
      <c r="L398" t="s">
        <v>80</v>
      </c>
      <c r="M398" t="s">
        <v>37</v>
      </c>
      <c r="N398" t="s">
        <v>87</v>
      </c>
      <c r="O398" t="s">
        <v>91</v>
      </c>
    </row>
    <row r="399" spans="1:15" x14ac:dyDescent="0.35">
      <c r="A399" t="s">
        <v>1017</v>
      </c>
      <c r="B399" s="2">
        <v>46037</v>
      </c>
      <c r="C399" t="s">
        <v>1018</v>
      </c>
      <c r="D399" t="s">
        <v>1008</v>
      </c>
      <c r="E399" t="s">
        <v>18</v>
      </c>
      <c r="F399" t="s">
        <v>18</v>
      </c>
      <c r="G399" t="s">
        <v>19</v>
      </c>
      <c r="H399" t="s">
        <v>20</v>
      </c>
      <c r="I399">
        <v>3</v>
      </c>
      <c r="J399" s="3">
        <v>61800</v>
      </c>
      <c r="K399" s="3">
        <v>45000</v>
      </c>
      <c r="L399" t="s">
        <v>66</v>
      </c>
      <c r="M399" t="s">
        <v>37</v>
      </c>
      <c r="N399" t="s">
        <v>52</v>
      </c>
      <c r="O399" t="s">
        <v>24</v>
      </c>
    </row>
    <row r="400" spans="1:15" x14ac:dyDescent="0.35">
      <c r="A400" t="s">
        <v>1019</v>
      </c>
      <c r="B400" s="2">
        <v>46358</v>
      </c>
      <c r="C400" t="s">
        <v>1020</v>
      </c>
      <c r="D400" t="s">
        <v>1021</v>
      </c>
      <c r="E400" t="s">
        <v>18</v>
      </c>
      <c r="F400" t="s">
        <v>18</v>
      </c>
      <c r="G400" t="s">
        <v>43</v>
      </c>
      <c r="H400" t="s">
        <v>49</v>
      </c>
      <c r="I400">
        <v>7</v>
      </c>
      <c r="J400" s="3">
        <v>8600</v>
      </c>
      <c r="K400" s="3">
        <v>6000</v>
      </c>
      <c r="L400" t="s">
        <v>36</v>
      </c>
      <c r="M400" t="s">
        <v>51</v>
      </c>
      <c r="N400" t="s">
        <v>52</v>
      </c>
      <c r="O400" t="s">
        <v>24</v>
      </c>
    </row>
    <row r="401" spans="1:15" x14ac:dyDescent="0.35">
      <c r="A401" t="s">
        <v>1022</v>
      </c>
      <c r="B401" s="2">
        <v>46161</v>
      </c>
      <c r="C401" t="s">
        <v>877</v>
      </c>
      <c r="D401" t="s">
        <v>1023</v>
      </c>
      <c r="E401" t="s">
        <v>84</v>
      </c>
      <c r="F401" t="s">
        <v>85</v>
      </c>
      <c r="G401" t="s">
        <v>34</v>
      </c>
      <c r="H401" t="s">
        <v>35</v>
      </c>
      <c r="I401">
        <v>1</v>
      </c>
      <c r="J401" s="3">
        <v>55000</v>
      </c>
      <c r="K401" s="3">
        <v>39000</v>
      </c>
      <c r="L401" t="s">
        <v>30</v>
      </c>
      <c r="M401" t="s">
        <v>22</v>
      </c>
      <c r="N401" t="s">
        <v>52</v>
      </c>
      <c r="O401" t="s">
        <v>45</v>
      </c>
    </row>
    <row r="402" spans="1:15" x14ac:dyDescent="0.35">
      <c r="A402" t="s">
        <v>1024</v>
      </c>
      <c r="B402" s="2">
        <v>46213</v>
      </c>
      <c r="C402" t="s">
        <v>179</v>
      </c>
      <c r="D402" t="s">
        <v>669</v>
      </c>
      <c r="E402" t="s">
        <v>18</v>
      </c>
      <c r="F402" t="s">
        <v>18</v>
      </c>
      <c r="G402" t="s">
        <v>34</v>
      </c>
      <c r="H402" t="s">
        <v>35</v>
      </c>
      <c r="I402">
        <v>2</v>
      </c>
      <c r="J402" s="3">
        <v>57800</v>
      </c>
      <c r="K402" s="3">
        <v>40200</v>
      </c>
      <c r="L402" t="s">
        <v>96</v>
      </c>
      <c r="M402" t="s">
        <v>51</v>
      </c>
      <c r="N402" t="s">
        <v>87</v>
      </c>
      <c r="O402" t="s">
        <v>24</v>
      </c>
    </row>
    <row r="403" spans="1:15" x14ac:dyDescent="0.35">
      <c r="A403" t="s">
        <v>1025</v>
      </c>
      <c r="B403" s="2">
        <v>46027</v>
      </c>
      <c r="C403" t="s">
        <v>1026</v>
      </c>
      <c r="D403" t="s">
        <v>875</v>
      </c>
      <c r="E403" t="s">
        <v>18</v>
      </c>
      <c r="F403" t="s">
        <v>18</v>
      </c>
      <c r="G403" t="s">
        <v>34</v>
      </c>
      <c r="H403" t="s">
        <v>141</v>
      </c>
      <c r="I403">
        <v>7</v>
      </c>
      <c r="J403" s="3">
        <v>160000</v>
      </c>
      <c r="K403" s="3">
        <v>120000</v>
      </c>
      <c r="L403" t="s">
        <v>50</v>
      </c>
      <c r="M403" t="s">
        <v>51</v>
      </c>
      <c r="N403" t="s">
        <v>23</v>
      </c>
      <c r="O403" t="s">
        <v>24</v>
      </c>
    </row>
    <row r="404" spans="1:15" x14ac:dyDescent="0.35">
      <c r="A404" t="s">
        <v>1027</v>
      </c>
      <c r="B404" s="2">
        <v>46354</v>
      </c>
      <c r="C404" t="s">
        <v>955</v>
      </c>
      <c r="D404" t="s">
        <v>1028</v>
      </c>
      <c r="E404" t="s">
        <v>41</v>
      </c>
      <c r="F404" t="s">
        <v>42</v>
      </c>
      <c r="G404" t="s">
        <v>28</v>
      </c>
      <c r="H404" t="s">
        <v>131</v>
      </c>
      <c r="I404">
        <v>5</v>
      </c>
      <c r="J404" s="3">
        <v>30000</v>
      </c>
      <c r="K404" s="3">
        <v>18400</v>
      </c>
      <c r="L404" t="s">
        <v>96</v>
      </c>
      <c r="M404" t="s">
        <v>37</v>
      </c>
      <c r="N404" t="s">
        <v>52</v>
      </c>
      <c r="O404" t="s">
        <v>24</v>
      </c>
    </row>
    <row r="405" spans="1:15" x14ac:dyDescent="0.35">
      <c r="A405" t="s">
        <v>1029</v>
      </c>
      <c r="B405" s="2">
        <v>46383</v>
      </c>
      <c r="C405" t="s">
        <v>678</v>
      </c>
      <c r="D405" t="s">
        <v>468</v>
      </c>
      <c r="E405" t="s">
        <v>70</v>
      </c>
      <c r="F405" t="s">
        <v>71</v>
      </c>
      <c r="G405" t="s">
        <v>34</v>
      </c>
      <c r="H405" t="s">
        <v>35</v>
      </c>
      <c r="I405">
        <v>8</v>
      </c>
      <c r="J405" s="3">
        <v>57800</v>
      </c>
      <c r="K405" s="3">
        <v>37800</v>
      </c>
      <c r="L405" t="s">
        <v>73</v>
      </c>
      <c r="M405" t="s">
        <v>31</v>
      </c>
      <c r="N405" t="s">
        <v>52</v>
      </c>
      <c r="O405" t="s">
        <v>24</v>
      </c>
    </row>
    <row r="406" spans="1:15" x14ac:dyDescent="0.35">
      <c r="A406" t="s">
        <v>1030</v>
      </c>
      <c r="B406" s="2">
        <v>46246</v>
      </c>
      <c r="C406" t="s">
        <v>580</v>
      </c>
      <c r="D406" t="s">
        <v>1031</v>
      </c>
      <c r="E406" t="s">
        <v>18</v>
      </c>
      <c r="F406" t="s">
        <v>18</v>
      </c>
      <c r="G406" t="s">
        <v>34</v>
      </c>
      <c r="H406" t="s">
        <v>158</v>
      </c>
      <c r="I406">
        <v>5</v>
      </c>
      <c r="J406" s="3">
        <v>99800</v>
      </c>
      <c r="K406" s="3">
        <v>70000</v>
      </c>
      <c r="L406" t="s">
        <v>73</v>
      </c>
      <c r="M406" t="s">
        <v>51</v>
      </c>
      <c r="N406" t="s">
        <v>52</v>
      </c>
      <c r="O406" t="s">
        <v>24</v>
      </c>
    </row>
    <row r="407" spans="1:15" x14ac:dyDescent="0.35">
      <c r="A407" t="s">
        <v>1032</v>
      </c>
      <c r="B407" s="2">
        <v>46145</v>
      </c>
      <c r="C407" t="s">
        <v>1033</v>
      </c>
      <c r="D407" t="s">
        <v>1034</v>
      </c>
      <c r="E407" t="s">
        <v>18</v>
      </c>
      <c r="F407" t="s">
        <v>18</v>
      </c>
      <c r="G407" t="s">
        <v>34</v>
      </c>
      <c r="H407" t="s">
        <v>35</v>
      </c>
      <c r="I407">
        <v>10</v>
      </c>
      <c r="J407" s="3">
        <v>52200</v>
      </c>
      <c r="K407" s="3">
        <v>40200</v>
      </c>
      <c r="L407" t="s">
        <v>66</v>
      </c>
      <c r="M407" t="s">
        <v>51</v>
      </c>
      <c r="N407" t="s">
        <v>52</v>
      </c>
      <c r="O407" t="s">
        <v>24</v>
      </c>
    </row>
    <row r="408" spans="1:15" x14ac:dyDescent="0.35">
      <c r="A408" t="s">
        <v>1035</v>
      </c>
      <c r="B408" s="2">
        <v>46110</v>
      </c>
      <c r="C408" t="s">
        <v>366</v>
      </c>
      <c r="D408" t="s">
        <v>203</v>
      </c>
      <c r="E408" t="s">
        <v>70</v>
      </c>
      <c r="F408" t="s">
        <v>71</v>
      </c>
      <c r="G408" t="s">
        <v>43</v>
      </c>
      <c r="H408" t="s">
        <v>44</v>
      </c>
      <c r="I408">
        <v>8</v>
      </c>
      <c r="J408" s="3">
        <v>15000</v>
      </c>
      <c r="K408" s="3">
        <v>9800</v>
      </c>
      <c r="L408" t="s">
        <v>66</v>
      </c>
      <c r="M408" t="s">
        <v>37</v>
      </c>
      <c r="N408" t="s">
        <v>23</v>
      </c>
      <c r="O408" t="s">
        <v>24</v>
      </c>
    </row>
    <row r="409" spans="1:15" x14ac:dyDescent="0.35">
      <c r="A409" t="s">
        <v>1036</v>
      </c>
      <c r="B409" s="2">
        <v>46286</v>
      </c>
      <c r="C409" t="s">
        <v>1037</v>
      </c>
      <c r="D409" t="s">
        <v>1038</v>
      </c>
      <c r="E409" t="s">
        <v>18</v>
      </c>
      <c r="F409" t="s">
        <v>18</v>
      </c>
      <c r="G409" t="s">
        <v>19</v>
      </c>
      <c r="H409" t="s">
        <v>166</v>
      </c>
      <c r="I409">
        <v>1</v>
      </c>
      <c r="J409" s="3">
        <v>147000</v>
      </c>
      <c r="K409" s="3">
        <v>97000</v>
      </c>
      <c r="L409" t="s">
        <v>66</v>
      </c>
      <c r="M409" t="s">
        <v>22</v>
      </c>
      <c r="N409" t="s">
        <v>52</v>
      </c>
      <c r="O409" t="s">
        <v>24</v>
      </c>
    </row>
    <row r="410" spans="1:15" x14ac:dyDescent="0.35">
      <c r="A410" t="s">
        <v>1039</v>
      </c>
      <c r="B410" s="2">
        <v>46106</v>
      </c>
      <c r="C410" t="s">
        <v>1040</v>
      </c>
      <c r="D410" t="s">
        <v>898</v>
      </c>
      <c r="E410" t="s">
        <v>84</v>
      </c>
      <c r="F410" t="s">
        <v>85</v>
      </c>
      <c r="G410" t="s">
        <v>28</v>
      </c>
      <c r="H410" t="s">
        <v>65</v>
      </c>
      <c r="I410">
        <v>6</v>
      </c>
      <c r="J410" s="3">
        <v>11400</v>
      </c>
      <c r="K410" s="3">
        <v>7300</v>
      </c>
      <c r="L410" t="s">
        <v>96</v>
      </c>
      <c r="M410" t="s">
        <v>37</v>
      </c>
      <c r="N410" t="s">
        <v>23</v>
      </c>
      <c r="O410" t="s">
        <v>24</v>
      </c>
    </row>
    <row r="411" spans="1:15" x14ac:dyDescent="0.35">
      <c r="A411" t="s">
        <v>1041</v>
      </c>
      <c r="B411" s="2">
        <v>46044</v>
      </c>
      <c r="C411" t="s">
        <v>1042</v>
      </c>
      <c r="D411" t="s">
        <v>1043</v>
      </c>
      <c r="E411" t="s">
        <v>77</v>
      </c>
      <c r="F411" t="s">
        <v>78</v>
      </c>
      <c r="G411" t="s">
        <v>43</v>
      </c>
      <c r="H411" t="s">
        <v>162</v>
      </c>
      <c r="I411">
        <v>6</v>
      </c>
      <c r="J411" s="3">
        <v>7600</v>
      </c>
      <c r="K411" s="3">
        <v>5200</v>
      </c>
      <c r="L411" t="s">
        <v>66</v>
      </c>
      <c r="M411" t="s">
        <v>22</v>
      </c>
      <c r="N411" t="s">
        <v>52</v>
      </c>
      <c r="O411" t="s">
        <v>24</v>
      </c>
    </row>
    <row r="412" spans="1:15" x14ac:dyDescent="0.35">
      <c r="A412" t="s">
        <v>1044</v>
      </c>
      <c r="B412" s="2">
        <v>46194</v>
      </c>
      <c r="C412" t="s">
        <v>1045</v>
      </c>
      <c r="D412" t="s">
        <v>691</v>
      </c>
      <c r="E412" t="s">
        <v>18</v>
      </c>
      <c r="F412" t="s">
        <v>18</v>
      </c>
      <c r="G412" t="s">
        <v>43</v>
      </c>
      <c r="H412" t="s">
        <v>44</v>
      </c>
      <c r="I412">
        <v>8</v>
      </c>
      <c r="J412" s="3">
        <v>15800</v>
      </c>
      <c r="K412" s="3">
        <v>9800</v>
      </c>
      <c r="L412" t="s">
        <v>73</v>
      </c>
      <c r="M412" t="s">
        <v>31</v>
      </c>
      <c r="N412" t="s">
        <v>23</v>
      </c>
      <c r="O412" t="s">
        <v>24</v>
      </c>
    </row>
    <row r="413" spans="1:15" x14ac:dyDescent="0.35">
      <c r="A413" t="s">
        <v>1046</v>
      </c>
      <c r="B413" s="2">
        <v>46206</v>
      </c>
      <c r="C413" t="s">
        <v>1047</v>
      </c>
      <c r="D413" t="s">
        <v>1048</v>
      </c>
      <c r="E413" t="s">
        <v>84</v>
      </c>
      <c r="F413" t="s">
        <v>85</v>
      </c>
      <c r="G413" t="s">
        <v>34</v>
      </c>
      <c r="H413" t="s">
        <v>158</v>
      </c>
      <c r="I413">
        <v>8</v>
      </c>
      <c r="J413" s="3">
        <v>95000</v>
      </c>
      <c r="K413" s="3">
        <v>70000</v>
      </c>
      <c r="L413" t="s">
        <v>30</v>
      </c>
      <c r="M413" t="s">
        <v>31</v>
      </c>
      <c r="N413" t="s">
        <v>52</v>
      </c>
      <c r="O413" t="s">
        <v>24</v>
      </c>
    </row>
    <row r="414" spans="1:15" x14ac:dyDescent="0.35">
      <c r="A414" t="s">
        <v>1049</v>
      </c>
      <c r="B414" s="2">
        <v>46091</v>
      </c>
      <c r="C414" t="s">
        <v>410</v>
      </c>
      <c r="D414" t="s">
        <v>755</v>
      </c>
      <c r="E414" t="s">
        <v>156</v>
      </c>
      <c r="F414" t="s">
        <v>157</v>
      </c>
      <c r="G414" t="s">
        <v>34</v>
      </c>
      <c r="H414" t="s">
        <v>35</v>
      </c>
      <c r="I414">
        <v>2</v>
      </c>
      <c r="J414" s="3">
        <v>57800</v>
      </c>
      <c r="K414" s="3">
        <v>37800</v>
      </c>
      <c r="L414" t="s">
        <v>21</v>
      </c>
      <c r="M414" t="s">
        <v>37</v>
      </c>
      <c r="N414" t="s">
        <v>52</v>
      </c>
      <c r="O414" t="s">
        <v>91</v>
      </c>
    </row>
    <row r="415" spans="1:15" x14ac:dyDescent="0.35">
      <c r="A415" t="s">
        <v>1050</v>
      </c>
      <c r="B415" s="2">
        <v>46112</v>
      </c>
      <c r="C415" t="s">
        <v>1051</v>
      </c>
      <c r="D415" t="s">
        <v>1052</v>
      </c>
      <c r="E415" t="s">
        <v>18</v>
      </c>
      <c r="F415" t="s">
        <v>18</v>
      </c>
      <c r="G415" t="s">
        <v>43</v>
      </c>
      <c r="H415" t="s">
        <v>79</v>
      </c>
      <c r="I415">
        <v>9</v>
      </c>
      <c r="J415" s="3">
        <v>6300</v>
      </c>
      <c r="K415" s="3">
        <v>4300</v>
      </c>
      <c r="L415" t="s">
        <v>80</v>
      </c>
      <c r="M415" t="s">
        <v>51</v>
      </c>
      <c r="N415" t="s">
        <v>52</v>
      </c>
      <c r="O415" t="s">
        <v>91</v>
      </c>
    </row>
    <row r="416" spans="1:15" x14ac:dyDescent="0.35">
      <c r="A416" t="s">
        <v>1053</v>
      </c>
      <c r="B416" s="2">
        <v>46328</v>
      </c>
      <c r="C416" t="s">
        <v>598</v>
      </c>
      <c r="D416" t="s">
        <v>1054</v>
      </c>
      <c r="E416" t="s">
        <v>41</v>
      </c>
      <c r="F416" t="s">
        <v>42</v>
      </c>
      <c r="G416" t="s">
        <v>28</v>
      </c>
      <c r="H416" t="s">
        <v>131</v>
      </c>
      <c r="I416">
        <v>6</v>
      </c>
      <c r="J416" s="3">
        <v>28500</v>
      </c>
      <c r="K416" s="3">
        <v>19600</v>
      </c>
      <c r="L416" t="s">
        <v>96</v>
      </c>
      <c r="M416" t="s">
        <v>51</v>
      </c>
      <c r="N416" t="s">
        <v>23</v>
      </c>
      <c r="O416" t="s">
        <v>45</v>
      </c>
    </row>
    <row r="417" spans="1:15" x14ac:dyDescent="0.35">
      <c r="A417" t="s">
        <v>1055</v>
      </c>
      <c r="B417" s="2">
        <v>46082</v>
      </c>
      <c r="C417" t="s">
        <v>1056</v>
      </c>
      <c r="D417" t="s">
        <v>1057</v>
      </c>
      <c r="E417" t="s">
        <v>190</v>
      </c>
      <c r="F417" t="s">
        <v>191</v>
      </c>
      <c r="G417" t="s">
        <v>28</v>
      </c>
      <c r="H417" t="s">
        <v>248</v>
      </c>
      <c r="I417">
        <v>3</v>
      </c>
      <c r="J417" s="3">
        <v>25000</v>
      </c>
      <c r="K417" s="3">
        <v>15500</v>
      </c>
      <c r="L417" t="s">
        <v>80</v>
      </c>
      <c r="M417" t="s">
        <v>31</v>
      </c>
      <c r="N417" t="s">
        <v>52</v>
      </c>
      <c r="O417" t="s">
        <v>24</v>
      </c>
    </row>
    <row r="418" spans="1:15" x14ac:dyDescent="0.35">
      <c r="A418" t="s">
        <v>1058</v>
      </c>
      <c r="B418" s="2">
        <v>46340</v>
      </c>
      <c r="C418" t="s">
        <v>967</v>
      </c>
      <c r="D418" t="s">
        <v>1059</v>
      </c>
      <c r="E418" t="s">
        <v>190</v>
      </c>
      <c r="F418" t="s">
        <v>191</v>
      </c>
      <c r="G418" t="s">
        <v>43</v>
      </c>
      <c r="H418" t="s">
        <v>162</v>
      </c>
      <c r="I418">
        <v>10</v>
      </c>
      <c r="J418" s="3">
        <v>8400</v>
      </c>
      <c r="K418" s="3">
        <v>4800</v>
      </c>
      <c r="L418" t="s">
        <v>66</v>
      </c>
      <c r="M418" t="s">
        <v>31</v>
      </c>
      <c r="N418" t="s">
        <v>23</v>
      </c>
      <c r="O418" t="s">
        <v>24</v>
      </c>
    </row>
    <row r="419" spans="1:15" x14ac:dyDescent="0.35">
      <c r="A419" t="s">
        <v>1060</v>
      </c>
      <c r="B419" s="2">
        <v>46191</v>
      </c>
      <c r="C419" t="s">
        <v>117</v>
      </c>
      <c r="D419" t="s">
        <v>969</v>
      </c>
      <c r="E419" t="s">
        <v>18</v>
      </c>
      <c r="F419" t="s">
        <v>18</v>
      </c>
      <c r="G419" t="s">
        <v>28</v>
      </c>
      <c r="H419" t="s">
        <v>72</v>
      </c>
      <c r="I419">
        <v>3</v>
      </c>
      <c r="J419" s="3">
        <v>10000</v>
      </c>
      <c r="K419" s="3">
        <v>6400</v>
      </c>
      <c r="L419" t="s">
        <v>73</v>
      </c>
      <c r="M419" t="s">
        <v>37</v>
      </c>
      <c r="N419" t="s">
        <v>23</v>
      </c>
      <c r="O419" t="s">
        <v>24</v>
      </c>
    </row>
    <row r="420" spans="1:15" x14ac:dyDescent="0.35">
      <c r="A420" t="s">
        <v>1061</v>
      </c>
      <c r="B420" s="2">
        <v>46376</v>
      </c>
      <c r="C420" t="s">
        <v>275</v>
      </c>
      <c r="D420" t="s">
        <v>1062</v>
      </c>
      <c r="E420" t="s">
        <v>156</v>
      </c>
      <c r="F420" t="s">
        <v>157</v>
      </c>
      <c r="G420" t="s">
        <v>43</v>
      </c>
      <c r="H420" t="s">
        <v>44</v>
      </c>
      <c r="I420">
        <v>3</v>
      </c>
      <c r="J420" s="3">
        <v>14200</v>
      </c>
      <c r="K420" s="3">
        <v>9200</v>
      </c>
      <c r="L420" t="s">
        <v>50</v>
      </c>
      <c r="M420" t="s">
        <v>31</v>
      </c>
      <c r="N420" t="s">
        <v>23</v>
      </c>
      <c r="O420" t="s">
        <v>24</v>
      </c>
    </row>
    <row r="421" spans="1:15" x14ac:dyDescent="0.35">
      <c r="A421" t="s">
        <v>1063</v>
      </c>
      <c r="B421" s="2">
        <v>46077</v>
      </c>
      <c r="C421" t="s">
        <v>1064</v>
      </c>
      <c r="D421" t="s">
        <v>709</v>
      </c>
      <c r="E421" t="s">
        <v>70</v>
      </c>
      <c r="F421" t="s">
        <v>71</v>
      </c>
      <c r="G421" t="s">
        <v>34</v>
      </c>
      <c r="H421" t="s">
        <v>141</v>
      </c>
      <c r="I421">
        <v>8</v>
      </c>
      <c r="J421" s="3">
        <v>168000</v>
      </c>
      <c r="K421" s="3">
        <v>116400</v>
      </c>
      <c r="L421" t="s">
        <v>21</v>
      </c>
      <c r="M421" t="s">
        <v>37</v>
      </c>
      <c r="N421" t="s">
        <v>23</v>
      </c>
      <c r="O421" t="s">
        <v>45</v>
      </c>
    </row>
    <row r="422" spans="1:15" x14ac:dyDescent="0.35">
      <c r="A422" t="s">
        <v>1065</v>
      </c>
      <c r="B422" s="2">
        <v>46336</v>
      </c>
      <c r="C422" t="s">
        <v>569</v>
      </c>
      <c r="D422" t="s">
        <v>27</v>
      </c>
      <c r="E422" t="s">
        <v>156</v>
      </c>
      <c r="F422" t="s">
        <v>170</v>
      </c>
      <c r="G422" t="s">
        <v>43</v>
      </c>
      <c r="H422" t="s">
        <v>79</v>
      </c>
      <c r="I422">
        <v>9</v>
      </c>
      <c r="J422" s="3">
        <v>6000</v>
      </c>
      <c r="K422" s="3">
        <v>4200</v>
      </c>
      <c r="L422" t="s">
        <v>96</v>
      </c>
      <c r="M422" t="s">
        <v>22</v>
      </c>
      <c r="N422" t="s">
        <v>23</v>
      </c>
      <c r="O422" t="s">
        <v>91</v>
      </c>
    </row>
    <row r="423" spans="1:15" x14ac:dyDescent="0.35">
      <c r="A423" t="s">
        <v>1066</v>
      </c>
      <c r="B423" s="2">
        <v>46301</v>
      </c>
      <c r="C423" t="s">
        <v>1067</v>
      </c>
      <c r="D423" t="s">
        <v>493</v>
      </c>
      <c r="E423" t="s">
        <v>18</v>
      </c>
      <c r="F423" t="s">
        <v>18</v>
      </c>
      <c r="G423" t="s">
        <v>43</v>
      </c>
      <c r="H423" t="s">
        <v>79</v>
      </c>
      <c r="I423">
        <v>5</v>
      </c>
      <c r="J423" s="3">
        <v>6000</v>
      </c>
      <c r="K423" s="3">
        <v>4100</v>
      </c>
      <c r="L423" t="s">
        <v>80</v>
      </c>
      <c r="M423" t="s">
        <v>37</v>
      </c>
      <c r="N423" t="s">
        <v>23</v>
      </c>
      <c r="O423" t="s">
        <v>24</v>
      </c>
    </row>
    <row r="424" spans="1:15" x14ac:dyDescent="0.35">
      <c r="A424" t="s">
        <v>1068</v>
      </c>
      <c r="B424" s="2">
        <v>46283</v>
      </c>
      <c r="C424" t="s">
        <v>1069</v>
      </c>
      <c r="D424" t="s">
        <v>184</v>
      </c>
      <c r="E424" t="s">
        <v>41</v>
      </c>
      <c r="F424" t="s">
        <v>42</v>
      </c>
      <c r="G424" t="s">
        <v>43</v>
      </c>
      <c r="H424" t="s">
        <v>79</v>
      </c>
      <c r="I424">
        <v>8</v>
      </c>
      <c r="J424" s="3">
        <v>6000</v>
      </c>
      <c r="K424" s="3">
        <v>4300</v>
      </c>
      <c r="L424" t="s">
        <v>66</v>
      </c>
      <c r="M424" t="s">
        <v>37</v>
      </c>
      <c r="N424" t="s">
        <v>52</v>
      </c>
      <c r="O424" t="s">
        <v>24</v>
      </c>
    </row>
    <row r="425" spans="1:15" x14ac:dyDescent="0.35">
      <c r="A425" t="s">
        <v>1070</v>
      </c>
      <c r="B425" s="2">
        <v>46167</v>
      </c>
      <c r="C425" t="s">
        <v>202</v>
      </c>
      <c r="D425" t="s">
        <v>317</v>
      </c>
      <c r="E425" t="s">
        <v>41</v>
      </c>
      <c r="F425" t="s">
        <v>42</v>
      </c>
      <c r="G425" t="s">
        <v>34</v>
      </c>
      <c r="H425" t="s">
        <v>141</v>
      </c>
      <c r="I425">
        <v>2</v>
      </c>
      <c r="J425" s="3">
        <v>160000</v>
      </c>
      <c r="K425" s="3">
        <v>120000</v>
      </c>
      <c r="L425" t="s">
        <v>96</v>
      </c>
      <c r="M425" t="s">
        <v>51</v>
      </c>
      <c r="N425" t="s">
        <v>23</v>
      </c>
      <c r="O425" t="s">
        <v>24</v>
      </c>
    </row>
    <row r="426" spans="1:15" x14ac:dyDescent="0.35">
      <c r="A426" t="s">
        <v>1071</v>
      </c>
      <c r="B426" s="2">
        <v>46349</v>
      </c>
      <c r="C426" t="s">
        <v>1072</v>
      </c>
      <c r="D426" t="s">
        <v>189</v>
      </c>
      <c r="E426" t="s">
        <v>18</v>
      </c>
      <c r="F426" t="s">
        <v>18</v>
      </c>
      <c r="G426" t="s">
        <v>43</v>
      </c>
      <c r="H426" t="s">
        <v>177</v>
      </c>
      <c r="I426">
        <v>7</v>
      </c>
      <c r="J426" s="3">
        <v>17100</v>
      </c>
      <c r="K426" s="3">
        <v>12500</v>
      </c>
      <c r="L426" t="s">
        <v>30</v>
      </c>
      <c r="M426" t="s">
        <v>51</v>
      </c>
      <c r="N426" t="s">
        <v>52</v>
      </c>
      <c r="O426" t="s">
        <v>24</v>
      </c>
    </row>
    <row r="427" spans="1:15" x14ac:dyDescent="0.35">
      <c r="A427" t="s">
        <v>1073</v>
      </c>
      <c r="B427" s="2">
        <v>46157</v>
      </c>
      <c r="C427" t="s">
        <v>33</v>
      </c>
      <c r="D427" t="s">
        <v>709</v>
      </c>
      <c r="E427" t="s">
        <v>84</v>
      </c>
      <c r="F427" t="s">
        <v>85</v>
      </c>
      <c r="G427" t="s">
        <v>28</v>
      </c>
      <c r="H427" t="s">
        <v>29</v>
      </c>
      <c r="I427">
        <v>5</v>
      </c>
      <c r="J427" s="3">
        <v>7000</v>
      </c>
      <c r="K427" s="3">
        <v>4100</v>
      </c>
      <c r="L427" t="s">
        <v>30</v>
      </c>
      <c r="M427" t="s">
        <v>22</v>
      </c>
      <c r="N427" t="s">
        <v>87</v>
      </c>
      <c r="O427" t="s">
        <v>91</v>
      </c>
    </row>
    <row r="428" spans="1:15" x14ac:dyDescent="0.35">
      <c r="A428" t="s">
        <v>1074</v>
      </c>
      <c r="B428" s="2">
        <v>46085</v>
      </c>
      <c r="C428" t="s">
        <v>353</v>
      </c>
      <c r="D428" t="s">
        <v>493</v>
      </c>
      <c r="E428" t="s">
        <v>56</v>
      </c>
      <c r="F428" t="s">
        <v>57</v>
      </c>
      <c r="G428" t="s">
        <v>43</v>
      </c>
      <c r="H428" t="s">
        <v>162</v>
      </c>
      <c r="I428">
        <v>8</v>
      </c>
      <c r="J428" s="3">
        <v>8400</v>
      </c>
      <c r="K428" s="3">
        <v>5000</v>
      </c>
      <c r="L428" t="s">
        <v>66</v>
      </c>
      <c r="M428" t="s">
        <v>51</v>
      </c>
      <c r="N428" t="s">
        <v>87</v>
      </c>
      <c r="O428" t="s">
        <v>24</v>
      </c>
    </row>
    <row r="429" spans="1:15" x14ac:dyDescent="0.35">
      <c r="A429" t="s">
        <v>1075</v>
      </c>
      <c r="B429" s="2">
        <v>46030</v>
      </c>
      <c r="C429" t="s">
        <v>1076</v>
      </c>
      <c r="D429" t="s">
        <v>1077</v>
      </c>
      <c r="E429" t="s">
        <v>56</v>
      </c>
      <c r="F429" t="s">
        <v>57</v>
      </c>
      <c r="G429" t="s">
        <v>43</v>
      </c>
      <c r="H429" t="s">
        <v>177</v>
      </c>
      <c r="I429">
        <v>4</v>
      </c>
      <c r="J429" s="3">
        <v>18000</v>
      </c>
      <c r="K429" s="3">
        <v>12900</v>
      </c>
      <c r="L429" t="s">
        <v>30</v>
      </c>
      <c r="M429" t="s">
        <v>31</v>
      </c>
      <c r="N429" t="s">
        <v>23</v>
      </c>
      <c r="O429" t="s">
        <v>24</v>
      </c>
    </row>
    <row r="430" spans="1:15" x14ac:dyDescent="0.35">
      <c r="A430" t="s">
        <v>1078</v>
      </c>
      <c r="B430" s="2">
        <v>46109</v>
      </c>
      <c r="C430" t="s">
        <v>578</v>
      </c>
      <c r="D430" t="s">
        <v>1079</v>
      </c>
      <c r="E430" t="s">
        <v>56</v>
      </c>
      <c r="F430" t="s">
        <v>57</v>
      </c>
      <c r="G430" t="s">
        <v>43</v>
      </c>
      <c r="H430" t="s">
        <v>49</v>
      </c>
      <c r="I430">
        <v>8</v>
      </c>
      <c r="J430" s="3">
        <v>9000</v>
      </c>
      <c r="K430" s="3">
        <v>5600</v>
      </c>
      <c r="L430" t="s">
        <v>66</v>
      </c>
      <c r="M430" t="s">
        <v>31</v>
      </c>
      <c r="N430" t="s">
        <v>52</v>
      </c>
      <c r="O430" t="s">
        <v>91</v>
      </c>
    </row>
    <row r="431" spans="1:15" x14ac:dyDescent="0.35">
      <c r="A431" t="s">
        <v>1080</v>
      </c>
      <c r="B431" s="2">
        <v>46270</v>
      </c>
      <c r="C431" t="s">
        <v>1081</v>
      </c>
      <c r="D431" t="s">
        <v>700</v>
      </c>
      <c r="E431" t="s">
        <v>84</v>
      </c>
      <c r="F431" t="s">
        <v>85</v>
      </c>
      <c r="G431" t="s">
        <v>43</v>
      </c>
      <c r="H431" t="s">
        <v>162</v>
      </c>
      <c r="I431">
        <v>6</v>
      </c>
      <c r="J431" s="3">
        <v>7600</v>
      </c>
      <c r="K431" s="3">
        <v>5200</v>
      </c>
      <c r="L431" t="s">
        <v>66</v>
      </c>
      <c r="M431" t="s">
        <v>31</v>
      </c>
      <c r="N431" t="s">
        <v>87</v>
      </c>
      <c r="O431" t="s">
        <v>45</v>
      </c>
    </row>
    <row r="432" spans="1:15" x14ac:dyDescent="0.35">
      <c r="A432" t="s">
        <v>1082</v>
      </c>
      <c r="B432" s="2">
        <v>46241</v>
      </c>
      <c r="C432" t="s">
        <v>446</v>
      </c>
      <c r="D432" t="s">
        <v>650</v>
      </c>
      <c r="E432" t="s">
        <v>18</v>
      </c>
      <c r="F432" t="s">
        <v>18</v>
      </c>
      <c r="G432" t="s">
        <v>43</v>
      </c>
      <c r="H432" t="s">
        <v>177</v>
      </c>
      <c r="I432">
        <v>1</v>
      </c>
      <c r="J432" s="3">
        <v>17100</v>
      </c>
      <c r="K432" s="3">
        <v>12500</v>
      </c>
      <c r="L432" t="s">
        <v>73</v>
      </c>
      <c r="M432" t="s">
        <v>51</v>
      </c>
      <c r="N432" t="s">
        <v>23</v>
      </c>
      <c r="O432" t="s">
        <v>45</v>
      </c>
    </row>
    <row r="433" spans="1:15" x14ac:dyDescent="0.35">
      <c r="A433" t="s">
        <v>1083</v>
      </c>
      <c r="B433" s="2">
        <v>46058</v>
      </c>
      <c r="C433" t="s">
        <v>347</v>
      </c>
      <c r="D433" t="s">
        <v>1012</v>
      </c>
      <c r="E433" t="s">
        <v>156</v>
      </c>
      <c r="F433" t="s">
        <v>157</v>
      </c>
      <c r="G433" t="s">
        <v>34</v>
      </c>
      <c r="H433" t="s">
        <v>86</v>
      </c>
      <c r="I433">
        <v>10</v>
      </c>
      <c r="J433" s="3">
        <v>180000</v>
      </c>
      <c r="K433" s="3">
        <v>131000</v>
      </c>
      <c r="L433" t="s">
        <v>30</v>
      </c>
      <c r="M433" t="s">
        <v>51</v>
      </c>
      <c r="N433" t="s">
        <v>52</v>
      </c>
      <c r="O433" t="s">
        <v>91</v>
      </c>
    </row>
    <row r="434" spans="1:15" x14ac:dyDescent="0.35">
      <c r="A434" t="s">
        <v>1084</v>
      </c>
      <c r="B434" s="2">
        <v>46233</v>
      </c>
      <c r="C434" t="s">
        <v>1085</v>
      </c>
      <c r="D434" t="s">
        <v>586</v>
      </c>
      <c r="E434" t="s">
        <v>18</v>
      </c>
      <c r="F434" t="s">
        <v>18</v>
      </c>
      <c r="G434" t="s">
        <v>34</v>
      </c>
      <c r="H434" t="s">
        <v>95</v>
      </c>
      <c r="I434">
        <v>3</v>
      </c>
      <c r="J434" s="3">
        <v>450000</v>
      </c>
      <c r="K434" s="3">
        <v>370000</v>
      </c>
      <c r="L434" t="s">
        <v>30</v>
      </c>
      <c r="M434" t="s">
        <v>51</v>
      </c>
      <c r="N434" t="s">
        <v>52</v>
      </c>
      <c r="O434" t="s">
        <v>24</v>
      </c>
    </row>
    <row r="435" spans="1:15" x14ac:dyDescent="0.35">
      <c r="A435" t="s">
        <v>1086</v>
      </c>
      <c r="B435" s="2">
        <v>46166</v>
      </c>
      <c r="C435" t="s">
        <v>217</v>
      </c>
      <c r="D435" t="s">
        <v>1087</v>
      </c>
      <c r="E435" t="s">
        <v>18</v>
      </c>
      <c r="F435" t="s">
        <v>18</v>
      </c>
      <c r="G435" t="s">
        <v>34</v>
      </c>
      <c r="H435" t="s">
        <v>158</v>
      </c>
      <c r="I435">
        <v>1</v>
      </c>
      <c r="J435" s="3">
        <v>90200</v>
      </c>
      <c r="K435" s="3">
        <v>70000</v>
      </c>
      <c r="L435" t="s">
        <v>36</v>
      </c>
      <c r="M435" t="s">
        <v>22</v>
      </c>
      <c r="N435" t="s">
        <v>87</v>
      </c>
      <c r="O435" t="s">
        <v>24</v>
      </c>
    </row>
    <row r="436" spans="1:15" x14ac:dyDescent="0.35">
      <c r="A436" t="s">
        <v>1088</v>
      </c>
      <c r="B436" s="2">
        <v>46089</v>
      </c>
      <c r="C436" t="s">
        <v>376</v>
      </c>
      <c r="D436" t="s">
        <v>184</v>
      </c>
      <c r="E436" t="s">
        <v>18</v>
      </c>
      <c r="F436" t="s">
        <v>18</v>
      </c>
      <c r="G436" t="s">
        <v>34</v>
      </c>
      <c r="H436" t="s">
        <v>86</v>
      </c>
      <c r="I436">
        <v>6</v>
      </c>
      <c r="J436" s="3">
        <v>180000</v>
      </c>
      <c r="K436" s="3">
        <v>131000</v>
      </c>
      <c r="L436" t="s">
        <v>96</v>
      </c>
      <c r="M436" t="s">
        <v>51</v>
      </c>
      <c r="N436" t="s">
        <v>23</v>
      </c>
      <c r="O436" t="s">
        <v>45</v>
      </c>
    </row>
    <row r="437" spans="1:15" x14ac:dyDescent="0.35">
      <c r="A437" t="s">
        <v>1089</v>
      </c>
      <c r="B437" s="2">
        <v>46276</v>
      </c>
      <c r="C437" t="s">
        <v>133</v>
      </c>
      <c r="D437" t="s">
        <v>490</v>
      </c>
      <c r="E437" t="s">
        <v>156</v>
      </c>
      <c r="F437" t="s">
        <v>157</v>
      </c>
      <c r="G437" t="s">
        <v>19</v>
      </c>
      <c r="H437" t="s">
        <v>166</v>
      </c>
      <c r="I437">
        <v>1</v>
      </c>
      <c r="J437" s="3">
        <v>140000</v>
      </c>
      <c r="K437" s="3">
        <v>97000</v>
      </c>
      <c r="L437" t="s">
        <v>50</v>
      </c>
      <c r="M437" t="s">
        <v>31</v>
      </c>
      <c r="N437" t="s">
        <v>23</v>
      </c>
      <c r="O437" t="s">
        <v>24</v>
      </c>
    </row>
    <row r="438" spans="1:15" x14ac:dyDescent="0.35">
      <c r="A438" t="s">
        <v>1090</v>
      </c>
      <c r="B438" s="2">
        <v>46287</v>
      </c>
      <c r="C438" t="s">
        <v>841</v>
      </c>
      <c r="D438" t="s">
        <v>1091</v>
      </c>
      <c r="E438" t="s">
        <v>41</v>
      </c>
      <c r="F438" t="s">
        <v>42</v>
      </c>
      <c r="G438" t="s">
        <v>28</v>
      </c>
      <c r="H438" t="s">
        <v>248</v>
      </c>
      <c r="I438">
        <v>6</v>
      </c>
      <c r="J438" s="3">
        <v>25000</v>
      </c>
      <c r="K438" s="3">
        <v>16000</v>
      </c>
      <c r="L438" t="s">
        <v>21</v>
      </c>
      <c r="M438" t="s">
        <v>37</v>
      </c>
      <c r="N438" t="s">
        <v>23</v>
      </c>
      <c r="O438" t="s">
        <v>24</v>
      </c>
    </row>
    <row r="439" spans="1:15" x14ac:dyDescent="0.35">
      <c r="A439" t="s">
        <v>1092</v>
      </c>
      <c r="B439" s="2">
        <v>46117</v>
      </c>
      <c r="C439" t="s">
        <v>1093</v>
      </c>
      <c r="D439" t="s">
        <v>1094</v>
      </c>
      <c r="E439" t="s">
        <v>77</v>
      </c>
      <c r="F439" t="s">
        <v>78</v>
      </c>
      <c r="G439" t="s">
        <v>34</v>
      </c>
      <c r="H439" t="s">
        <v>35</v>
      </c>
      <c r="I439">
        <v>9</v>
      </c>
      <c r="J439" s="3">
        <v>55000</v>
      </c>
      <c r="K439" s="3">
        <v>40200</v>
      </c>
      <c r="L439" t="s">
        <v>73</v>
      </c>
      <c r="M439" t="s">
        <v>51</v>
      </c>
      <c r="N439" t="s">
        <v>52</v>
      </c>
      <c r="O439" t="s">
        <v>24</v>
      </c>
    </row>
    <row r="440" spans="1:15" x14ac:dyDescent="0.35">
      <c r="A440" t="s">
        <v>1095</v>
      </c>
      <c r="B440" s="2">
        <v>46264</v>
      </c>
      <c r="C440" t="s">
        <v>89</v>
      </c>
      <c r="D440" t="s">
        <v>953</v>
      </c>
      <c r="E440" t="s">
        <v>56</v>
      </c>
      <c r="F440" t="s">
        <v>57</v>
      </c>
      <c r="G440" t="s">
        <v>43</v>
      </c>
      <c r="H440" t="s">
        <v>177</v>
      </c>
      <c r="I440">
        <v>6</v>
      </c>
      <c r="J440" s="3">
        <v>18900</v>
      </c>
      <c r="K440" s="3">
        <v>12900</v>
      </c>
      <c r="L440" t="s">
        <v>50</v>
      </c>
      <c r="M440" t="s">
        <v>51</v>
      </c>
      <c r="N440" t="s">
        <v>23</v>
      </c>
      <c r="O440" t="s">
        <v>91</v>
      </c>
    </row>
    <row r="441" spans="1:15" x14ac:dyDescent="0.35">
      <c r="A441" t="s">
        <v>1096</v>
      </c>
      <c r="B441" s="2">
        <v>46265</v>
      </c>
      <c r="C441" t="s">
        <v>1097</v>
      </c>
      <c r="D441" t="s">
        <v>720</v>
      </c>
      <c r="E441" t="s">
        <v>18</v>
      </c>
      <c r="F441" t="s">
        <v>18</v>
      </c>
      <c r="G441" t="s">
        <v>43</v>
      </c>
      <c r="H441" t="s">
        <v>79</v>
      </c>
      <c r="I441">
        <v>3</v>
      </c>
      <c r="J441" s="3">
        <v>6000</v>
      </c>
      <c r="K441" s="3">
        <v>4300</v>
      </c>
      <c r="L441" t="s">
        <v>80</v>
      </c>
      <c r="M441" t="s">
        <v>51</v>
      </c>
      <c r="N441" t="s">
        <v>23</v>
      </c>
      <c r="O441" t="s">
        <v>91</v>
      </c>
    </row>
    <row r="442" spans="1:15" x14ac:dyDescent="0.35">
      <c r="A442" t="s">
        <v>1098</v>
      </c>
      <c r="B442" s="2">
        <v>46059</v>
      </c>
      <c r="C442" t="s">
        <v>16</v>
      </c>
      <c r="D442" t="s">
        <v>1099</v>
      </c>
      <c r="E442" t="s">
        <v>56</v>
      </c>
      <c r="F442" t="s">
        <v>57</v>
      </c>
      <c r="G442" t="s">
        <v>43</v>
      </c>
      <c r="H442" t="s">
        <v>177</v>
      </c>
      <c r="I442">
        <v>3</v>
      </c>
      <c r="J442" s="3">
        <v>17100</v>
      </c>
      <c r="K442" s="3">
        <v>12900</v>
      </c>
      <c r="L442" t="s">
        <v>66</v>
      </c>
      <c r="M442" t="s">
        <v>51</v>
      </c>
      <c r="N442" t="s">
        <v>52</v>
      </c>
      <c r="O442" t="s">
        <v>24</v>
      </c>
    </row>
    <row r="443" spans="1:15" x14ac:dyDescent="0.35">
      <c r="A443" t="s">
        <v>1100</v>
      </c>
      <c r="B443" s="2">
        <v>46037</v>
      </c>
      <c r="C443" t="s">
        <v>903</v>
      </c>
      <c r="D443" t="s">
        <v>108</v>
      </c>
      <c r="E443" t="s">
        <v>41</v>
      </c>
      <c r="F443" t="s">
        <v>42</v>
      </c>
      <c r="G443" t="s">
        <v>34</v>
      </c>
      <c r="H443" t="s">
        <v>158</v>
      </c>
      <c r="I443">
        <v>3</v>
      </c>
      <c r="J443" s="3">
        <v>99800</v>
      </c>
      <c r="K443" s="3">
        <v>70000</v>
      </c>
      <c r="L443" t="s">
        <v>73</v>
      </c>
      <c r="M443" t="s">
        <v>51</v>
      </c>
      <c r="N443" t="s">
        <v>52</v>
      </c>
      <c r="O443" t="s">
        <v>45</v>
      </c>
    </row>
    <row r="444" spans="1:15" x14ac:dyDescent="0.35">
      <c r="A444" t="s">
        <v>1101</v>
      </c>
      <c r="B444" s="2">
        <v>46247</v>
      </c>
      <c r="C444" t="s">
        <v>339</v>
      </c>
      <c r="D444" t="s">
        <v>660</v>
      </c>
      <c r="E444" t="s">
        <v>56</v>
      </c>
      <c r="F444" t="s">
        <v>57</v>
      </c>
      <c r="G444" t="s">
        <v>43</v>
      </c>
      <c r="H444" t="s">
        <v>79</v>
      </c>
      <c r="I444">
        <v>6</v>
      </c>
      <c r="J444" s="3">
        <v>5700</v>
      </c>
      <c r="K444" s="3">
        <v>4200</v>
      </c>
      <c r="L444" t="s">
        <v>21</v>
      </c>
      <c r="M444" t="s">
        <v>22</v>
      </c>
      <c r="N444" t="s">
        <v>52</v>
      </c>
      <c r="O444" t="s">
        <v>24</v>
      </c>
    </row>
    <row r="445" spans="1:15" x14ac:dyDescent="0.35">
      <c r="A445" t="s">
        <v>1102</v>
      </c>
      <c r="B445" s="2">
        <v>46262</v>
      </c>
      <c r="C445" t="s">
        <v>444</v>
      </c>
      <c r="D445" t="s">
        <v>904</v>
      </c>
      <c r="E445" t="s">
        <v>18</v>
      </c>
      <c r="F445" t="s">
        <v>18</v>
      </c>
      <c r="G445" t="s">
        <v>43</v>
      </c>
      <c r="H445" t="s">
        <v>44</v>
      </c>
      <c r="I445">
        <v>10</v>
      </c>
      <c r="J445" s="3">
        <v>14200</v>
      </c>
      <c r="K445" s="3">
        <v>9200</v>
      </c>
      <c r="L445" t="s">
        <v>30</v>
      </c>
      <c r="M445" t="s">
        <v>37</v>
      </c>
      <c r="N445" t="s">
        <v>52</v>
      </c>
      <c r="O445" t="s">
        <v>91</v>
      </c>
    </row>
    <row r="446" spans="1:15" x14ac:dyDescent="0.35">
      <c r="A446" t="s">
        <v>1103</v>
      </c>
      <c r="B446" s="2">
        <v>46343</v>
      </c>
      <c r="C446" t="s">
        <v>624</v>
      </c>
      <c r="D446" t="s">
        <v>1104</v>
      </c>
      <c r="E446" t="s">
        <v>84</v>
      </c>
      <c r="F446" t="s">
        <v>85</v>
      </c>
      <c r="G446" t="s">
        <v>34</v>
      </c>
      <c r="H446" t="s">
        <v>141</v>
      </c>
      <c r="I446">
        <v>7</v>
      </c>
      <c r="J446" s="3">
        <v>168000</v>
      </c>
      <c r="K446" s="3">
        <v>116400</v>
      </c>
      <c r="L446" t="s">
        <v>36</v>
      </c>
      <c r="M446" t="s">
        <v>51</v>
      </c>
      <c r="N446" t="s">
        <v>23</v>
      </c>
      <c r="O446" t="s">
        <v>24</v>
      </c>
    </row>
    <row r="447" spans="1:15" x14ac:dyDescent="0.35">
      <c r="A447" t="s">
        <v>1105</v>
      </c>
      <c r="B447" s="2">
        <v>46052</v>
      </c>
      <c r="C447" t="s">
        <v>1106</v>
      </c>
      <c r="D447" t="s">
        <v>990</v>
      </c>
      <c r="E447" t="s">
        <v>56</v>
      </c>
      <c r="F447" t="s">
        <v>57</v>
      </c>
      <c r="G447" t="s">
        <v>34</v>
      </c>
      <c r="H447" t="s">
        <v>158</v>
      </c>
      <c r="I447">
        <v>4</v>
      </c>
      <c r="J447" s="3">
        <v>90200</v>
      </c>
      <c r="K447" s="3">
        <v>70000</v>
      </c>
      <c r="L447" t="s">
        <v>30</v>
      </c>
      <c r="M447" t="s">
        <v>51</v>
      </c>
      <c r="N447" t="s">
        <v>52</v>
      </c>
      <c r="O447" t="s">
        <v>24</v>
      </c>
    </row>
    <row r="448" spans="1:15" x14ac:dyDescent="0.35">
      <c r="A448" t="s">
        <v>1107</v>
      </c>
      <c r="B448" s="2">
        <v>46220</v>
      </c>
      <c r="C448" t="s">
        <v>26</v>
      </c>
      <c r="D448" t="s">
        <v>354</v>
      </c>
      <c r="E448" t="s">
        <v>77</v>
      </c>
      <c r="F448" t="s">
        <v>78</v>
      </c>
      <c r="G448" t="s">
        <v>34</v>
      </c>
      <c r="H448" t="s">
        <v>86</v>
      </c>
      <c r="I448">
        <v>10</v>
      </c>
      <c r="J448" s="3">
        <v>180000</v>
      </c>
      <c r="K448" s="3">
        <v>131000</v>
      </c>
      <c r="L448" t="s">
        <v>73</v>
      </c>
      <c r="M448" t="s">
        <v>37</v>
      </c>
      <c r="N448" t="s">
        <v>52</v>
      </c>
      <c r="O448" t="s">
        <v>24</v>
      </c>
    </row>
    <row r="449" spans="1:15" x14ac:dyDescent="0.35">
      <c r="A449" t="s">
        <v>1108</v>
      </c>
      <c r="B449" s="2">
        <v>46267</v>
      </c>
      <c r="C449" t="s">
        <v>1072</v>
      </c>
      <c r="D449" t="s">
        <v>1109</v>
      </c>
      <c r="E449" t="s">
        <v>18</v>
      </c>
      <c r="F449" t="s">
        <v>18</v>
      </c>
      <c r="G449" t="s">
        <v>34</v>
      </c>
      <c r="H449" t="s">
        <v>95</v>
      </c>
      <c r="I449">
        <v>6</v>
      </c>
      <c r="J449" s="3">
        <v>472500</v>
      </c>
      <c r="K449" s="3">
        <v>358900</v>
      </c>
      <c r="L449" t="s">
        <v>80</v>
      </c>
      <c r="M449" t="s">
        <v>37</v>
      </c>
      <c r="N449" t="s">
        <v>23</v>
      </c>
      <c r="O449" t="s">
        <v>45</v>
      </c>
    </row>
    <row r="450" spans="1:15" x14ac:dyDescent="0.35">
      <c r="A450" t="s">
        <v>1110</v>
      </c>
      <c r="B450" s="2">
        <v>46231</v>
      </c>
      <c r="C450" t="s">
        <v>808</v>
      </c>
      <c r="D450" t="s">
        <v>425</v>
      </c>
      <c r="E450" t="s">
        <v>41</v>
      </c>
      <c r="F450" t="s">
        <v>42</v>
      </c>
      <c r="G450" t="s">
        <v>19</v>
      </c>
      <c r="H450" t="s">
        <v>112</v>
      </c>
      <c r="I450">
        <v>2</v>
      </c>
      <c r="J450" s="3">
        <v>85000</v>
      </c>
      <c r="K450" s="3">
        <v>63900</v>
      </c>
      <c r="L450" t="s">
        <v>73</v>
      </c>
      <c r="M450" t="s">
        <v>31</v>
      </c>
      <c r="N450" t="s">
        <v>52</v>
      </c>
      <c r="O450" t="s">
        <v>91</v>
      </c>
    </row>
    <row r="451" spans="1:15" x14ac:dyDescent="0.35">
      <c r="A451" t="s">
        <v>1111</v>
      </c>
      <c r="B451" s="2">
        <v>46379</v>
      </c>
      <c r="C451" t="s">
        <v>1112</v>
      </c>
      <c r="D451" t="s">
        <v>1113</v>
      </c>
      <c r="E451" t="s">
        <v>156</v>
      </c>
      <c r="F451" t="s">
        <v>170</v>
      </c>
      <c r="G451" t="s">
        <v>34</v>
      </c>
      <c r="H451" t="s">
        <v>35</v>
      </c>
      <c r="I451">
        <v>6</v>
      </c>
      <c r="J451" s="3">
        <v>57800</v>
      </c>
      <c r="K451" s="3">
        <v>40200</v>
      </c>
      <c r="L451" t="s">
        <v>96</v>
      </c>
      <c r="M451" t="s">
        <v>37</v>
      </c>
      <c r="N451" t="s">
        <v>87</v>
      </c>
      <c r="O451" t="s">
        <v>24</v>
      </c>
    </row>
    <row r="452" spans="1:15" x14ac:dyDescent="0.35">
      <c r="A452" t="s">
        <v>1114</v>
      </c>
      <c r="B452" s="2">
        <v>46379</v>
      </c>
      <c r="C452" t="s">
        <v>559</v>
      </c>
      <c r="D452" t="s">
        <v>581</v>
      </c>
      <c r="E452" t="s">
        <v>156</v>
      </c>
      <c r="F452" t="s">
        <v>157</v>
      </c>
      <c r="G452" t="s">
        <v>34</v>
      </c>
      <c r="H452" t="s">
        <v>86</v>
      </c>
      <c r="I452">
        <v>2</v>
      </c>
      <c r="J452" s="3">
        <v>189000</v>
      </c>
      <c r="K452" s="3">
        <v>131000</v>
      </c>
      <c r="L452" t="s">
        <v>66</v>
      </c>
      <c r="M452" t="s">
        <v>37</v>
      </c>
      <c r="N452" t="s">
        <v>87</v>
      </c>
      <c r="O452" t="s">
        <v>24</v>
      </c>
    </row>
    <row r="453" spans="1:15" x14ac:dyDescent="0.35">
      <c r="A453" t="s">
        <v>1115</v>
      </c>
      <c r="B453" s="2">
        <v>46097</v>
      </c>
      <c r="C453" t="s">
        <v>410</v>
      </c>
      <c r="D453" t="s">
        <v>351</v>
      </c>
      <c r="E453" t="s">
        <v>84</v>
      </c>
      <c r="F453" t="s">
        <v>85</v>
      </c>
      <c r="G453" t="s">
        <v>34</v>
      </c>
      <c r="H453" t="s">
        <v>86</v>
      </c>
      <c r="I453">
        <v>1</v>
      </c>
      <c r="J453" s="3">
        <v>189000</v>
      </c>
      <c r="K453" s="3">
        <v>135000</v>
      </c>
      <c r="L453" t="s">
        <v>50</v>
      </c>
      <c r="M453" t="s">
        <v>51</v>
      </c>
      <c r="N453" t="s">
        <v>87</v>
      </c>
      <c r="O453" t="s">
        <v>91</v>
      </c>
    </row>
    <row r="454" spans="1:15" x14ac:dyDescent="0.35">
      <c r="A454" t="s">
        <v>1116</v>
      </c>
      <c r="B454" s="2">
        <v>46335</v>
      </c>
      <c r="C454" t="s">
        <v>316</v>
      </c>
      <c r="D454" t="s">
        <v>1117</v>
      </c>
      <c r="E454" t="s">
        <v>77</v>
      </c>
      <c r="F454" t="s">
        <v>78</v>
      </c>
      <c r="G454" t="s">
        <v>19</v>
      </c>
      <c r="H454" t="s">
        <v>112</v>
      </c>
      <c r="I454">
        <v>9</v>
      </c>
      <c r="J454" s="3">
        <v>80800</v>
      </c>
      <c r="K454" s="3">
        <v>62000</v>
      </c>
      <c r="L454" t="s">
        <v>21</v>
      </c>
      <c r="M454" t="s">
        <v>22</v>
      </c>
      <c r="N454" t="s">
        <v>52</v>
      </c>
      <c r="O454" t="s">
        <v>24</v>
      </c>
    </row>
    <row r="455" spans="1:15" x14ac:dyDescent="0.35">
      <c r="A455" t="s">
        <v>1118</v>
      </c>
      <c r="B455" s="2">
        <v>46085</v>
      </c>
      <c r="C455" t="s">
        <v>1119</v>
      </c>
      <c r="D455" t="s">
        <v>1120</v>
      </c>
      <c r="E455" t="s">
        <v>77</v>
      </c>
      <c r="F455" t="s">
        <v>78</v>
      </c>
      <c r="G455" t="s">
        <v>19</v>
      </c>
      <c r="H455" t="s">
        <v>61</v>
      </c>
      <c r="I455">
        <v>9</v>
      </c>
      <c r="J455" s="3">
        <v>220000</v>
      </c>
      <c r="K455" s="3">
        <v>155200</v>
      </c>
      <c r="L455" t="s">
        <v>73</v>
      </c>
      <c r="M455" t="s">
        <v>37</v>
      </c>
      <c r="N455" t="s">
        <v>52</v>
      </c>
      <c r="O455" t="s">
        <v>24</v>
      </c>
    </row>
    <row r="456" spans="1:15" x14ac:dyDescent="0.35">
      <c r="A456" t="s">
        <v>1121</v>
      </c>
      <c r="B456" s="2">
        <v>46049</v>
      </c>
      <c r="C456" t="s">
        <v>694</v>
      </c>
      <c r="D456" t="s">
        <v>1122</v>
      </c>
      <c r="E456" t="s">
        <v>77</v>
      </c>
      <c r="F456" t="s">
        <v>78</v>
      </c>
      <c r="G456" t="s">
        <v>34</v>
      </c>
      <c r="H456" t="s">
        <v>95</v>
      </c>
      <c r="I456">
        <v>4</v>
      </c>
      <c r="J456" s="3">
        <v>472500</v>
      </c>
      <c r="K456" s="3">
        <v>370000</v>
      </c>
      <c r="L456" t="s">
        <v>73</v>
      </c>
      <c r="M456" t="s">
        <v>37</v>
      </c>
      <c r="N456" t="s">
        <v>23</v>
      </c>
      <c r="O456" t="s">
        <v>24</v>
      </c>
    </row>
    <row r="457" spans="1:15" x14ac:dyDescent="0.35">
      <c r="A457" t="s">
        <v>1123</v>
      </c>
      <c r="B457" s="2">
        <v>46262</v>
      </c>
      <c r="C457" t="s">
        <v>1124</v>
      </c>
      <c r="D457" t="s">
        <v>270</v>
      </c>
      <c r="E457" t="s">
        <v>18</v>
      </c>
      <c r="F457" t="s">
        <v>18</v>
      </c>
      <c r="G457" t="s">
        <v>19</v>
      </c>
      <c r="H457" t="s">
        <v>166</v>
      </c>
      <c r="I457">
        <v>5</v>
      </c>
      <c r="J457" s="3">
        <v>133000</v>
      </c>
      <c r="K457" s="3">
        <v>103000</v>
      </c>
      <c r="L457" t="s">
        <v>66</v>
      </c>
      <c r="M457" t="s">
        <v>22</v>
      </c>
      <c r="N457" t="s">
        <v>23</v>
      </c>
      <c r="O457" t="s">
        <v>91</v>
      </c>
    </row>
    <row r="458" spans="1:15" x14ac:dyDescent="0.35">
      <c r="A458" t="s">
        <v>1125</v>
      </c>
      <c r="B458" s="2">
        <v>46029</v>
      </c>
      <c r="C458" t="s">
        <v>168</v>
      </c>
      <c r="D458" t="s">
        <v>1126</v>
      </c>
      <c r="E458" t="s">
        <v>56</v>
      </c>
      <c r="F458" t="s">
        <v>57</v>
      </c>
      <c r="G458" t="s">
        <v>34</v>
      </c>
      <c r="H458" t="s">
        <v>86</v>
      </c>
      <c r="I458">
        <v>8</v>
      </c>
      <c r="J458" s="3">
        <v>189000</v>
      </c>
      <c r="K458" s="3">
        <v>139000</v>
      </c>
      <c r="L458" t="s">
        <v>30</v>
      </c>
      <c r="M458" t="s">
        <v>37</v>
      </c>
      <c r="N458" t="s">
        <v>52</v>
      </c>
      <c r="O458" t="s">
        <v>24</v>
      </c>
    </row>
    <row r="459" spans="1:15" x14ac:dyDescent="0.35">
      <c r="A459" t="s">
        <v>1127</v>
      </c>
      <c r="B459" s="2">
        <v>46087</v>
      </c>
      <c r="C459" t="s">
        <v>997</v>
      </c>
      <c r="D459" t="s">
        <v>1128</v>
      </c>
      <c r="E459" t="s">
        <v>41</v>
      </c>
      <c r="F459" t="s">
        <v>42</v>
      </c>
      <c r="G459" t="s">
        <v>43</v>
      </c>
      <c r="H459" t="s">
        <v>44</v>
      </c>
      <c r="I459">
        <v>6</v>
      </c>
      <c r="J459" s="3">
        <v>15000</v>
      </c>
      <c r="K459" s="3">
        <v>9500</v>
      </c>
      <c r="L459" t="s">
        <v>36</v>
      </c>
      <c r="M459" t="s">
        <v>22</v>
      </c>
      <c r="N459" t="s">
        <v>23</v>
      </c>
      <c r="O459" t="s">
        <v>24</v>
      </c>
    </row>
    <row r="460" spans="1:15" x14ac:dyDescent="0.35">
      <c r="A460" t="s">
        <v>1129</v>
      </c>
      <c r="B460" s="2">
        <v>46198</v>
      </c>
      <c r="C460" t="s">
        <v>848</v>
      </c>
      <c r="D460" t="s">
        <v>806</v>
      </c>
      <c r="E460" t="s">
        <v>56</v>
      </c>
      <c r="F460" t="s">
        <v>57</v>
      </c>
      <c r="G460" t="s">
        <v>34</v>
      </c>
      <c r="H460" t="s">
        <v>95</v>
      </c>
      <c r="I460">
        <v>8</v>
      </c>
      <c r="J460" s="3">
        <v>450000</v>
      </c>
      <c r="K460" s="3">
        <v>370000</v>
      </c>
      <c r="L460" t="s">
        <v>30</v>
      </c>
      <c r="M460" t="s">
        <v>37</v>
      </c>
      <c r="N460" t="s">
        <v>52</v>
      </c>
      <c r="O460" t="s">
        <v>91</v>
      </c>
    </row>
    <row r="461" spans="1:15" x14ac:dyDescent="0.35">
      <c r="A461" t="s">
        <v>1130</v>
      </c>
      <c r="B461" s="2">
        <v>46217</v>
      </c>
      <c r="C461" t="s">
        <v>1131</v>
      </c>
      <c r="D461" t="s">
        <v>1132</v>
      </c>
      <c r="E461" t="s">
        <v>56</v>
      </c>
      <c r="F461" t="s">
        <v>57</v>
      </c>
      <c r="G461" t="s">
        <v>19</v>
      </c>
      <c r="H461" t="s">
        <v>112</v>
      </c>
      <c r="I461">
        <v>1</v>
      </c>
      <c r="J461" s="3">
        <v>85000</v>
      </c>
      <c r="K461" s="3">
        <v>60100</v>
      </c>
      <c r="L461" t="s">
        <v>30</v>
      </c>
      <c r="M461" t="s">
        <v>22</v>
      </c>
      <c r="N461" t="s">
        <v>52</v>
      </c>
      <c r="O461" t="s">
        <v>45</v>
      </c>
    </row>
    <row r="462" spans="1:15" x14ac:dyDescent="0.35">
      <c r="A462" t="s">
        <v>1133</v>
      </c>
      <c r="B462" s="2">
        <v>46165</v>
      </c>
      <c r="C462" t="s">
        <v>1134</v>
      </c>
      <c r="D462" t="s">
        <v>487</v>
      </c>
      <c r="E462" t="s">
        <v>77</v>
      </c>
      <c r="F462" t="s">
        <v>78</v>
      </c>
      <c r="G462" t="s">
        <v>19</v>
      </c>
      <c r="H462" t="s">
        <v>61</v>
      </c>
      <c r="I462">
        <v>8</v>
      </c>
      <c r="J462" s="3">
        <v>231000</v>
      </c>
      <c r="K462" s="3">
        <v>160000</v>
      </c>
      <c r="L462" t="s">
        <v>50</v>
      </c>
      <c r="M462" t="s">
        <v>51</v>
      </c>
      <c r="N462" t="s">
        <v>23</v>
      </c>
      <c r="O462" t="s">
        <v>24</v>
      </c>
    </row>
    <row r="463" spans="1:15" x14ac:dyDescent="0.35">
      <c r="A463" t="s">
        <v>1135</v>
      </c>
      <c r="B463" s="2">
        <v>46373</v>
      </c>
      <c r="C463" t="s">
        <v>104</v>
      </c>
      <c r="D463" t="s">
        <v>1136</v>
      </c>
      <c r="E463" t="s">
        <v>156</v>
      </c>
      <c r="F463" t="s">
        <v>157</v>
      </c>
      <c r="G463" t="s">
        <v>34</v>
      </c>
      <c r="H463" t="s">
        <v>95</v>
      </c>
      <c r="I463">
        <v>7</v>
      </c>
      <c r="J463" s="3">
        <v>450000</v>
      </c>
      <c r="K463" s="3">
        <v>358900</v>
      </c>
      <c r="L463" t="s">
        <v>21</v>
      </c>
      <c r="M463" t="s">
        <v>51</v>
      </c>
      <c r="N463" t="s">
        <v>23</v>
      </c>
      <c r="O463" t="s">
        <v>24</v>
      </c>
    </row>
    <row r="464" spans="1:15" x14ac:dyDescent="0.35">
      <c r="A464" t="s">
        <v>1137</v>
      </c>
      <c r="B464" s="2">
        <v>46362</v>
      </c>
      <c r="C464" t="s">
        <v>1138</v>
      </c>
      <c r="D464" t="s">
        <v>974</v>
      </c>
      <c r="E464" t="s">
        <v>18</v>
      </c>
      <c r="F464" t="s">
        <v>18</v>
      </c>
      <c r="G464" t="s">
        <v>19</v>
      </c>
      <c r="H464" t="s">
        <v>61</v>
      </c>
      <c r="I464">
        <v>7</v>
      </c>
      <c r="J464" s="3">
        <v>220000</v>
      </c>
      <c r="K464" s="3">
        <v>155200</v>
      </c>
      <c r="L464" t="s">
        <v>96</v>
      </c>
      <c r="M464" t="s">
        <v>37</v>
      </c>
      <c r="N464" t="s">
        <v>87</v>
      </c>
      <c r="O464" t="s">
        <v>24</v>
      </c>
    </row>
    <row r="465" spans="1:15" x14ac:dyDescent="0.35">
      <c r="A465" t="s">
        <v>1139</v>
      </c>
      <c r="B465" s="2">
        <v>46046</v>
      </c>
      <c r="C465" t="s">
        <v>1140</v>
      </c>
      <c r="D465" t="s">
        <v>1141</v>
      </c>
      <c r="E465" t="s">
        <v>70</v>
      </c>
      <c r="F465" t="s">
        <v>71</v>
      </c>
      <c r="G465" t="s">
        <v>19</v>
      </c>
      <c r="H465" t="s">
        <v>166</v>
      </c>
      <c r="I465">
        <v>1</v>
      </c>
      <c r="J465" s="3">
        <v>133000</v>
      </c>
      <c r="K465" s="3">
        <v>103000</v>
      </c>
      <c r="L465" t="s">
        <v>21</v>
      </c>
      <c r="M465" t="s">
        <v>22</v>
      </c>
      <c r="N465" t="s">
        <v>52</v>
      </c>
      <c r="O465" t="s">
        <v>24</v>
      </c>
    </row>
    <row r="466" spans="1:15" x14ac:dyDescent="0.35">
      <c r="A466" t="s">
        <v>1142</v>
      </c>
      <c r="B466" s="2">
        <v>46148</v>
      </c>
      <c r="C466" t="s">
        <v>1143</v>
      </c>
      <c r="D466" t="s">
        <v>1028</v>
      </c>
      <c r="E466" t="s">
        <v>70</v>
      </c>
      <c r="F466" t="s">
        <v>71</v>
      </c>
      <c r="G466" t="s">
        <v>43</v>
      </c>
      <c r="H466" t="s">
        <v>177</v>
      </c>
      <c r="I466">
        <v>7</v>
      </c>
      <c r="J466" s="3">
        <v>18000</v>
      </c>
      <c r="K466" s="3">
        <v>12900</v>
      </c>
      <c r="L466" t="s">
        <v>80</v>
      </c>
      <c r="M466" t="s">
        <v>37</v>
      </c>
      <c r="N466" t="s">
        <v>23</v>
      </c>
      <c r="O466" t="s">
        <v>24</v>
      </c>
    </row>
    <row r="467" spans="1:15" x14ac:dyDescent="0.35">
      <c r="A467" t="s">
        <v>1144</v>
      </c>
      <c r="B467" s="2">
        <v>46042</v>
      </c>
      <c r="C467" t="s">
        <v>649</v>
      </c>
      <c r="D467" t="s">
        <v>453</v>
      </c>
      <c r="E467" t="s">
        <v>18</v>
      </c>
      <c r="F467" t="s">
        <v>18</v>
      </c>
      <c r="G467" t="s">
        <v>34</v>
      </c>
      <c r="H467" t="s">
        <v>95</v>
      </c>
      <c r="I467">
        <v>9</v>
      </c>
      <c r="J467" s="3">
        <v>427500</v>
      </c>
      <c r="K467" s="3">
        <v>381100</v>
      </c>
      <c r="L467" t="s">
        <v>21</v>
      </c>
      <c r="M467" t="s">
        <v>37</v>
      </c>
      <c r="N467" t="s">
        <v>87</v>
      </c>
      <c r="O467" t="s">
        <v>24</v>
      </c>
    </row>
    <row r="468" spans="1:15" x14ac:dyDescent="0.35">
      <c r="A468" t="s">
        <v>1145</v>
      </c>
      <c r="B468" s="2">
        <v>46121</v>
      </c>
      <c r="C468" t="s">
        <v>231</v>
      </c>
      <c r="D468" t="s">
        <v>669</v>
      </c>
      <c r="E468" t="s">
        <v>18</v>
      </c>
      <c r="F468" t="s">
        <v>18</v>
      </c>
      <c r="G468" t="s">
        <v>34</v>
      </c>
      <c r="H468" t="s">
        <v>158</v>
      </c>
      <c r="I468">
        <v>3</v>
      </c>
      <c r="J468" s="3">
        <v>90200</v>
      </c>
      <c r="K468" s="3">
        <v>67900</v>
      </c>
      <c r="L468" t="s">
        <v>96</v>
      </c>
      <c r="M468" t="s">
        <v>37</v>
      </c>
      <c r="N468" t="s">
        <v>23</v>
      </c>
      <c r="O468" t="s">
        <v>24</v>
      </c>
    </row>
    <row r="469" spans="1:15" x14ac:dyDescent="0.35">
      <c r="A469" t="s">
        <v>1146</v>
      </c>
      <c r="B469" s="2">
        <v>46073</v>
      </c>
      <c r="C469" t="s">
        <v>402</v>
      </c>
      <c r="D469" t="s">
        <v>859</v>
      </c>
      <c r="E469" t="s">
        <v>41</v>
      </c>
      <c r="F469" t="s">
        <v>42</v>
      </c>
      <c r="G469" t="s">
        <v>34</v>
      </c>
      <c r="H469" t="s">
        <v>86</v>
      </c>
      <c r="I469">
        <v>3</v>
      </c>
      <c r="J469" s="3">
        <v>180000</v>
      </c>
      <c r="K469" s="3">
        <v>139000</v>
      </c>
      <c r="L469" t="s">
        <v>21</v>
      </c>
      <c r="M469" t="s">
        <v>31</v>
      </c>
      <c r="N469" t="s">
        <v>87</v>
      </c>
      <c r="O469" t="s">
        <v>24</v>
      </c>
    </row>
    <row r="470" spans="1:15" x14ac:dyDescent="0.35">
      <c r="A470" t="s">
        <v>1147</v>
      </c>
      <c r="B470" s="2">
        <v>46205</v>
      </c>
      <c r="C470" t="s">
        <v>1148</v>
      </c>
      <c r="D470" t="s">
        <v>1149</v>
      </c>
      <c r="E470" t="s">
        <v>190</v>
      </c>
      <c r="F470" t="s">
        <v>191</v>
      </c>
      <c r="G470" t="s">
        <v>28</v>
      </c>
      <c r="H470" t="s">
        <v>131</v>
      </c>
      <c r="I470">
        <v>5</v>
      </c>
      <c r="J470" s="3">
        <v>31500</v>
      </c>
      <c r="K470" s="3">
        <v>19600</v>
      </c>
      <c r="L470" t="s">
        <v>21</v>
      </c>
      <c r="M470" t="s">
        <v>37</v>
      </c>
      <c r="N470" t="s">
        <v>52</v>
      </c>
      <c r="O470" t="s">
        <v>24</v>
      </c>
    </row>
    <row r="471" spans="1:15" x14ac:dyDescent="0.35">
      <c r="A471" t="s">
        <v>1150</v>
      </c>
      <c r="B471" s="2">
        <v>46079</v>
      </c>
      <c r="C471" t="s">
        <v>120</v>
      </c>
      <c r="D471" t="s">
        <v>291</v>
      </c>
      <c r="E471" t="s">
        <v>84</v>
      </c>
      <c r="F471" t="s">
        <v>85</v>
      </c>
      <c r="G471" t="s">
        <v>34</v>
      </c>
      <c r="H471" t="s">
        <v>141</v>
      </c>
      <c r="I471">
        <v>2</v>
      </c>
      <c r="J471" s="3">
        <v>160000</v>
      </c>
      <c r="K471" s="3">
        <v>123600</v>
      </c>
      <c r="L471" t="s">
        <v>96</v>
      </c>
      <c r="M471" t="s">
        <v>37</v>
      </c>
      <c r="N471" t="s">
        <v>52</v>
      </c>
      <c r="O471" t="s">
        <v>45</v>
      </c>
    </row>
    <row r="472" spans="1:15" x14ac:dyDescent="0.35">
      <c r="A472" t="s">
        <v>1151</v>
      </c>
      <c r="B472" s="2">
        <v>46240</v>
      </c>
      <c r="C472" t="s">
        <v>1152</v>
      </c>
      <c r="D472" t="s">
        <v>403</v>
      </c>
      <c r="E472" t="s">
        <v>18</v>
      </c>
      <c r="F472" t="s">
        <v>18</v>
      </c>
      <c r="G472" t="s">
        <v>19</v>
      </c>
      <c r="H472" t="s">
        <v>20</v>
      </c>
      <c r="I472">
        <v>5</v>
      </c>
      <c r="J472" s="3">
        <v>61800</v>
      </c>
      <c r="K472" s="3">
        <v>46400</v>
      </c>
      <c r="L472" t="s">
        <v>73</v>
      </c>
      <c r="M472" t="s">
        <v>22</v>
      </c>
      <c r="N472" t="s">
        <v>87</v>
      </c>
      <c r="O472" t="s">
        <v>24</v>
      </c>
    </row>
    <row r="473" spans="1:15" x14ac:dyDescent="0.35">
      <c r="A473" t="s">
        <v>1153</v>
      </c>
      <c r="B473" s="2">
        <v>46299</v>
      </c>
      <c r="C473" t="s">
        <v>393</v>
      </c>
      <c r="D473" t="s">
        <v>1154</v>
      </c>
      <c r="E473" t="s">
        <v>18</v>
      </c>
      <c r="F473" t="s">
        <v>18</v>
      </c>
      <c r="G473" t="s">
        <v>34</v>
      </c>
      <c r="H473" t="s">
        <v>95</v>
      </c>
      <c r="I473">
        <v>5</v>
      </c>
      <c r="J473" s="3">
        <v>450000</v>
      </c>
      <c r="K473" s="3">
        <v>358900</v>
      </c>
      <c r="L473" t="s">
        <v>73</v>
      </c>
      <c r="M473" t="s">
        <v>37</v>
      </c>
      <c r="N473" t="s">
        <v>52</v>
      </c>
      <c r="O473" t="s">
        <v>45</v>
      </c>
    </row>
    <row r="474" spans="1:15" x14ac:dyDescent="0.35">
      <c r="A474" t="s">
        <v>1155</v>
      </c>
      <c r="B474" s="2">
        <v>46198</v>
      </c>
      <c r="C474" t="s">
        <v>1156</v>
      </c>
      <c r="D474" t="s">
        <v>1157</v>
      </c>
      <c r="E474" t="s">
        <v>190</v>
      </c>
      <c r="F474" t="s">
        <v>191</v>
      </c>
      <c r="G474" t="s">
        <v>19</v>
      </c>
      <c r="H474" t="s">
        <v>20</v>
      </c>
      <c r="I474">
        <v>1</v>
      </c>
      <c r="J474" s="3">
        <v>61800</v>
      </c>
      <c r="K474" s="3">
        <v>45000</v>
      </c>
      <c r="L474" t="s">
        <v>73</v>
      </c>
      <c r="M474" t="s">
        <v>51</v>
      </c>
      <c r="N474" t="s">
        <v>23</v>
      </c>
      <c r="O474" t="s">
        <v>24</v>
      </c>
    </row>
    <row r="475" spans="1:15" x14ac:dyDescent="0.35">
      <c r="A475" t="s">
        <v>1158</v>
      </c>
      <c r="B475" s="2">
        <v>46127</v>
      </c>
      <c r="C475" t="s">
        <v>323</v>
      </c>
      <c r="D475" t="s">
        <v>356</v>
      </c>
      <c r="E475" t="s">
        <v>18</v>
      </c>
      <c r="F475" t="s">
        <v>18</v>
      </c>
      <c r="G475" t="s">
        <v>43</v>
      </c>
      <c r="H475" t="s">
        <v>49</v>
      </c>
      <c r="I475">
        <v>4</v>
      </c>
      <c r="J475" s="3">
        <v>8600</v>
      </c>
      <c r="K475" s="3">
        <v>5600</v>
      </c>
      <c r="L475" t="s">
        <v>30</v>
      </c>
      <c r="M475" t="s">
        <v>22</v>
      </c>
      <c r="N475" t="s">
        <v>52</v>
      </c>
      <c r="O475" t="s">
        <v>91</v>
      </c>
    </row>
    <row r="476" spans="1:15" x14ac:dyDescent="0.35">
      <c r="A476" t="s">
        <v>1159</v>
      </c>
      <c r="B476" s="2">
        <v>46377</v>
      </c>
      <c r="C476" t="s">
        <v>1160</v>
      </c>
      <c r="D476" t="s">
        <v>549</v>
      </c>
      <c r="E476" t="s">
        <v>70</v>
      </c>
      <c r="F476" t="s">
        <v>71</v>
      </c>
      <c r="G476" t="s">
        <v>34</v>
      </c>
      <c r="H476" t="s">
        <v>158</v>
      </c>
      <c r="I476">
        <v>7</v>
      </c>
      <c r="J476" s="3">
        <v>90200</v>
      </c>
      <c r="K476" s="3">
        <v>72100</v>
      </c>
      <c r="L476" t="s">
        <v>50</v>
      </c>
      <c r="M476" t="s">
        <v>31</v>
      </c>
      <c r="N476" t="s">
        <v>87</v>
      </c>
      <c r="O476" t="s">
        <v>24</v>
      </c>
    </row>
    <row r="477" spans="1:15" x14ac:dyDescent="0.35">
      <c r="A477" t="s">
        <v>1161</v>
      </c>
      <c r="B477" s="2">
        <v>46246</v>
      </c>
      <c r="C477" t="s">
        <v>1162</v>
      </c>
      <c r="D477" t="s">
        <v>184</v>
      </c>
      <c r="E477" t="s">
        <v>77</v>
      </c>
      <c r="F477" t="s">
        <v>78</v>
      </c>
      <c r="G477" t="s">
        <v>34</v>
      </c>
      <c r="H477" t="s">
        <v>95</v>
      </c>
      <c r="I477">
        <v>3</v>
      </c>
      <c r="J477" s="3">
        <v>427500</v>
      </c>
      <c r="K477" s="3">
        <v>381100</v>
      </c>
      <c r="L477" t="s">
        <v>80</v>
      </c>
      <c r="M477" t="s">
        <v>51</v>
      </c>
      <c r="N477" t="s">
        <v>52</v>
      </c>
      <c r="O477" t="s">
        <v>24</v>
      </c>
    </row>
    <row r="478" spans="1:15" x14ac:dyDescent="0.35">
      <c r="A478" t="s">
        <v>1163</v>
      </c>
      <c r="B478" s="2">
        <v>46341</v>
      </c>
      <c r="C478" t="s">
        <v>1164</v>
      </c>
      <c r="D478" t="s">
        <v>127</v>
      </c>
      <c r="E478" t="s">
        <v>41</v>
      </c>
      <c r="F478" t="s">
        <v>42</v>
      </c>
      <c r="G478" t="s">
        <v>34</v>
      </c>
      <c r="H478" t="s">
        <v>141</v>
      </c>
      <c r="I478">
        <v>5</v>
      </c>
      <c r="J478" s="3">
        <v>168000</v>
      </c>
      <c r="K478" s="3">
        <v>116400</v>
      </c>
      <c r="L478" t="s">
        <v>66</v>
      </c>
      <c r="M478" t="s">
        <v>51</v>
      </c>
      <c r="N478" t="s">
        <v>52</v>
      </c>
      <c r="O478" t="s">
        <v>91</v>
      </c>
    </row>
    <row r="479" spans="1:15" x14ac:dyDescent="0.35">
      <c r="A479" t="s">
        <v>1165</v>
      </c>
      <c r="B479" s="2">
        <v>46256</v>
      </c>
      <c r="C479" t="s">
        <v>1166</v>
      </c>
      <c r="D479" t="s">
        <v>354</v>
      </c>
      <c r="E479" t="s">
        <v>56</v>
      </c>
      <c r="F479" t="s">
        <v>57</v>
      </c>
      <c r="G479" t="s">
        <v>19</v>
      </c>
      <c r="H479" t="s">
        <v>20</v>
      </c>
      <c r="I479">
        <v>2</v>
      </c>
      <c r="J479" s="3">
        <v>68200</v>
      </c>
      <c r="K479" s="3">
        <v>46400</v>
      </c>
      <c r="L479" t="s">
        <v>30</v>
      </c>
      <c r="M479" t="s">
        <v>31</v>
      </c>
      <c r="N479" t="s">
        <v>52</v>
      </c>
      <c r="O479" t="s">
        <v>24</v>
      </c>
    </row>
    <row r="480" spans="1:15" x14ac:dyDescent="0.35">
      <c r="A480" t="s">
        <v>1167</v>
      </c>
      <c r="B480" s="2">
        <v>46101</v>
      </c>
      <c r="C480" t="s">
        <v>805</v>
      </c>
      <c r="D480" t="s">
        <v>69</v>
      </c>
      <c r="E480" t="s">
        <v>190</v>
      </c>
      <c r="F480" t="s">
        <v>191</v>
      </c>
      <c r="G480" t="s">
        <v>34</v>
      </c>
      <c r="H480" t="s">
        <v>141</v>
      </c>
      <c r="I480">
        <v>8</v>
      </c>
      <c r="J480" s="3">
        <v>160000</v>
      </c>
      <c r="K480" s="3">
        <v>116400</v>
      </c>
      <c r="L480" t="s">
        <v>73</v>
      </c>
      <c r="M480" t="s">
        <v>37</v>
      </c>
      <c r="N480" t="s">
        <v>23</v>
      </c>
      <c r="O480" t="s">
        <v>24</v>
      </c>
    </row>
    <row r="481" spans="1:15" x14ac:dyDescent="0.35">
      <c r="A481" t="s">
        <v>1168</v>
      </c>
      <c r="B481" s="2">
        <v>46244</v>
      </c>
      <c r="C481" t="s">
        <v>117</v>
      </c>
      <c r="D481" t="s">
        <v>180</v>
      </c>
      <c r="E481" t="s">
        <v>41</v>
      </c>
      <c r="F481" t="s">
        <v>42</v>
      </c>
      <c r="G481" t="s">
        <v>43</v>
      </c>
      <c r="H481" t="s">
        <v>79</v>
      </c>
      <c r="I481">
        <v>3</v>
      </c>
      <c r="J481" s="3">
        <v>6000</v>
      </c>
      <c r="K481" s="3">
        <v>4100</v>
      </c>
      <c r="L481" t="s">
        <v>96</v>
      </c>
      <c r="M481" t="s">
        <v>51</v>
      </c>
      <c r="N481" t="s">
        <v>52</v>
      </c>
      <c r="O481" t="s">
        <v>24</v>
      </c>
    </row>
    <row r="482" spans="1:15" x14ac:dyDescent="0.35">
      <c r="A482" t="s">
        <v>1169</v>
      </c>
      <c r="B482" s="2">
        <v>46096</v>
      </c>
      <c r="C482" t="s">
        <v>1170</v>
      </c>
      <c r="D482" t="s">
        <v>1171</v>
      </c>
      <c r="E482" t="s">
        <v>18</v>
      </c>
      <c r="F482" t="s">
        <v>18</v>
      </c>
      <c r="G482" t="s">
        <v>43</v>
      </c>
      <c r="H482" t="s">
        <v>162</v>
      </c>
      <c r="I482">
        <v>7</v>
      </c>
      <c r="J482" s="3">
        <v>7600</v>
      </c>
      <c r="K482" s="3">
        <v>4800</v>
      </c>
      <c r="L482" t="s">
        <v>66</v>
      </c>
      <c r="M482" t="s">
        <v>51</v>
      </c>
      <c r="N482" t="s">
        <v>87</v>
      </c>
      <c r="O482" t="s">
        <v>24</v>
      </c>
    </row>
    <row r="483" spans="1:15" x14ac:dyDescent="0.35">
      <c r="A483" t="s">
        <v>1172</v>
      </c>
      <c r="B483" s="2">
        <v>46167</v>
      </c>
      <c r="C483" t="s">
        <v>481</v>
      </c>
      <c r="D483" t="s">
        <v>700</v>
      </c>
      <c r="E483" t="s">
        <v>156</v>
      </c>
      <c r="F483" t="s">
        <v>170</v>
      </c>
      <c r="G483" t="s">
        <v>19</v>
      </c>
      <c r="H483" t="s">
        <v>61</v>
      </c>
      <c r="I483">
        <v>8</v>
      </c>
      <c r="J483" s="3">
        <v>220000</v>
      </c>
      <c r="K483" s="3">
        <v>160000</v>
      </c>
      <c r="L483" t="s">
        <v>73</v>
      </c>
      <c r="M483" t="s">
        <v>51</v>
      </c>
      <c r="N483" t="s">
        <v>87</v>
      </c>
      <c r="O483" t="s">
        <v>91</v>
      </c>
    </row>
    <row r="484" spans="1:15" x14ac:dyDescent="0.35">
      <c r="A484" t="s">
        <v>1173</v>
      </c>
      <c r="B484" s="2">
        <v>46258</v>
      </c>
      <c r="C484" t="s">
        <v>562</v>
      </c>
      <c r="D484" t="s">
        <v>1174</v>
      </c>
      <c r="E484" t="s">
        <v>77</v>
      </c>
      <c r="F484" t="s">
        <v>78</v>
      </c>
      <c r="G484" t="s">
        <v>19</v>
      </c>
      <c r="H484" t="s">
        <v>166</v>
      </c>
      <c r="I484">
        <v>6</v>
      </c>
      <c r="J484" s="3">
        <v>133000</v>
      </c>
      <c r="K484" s="3">
        <v>97000</v>
      </c>
      <c r="L484" t="s">
        <v>80</v>
      </c>
      <c r="M484" t="s">
        <v>51</v>
      </c>
      <c r="N484" t="s">
        <v>23</v>
      </c>
      <c r="O484" t="s">
        <v>24</v>
      </c>
    </row>
    <row r="485" spans="1:15" x14ac:dyDescent="0.35">
      <c r="A485" t="s">
        <v>1175</v>
      </c>
      <c r="B485" s="2">
        <v>46285</v>
      </c>
      <c r="C485" t="s">
        <v>664</v>
      </c>
      <c r="D485" t="s">
        <v>1157</v>
      </c>
      <c r="E485" t="s">
        <v>56</v>
      </c>
      <c r="F485" t="s">
        <v>57</v>
      </c>
      <c r="G485" t="s">
        <v>43</v>
      </c>
      <c r="H485" t="s">
        <v>162</v>
      </c>
      <c r="I485">
        <v>1</v>
      </c>
      <c r="J485" s="3">
        <v>7600</v>
      </c>
      <c r="K485" s="3">
        <v>5000</v>
      </c>
      <c r="L485" t="s">
        <v>36</v>
      </c>
      <c r="M485" t="s">
        <v>22</v>
      </c>
      <c r="N485" t="s">
        <v>52</v>
      </c>
      <c r="O485" t="s">
        <v>45</v>
      </c>
    </row>
    <row r="486" spans="1:15" x14ac:dyDescent="0.35">
      <c r="A486" t="s">
        <v>1176</v>
      </c>
      <c r="B486" s="2">
        <v>46295</v>
      </c>
      <c r="C486" t="s">
        <v>217</v>
      </c>
      <c r="D486" t="s">
        <v>137</v>
      </c>
      <c r="E486" t="s">
        <v>18</v>
      </c>
      <c r="F486" t="s">
        <v>18</v>
      </c>
      <c r="G486" t="s">
        <v>34</v>
      </c>
      <c r="H486" t="s">
        <v>141</v>
      </c>
      <c r="I486">
        <v>1</v>
      </c>
      <c r="J486" s="3">
        <v>160000</v>
      </c>
      <c r="K486" s="3">
        <v>120000</v>
      </c>
      <c r="L486" t="s">
        <v>80</v>
      </c>
      <c r="M486" t="s">
        <v>37</v>
      </c>
      <c r="N486" t="s">
        <v>1177</v>
      </c>
      <c r="O486" t="s">
        <v>45</v>
      </c>
    </row>
    <row r="487" spans="1:15" x14ac:dyDescent="0.35">
      <c r="A487" t="s">
        <v>1178</v>
      </c>
      <c r="B487" s="2">
        <v>46243</v>
      </c>
      <c r="C487" t="s">
        <v>293</v>
      </c>
      <c r="D487" t="s">
        <v>1179</v>
      </c>
      <c r="E487" t="s">
        <v>41</v>
      </c>
      <c r="F487" t="s">
        <v>42</v>
      </c>
      <c r="G487" t="s">
        <v>28</v>
      </c>
      <c r="H487" t="s">
        <v>72</v>
      </c>
      <c r="I487">
        <v>6</v>
      </c>
      <c r="J487" s="3">
        <v>9500</v>
      </c>
      <c r="K487" s="3">
        <v>6000</v>
      </c>
      <c r="L487" t="s">
        <v>66</v>
      </c>
      <c r="M487" t="s">
        <v>22</v>
      </c>
      <c r="N487" t="s">
        <v>52</v>
      </c>
      <c r="O487" t="s">
        <v>24</v>
      </c>
    </row>
    <row r="488" spans="1:15" x14ac:dyDescent="0.35">
      <c r="A488" t="s">
        <v>1180</v>
      </c>
      <c r="B488" s="2">
        <v>46043</v>
      </c>
      <c r="C488" t="s">
        <v>183</v>
      </c>
      <c r="D488" t="s">
        <v>1181</v>
      </c>
      <c r="E488" t="s">
        <v>84</v>
      </c>
      <c r="F488" t="s">
        <v>85</v>
      </c>
      <c r="G488" t="s">
        <v>34</v>
      </c>
      <c r="H488" t="s">
        <v>95</v>
      </c>
      <c r="I488">
        <v>10</v>
      </c>
      <c r="J488" s="3">
        <v>450000</v>
      </c>
      <c r="K488" s="3">
        <v>381100</v>
      </c>
      <c r="L488" t="s">
        <v>30</v>
      </c>
      <c r="M488" t="s">
        <v>37</v>
      </c>
      <c r="N488" t="s">
        <v>87</v>
      </c>
      <c r="O488" t="s">
        <v>45</v>
      </c>
    </row>
    <row r="489" spans="1:15" x14ac:dyDescent="0.35">
      <c r="A489" t="s">
        <v>1182</v>
      </c>
      <c r="B489" s="2">
        <v>46370</v>
      </c>
      <c r="C489" t="s">
        <v>1183</v>
      </c>
      <c r="D489" t="s">
        <v>784</v>
      </c>
      <c r="E489" t="s">
        <v>70</v>
      </c>
      <c r="F489" t="s">
        <v>71</v>
      </c>
      <c r="G489" t="s">
        <v>28</v>
      </c>
      <c r="H489" t="s">
        <v>248</v>
      </c>
      <c r="I489">
        <v>8</v>
      </c>
      <c r="J489" s="3">
        <v>25000</v>
      </c>
      <c r="K489" s="3">
        <v>15500</v>
      </c>
      <c r="L489" t="s">
        <v>96</v>
      </c>
      <c r="M489" t="s">
        <v>51</v>
      </c>
      <c r="N489" t="s">
        <v>52</v>
      </c>
      <c r="O489" t="s">
        <v>45</v>
      </c>
    </row>
    <row r="490" spans="1:15" x14ac:dyDescent="0.35">
      <c r="A490" t="s">
        <v>1184</v>
      </c>
      <c r="B490" s="2">
        <v>46349</v>
      </c>
      <c r="C490" t="s">
        <v>1185</v>
      </c>
      <c r="D490" t="s">
        <v>118</v>
      </c>
      <c r="E490" t="s">
        <v>77</v>
      </c>
      <c r="F490" t="s">
        <v>78</v>
      </c>
      <c r="G490" t="s">
        <v>43</v>
      </c>
      <c r="H490" t="s">
        <v>44</v>
      </c>
      <c r="I490">
        <v>5</v>
      </c>
      <c r="J490" s="3">
        <v>15000</v>
      </c>
      <c r="K490" s="3">
        <v>9800</v>
      </c>
      <c r="L490" t="s">
        <v>21</v>
      </c>
      <c r="M490" t="s">
        <v>31</v>
      </c>
      <c r="N490" t="s">
        <v>87</v>
      </c>
      <c r="O490" t="s">
        <v>91</v>
      </c>
    </row>
    <row r="491" spans="1:15" x14ac:dyDescent="0.35">
      <c r="A491" t="s">
        <v>1186</v>
      </c>
      <c r="B491" s="2">
        <v>46205</v>
      </c>
      <c r="C491" t="s">
        <v>788</v>
      </c>
      <c r="D491" t="s">
        <v>594</v>
      </c>
      <c r="E491" t="s">
        <v>18</v>
      </c>
      <c r="F491" t="s">
        <v>18</v>
      </c>
      <c r="G491" t="s">
        <v>28</v>
      </c>
      <c r="H491" t="s">
        <v>29</v>
      </c>
      <c r="I491">
        <v>1</v>
      </c>
      <c r="J491" s="3">
        <v>6600</v>
      </c>
      <c r="K491" s="3">
        <v>4000</v>
      </c>
      <c r="L491" t="s">
        <v>80</v>
      </c>
      <c r="M491" t="s">
        <v>37</v>
      </c>
      <c r="N491" t="s">
        <v>52</v>
      </c>
      <c r="O491" t="s">
        <v>24</v>
      </c>
    </row>
    <row r="492" spans="1:15" x14ac:dyDescent="0.35">
      <c r="A492" t="s">
        <v>1187</v>
      </c>
      <c r="B492" s="2">
        <v>46381</v>
      </c>
      <c r="C492" t="s">
        <v>164</v>
      </c>
      <c r="D492" t="s">
        <v>447</v>
      </c>
      <c r="E492" t="s">
        <v>156</v>
      </c>
      <c r="F492" t="s">
        <v>170</v>
      </c>
      <c r="G492" t="s">
        <v>19</v>
      </c>
      <c r="H492" t="s">
        <v>112</v>
      </c>
      <c r="I492">
        <v>6</v>
      </c>
      <c r="J492" s="3">
        <v>89200</v>
      </c>
      <c r="K492" s="3">
        <v>60100</v>
      </c>
      <c r="L492" t="s">
        <v>30</v>
      </c>
      <c r="M492" t="s">
        <v>22</v>
      </c>
      <c r="N492" t="s">
        <v>52</v>
      </c>
      <c r="O492" t="s">
        <v>91</v>
      </c>
    </row>
    <row r="493" spans="1:15" x14ac:dyDescent="0.35">
      <c r="A493" t="s">
        <v>1188</v>
      </c>
      <c r="B493" s="2">
        <v>46167</v>
      </c>
      <c r="C493" t="s">
        <v>934</v>
      </c>
      <c r="D493" t="s">
        <v>1189</v>
      </c>
      <c r="E493" t="s">
        <v>156</v>
      </c>
      <c r="F493" t="s">
        <v>170</v>
      </c>
      <c r="G493" t="s">
        <v>34</v>
      </c>
      <c r="H493" t="s">
        <v>35</v>
      </c>
      <c r="I493">
        <v>6</v>
      </c>
      <c r="J493" s="3">
        <v>55000</v>
      </c>
      <c r="K493" s="3">
        <v>37800</v>
      </c>
      <c r="L493" t="s">
        <v>30</v>
      </c>
      <c r="M493" t="s">
        <v>37</v>
      </c>
      <c r="N493" t="s">
        <v>52</v>
      </c>
      <c r="O493" t="s">
        <v>24</v>
      </c>
    </row>
    <row r="494" spans="1:15" x14ac:dyDescent="0.35">
      <c r="A494" t="s">
        <v>1190</v>
      </c>
      <c r="B494" s="2">
        <v>46338</v>
      </c>
      <c r="C494" t="s">
        <v>461</v>
      </c>
      <c r="D494" t="s">
        <v>1057</v>
      </c>
      <c r="E494" t="s">
        <v>18</v>
      </c>
      <c r="F494" t="s">
        <v>18</v>
      </c>
      <c r="G494" t="s">
        <v>28</v>
      </c>
      <c r="H494" t="s">
        <v>72</v>
      </c>
      <c r="I494">
        <v>1</v>
      </c>
      <c r="J494" s="3">
        <v>10000</v>
      </c>
      <c r="K494" s="3">
        <v>6000</v>
      </c>
      <c r="L494" t="s">
        <v>30</v>
      </c>
      <c r="M494" t="s">
        <v>51</v>
      </c>
      <c r="N494" t="s">
        <v>23</v>
      </c>
      <c r="O494" t="s">
        <v>91</v>
      </c>
    </row>
    <row r="495" spans="1:15" x14ac:dyDescent="0.35">
      <c r="A495" t="s">
        <v>1191</v>
      </c>
      <c r="B495" s="2">
        <v>46054</v>
      </c>
      <c r="C495" t="s">
        <v>1192</v>
      </c>
      <c r="D495" t="s">
        <v>660</v>
      </c>
      <c r="E495" t="s">
        <v>156</v>
      </c>
      <c r="F495" t="s">
        <v>157</v>
      </c>
      <c r="G495" t="s">
        <v>34</v>
      </c>
      <c r="H495" t="s">
        <v>158</v>
      </c>
      <c r="I495">
        <v>10</v>
      </c>
      <c r="J495" s="3">
        <v>95000</v>
      </c>
      <c r="K495" s="3">
        <v>72100</v>
      </c>
      <c r="L495" t="s">
        <v>66</v>
      </c>
      <c r="M495" t="s">
        <v>22</v>
      </c>
      <c r="N495" t="s">
        <v>52</v>
      </c>
      <c r="O495" t="s">
        <v>91</v>
      </c>
    </row>
    <row r="496" spans="1:15" x14ac:dyDescent="0.35">
      <c r="A496" t="s">
        <v>1193</v>
      </c>
      <c r="B496" s="2">
        <v>46278</v>
      </c>
      <c r="C496" t="s">
        <v>1194</v>
      </c>
      <c r="D496" t="s">
        <v>1195</v>
      </c>
      <c r="E496" t="s">
        <v>190</v>
      </c>
      <c r="F496" t="s">
        <v>191</v>
      </c>
      <c r="G496" t="s">
        <v>19</v>
      </c>
      <c r="H496" t="s">
        <v>61</v>
      </c>
      <c r="I496">
        <v>8</v>
      </c>
      <c r="J496" s="3">
        <v>231000</v>
      </c>
      <c r="K496" s="3">
        <v>160000</v>
      </c>
      <c r="L496" t="s">
        <v>96</v>
      </c>
      <c r="M496" t="s">
        <v>37</v>
      </c>
      <c r="N496" t="s">
        <v>52</v>
      </c>
      <c r="O496" t="s">
        <v>24</v>
      </c>
    </row>
    <row r="497" spans="1:15" x14ac:dyDescent="0.35">
      <c r="A497" t="s">
        <v>1196</v>
      </c>
      <c r="B497" s="2">
        <v>46372</v>
      </c>
      <c r="C497" t="s">
        <v>707</v>
      </c>
      <c r="D497" t="s">
        <v>1197</v>
      </c>
      <c r="E497" t="s">
        <v>18</v>
      </c>
      <c r="F497" t="s">
        <v>18</v>
      </c>
      <c r="G497" t="s">
        <v>43</v>
      </c>
      <c r="H497" t="s">
        <v>49</v>
      </c>
      <c r="I497">
        <v>7</v>
      </c>
      <c r="J497" s="3">
        <v>9000</v>
      </c>
      <c r="K497" s="3">
        <v>6000</v>
      </c>
      <c r="L497" t="s">
        <v>50</v>
      </c>
      <c r="M497" t="s">
        <v>37</v>
      </c>
      <c r="N497" t="s">
        <v>23</v>
      </c>
      <c r="O497" t="s">
        <v>24</v>
      </c>
    </row>
    <row r="498" spans="1:15" x14ac:dyDescent="0.35">
      <c r="A498" t="s">
        <v>1198</v>
      </c>
      <c r="B498" s="2">
        <v>46342</v>
      </c>
      <c r="C498" t="s">
        <v>938</v>
      </c>
      <c r="D498" t="s">
        <v>155</v>
      </c>
      <c r="E498" t="s">
        <v>56</v>
      </c>
      <c r="F498" t="s">
        <v>57</v>
      </c>
      <c r="G498" t="s">
        <v>28</v>
      </c>
      <c r="H498" t="s">
        <v>131</v>
      </c>
      <c r="I498">
        <v>6</v>
      </c>
      <c r="J498" s="3">
        <v>30000</v>
      </c>
      <c r="K498" s="3">
        <v>18400</v>
      </c>
      <c r="L498" t="s">
        <v>73</v>
      </c>
      <c r="M498" t="s">
        <v>51</v>
      </c>
      <c r="N498" t="s">
        <v>52</v>
      </c>
      <c r="O498" t="s">
        <v>24</v>
      </c>
    </row>
    <row r="499" spans="1:15" x14ac:dyDescent="0.35">
      <c r="A499" t="s">
        <v>1199</v>
      </c>
      <c r="B499" s="2">
        <v>46126</v>
      </c>
      <c r="C499" t="s">
        <v>749</v>
      </c>
      <c r="D499" t="s">
        <v>814</v>
      </c>
      <c r="E499" t="s">
        <v>18</v>
      </c>
      <c r="F499" t="s">
        <v>18</v>
      </c>
      <c r="G499" t="s">
        <v>43</v>
      </c>
      <c r="H499" t="s">
        <v>177</v>
      </c>
      <c r="I499">
        <v>7</v>
      </c>
      <c r="J499" s="3">
        <v>17100</v>
      </c>
      <c r="K499" s="3">
        <v>12900</v>
      </c>
      <c r="L499" t="s">
        <v>96</v>
      </c>
      <c r="M499" t="s">
        <v>37</v>
      </c>
      <c r="N499" t="s">
        <v>23</v>
      </c>
      <c r="O499" t="s">
        <v>24</v>
      </c>
    </row>
    <row r="500" spans="1:15" x14ac:dyDescent="0.35">
      <c r="A500" t="s">
        <v>1200</v>
      </c>
      <c r="B500" s="2">
        <v>46176</v>
      </c>
      <c r="C500" t="s">
        <v>1201</v>
      </c>
      <c r="D500" t="s">
        <v>1202</v>
      </c>
      <c r="E500" t="s">
        <v>18</v>
      </c>
      <c r="F500" t="s">
        <v>18</v>
      </c>
      <c r="G500" t="s">
        <v>34</v>
      </c>
      <c r="H500" t="s">
        <v>86</v>
      </c>
      <c r="I500">
        <v>8</v>
      </c>
      <c r="J500" s="3">
        <v>189000</v>
      </c>
      <c r="K500" s="3">
        <v>139000</v>
      </c>
      <c r="L500" t="s">
        <v>30</v>
      </c>
      <c r="M500" t="s">
        <v>37</v>
      </c>
      <c r="N500" t="s">
        <v>23</v>
      </c>
      <c r="O500" t="s">
        <v>45</v>
      </c>
    </row>
    <row r="501" spans="1:15" x14ac:dyDescent="0.35">
      <c r="A501" t="s">
        <v>1203</v>
      </c>
      <c r="B501" s="2">
        <v>46155</v>
      </c>
      <c r="C501" t="s">
        <v>564</v>
      </c>
      <c r="D501" t="s">
        <v>1204</v>
      </c>
      <c r="E501" t="s">
        <v>77</v>
      </c>
      <c r="F501" t="s">
        <v>78</v>
      </c>
      <c r="G501" t="s">
        <v>28</v>
      </c>
      <c r="H501" t="s">
        <v>131</v>
      </c>
      <c r="I501">
        <v>10</v>
      </c>
      <c r="J501" s="3">
        <v>31500</v>
      </c>
      <c r="K501" s="3">
        <v>19000</v>
      </c>
      <c r="L501" t="s">
        <v>80</v>
      </c>
      <c r="M501" t="s">
        <v>22</v>
      </c>
      <c r="N501" t="s">
        <v>52</v>
      </c>
      <c r="O501" t="s">
        <v>24</v>
      </c>
    </row>
    <row r="502" spans="1:15" x14ac:dyDescent="0.35">
      <c r="A502" t="s">
        <v>1205</v>
      </c>
      <c r="B502" s="2">
        <v>46049</v>
      </c>
      <c r="C502" t="s">
        <v>123</v>
      </c>
      <c r="D502" t="s">
        <v>909</v>
      </c>
      <c r="E502" t="s">
        <v>41</v>
      </c>
      <c r="F502" t="s">
        <v>42</v>
      </c>
      <c r="G502" t="s">
        <v>34</v>
      </c>
      <c r="H502" t="s">
        <v>141</v>
      </c>
      <c r="I502">
        <v>3</v>
      </c>
      <c r="J502" s="3">
        <v>160000</v>
      </c>
      <c r="K502" s="3">
        <v>123600</v>
      </c>
      <c r="L502" t="s">
        <v>73</v>
      </c>
      <c r="M502" t="s">
        <v>51</v>
      </c>
      <c r="N502" t="s">
        <v>87</v>
      </c>
      <c r="O502" t="s">
        <v>24</v>
      </c>
    </row>
    <row r="503" spans="1:15" x14ac:dyDescent="0.35">
      <c r="A503" t="s">
        <v>1206</v>
      </c>
      <c r="B503" s="2">
        <v>46193</v>
      </c>
      <c r="C503" t="s">
        <v>1207</v>
      </c>
      <c r="D503" t="s">
        <v>904</v>
      </c>
      <c r="E503" t="s">
        <v>18</v>
      </c>
      <c r="F503" t="s">
        <v>18</v>
      </c>
      <c r="G503" t="s">
        <v>28</v>
      </c>
      <c r="H503" t="s">
        <v>72</v>
      </c>
      <c r="I503">
        <v>2</v>
      </c>
      <c r="J503" s="3">
        <v>10500</v>
      </c>
      <c r="K503" s="3">
        <v>6000</v>
      </c>
      <c r="L503" t="s">
        <v>36</v>
      </c>
      <c r="M503" t="s">
        <v>37</v>
      </c>
      <c r="N503" t="s">
        <v>87</v>
      </c>
      <c r="O503" t="s">
        <v>24</v>
      </c>
    </row>
    <row r="504" spans="1:15" x14ac:dyDescent="0.35">
      <c r="A504" t="s">
        <v>1208</v>
      </c>
      <c r="B504" s="2">
        <v>46129</v>
      </c>
      <c r="C504" t="s">
        <v>446</v>
      </c>
      <c r="D504" t="s">
        <v>516</v>
      </c>
      <c r="E504" t="s">
        <v>84</v>
      </c>
      <c r="F504" t="s">
        <v>85</v>
      </c>
      <c r="G504" t="s">
        <v>28</v>
      </c>
      <c r="H504" t="s">
        <v>72</v>
      </c>
      <c r="I504">
        <v>6</v>
      </c>
      <c r="J504" s="3">
        <v>10000</v>
      </c>
      <c r="K504" s="3">
        <v>6400</v>
      </c>
      <c r="L504" t="s">
        <v>36</v>
      </c>
      <c r="M504" t="s">
        <v>31</v>
      </c>
      <c r="N504" t="s">
        <v>52</v>
      </c>
      <c r="O504" t="s">
        <v>24</v>
      </c>
    </row>
    <row r="505" spans="1:15" x14ac:dyDescent="0.35">
      <c r="A505" t="s">
        <v>1209</v>
      </c>
      <c r="B505" s="2">
        <v>46192</v>
      </c>
      <c r="C505" t="s">
        <v>1210</v>
      </c>
      <c r="D505" t="s">
        <v>187</v>
      </c>
      <c r="E505" t="s">
        <v>156</v>
      </c>
      <c r="F505" t="s">
        <v>157</v>
      </c>
      <c r="G505" t="s">
        <v>34</v>
      </c>
      <c r="H505" t="s">
        <v>86</v>
      </c>
      <c r="I505">
        <v>10</v>
      </c>
      <c r="J505" s="3">
        <v>171000</v>
      </c>
      <c r="K505" s="3">
        <v>135000</v>
      </c>
      <c r="L505" t="s">
        <v>96</v>
      </c>
      <c r="M505" t="s">
        <v>51</v>
      </c>
      <c r="N505" t="s">
        <v>87</v>
      </c>
      <c r="O505" t="s">
        <v>24</v>
      </c>
    </row>
    <row r="506" spans="1:15" x14ac:dyDescent="0.35">
      <c r="A506" t="s">
        <v>1211</v>
      </c>
      <c r="B506" s="2">
        <v>46244</v>
      </c>
      <c r="C506" t="s">
        <v>850</v>
      </c>
      <c r="D506" t="s">
        <v>391</v>
      </c>
      <c r="E506" t="s">
        <v>18</v>
      </c>
      <c r="F506" t="s">
        <v>18</v>
      </c>
      <c r="G506" t="s">
        <v>34</v>
      </c>
      <c r="H506" t="s">
        <v>35</v>
      </c>
      <c r="I506">
        <v>5</v>
      </c>
      <c r="J506" s="3">
        <v>57800</v>
      </c>
      <c r="K506" s="3">
        <v>37800</v>
      </c>
      <c r="L506" t="s">
        <v>73</v>
      </c>
      <c r="M506" t="s">
        <v>51</v>
      </c>
      <c r="N506" t="s">
        <v>52</v>
      </c>
      <c r="O506" t="s">
        <v>24</v>
      </c>
    </row>
    <row r="507" spans="1:15" x14ac:dyDescent="0.35">
      <c r="A507" t="s">
        <v>1212</v>
      </c>
      <c r="B507" s="2">
        <v>46104</v>
      </c>
      <c r="C507" t="s">
        <v>269</v>
      </c>
      <c r="D507" t="s">
        <v>833</v>
      </c>
      <c r="E507" t="s">
        <v>70</v>
      </c>
      <c r="F507" t="s">
        <v>71</v>
      </c>
      <c r="G507" t="s">
        <v>28</v>
      </c>
      <c r="H507" t="s">
        <v>72</v>
      </c>
      <c r="I507">
        <v>1</v>
      </c>
      <c r="J507" s="3">
        <v>10000</v>
      </c>
      <c r="K507" s="3">
        <v>6200</v>
      </c>
      <c r="L507" t="s">
        <v>73</v>
      </c>
      <c r="M507" t="s">
        <v>37</v>
      </c>
      <c r="N507" t="s">
        <v>52</v>
      </c>
      <c r="O507" t="s">
        <v>24</v>
      </c>
    </row>
    <row r="508" spans="1:15" x14ac:dyDescent="0.35">
      <c r="A508" t="s">
        <v>1213</v>
      </c>
      <c r="B508" s="2">
        <v>46030</v>
      </c>
      <c r="C508" t="s">
        <v>1214</v>
      </c>
      <c r="D508" t="s">
        <v>262</v>
      </c>
      <c r="E508" t="s">
        <v>18</v>
      </c>
      <c r="F508" t="s">
        <v>18</v>
      </c>
      <c r="G508" t="s">
        <v>34</v>
      </c>
      <c r="H508" t="s">
        <v>95</v>
      </c>
      <c r="I508">
        <v>3</v>
      </c>
      <c r="J508" s="3">
        <v>450000</v>
      </c>
      <c r="K508" s="3">
        <v>358900</v>
      </c>
      <c r="L508" t="s">
        <v>21</v>
      </c>
      <c r="M508" t="s">
        <v>51</v>
      </c>
      <c r="N508" t="s">
        <v>52</v>
      </c>
      <c r="O508" t="s">
        <v>91</v>
      </c>
    </row>
    <row r="509" spans="1:15" x14ac:dyDescent="0.35">
      <c r="A509" t="s">
        <v>1215</v>
      </c>
      <c r="B509" s="2">
        <v>46173</v>
      </c>
      <c r="C509" t="s">
        <v>1216</v>
      </c>
      <c r="D509" t="s">
        <v>1217</v>
      </c>
      <c r="E509" t="s">
        <v>18</v>
      </c>
      <c r="F509" t="s">
        <v>18</v>
      </c>
      <c r="G509" t="s">
        <v>43</v>
      </c>
      <c r="H509" t="s">
        <v>177</v>
      </c>
      <c r="I509">
        <v>10</v>
      </c>
      <c r="J509" s="3">
        <v>18900</v>
      </c>
      <c r="K509" s="3">
        <v>12500</v>
      </c>
      <c r="L509" t="s">
        <v>21</v>
      </c>
      <c r="M509" t="s">
        <v>22</v>
      </c>
      <c r="N509" t="s">
        <v>23</v>
      </c>
      <c r="O509" t="s">
        <v>24</v>
      </c>
    </row>
    <row r="510" spans="1:15" x14ac:dyDescent="0.35">
      <c r="A510" t="s">
        <v>1218</v>
      </c>
      <c r="B510" s="2">
        <v>46260</v>
      </c>
      <c r="C510" t="s">
        <v>871</v>
      </c>
      <c r="D510" t="s">
        <v>1219</v>
      </c>
      <c r="E510" t="s">
        <v>190</v>
      </c>
      <c r="F510" t="s">
        <v>191</v>
      </c>
      <c r="G510" t="s">
        <v>43</v>
      </c>
      <c r="H510" t="s">
        <v>44</v>
      </c>
      <c r="I510">
        <v>9</v>
      </c>
      <c r="J510" s="3">
        <v>15000</v>
      </c>
      <c r="K510" s="3">
        <v>9200</v>
      </c>
      <c r="L510" t="s">
        <v>21</v>
      </c>
      <c r="M510" t="s">
        <v>37</v>
      </c>
      <c r="N510" t="s">
        <v>23</v>
      </c>
      <c r="O510" t="s">
        <v>24</v>
      </c>
    </row>
    <row r="511" spans="1:15" x14ac:dyDescent="0.35">
      <c r="A511" t="s">
        <v>1220</v>
      </c>
      <c r="B511" s="2">
        <v>46210</v>
      </c>
      <c r="C511" t="s">
        <v>850</v>
      </c>
      <c r="D511" t="s">
        <v>1221</v>
      </c>
      <c r="E511" t="s">
        <v>190</v>
      </c>
      <c r="F511" t="s">
        <v>191</v>
      </c>
      <c r="G511" t="s">
        <v>34</v>
      </c>
      <c r="H511" t="s">
        <v>86</v>
      </c>
      <c r="I511">
        <v>7</v>
      </c>
      <c r="J511" s="3">
        <v>180000</v>
      </c>
      <c r="K511" s="3">
        <v>131000</v>
      </c>
      <c r="L511" t="s">
        <v>96</v>
      </c>
      <c r="M511" t="s">
        <v>37</v>
      </c>
      <c r="N511" t="s">
        <v>52</v>
      </c>
      <c r="O511" t="s">
        <v>24</v>
      </c>
    </row>
    <row r="512" spans="1:15" x14ac:dyDescent="0.35">
      <c r="A512" t="s">
        <v>1222</v>
      </c>
      <c r="B512" s="2">
        <v>46025</v>
      </c>
      <c r="C512" t="s">
        <v>1223</v>
      </c>
      <c r="D512" t="s">
        <v>1224</v>
      </c>
      <c r="E512" t="s">
        <v>70</v>
      </c>
      <c r="F512" t="s">
        <v>71</v>
      </c>
      <c r="G512" t="s">
        <v>34</v>
      </c>
      <c r="H512" t="s">
        <v>141</v>
      </c>
      <c r="I512">
        <v>6</v>
      </c>
      <c r="J512" s="3">
        <v>152000</v>
      </c>
      <c r="K512" s="3">
        <v>123600</v>
      </c>
      <c r="L512" t="s">
        <v>80</v>
      </c>
      <c r="M512" t="s">
        <v>51</v>
      </c>
      <c r="N512" t="s">
        <v>87</v>
      </c>
      <c r="O512" t="s">
        <v>24</v>
      </c>
    </row>
    <row r="513" spans="1:15" x14ac:dyDescent="0.35">
      <c r="A513" t="s">
        <v>1225</v>
      </c>
      <c r="B513" s="2">
        <v>46085</v>
      </c>
      <c r="C513" t="s">
        <v>1226</v>
      </c>
      <c r="D513" t="s">
        <v>329</v>
      </c>
      <c r="E513" t="s">
        <v>18</v>
      </c>
      <c r="F513" t="s">
        <v>18</v>
      </c>
      <c r="G513" t="s">
        <v>28</v>
      </c>
      <c r="H513" t="s">
        <v>131</v>
      </c>
      <c r="I513">
        <v>9</v>
      </c>
      <c r="J513" s="3">
        <v>28500</v>
      </c>
      <c r="K513" s="3">
        <v>19600</v>
      </c>
      <c r="L513" t="s">
        <v>21</v>
      </c>
      <c r="M513" t="s">
        <v>37</v>
      </c>
      <c r="N513" t="s">
        <v>23</v>
      </c>
      <c r="O513" t="s">
        <v>24</v>
      </c>
    </row>
    <row r="514" spans="1:15" x14ac:dyDescent="0.35">
      <c r="A514" t="s">
        <v>1227</v>
      </c>
      <c r="B514" s="2">
        <v>46052</v>
      </c>
      <c r="C514" t="s">
        <v>427</v>
      </c>
      <c r="D514" t="s">
        <v>1228</v>
      </c>
      <c r="E514" t="s">
        <v>41</v>
      </c>
      <c r="F514" t="s">
        <v>42</v>
      </c>
      <c r="G514" t="s">
        <v>43</v>
      </c>
      <c r="H514" t="s">
        <v>79</v>
      </c>
      <c r="I514">
        <v>9</v>
      </c>
      <c r="J514" s="3">
        <v>6000</v>
      </c>
      <c r="K514" s="3">
        <v>4300</v>
      </c>
      <c r="L514" t="s">
        <v>66</v>
      </c>
      <c r="M514" t="s">
        <v>37</v>
      </c>
      <c r="N514" t="s">
        <v>23</v>
      </c>
      <c r="O514" t="s">
        <v>24</v>
      </c>
    </row>
    <row r="515" spans="1:15" x14ac:dyDescent="0.35">
      <c r="A515" t="s">
        <v>1229</v>
      </c>
      <c r="B515" s="2">
        <v>46328</v>
      </c>
      <c r="C515" t="s">
        <v>39</v>
      </c>
      <c r="D515" t="s">
        <v>1230</v>
      </c>
      <c r="E515" t="s">
        <v>77</v>
      </c>
      <c r="F515" t="s">
        <v>78</v>
      </c>
      <c r="G515" t="s">
        <v>19</v>
      </c>
      <c r="H515" t="s">
        <v>166</v>
      </c>
      <c r="I515">
        <v>2</v>
      </c>
      <c r="J515" s="3">
        <v>140000</v>
      </c>
      <c r="K515" s="3">
        <v>97000</v>
      </c>
      <c r="L515" t="s">
        <v>21</v>
      </c>
      <c r="M515" t="s">
        <v>22</v>
      </c>
      <c r="N515" t="s">
        <v>23</v>
      </c>
      <c r="O515" t="s">
        <v>24</v>
      </c>
    </row>
    <row r="516" spans="1:15" x14ac:dyDescent="0.35">
      <c r="A516" t="s">
        <v>1231</v>
      </c>
      <c r="B516" s="2">
        <v>46190</v>
      </c>
      <c r="C516" t="s">
        <v>296</v>
      </c>
      <c r="D516" t="s">
        <v>262</v>
      </c>
      <c r="E516" t="s">
        <v>41</v>
      </c>
      <c r="F516" t="s">
        <v>42</v>
      </c>
      <c r="G516" t="s">
        <v>19</v>
      </c>
      <c r="H516" t="s">
        <v>61</v>
      </c>
      <c r="I516">
        <v>9</v>
      </c>
      <c r="J516" s="3">
        <v>209000</v>
      </c>
      <c r="K516" s="3">
        <v>155200</v>
      </c>
      <c r="L516" t="s">
        <v>80</v>
      </c>
      <c r="M516" t="s">
        <v>51</v>
      </c>
      <c r="N516" t="s">
        <v>23</v>
      </c>
      <c r="O516" t="s">
        <v>24</v>
      </c>
    </row>
    <row r="517" spans="1:15" x14ac:dyDescent="0.35">
      <c r="A517" t="s">
        <v>1232</v>
      </c>
      <c r="B517" s="2">
        <v>46082</v>
      </c>
      <c r="C517" t="s">
        <v>603</v>
      </c>
      <c r="D517" t="s">
        <v>990</v>
      </c>
      <c r="E517" t="s">
        <v>18</v>
      </c>
      <c r="F517" t="s">
        <v>18</v>
      </c>
      <c r="G517" t="s">
        <v>19</v>
      </c>
      <c r="H517" t="s">
        <v>112</v>
      </c>
      <c r="I517">
        <v>6</v>
      </c>
      <c r="J517" s="3">
        <v>85000</v>
      </c>
      <c r="K517" s="3">
        <v>63900</v>
      </c>
      <c r="L517" t="s">
        <v>80</v>
      </c>
      <c r="M517" t="s">
        <v>37</v>
      </c>
      <c r="N517" t="s">
        <v>52</v>
      </c>
      <c r="O517" t="s">
        <v>24</v>
      </c>
    </row>
    <row r="518" spans="1:15" x14ac:dyDescent="0.35">
      <c r="A518" t="s">
        <v>1233</v>
      </c>
      <c r="B518" s="2">
        <v>46387</v>
      </c>
      <c r="C518" t="s">
        <v>664</v>
      </c>
      <c r="D518" t="s">
        <v>1234</v>
      </c>
      <c r="E518" t="s">
        <v>18</v>
      </c>
      <c r="G518" t="s">
        <v>34</v>
      </c>
      <c r="H518" t="s">
        <v>86</v>
      </c>
      <c r="I518">
        <v>7</v>
      </c>
      <c r="J518" s="3">
        <v>180000</v>
      </c>
      <c r="K518" s="3">
        <v>131000</v>
      </c>
      <c r="L518" t="s">
        <v>30</v>
      </c>
      <c r="M518" t="s">
        <v>37</v>
      </c>
      <c r="N518" t="s">
        <v>52</v>
      </c>
      <c r="O518" t="s">
        <v>24</v>
      </c>
    </row>
    <row r="519" spans="1:15" x14ac:dyDescent="0.35">
      <c r="A519" t="s">
        <v>1235</v>
      </c>
      <c r="B519" s="2">
        <v>46124</v>
      </c>
      <c r="C519" t="s">
        <v>955</v>
      </c>
      <c r="D519" t="s">
        <v>359</v>
      </c>
      <c r="E519" t="s">
        <v>190</v>
      </c>
      <c r="F519" t="s">
        <v>191</v>
      </c>
      <c r="G519" t="s">
        <v>34</v>
      </c>
      <c r="H519" t="s">
        <v>86</v>
      </c>
      <c r="I519">
        <v>5</v>
      </c>
      <c r="J519" s="3">
        <v>180000</v>
      </c>
      <c r="K519" s="3">
        <v>139000</v>
      </c>
      <c r="L519" t="s">
        <v>30</v>
      </c>
      <c r="M519" t="s">
        <v>37</v>
      </c>
      <c r="N519" t="s">
        <v>52</v>
      </c>
      <c r="O519" t="s">
        <v>24</v>
      </c>
    </row>
    <row r="520" spans="1:15" x14ac:dyDescent="0.35">
      <c r="A520" t="s">
        <v>1236</v>
      </c>
      <c r="B520" s="2">
        <v>46304</v>
      </c>
      <c r="C520" t="s">
        <v>1237</v>
      </c>
      <c r="D520" t="s">
        <v>979</v>
      </c>
      <c r="E520" t="s">
        <v>56</v>
      </c>
      <c r="F520" t="s">
        <v>57</v>
      </c>
      <c r="G520" t="s">
        <v>19</v>
      </c>
      <c r="H520" t="s">
        <v>112</v>
      </c>
      <c r="I520">
        <v>5</v>
      </c>
      <c r="J520" s="3">
        <v>85000</v>
      </c>
      <c r="K520" s="3">
        <v>60100</v>
      </c>
      <c r="L520" t="s">
        <v>73</v>
      </c>
      <c r="M520" t="s">
        <v>31</v>
      </c>
      <c r="N520" t="s">
        <v>23</v>
      </c>
      <c r="O520" t="s">
        <v>24</v>
      </c>
    </row>
    <row r="521" spans="1:15" x14ac:dyDescent="0.35">
      <c r="A521" t="s">
        <v>1238</v>
      </c>
      <c r="B521" s="2">
        <v>46094</v>
      </c>
      <c r="C521" t="s">
        <v>47</v>
      </c>
      <c r="D521" t="s">
        <v>394</v>
      </c>
      <c r="E521" t="s">
        <v>77</v>
      </c>
      <c r="F521" t="s">
        <v>78</v>
      </c>
      <c r="G521" t="s">
        <v>19</v>
      </c>
      <c r="H521" t="s">
        <v>112</v>
      </c>
      <c r="I521">
        <v>2</v>
      </c>
      <c r="J521" s="3">
        <v>80800</v>
      </c>
      <c r="K521" s="3">
        <v>63900</v>
      </c>
      <c r="L521" t="s">
        <v>80</v>
      </c>
      <c r="M521" t="s">
        <v>37</v>
      </c>
      <c r="N521" t="s">
        <v>87</v>
      </c>
      <c r="O521" t="s">
        <v>24</v>
      </c>
    </row>
    <row r="522" spans="1:15" x14ac:dyDescent="0.35">
      <c r="A522" t="s">
        <v>1239</v>
      </c>
      <c r="B522" s="2">
        <v>46382</v>
      </c>
      <c r="C522" t="s">
        <v>39</v>
      </c>
      <c r="D522" t="s">
        <v>235</v>
      </c>
      <c r="E522" t="s">
        <v>18</v>
      </c>
      <c r="F522" t="s">
        <v>18</v>
      </c>
      <c r="G522" t="s">
        <v>34</v>
      </c>
      <c r="H522" t="s">
        <v>141</v>
      </c>
      <c r="I522">
        <v>2</v>
      </c>
      <c r="J522" s="3">
        <v>152000</v>
      </c>
      <c r="K522" s="3">
        <v>116400</v>
      </c>
      <c r="L522" t="s">
        <v>50</v>
      </c>
      <c r="M522" t="s">
        <v>31</v>
      </c>
      <c r="N522" t="s">
        <v>52</v>
      </c>
      <c r="O522" t="s">
        <v>24</v>
      </c>
    </row>
    <row r="523" spans="1:15" x14ac:dyDescent="0.35">
      <c r="A523" t="s">
        <v>1240</v>
      </c>
      <c r="B523" s="2">
        <v>46280</v>
      </c>
      <c r="C523" t="s">
        <v>416</v>
      </c>
      <c r="D523" t="s">
        <v>1241</v>
      </c>
      <c r="E523" t="s">
        <v>18</v>
      </c>
      <c r="F523" t="s">
        <v>18</v>
      </c>
      <c r="G523" t="s">
        <v>43</v>
      </c>
      <c r="H523" t="s">
        <v>177</v>
      </c>
      <c r="I523">
        <v>1</v>
      </c>
      <c r="J523" s="3">
        <v>18000</v>
      </c>
      <c r="K523" s="3">
        <v>12100</v>
      </c>
      <c r="L523" t="s">
        <v>66</v>
      </c>
      <c r="M523" t="s">
        <v>51</v>
      </c>
      <c r="N523" t="s">
        <v>52</v>
      </c>
      <c r="O523" t="s">
        <v>24</v>
      </c>
    </row>
    <row r="524" spans="1:15" x14ac:dyDescent="0.35">
      <c r="A524" t="s">
        <v>1242</v>
      </c>
      <c r="B524" s="2">
        <v>46171</v>
      </c>
      <c r="C524" t="s">
        <v>1243</v>
      </c>
      <c r="D524" t="s">
        <v>281</v>
      </c>
      <c r="E524" t="s">
        <v>56</v>
      </c>
      <c r="F524" t="s">
        <v>57</v>
      </c>
      <c r="G524" t="s">
        <v>34</v>
      </c>
      <c r="H524" t="s">
        <v>141</v>
      </c>
      <c r="I524">
        <v>7</v>
      </c>
      <c r="J524" s="3">
        <v>152000</v>
      </c>
      <c r="K524" s="3">
        <v>120000</v>
      </c>
      <c r="L524" t="s">
        <v>30</v>
      </c>
      <c r="M524" t="s">
        <v>51</v>
      </c>
      <c r="N524" t="s">
        <v>23</v>
      </c>
      <c r="O524" t="s">
        <v>24</v>
      </c>
    </row>
    <row r="525" spans="1:15" x14ac:dyDescent="0.35">
      <c r="A525" t="s">
        <v>1244</v>
      </c>
      <c r="B525" s="2">
        <v>46322</v>
      </c>
      <c r="C525" t="s">
        <v>1245</v>
      </c>
      <c r="D525" t="s">
        <v>1246</v>
      </c>
      <c r="E525" t="s">
        <v>77</v>
      </c>
      <c r="F525" t="s">
        <v>78</v>
      </c>
      <c r="G525" t="s">
        <v>34</v>
      </c>
      <c r="H525" t="s">
        <v>35</v>
      </c>
      <c r="I525">
        <v>8</v>
      </c>
      <c r="J525" s="3">
        <v>55000</v>
      </c>
      <c r="K525" s="3">
        <v>39000</v>
      </c>
      <c r="L525" t="s">
        <v>21</v>
      </c>
      <c r="M525" t="s">
        <v>51</v>
      </c>
      <c r="N525" t="s">
        <v>23</v>
      </c>
      <c r="O525" t="s">
        <v>24</v>
      </c>
    </row>
    <row r="526" spans="1:15" x14ac:dyDescent="0.35">
      <c r="A526" t="s">
        <v>1247</v>
      </c>
      <c r="B526" s="2">
        <v>46316</v>
      </c>
      <c r="C526" t="s">
        <v>1248</v>
      </c>
      <c r="D526" t="s">
        <v>459</v>
      </c>
      <c r="E526" t="s">
        <v>56</v>
      </c>
      <c r="F526" t="s">
        <v>57</v>
      </c>
      <c r="G526" t="s">
        <v>28</v>
      </c>
      <c r="H526" t="s">
        <v>29</v>
      </c>
      <c r="I526">
        <v>5</v>
      </c>
      <c r="J526" s="3">
        <v>6600</v>
      </c>
      <c r="K526" s="3">
        <v>4000</v>
      </c>
      <c r="L526" t="s">
        <v>21</v>
      </c>
      <c r="M526" t="s">
        <v>37</v>
      </c>
      <c r="N526" t="s">
        <v>52</v>
      </c>
      <c r="O526" t="s">
        <v>24</v>
      </c>
    </row>
    <row r="527" spans="1:15" x14ac:dyDescent="0.35">
      <c r="A527" t="s">
        <v>1249</v>
      </c>
      <c r="B527" s="2">
        <v>46170</v>
      </c>
      <c r="C527" t="s">
        <v>1156</v>
      </c>
      <c r="D527" t="s">
        <v>232</v>
      </c>
      <c r="E527" t="s">
        <v>41</v>
      </c>
      <c r="F527" t="s">
        <v>42</v>
      </c>
      <c r="G527" t="s">
        <v>34</v>
      </c>
      <c r="H527" t="s">
        <v>35</v>
      </c>
      <c r="I527">
        <v>3</v>
      </c>
      <c r="J527" s="3">
        <v>55000</v>
      </c>
      <c r="K527" s="3">
        <v>40200</v>
      </c>
      <c r="L527" t="s">
        <v>30</v>
      </c>
      <c r="M527" t="s">
        <v>22</v>
      </c>
      <c r="N527" t="s">
        <v>87</v>
      </c>
      <c r="O527" t="s">
        <v>24</v>
      </c>
    </row>
    <row r="528" spans="1:15" x14ac:dyDescent="0.35">
      <c r="A528" t="s">
        <v>1250</v>
      </c>
      <c r="B528" s="2">
        <v>46291</v>
      </c>
      <c r="C528" t="s">
        <v>272</v>
      </c>
      <c r="D528" t="s">
        <v>1251</v>
      </c>
      <c r="E528" t="s">
        <v>18</v>
      </c>
      <c r="F528" t="s">
        <v>18</v>
      </c>
      <c r="G528" t="s">
        <v>43</v>
      </c>
      <c r="H528" t="s">
        <v>44</v>
      </c>
      <c r="I528">
        <v>1</v>
      </c>
      <c r="J528" s="3">
        <v>15000</v>
      </c>
      <c r="K528" s="3">
        <v>9500</v>
      </c>
      <c r="L528" t="s">
        <v>30</v>
      </c>
      <c r="M528" t="s">
        <v>22</v>
      </c>
      <c r="N528" t="s">
        <v>23</v>
      </c>
      <c r="O528" t="s">
        <v>91</v>
      </c>
    </row>
    <row r="529" spans="1:15" x14ac:dyDescent="0.35">
      <c r="A529" t="s">
        <v>1252</v>
      </c>
      <c r="B529" s="2">
        <v>46358</v>
      </c>
      <c r="C529" t="s">
        <v>1253</v>
      </c>
      <c r="D529" t="s">
        <v>1128</v>
      </c>
      <c r="E529" t="s">
        <v>18</v>
      </c>
      <c r="F529" t="s">
        <v>18</v>
      </c>
      <c r="G529" t="s">
        <v>43</v>
      </c>
      <c r="H529" t="s">
        <v>44</v>
      </c>
      <c r="I529">
        <v>5</v>
      </c>
      <c r="J529" s="3">
        <v>15800</v>
      </c>
      <c r="K529" s="3">
        <v>9500</v>
      </c>
      <c r="M529" t="s">
        <v>37</v>
      </c>
      <c r="N529" t="s">
        <v>23</v>
      </c>
      <c r="O529" t="s">
        <v>24</v>
      </c>
    </row>
    <row r="530" spans="1:15" x14ac:dyDescent="0.35">
      <c r="A530" t="s">
        <v>1254</v>
      </c>
      <c r="B530" s="2">
        <v>46086</v>
      </c>
      <c r="C530" t="s">
        <v>1255</v>
      </c>
      <c r="D530" t="s">
        <v>1256</v>
      </c>
      <c r="E530" t="s">
        <v>56</v>
      </c>
      <c r="F530" t="s">
        <v>57</v>
      </c>
      <c r="G530" t="s">
        <v>34</v>
      </c>
      <c r="H530" t="s">
        <v>95</v>
      </c>
      <c r="I530">
        <v>4</v>
      </c>
      <c r="J530" s="3">
        <v>472500</v>
      </c>
      <c r="K530" s="3">
        <v>358900</v>
      </c>
      <c r="L530" t="s">
        <v>21</v>
      </c>
      <c r="M530" t="s">
        <v>37</v>
      </c>
      <c r="N530" t="s">
        <v>23</v>
      </c>
      <c r="O530" t="s">
        <v>91</v>
      </c>
    </row>
    <row r="531" spans="1:15" x14ac:dyDescent="0.35">
      <c r="A531" t="s">
        <v>1257</v>
      </c>
      <c r="B531" s="2">
        <v>46375</v>
      </c>
      <c r="C531" t="s">
        <v>1005</v>
      </c>
      <c r="D531" t="s">
        <v>1258</v>
      </c>
      <c r="E531" t="s">
        <v>18</v>
      </c>
      <c r="F531" t="s">
        <v>18</v>
      </c>
      <c r="G531" t="s">
        <v>34</v>
      </c>
      <c r="H531" t="s">
        <v>86</v>
      </c>
      <c r="I531">
        <v>2</v>
      </c>
      <c r="J531" s="3">
        <v>180000</v>
      </c>
      <c r="K531" s="3">
        <v>131000</v>
      </c>
      <c r="L531" t="s">
        <v>66</v>
      </c>
      <c r="M531" t="s">
        <v>31</v>
      </c>
      <c r="N531" t="s">
        <v>23</v>
      </c>
      <c r="O531" t="s">
        <v>24</v>
      </c>
    </row>
    <row r="532" spans="1:15" x14ac:dyDescent="0.35">
      <c r="A532" t="s">
        <v>1259</v>
      </c>
      <c r="B532" s="2">
        <v>46297</v>
      </c>
      <c r="C532" t="s">
        <v>261</v>
      </c>
      <c r="D532" t="s">
        <v>425</v>
      </c>
      <c r="E532" t="s">
        <v>56</v>
      </c>
      <c r="F532" t="s">
        <v>57</v>
      </c>
      <c r="G532" t="s">
        <v>43</v>
      </c>
      <c r="H532" t="s">
        <v>177</v>
      </c>
      <c r="I532">
        <v>7</v>
      </c>
      <c r="J532" s="3">
        <v>18000</v>
      </c>
      <c r="K532" s="3">
        <v>12500</v>
      </c>
      <c r="L532" t="s">
        <v>73</v>
      </c>
      <c r="M532" t="s">
        <v>37</v>
      </c>
      <c r="N532" t="s">
        <v>23</v>
      </c>
      <c r="O532" t="s">
        <v>45</v>
      </c>
    </row>
    <row r="533" spans="1:15" x14ac:dyDescent="0.35">
      <c r="A533" t="s">
        <v>1260</v>
      </c>
      <c r="B533" s="2">
        <v>46062</v>
      </c>
      <c r="C533" t="s">
        <v>1160</v>
      </c>
      <c r="D533" t="s">
        <v>438</v>
      </c>
      <c r="E533" t="s">
        <v>77</v>
      </c>
      <c r="F533" t="s">
        <v>78</v>
      </c>
      <c r="G533" t="s">
        <v>19</v>
      </c>
      <c r="H533" t="s">
        <v>112</v>
      </c>
      <c r="I533">
        <v>3</v>
      </c>
      <c r="J533" s="3">
        <v>89200</v>
      </c>
      <c r="K533" s="3">
        <v>63900</v>
      </c>
      <c r="L533" t="s">
        <v>30</v>
      </c>
      <c r="M533" t="s">
        <v>37</v>
      </c>
      <c r="N533" t="s">
        <v>23</v>
      </c>
      <c r="O533" t="s">
        <v>24</v>
      </c>
    </row>
    <row r="534" spans="1:15" x14ac:dyDescent="0.35">
      <c r="A534" t="s">
        <v>1261</v>
      </c>
      <c r="B534" s="2">
        <v>46326</v>
      </c>
      <c r="C534" t="s">
        <v>1226</v>
      </c>
      <c r="D534" t="s">
        <v>1262</v>
      </c>
      <c r="E534" t="s">
        <v>41</v>
      </c>
      <c r="F534" t="s">
        <v>42</v>
      </c>
      <c r="G534" t="s">
        <v>34</v>
      </c>
      <c r="H534" t="s">
        <v>158</v>
      </c>
      <c r="I534">
        <v>3</v>
      </c>
      <c r="J534" s="3">
        <v>99800</v>
      </c>
      <c r="K534" s="3">
        <v>67900</v>
      </c>
      <c r="L534" t="s">
        <v>96</v>
      </c>
      <c r="M534" t="s">
        <v>22</v>
      </c>
      <c r="N534" t="s">
        <v>23</v>
      </c>
      <c r="O534" t="s">
        <v>91</v>
      </c>
    </row>
    <row r="535" spans="1:15" x14ac:dyDescent="0.35">
      <c r="A535" t="s">
        <v>1263</v>
      </c>
      <c r="B535" s="2">
        <v>46198</v>
      </c>
      <c r="C535" t="s">
        <v>319</v>
      </c>
      <c r="D535" t="s">
        <v>1264</v>
      </c>
      <c r="E535" t="s">
        <v>41</v>
      </c>
      <c r="F535" t="s">
        <v>42</v>
      </c>
      <c r="G535" t="s">
        <v>28</v>
      </c>
      <c r="H535" t="s">
        <v>29</v>
      </c>
      <c r="I535">
        <v>9</v>
      </c>
      <c r="J535" s="3">
        <v>6600</v>
      </c>
      <c r="K535" s="3">
        <v>4000</v>
      </c>
      <c r="L535" t="s">
        <v>21</v>
      </c>
      <c r="M535" t="s">
        <v>51</v>
      </c>
      <c r="N535" t="s">
        <v>23</v>
      </c>
      <c r="O535" t="s">
        <v>24</v>
      </c>
    </row>
    <row r="536" spans="1:15" x14ac:dyDescent="0.35">
      <c r="A536" t="s">
        <v>1265</v>
      </c>
      <c r="B536" s="2">
        <v>46031</v>
      </c>
      <c r="C536" t="s">
        <v>1266</v>
      </c>
      <c r="D536" t="s">
        <v>1267</v>
      </c>
      <c r="E536" t="s">
        <v>190</v>
      </c>
      <c r="F536" t="s">
        <v>191</v>
      </c>
      <c r="G536" t="s">
        <v>34</v>
      </c>
      <c r="H536" t="s">
        <v>141</v>
      </c>
      <c r="I536">
        <v>5</v>
      </c>
      <c r="J536" s="3">
        <v>168000</v>
      </c>
      <c r="K536" s="3">
        <v>116400</v>
      </c>
      <c r="L536" t="s">
        <v>66</v>
      </c>
      <c r="M536" t="s">
        <v>51</v>
      </c>
      <c r="N536" t="s">
        <v>52</v>
      </c>
      <c r="O536" t="s">
        <v>45</v>
      </c>
    </row>
    <row r="537" spans="1:15" x14ac:dyDescent="0.35">
      <c r="A537" t="s">
        <v>1268</v>
      </c>
      <c r="B537" s="2">
        <v>46161</v>
      </c>
      <c r="C537" t="s">
        <v>1020</v>
      </c>
      <c r="D537" t="s">
        <v>662</v>
      </c>
      <c r="E537" t="s">
        <v>70</v>
      </c>
      <c r="G537" t="s">
        <v>28</v>
      </c>
      <c r="H537" t="s">
        <v>248</v>
      </c>
      <c r="I537">
        <v>9</v>
      </c>
      <c r="J537" s="3">
        <v>26200</v>
      </c>
      <c r="K537" s="3">
        <v>16000</v>
      </c>
      <c r="L537" t="s">
        <v>30</v>
      </c>
      <c r="M537" t="s">
        <v>22</v>
      </c>
      <c r="N537" t="s">
        <v>87</v>
      </c>
      <c r="O537" t="s">
        <v>24</v>
      </c>
    </row>
    <row r="538" spans="1:15" x14ac:dyDescent="0.35">
      <c r="A538" t="s">
        <v>1269</v>
      </c>
      <c r="B538" s="2">
        <v>46242</v>
      </c>
      <c r="C538" t="s">
        <v>350</v>
      </c>
      <c r="D538" t="s">
        <v>922</v>
      </c>
      <c r="E538" t="s">
        <v>56</v>
      </c>
      <c r="F538" t="s">
        <v>57</v>
      </c>
      <c r="G538" t="s">
        <v>43</v>
      </c>
      <c r="H538" t="s">
        <v>79</v>
      </c>
      <c r="I538">
        <v>8</v>
      </c>
      <c r="J538" s="3">
        <v>5700</v>
      </c>
      <c r="K538" s="3">
        <v>4200</v>
      </c>
      <c r="L538" t="s">
        <v>66</v>
      </c>
      <c r="M538" t="s">
        <v>31</v>
      </c>
      <c r="N538" t="s">
        <v>23</v>
      </c>
      <c r="O538" t="s">
        <v>24</v>
      </c>
    </row>
    <row r="539" spans="1:15" x14ac:dyDescent="0.35">
      <c r="A539" t="s">
        <v>1270</v>
      </c>
      <c r="B539" s="2">
        <v>46150</v>
      </c>
      <c r="C539" t="s">
        <v>916</v>
      </c>
      <c r="D539" t="s">
        <v>898</v>
      </c>
      <c r="E539" t="s">
        <v>56</v>
      </c>
      <c r="F539" t="s">
        <v>57</v>
      </c>
      <c r="G539" t="s">
        <v>19</v>
      </c>
      <c r="H539" t="s">
        <v>20</v>
      </c>
      <c r="I539">
        <v>8</v>
      </c>
      <c r="J539" s="3">
        <v>68200</v>
      </c>
      <c r="K539" s="3">
        <v>46400</v>
      </c>
      <c r="L539" t="s">
        <v>30</v>
      </c>
      <c r="M539" t="s">
        <v>51</v>
      </c>
      <c r="N539" t="s">
        <v>87</v>
      </c>
      <c r="O539" t="s">
        <v>24</v>
      </c>
    </row>
    <row r="540" spans="1:15" x14ac:dyDescent="0.35">
      <c r="A540" t="s">
        <v>1271</v>
      </c>
      <c r="B540" s="2">
        <v>46279</v>
      </c>
      <c r="C540" t="s">
        <v>358</v>
      </c>
      <c r="D540" t="s">
        <v>1272</v>
      </c>
      <c r="E540" t="s">
        <v>18</v>
      </c>
      <c r="F540" t="s">
        <v>18</v>
      </c>
      <c r="G540" t="s">
        <v>34</v>
      </c>
      <c r="H540" t="s">
        <v>141</v>
      </c>
      <c r="I540">
        <v>3</v>
      </c>
      <c r="J540" s="3">
        <v>160000</v>
      </c>
      <c r="K540" s="3">
        <v>123600</v>
      </c>
      <c r="L540" t="s">
        <v>96</v>
      </c>
      <c r="M540" t="s">
        <v>22</v>
      </c>
      <c r="N540" t="s">
        <v>23</v>
      </c>
      <c r="O540" t="s">
        <v>91</v>
      </c>
    </row>
    <row r="541" spans="1:15" x14ac:dyDescent="0.35">
      <c r="A541" t="s">
        <v>1273</v>
      </c>
      <c r="B541" s="2">
        <v>46219</v>
      </c>
      <c r="C541" t="s">
        <v>638</v>
      </c>
      <c r="D541" t="s">
        <v>909</v>
      </c>
      <c r="E541" t="s">
        <v>18</v>
      </c>
      <c r="F541" t="s">
        <v>18</v>
      </c>
      <c r="G541" t="s">
        <v>19</v>
      </c>
      <c r="H541" t="s">
        <v>61</v>
      </c>
      <c r="I541">
        <v>10</v>
      </c>
      <c r="J541" s="3">
        <v>220000</v>
      </c>
      <c r="K541" s="3">
        <v>164800</v>
      </c>
      <c r="L541" t="s">
        <v>80</v>
      </c>
      <c r="M541" t="s">
        <v>22</v>
      </c>
      <c r="N541" t="s">
        <v>23</v>
      </c>
      <c r="O541" t="s">
        <v>24</v>
      </c>
    </row>
    <row r="542" spans="1:15" x14ac:dyDescent="0.35">
      <c r="A542" t="s">
        <v>1274</v>
      </c>
      <c r="B542" s="2">
        <v>46211</v>
      </c>
      <c r="C542" t="s">
        <v>393</v>
      </c>
      <c r="D542" t="s">
        <v>111</v>
      </c>
      <c r="E542" t="s">
        <v>77</v>
      </c>
      <c r="F542" t="s">
        <v>78</v>
      </c>
      <c r="G542" t="s">
        <v>34</v>
      </c>
      <c r="H542" t="s">
        <v>95</v>
      </c>
      <c r="I542">
        <v>1</v>
      </c>
      <c r="J542" s="3">
        <v>427500</v>
      </c>
      <c r="K542" s="3">
        <v>370000</v>
      </c>
      <c r="L542" t="s">
        <v>80</v>
      </c>
      <c r="M542" t="s">
        <v>37</v>
      </c>
      <c r="N542" t="s">
        <v>87</v>
      </c>
      <c r="O542" t="s">
        <v>45</v>
      </c>
    </row>
    <row r="543" spans="1:15" x14ac:dyDescent="0.35">
      <c r="A543" t="s">
        <v>1275</v>
      </c>
      <c r="B543" s="2">
        <v>46342</v>
      </c>
      <c r="C543" t="s">
        <v>1112</v>
      </c>
      <c r="D543" t="s">
        <v>1276</v>
      </c>
      <c r="E543" t="s">
        <v>18</v>
      </c>
      <c r="F543" t="s">
        <v>18</v>
      </c>
      <c r="G543" t="s">
        <v>34</v>
      </c>
      <c r="H543" t="s">
        <v>141</v>
      </c>
      <c r="I543">
        <v>4</v>
      </c>
      <c r="J543" s="3">
        <v>160000</v>
      </c>
      <c r="K543" s="3">
        <v>120000</v>
      </c>
      <c r="L543" t="s">
        <v>30</v>
      </c>
      <c r="M543" t="s">
        <v>37</v>
      </c>
      <c r="N543" t="s">
        <v>52</v>
      </c>
      <c r="O543" t="s">
        <v>24</v>
      </c>
    </row>
    <row r="544" spans="1:15" x14ac:dyDescent="0.35">
      <c r="A544" t="s">
        <v>1277</v>
      </c>
      <c r="B544" s="2">
        <v>46135</v>
      </c>
      <c r="C544" t="s">
        <v>1278</v>
      </c>
      <c r="D544" t="s">
        <v>356</v>
      </c>
      <c r="E544" t="s">
        <v>77</v>
      </c>
      <c r="F544" t="s">
        <v>78</v>
      </c>
      <c r="G544" t="s">
        <v>43</v>
      </c>
      <c r="H544" t="s">
        <v>162</v>
      </c>
      <c r="I544">
        <v>9</v>
      </c>
      <c r="J544" s="3">
        <v>8000</v>
      </c>
      <c r="K544" s="3">
        <v>4800</v>
      </c>
      <c r="L544" t="s">
        <v>73</v>
      </c>
      <c r="M544" t="s">
        <v>51</v>
      </c>
      <c r="N544" t="s">
        <v>52</v>
      </c>
      <c r="O544" t="s">
        <v>24</v>
      </c>
    </row>
    <row r="545" spans="1:15" x14ac:dyDescent="0.35">
      <c r="A545" t="s">
        <v>1279</v>
      </c>
      <c r="B545" s="2">
        <v>46226</v>
      </c>
      <c r="C545" t="s">
        <v>1185</v>
      </c>
      <c r="D545" t="s">
        <v>440</v>
      </c>
      <c r="E545" t="s">
        <v>156</v>
      </c>
      <c r="F545" t="s">
        <v>157</v>
      </c>
      <c r="G545" t="s">
        <v>28</v>
      </c>
      <c r="H545" t="s">
        <v>131</v>
      </c>
      <c r="I545">
        <v>4</v>
      </c>
      <c r="J545" s="3">
        <v>28500</v>
      </c>
      <c r="K545" s="3">
        <v>18400</v>
      </c>
      <c r="L545" t="s">
        <v>96</v>
      </c>
      <c r="M545" t="s">
        <v>37</v>
      </c>
      <c r="N545" t="s">
        <v>87</v>
      </c>
      <c r="O545" t="s">
        <v>91</v>
      </c>
    </row>
    <row r="546" spans="1:15" x14ac:dyDescent="0.35">
      <c r="A546" t="s">
        <v>1280</v>
      </c>
      <c r="B546" s="2">
        <v>46178</v>
      </c>
      <c r="C546" t="s">
        <v>649</v>
      </c>
      <c r="D546" t="s">
        <v>482</v>
      </c>
      <c r="E546" t="s">
        <v>190</v>
      </c>
      <c r="F546" t="s">
        <v>191</v>
      </c>
      <c r="G546" t="s">
        <v>34</v>
      </c>
      <c r="H546" t="s">
        <v>86</v>
      </c>
      <c r="I546">
        <v>5</v>
      </c>
      <c r="J546" s="3">
        <v>189000</v>
      </c>
      <c r="K546" s="3">
        <v>131000</v>
      </c>
      <c r="L546" t="s">
        <v>66</v>
      </c>
      <c r="M546" t="s">
        <v>51</v>
      </c>
      <c r="N546" t="s">
        <v>52</v>
      </c>
      <c r="O546" t="s">
        <v>91</v>
      </c>
    </row>
    <row r="547" spans="1:15" x14ac:dyDescent="0.35">
      <c r="A547" t="s">
        <v>1281</v>
      </c>
      <c r="B547" s="2">
        <v>46106</v>
      </c>
      <c r="C547" t="s">
        <v>449</v>
      </c>
      <c r="D547" t="s">
        <v>327</v>
      </c>
      <c r="E547" t="s">
        <v>18</v>
      </c>
      <c r="F547" t="s">
        <v>18</v>
      </c>
      <c r="G547" t="s">
        <v>34</v>
      </c>
      <c r="H547" t="s">
        <v>86</v>
      </c>
      <c r="I547">
        <v>4</v>
      </c>
      <c r="J547" s="3">
        <v>171000</v>
      </c>
      <c r="K547" s="3">
        <v>131000</v>
      </c>
      <c r="L547" t="s">
        <v>66</v>
      </c>
      <c r="M547" t="s">
        <v>22</v>
      </c>
      <c r="N547" t="s">
        <v>87</v>
      </c>
      <c r="O547" t="s">
        <v>24</v>
      </c>
    </row>
    <row r="548" spans="1:15" x14ac:dyDescent="0.35">
      <c r="A548" t="s">
        <v>1282</v>
      </c>
      <c r="B548" s="2">
        <v>46184</v>
      </c>
      <c r="C548" t="s">
        <v>1283</v>
      </c>
      <c r="D548" t="s">
        <v>546</v>
      </c>
      <c r="E548" t="s">
        <v>84</v>
      </c>
      <c r="F548" t="s">
        <v>85</v>
      </c>
      <c r="G548" t="s">
        <v>43</v>
      </c>
      <c r="H548" t="s">
        <v>177</v>
      </c>
      <c r="I548">
        <v>5</v>
      </c>
      <c r="J548" s="3">
        <v>18900</v>
      </c>
      <c r="K548" s="3">
        <v>12900</v>
      </c>
      <c r="L548" t="s">
        <v>21</v>
      </c>
      <c r="M548" t="s">
        <v>51</v>
      </c>
      <c r="N548" t="s">
        <v>52</v>
      </c>
      <c r="O548" t="s">
        <v>24</v>
      </c>
    </row>
    <row r="549" spans="1:15" x14ac:dyDescent="0.35">
      <c r="A549" t="s">
        <v>1284</v>
      </c>
      <c r="B549" s="2">
        <v>46250</v>
      </c>
      <c r="C549" t="s">
        <v>1285</v>
      </c>
      <c r="D549" t="s">
        <v>540</v>
      </c>
      <c r="E549" t="s">
        <v>84</v>
      </c>
      <c r="F549" t="s">
        <v>85</v>
      </c>
      <c r="G549" t="s">
        <v>43</v>
      </c>
      <c r="H549" t="s">
        <v>49</v>
      </c>
      <c r="I549">
        <v>7</v>
      </c>
      <c r="J549" s="3">
        <v>8600</v>
      </c>
      <c r="K549" s="3">
        <v>5600</v>
      </c>
      <c r="L549" t="s">
        <v>96</v>
      </c>
      <c r="M549" t="s">
        <v>22</v>
      </c>
      <c r="N549" t="s">
        <v>52</v>
      </c>
      <c r="O549" t="s">
        <v>45</v>
      </c>
    </row>
    <row r="550" spans="1:15" x14ac:dyDescent="0.35">
      <c r="A550" t="s">
        <v>1286</v>
      </c>
      <c r="B550" s="2">
        <v>46378</v>
      </c>
      <c r="C550" t="s">
        <v>945</v>
      </c>
      <c r="D550" t="s">
        <v>1219</v>
      </c>
      <c r="E550" t="s">
        <v>56</v>
      </c>
      <c r="F550" t="s">
        <v>57</v>
      </c>
      <c r="G550" t="s">
        <v>19</v>
      </c>
      <c r="H550" t="s">
        <v>61</v>
      </c>
      <c r="I550">
        <v>6</v>
      </c>
      <c r="J550" s="3">
        <v>209000</v>
      </c>
      <c r="K550" s="3">
        <v>160000</v>
      </c>
      <c r="L550" t="s">
        <v>30</v>
      </c>
      <c r="M550" t="s">
        <v>51</v>
      </c>
      <c r="N550" t="s">
        <v>23</v>
      </c>
      <c r="O550" t="s">
        <v>24</v>
      </c>
    </row>
    <row r="551" spans="1:15" x14ac:dyDescent="0.35">
      <c r="A551" t="s">
        <v>1287</v>
      </c>
      <c r="B551" s="2">
        <v>46327</v>
      </c>
      <c r="C551" t="s">
        <v>1042</v>
      </c>
      <c r="D551" t="s">
        <v>1288</v>
      </c>
      <c r="E551" t="s">
        <v>70</v>
      </c>
      <c r="F551" t="s">
        <v>71</v>
      </c>
      <c r="G551" t="s">
        <v>28</v>
      </c>
      <c r="H551" t="s">
        <v>248</v>
      </c>
      <c r="I551">
        <v>5</v>
      </c>
      <c r="J551" s="3">
        <v>25000</v>
      </c>
      <c r="K551" s="3">
        <v>16500</v>
      </c>
      <c r="L551" t="s">
        <v>21</v>
      </c>
      <c r="M551" t="s">
        <v>22</v>
      </c>
      <c r="N551" t="s">
        <v>87</v>
      </c>
      <c r="O551" t="s">
        <v>24</v>
      </c>
    </row>
    <row r="552" spans="1:15" x14ac:dyDescent="0.35">
      <c r="A552" t="s">
        <v>1289</v>
      </c>
      <c r="B552" s="2">
        <v>46350</v>
      </c>
      <c r="C552" t="s">
        <v>387</v>
      </c>
      <c r="D552" t="s">
        <v>691</v>
      </c>
      <c r="E552" t="s">
        <v>41</v>
      </c>
      <c r="F552" t="s">
        <v>42</v>
      </c>
      <c r="G552" t="s">
        <v>28</v>
      </c>
      <c r="H552" t="s">
        <v>65</v>
      </c>
      <c r="I552">
        <v>8</v>
      </c>
      <c r="J552" s="3">
        <v>11400</v>
      </c>
      <c r="K552" s="3">
        <v>7300</v>
      </c>
      <c r="L552" t="s">
        <v>80</v>
      </c>
      <c r="M552" t="s">
        <v>51</v>
      </c>
      <c r="N552" t="s">
        <v>52</v>
      </c>
      <c r="O552" t="s">
        <v>24</v>
      </c>
    </row>
    <row r="553" spans="1:15" x14ac:dyDescent="0.35">
      <c r="A553" t="s">
        <v>1290</v>
      </c>
      <c r="B553" s="2">
        <v>46383</v>
      </c>
      <c r="C553" t="s">
        <v>786</v>
      </c>
      <c r="D553" t="s">
        <v>161</v>
      </c>
      <c r="E553" t="s">
        <v>77</v>
      </c>
      <c r="F553" t="s">
        <v>78</v>
      </c>
      <c r="G553" t="s">
        <v>43</v>
      </c>
      <c r="H553" t="s">
        <v>177</v>
      </c>
      <c r="I553">
        <v>5</v>
      </c>
      <c r="J553" s="3">
        <v>17100</v>
      </c>
      <c r="K553" s="3">
        <v>12100</v>
      </c>
      <c r="L553" t="s">
        <v>36</v>
      </c>
      <c r="M553" t="s">
        <v>37</v>
      </c>
      <c r="N553" t="s">
        <v>87</v>
      </c>
      <c r="O553" t="s">
        <v>91</v>
      </c>
    </row>
    <row r="554" spans="1:15" x14ac:dyDescent="0.35">
      <c r="A554" t="s">
        <v>1291</v>
      </c>
      <c r="B554" s="2">
        <v>46124</v>
      </c>
      <c r="C554" t="s">
        <v>449</v>
      </c>
      <c r="D554" t="s">
        <v>1292</v>
      </c>
      <c r="E554" t="s">
        <v>77</v>
      </c>
      <c r="F554" t="s">
        <v>78</v>
      </c>
      <c r="G554" t="s">
        <v>34</v>
      </c>
      <c r="H554" t="s">
        <v>35</v>
      </c>
      <c r="I554">
        <v>8</v>
      </c>
      <c r="J554" s="3">
        <v>55000</v>
      </c>
      <c r="K554" s="3">
        <v>39000</v>
      </c>
      <c r="L554" t="s">
        <v>30</v>
      </c>
      <c r="M554" t="s">
        <v>51</v>
      </c>
      <c r="N554" t="s">
        <v>52</v>
      </c>
      <c r="O554" t="s">
        <v>24</v>
      </c>
    </row>
    <row r="555" spans="1:15" x14ac:dyDescent="0.35">
      <c r="A555" t="s">
        <v>1293</v>
      </c>
      <c r="B555" s="2">
        <v>46119</v>
      </c>
      <c r="C555" t="s">
        <v>1294</v>
      </c>
      <c r="D555" t="s">
        <v>1295</v>
      </c>
      <c r="E555" t="s">
        <v>70</v>
      </c>
      <c r="F555" t="s">
        <v>71</v>
      </c>
      <c r="G555" t="s">
        <v>43</v>
      </c>
      <c r="H555" t="s">
        <v>49</v>
      </c>
      <c r="I555">
        <v>10</v>
      </c>
      <c r="J555" s="3">
        <v>9400</v>
      </c>
      <c r="K555" s="3">
        <v>5600</v>
      </c>
      <c r="L555" t="s">
        <v>66</v>
      </c>
      <c r="M555" t="s">
        <v>51</v>
      </c>
      <c r="N555" t="s">
        <v>23</v>
      </c>
      <c r="O555" t="s">
        <v>24</v>
      </c>
    </row>
    <row r="556" spans="1:15" x14ac:dyDescent="0.35">
      <c r="A556" t="s">
        <v>1296</v>
      </c>
      <c r="B556" s="2">
        <v>46382</v>
      </c>
      <c r="C556" t="s">
        <v>68</v>
      </c>
      <c r="D556" t="s">
        <v>1297</v>
      </c>
      <c r="E556" t="s">
        <v>18</v>
      </c>
      <c r="F556" t="s">
        <v>18</v>
      </c>
      <c r="G556" t="s">
        <v>43</v>
      </c>
      <c r="H556" t="s">
        <v>79</v>
      </c>
      <c r="I556">
        <v>5</v>
      </c>
      <c r="J556" s="3">
        <v>6300</v>
      </c>
      <c r="K556" s="3">
        <v>4100</v>
      </c>
      <c r="L556" t="s">
        <v>21</v>
      </c>
      <c r="M556" t="s">
        <v>31</v>
      </c>
      <c r="N556" t="s">
        <v>23</v>
      </c>
      <c r="O556" t="s">
        <v>91</v>
      </c>
    </row>
    <row r="557" spans="1:15" x14ac:dyDescent="0.35">
      <c r="A557" t="s">
        <v>1298</v>
      </c>
      <c r="B557" s="2">
        <v>46271</v>
      </c>
      <c r="C557" t="s">
        <v>1097</v>
      </c>
      <c r="D557" t="s">
        <v>1299</v>
      </c>
      <c r="E557" t="s">
        <v>156</v>
      </c>
      <c r="F557" t="s">
        <v>157</v>
      </c>
      <c r="G557" t="s">
        <v>19</v>
      </c>
      <c r="H557" t="s">
        <v>20</v>
      </c>
      <c r="I557">
        <v>4</v>
      </c>
      <c r="J557" s="3">
        <v>68200</v>
      </c>
      <c r="K557" s="3">
        <v>43600</v>
      </c>
      <c r="L557" t="s">
        <v>50</v>
      </c>
      <c r="M557" t="s">
        <v>51</v>
      </c>
      <c r="N557" t="s">
        <v>23</v>
      </c>
      <c r="O557" t="s">
        <v>24</v>
      </c>
    </row>
    <row r="558" spans="1:15" x14ac:dyDescent="0.35">
      <c r="A558" t="s">
        <v>1300</v>
      </c>
      <c r="B558" s="2">
        <v>46329</v>
      </c>
      <c r="C558" t="s">
        <v>1266</v>
      </c>
      <c r="D558" t="s">
        <v>1008</v>
      </c>
      <c r="E558" t="s">
        <v>190</v>
      </c>
      <c r="F558" t="s">
        <v>191</v>
      </c>
      <c r="G558" t="s">
        <v>34</v>
      </c>
      <c r="H558" t="s">
        <v>35</v>
      </c>
      <c r="I558">
        <v>10</v>
      </c>
      <c r="J558" s="3">
        <v>55000</v>
      </c>
      <c r="K558" s="3">
        <v>40200</v>
      </c>
      <c r="L558" t="s">
        <v>21</v>
      </c>
      <c r="M558" t="s">
        <v>51</v>
      </c>
      <c r="N558" t="s">
        <v>52</v>
      </c>
      <c r="O558" t="s">
        <v>45</v>
      </c>
    </row>
    <row r="559" spans="1:15" x14ac:dyDescent="0.35">
      <c r="A559" t="s">
        <v>1301</v>
      </c>
      <c r="B559" s="2">
        <v>46318</v>
      </c>
      <c r="C559" t="s">
        <v>1302</v>
      </c>
      <c r="D559" t="s">
        <v>1303</v>
      </c>
      <c r="E559" t="s">
        <v>18</v>
      </c>
      <c r="F559" t="s">
        <v>18</v>
      </c>
      <c r="G559" t="s">
        <v>43</v>
      </c>
      <c r="H559" t="s">
        <v>79</v>
      </c>
      <c r="I559">
        <v>1</v>
      </c>
      <c r="J559" s="3">
        <v>6000</v>
      </c>
      <c r="K559" s="3">
        <v>4300</v>
      </c>
      <c r="L559" t="s">
        <v>96</v>
      </c>
      <c r="M559" t="s">
        <v>22</v>
      </c>
      <c r="N559" t="s">
        <v>23</v>
      </c>
      <c r="O559" t="s">
        <v>24</v>
      </c>
    </row>
    <row r="560" spans="1:15" x14ac:dyDescent="0.35">
      <c r="A560" t="s">
        <v>1304</v>
      </c>
      <c r="B560" s="2">
        <v>46360</v>
      </c>
      <c r="C560" t="s">
        <v>314</v>
      </c>
      <c r="D560" t="s">
        <v>1204</v>
      </c>
      <c r="E560" t="s">
        <v>77</v>
      </c>
      <c r="F560" t="s">
        <v>78</v>
      </c>
      <c r="G560" t="s">
        <v>34</v>
      </c>
      <c r="H560" t="s">
        <v>141</v>
      </c>
      <c r="I560">
        <v>4</v>
      </c>
      <c r="J560" s="3">
        <v>160000</v>
      </c>
      <c r="K560" s="3">
        <v>123600</v>
      </c>
      <c r="L560" t="s">
        <v>21</v>
      </c>
      <c r="M560" t="s">
        <v>37</v>
      </c>
      <c r="N560" t="s">
        <v>23</v>
      </c>
      <c r="O560" t="s">
        <v>24</v>
      </c>
    </row>
    <row r="561" spans="1:15" x14ac:dyDescent="0.35">
      <c r="A561" t="s">
        <v>1305</v>
      </c>
      <c r="B561" s="2">
        <v>46234</v>
      </c>
      <c r="C561" t="s">
        <v>529</v>
      </c>
      <c r="D561" t="s">
        <v>846</v>
      </c>
      <c r="E561" t="s">
        <v>156</v>
      </c>
      <c r="F561" t="s">
        <v>157</v>
      </c>
      <c r="G561" t="s">
        <v>28</v>
      </c>
      <c r="H561" t="s">
        <v>131</v>
      </c>
      <c r="I561">
        <v>10</v>
      </c>
      <c r="J561" s="3">
        <v>30000</v>
      </c>
      <c r="K561" s="3">
        <v>19000</v>
      </c>
      <c r="L561" t="s">
        <v>50</v>
      </c>
      <c r="M561" t="s">
        <v>37</v>
      </c>
      <c r="N561" t="s">
        <v>23</v>
      </c>
      <c r="O561" t="s">
        <v>24</v>
      </c>
    </row>
    <row r="562" spans="1:15" x14ac:dyDescent="0.35">
      <c r="A562" t="s">
        <v>1306</v>
      </c>
      <c r="B562" s="2">
        <v>46316</v>
      </c>
      <c r="C562" t="s">
        <v>1307</v>
      </c>
      <c r="D562" t="s">
        <v>1308</v>
      </c>
      <c r="E562" t="s">
        <v>18</v>
      </c>
      <c r="F562" t="s">
        <v>18</v>
      </c>
      <c r="G562" t="s">
        <v>34</v>
      </c>
      <c r="H562" t="s">
        <v>86</v>
      </c>
      <c r="I562">
        <v>1</v>
      </c>
      <c r="J562" s="3">
        <v>189000</v>
      </c>
      <c r="K562" s="3">
        <v>139000</v>
      </c>
      <c r="L562" t="s">
        <v>36</v>
      </c>
      <c r="M562" t="s">
        <v>22</v>
      </c>
      <c r="N562" t="s">
        <v>52</v>
      </c>
      <c r="O562" t="s">
        <v>24</v>
      </c>
    </row>
    <row r="563" spans="1:15" x14ac:dyDescent="0.35">
      <c r="A563" t="s">
        <v>1309</v>
      </c>
      <c r="B563" s="2">
        <v>46228</v>
      </c>
      <c r="C563" t="s">
        <v>1310</v>
      </c>
      <c r="D563" t="s">
        <v>1311</v>
      </c>
      <c r="E563" t="s">
        <v>77</v>
      </c>
      <c r="F563" t="s">
        <v>78</v>
      </c>
      <c r="G563" t="s">
        <v>34</v>
      </c>
      <c r="H563" t="s">
        <v>35</v>
      </c>
      <c r="I563">
        <v>3</v>
      </c>
      <c r="J563" s="3">
        <v>55000</v>
      </c>
      <c r="K563" s="3">
        <v>37800</v>
      </c>
      <c r="L563" t="s">
        <v>96</v>
      </c>
      <c r="M563" t="s">
        <v>37</v>
      </c>
      <c r="N563" t="s">
        <v>87</v>
      </c>
      <c r="O563" t="s">
        <v>91</v>
      </c>
    </row>
    <row r="564" spans="1:15" x14ac:dyDescent="0.35">
      <c r="A564" t="s">
        <v>1312</v>
      </c>
      <c r="B564" s="2">
        <v>46323</v>
      </c>
      <c r="C564" t="s">
        <v>825</v>
      </c>
      <c r="D564" t="s">
        <v>1313</v>
      </c>
      <c r="E564" t="s">
        <v>156</v>
      </c>
      <c r="F564" t="s">
        <v>170</v>
      </c>
      <c r="G564" t="s">
        <v>19</v>
      </c>
      <c r="H564" t="s">
        <v>61</v>
      </c>
      <c r="I564">
        <v>9</v>
      </c>
      <c r="J564" s="3">
        <v>231000</v>
      </c>
      <c r="K564" s="3">
        <v>160000</v>
      </c>
      <c r="L564" t="s">
        <v>96</v>
      </c>
      <c r="M564" t="s">
        <v>37</v>
      </c>
      <c r="N564" t="s">
        <v>52</v>
      </c>
      <c r="O564" t="s">
        <v>24</v>
      </c>
    </row>
    <row r="565" spans="1:15" x14ac:dyDescent="0.35">
      <c r="A565" t="s">
        <v>1314</v>
      </c>
      <c r="B565" s="2">
        <v>46090</v>
      </c>
      <c r="C565" t="s">
        <v>472</v>
      </c>
      <c r="D565" t="s">
        <v>1315</v>
      </c>
      <c r="E565" t="s">
        <v>77</v>
      </c>
      <c r="F565" t="s">
        <v>78</v>
      </c>
      <c r="G565" t="s">
        <v>34</v>
      </c>
      <c r="H565" t="s">
        <v>95</v>
      </c>
      <c r="I565">
        <v>7</v>
      </c>
      <c r="J565" s="3">
        <v>450000</v>
      </c>
      <c r="K565" s="3">
        <v>358900</v>
      </c>
      <c r="L565" t="s">
        <v>66</v>
      </c>
      <c r="M565" t="s">
        <v>22</v>
      </c>
      <c r="N565" t="s">
        <v>52</v>
      </c>
      <c r="O565" t="s">
        <v>24</v>
      </c>
    </row>
    <row r="566" spans="1:15" x14ac:dyDescent="0.35">
      <c r="A566" t="s">
        <v>1316</v>
      </c>
      <c r="B566" s="2">
        <v>46084</v>
      </c>
      <c r="C566" t="s">
        <v>578</v>
      </c>
      <c r="D566" t="s">
        <v>351</v>
      </c>
      <c r="E566" t="s">
        <v>18</v>
      </c>
      <c r="F566" t="s">
        <v>18</v>
      </c>
      <c r="G566" t="s">
        <v>34</v>
      </c>
      <c r="H566" t="s">
        <v>158</v>
      </c>
      <c r="I566">
        <v>10</v>
      </c>
      <c r="J566" s="3">
        <v>90200</v>
      </c>
      <c r="K566" s="3">
        <v>70000</v>
      </c>
      <c r="L566" t="s">
        <v>36</v>
      </c>
      <c r="M566" t="s">
        <v>37</v>
      </c>
      <c r="N566" t="s">
        <v>87</v>
      </c>
      <c r="O566" t="s">
        <v>45</v>
      </c>
    </row>
    <row r="567" spans="1:15" x14ac:dyDescent="0.35">
      <c r="A567" t="s">
        <v>1317</v>
      </c>
      <c r="B567" s="2">
        <v>46341</v>
      </c>
      <c r="C567" t="s">
        <v>280</v>
      </c>
      <c r="D567" t="s">
        <v>476</v>
      </c>
      <c r="E567" t="s">
        <v>18</v>
      </c>
      <c r="F567" t="s">
        <v>18</v>
      </c>
      <c r="G567" t="s">
        <v>19</v>
      </c>
      <c r="H567" t="s">
        <v>20</v>
      </c>
      <c r="I567">
        <v>6</v>
      </c>
      <c r="J567" s="3">
        <v>61800</v>
      </c>
      <c r="K567" s="3">
        <v>45000</v>
      </c>
      <c r="L567" t="s">
        <v>66</v>
      </c>
      <c r="M567" t="s">
        <v>31</v>
      </c>
      <c r="N567" t="s">
        <v>87</v>
      </c>
      <c r="O567" t="s">
        <v>24</v>
      </c>
    </row>
    <row r="568" spans="1:15" x14ac:dyDescent="0.35">
      <c r="A568" t="s">
        <v>1318</v>
      </c>
      <c r="B568" s="2">
        <v>46117</v>
      </c>
      <c r="C568" t="s">
        <v>659</v>
      </c>
      <c r="D568" t="s">
        <v>1204</v>
      </c>
      <c r="E568" t="s">
        <v>18</v>
      </c>
      <c r="F568" t="s">
        <v>18</v>
      </c>
      <c r="G568" t="s">
        <v>28</v>
      </c>
      <c r="H568" t="s">
        <v>65</v>
      </c>
      <c r="I568">
        <v>8</v>
      </c>
      <c r="J568" s="3">
        <v>12600</v>
      </c>
      <c r="K568" s="3">
        <v>7500</v>
      </c>
      <c r="L568" t="s">
        <v>30</v>
      </c>
      <c r="M568" t="s">
        <v>37</v>
      </c>
      <c r="N568" t="s">
        <v>23</v>
      </c>
      <c r="O568" t="s">
        <v>24</v>
      </c>
    </row>
    <row r="569" spans="1:15" x14ac:dyDescent="0.35">
      <c r="A569" t="s">
        <v>1319</v>
      </c>
      <c r="B569" s="2">
        <v>46095</v>
      </c>
      <c r="C569" t="s">
        <v>678</v>
      </c>
      <c r="D569" t="s">
        <v>306</v>
      </c>
      <c r="E569" t="s">
        <v>18</v>
      </c>
      <c r="F569" t="s">
        <v>18</v>
      </c>
      <c r="G569" t="s">
        <v>19</v>
      </c>
      <c r="H569" t="s">
        <v>20</v>
      </c>
      <c r="I569">
        <v>1</v>
      </c>
      <c r="J569" s="3">
        <v>65000</v>
      </c>
      <c r="K569" s="3">
        <v>43600</v>
      </c>
      <c r="L569" t="s">
        <v>73</v>
      </c>
      <c r="M569" t="s">
        <v>37</v>
      </c>
      <c r="N569" t="s">
        <v>52</v>
      </c>
      <c r="O569" t="s">
        <v>91</v>
      </c>
    </row>
    <row r="570" spans="1:15" x14ac:dyDescent="0.35">
      <c r="A570" t="s">
        <v>1320</v>
      </c>
      <c r="B570" s="2">
        <v>46058</v>
      </c>
      <c r="C570" t="s">
        <v>1321</v>
      </c>
      <c r="D570" t="s">
        <v>1322</v>
      </c>
      <c r="E570" t="s">
        <v>18</v>
      </c>
      <c r="F570" t="s">
        <v>18</v>
      </c>
      <c r="G570" t="s">
        <v>19</v>
      </c>
      <c r="H570" t="s">
        <v>20</v>
      </c>
      <c r="I570">
        <v>8</v>
      </c>
      <c r="J570" s="3">
        <v>61800</v>
      </c>
      <c r="K570" s="3">
        <v>43600</v>
      </c>
      <c r="L570" t="s">
        <v>50</v>
      </c>
      <c r="M570" t="s">
        <v>37</v>
      </c>
      <c r="N570" t="s">
        <v>23</v>
      </c>
      <c r="O570" t="s">
        <v>24</v>
      </c>
    </row>
    <row r="571" spans="1:15" x14ac:dyDescent="0.35">
      <c r="A571" t="s">
        <v>1323</v>
      </c>
      <c r="B571" s="2">
        <v>46250</v>
      </c>
      <c r="C571" t="s">
        <v>1307</v>
      </c>
      <c r="D571" t="s">
        <v>435</v>
      </c>
      <c r="E571" t="s">
        <v>84</v>
      </c>
      <c r="F571" t="s">
        <v>85</v>
      </c>
      <c r="G571" t="s">
        <v>28</v>
      </c>
      <c r="H571" t="s">
        <v>248</v>
      </c>
      <c r="I571">
        <v>9</v>
      </c>
      <c r="J571" s="3">
        <v>23800</v>
      </c>
      <c r="K571" s="3">
        <v>15500</v>
      </c>
      <c r="L571" t="s">
        <v>21</v>
      </c>
      <c r="M571" t="s">
        <v>51</v>
      </c>
      <c r="N571" t="s">
        <v>52</v>
      </c>
      <c r="O571" t="s">
        <v>24</v>
      </c>
    </row>
    <row r="572" spans="1:15" x14ac:dyDescent="0.35">
      <c r="A572" t="s">
        <v>1324</v>
      </c>
      <c r="B572" s="2">
        <v>46222</v>
      </c>
      <c r="C572" t="s">
        <v>114</v>
      </c>
      <c r="D572" t="s">
        <v>1325</v>
      </c>
      <c r="E572" t="s">
        <v>18</v>
      </c>
      <c r="F572" t="s">
        <v>18</v>
      </c>
      <c r="G572" t="s">
        <v>34</v>
      </c>
      <c r="H572" t="s">
        <v>35</v>
      </c>
      <c r="I572">
        <v>6</v>
      </c>
      <c r="J572" s="3">
        <v>55000</v>
      </c>
      <c r="K572" s="3">
        <v>40200</v>
      </c>
      <c r="L572" t="s">
        <v>80</v>
      </c>
      <c r="M572" t="s">
        <v>37</v>
      </c>
      <c r="N572" t="s">
        <v>87</v>
      </c>
      <c r="O572" t="s">
        <v>24</v>
      </c>
    </row>
    <row r="573" spans="1:15" x14ac:dyDescent="0.35">
      <c r="A573" t="s">
        <v>1326</v>
      </c>
      <c r="B573" s="2">
        <v>46309</v>
      </c>
      <c r="C573" t="s">
        <v>1327</v>
      </c>
      <c r="D573" t="s">
        <v>796</v>
      </c>
      <c r="E573" t="s">
        <v>56</v>
      </c>
      <c r="G573" t="s">
        <v>34</v>
      </c>
      <c r="H573" t="s">
        <v>95</v>
      </c>
      <c r="I573">
        <v>6</v>
      </c>
      <c r="J573" s="3">
        <v>472500</v>
      </c>
      <c r="K573" s="3">
        <v>370000</v>
      </c>
      <c r="L573" t="s">
        <v>50</v>
      </c>
      <c r="M573" t="s">
        <v>37</v>
      </c>
      <c r="N573" t="s">
        <v>87</v>
      </c>
      <c r="O573" t="s">
        <v>24</v>
      </c>
    </row>
    <row r="574" spans="1:15" x14ac:dyDescent="0.35">
      <c r="A574" t="s">
        <v>1328</v>
      </c>
      <c r="B574" s="2">
        <v>46261</v>
      </c>
      <c r="C574" t="s">
        <v>269</v>
      </c>
      <c r="D574" t="s">
        <v>724</v>
      </c>
      <c r="E574" t="s">
        <v>190</v>
      </c>
      <c r="F574" t="s">
        <v>191</v>
      </c>
      <c r="G574" t="s">
        <v>43</v>
      </c>
      <c r="H574" t="s">
        <v>162</v>
      </c>
      <c r="I574">
        <v>2</v>
      </c>
      <c r="J574" s="3">
        <v>8000</v>
      </c>
      <c r="K574" s="3">
        <v>4800</v>
      </c>
      <c r="L574" t="s">
        <v>80</v>
      </c>
      <c r="M574" t="s">
        <v>37</v>
      </c>
      <c r="N574" t="s">
        <v>23</v>
      </c>
      <c r="O574" t="s">
        <v>24</v>
      </c>
    </row>
    <row r="575" spans="1:15" x14ac:dyDescent="0.35">
      <c r="A575" t="s">
        <v>1329</v>
      </c>
      <c r="B575" s="2">
        <v>46142</v>
      </c>
      <c r="C575" t="s">
        <v>1037</v>
      </c>
      <c r="D575" t="s">
        <v>1330</v>
      </c>
      <c r="E575" t="s">
        <v>18</v>
      </c>
      <c r="F575" t="s">
        <v>18</v>
      </c>
      <c r="G575" t="s">
        <v>28</v>
      </c>
      <c r="H575" t="s">
        <v>131</v>
      </c>
      <c r="I575">
        <v>5</v>
      </c>
      <c r="J575" s="3">
        <v>31500</v>
      </c>
      <c r="K575" s="3">
        <v>19600</v>
      </c>
      <c r="L575" t="s">
        <v>66</v>
      </c>
      <c r="M575" t="s">
        <v>37</v>
      </c>
      <c r="N575" t="s">
        <v>52</v>
      </c>
      <c r="O575" t="s">
        <v>24</v>
      </c>
    </row>
    <row r="576" spans="1:15" x14ac:dyDescent="0.35">
      <c r="A576" t="s">
        <v>1331</v>
      </c>
      <c r="B576" s="2">
        <v>46188</v>
      </c>
      <c r="C576" t="s">
        <v>649</v>
      </c>
      <c r="D576" t="s">
        <v>1332</v>
      </c>
      <c r="E576" t="s">
        <v>56</v>
      </c>
      <c r="F576" t="s">
        <v>57</v>
      </c>
      <c r="G576" t="s">
        <v>34</v>
      </c>
      <c r="H576" t="s">
        <v>141</v>
      </c>
      <c r="I576">
        <v>3</v>
      </c>
      <c r="J576" s="3">
        <v>160000</v>
      </c>
      <c r="K576" s="3">
        <v>120000</v>
      </c>
      <c r="L576" t="s">
        <v>50</v>
      </c>
      <c r="M576" t="s">
        <v>37</v>
      </c>
      <c r="N576" t="s">
        <v>23</v>
      </c>
      <c r="O576" t="s">
        <v>45</v>
      </c>
    </row>
    <row r="577" spans="1:15" x14ac:dyDescent="0.35">
      <c r="A577" t="s">
        <v>1333</v>
      </c>
      <c r="B577" s="2">
        <v>46385</v>
      </c>
      <c r="C577" t="s">
        <v>612</v>
      </c>
      <c r="D577" t="s">
        <v>552</v>
      </c>
      <c r="E577" t="s">
        <v>84</v>
      </c>
      <c r="F577" t="s">
        <v>85</v>
      </c>
      <c r="G577" t="s">
        <v>43</v>
      </c>
      <c r="H577" t="s">
        <v>162</v>
      </c>
      <c r="I577">
        <v>4</v>
      </c>
      <c r="J577" s="3">
        <v>8000</v>
      </c>
      <c r="K577" s="3">
        <v>5200</v>
      </c>
      <c r="L577" t="s">
        <v>73</v>
      </c>
      <c r="M577" t="s">
        <v>51</v>
      </c>
      <c r="N577" t="s">
        <v>52</v>
      </c>
      <c r="O577" t="s">
        <v>45</v>
      </c>
    </row>
    <row r="578" spans="1:15" x14ac:dyDescent="0.35">
      <c r="A578" t="s">
        <v>1334</v>
      </c>
      <c r="B578" s="2">
        <v>46222</v>
      </c>
      <c r="C578" t="s">
        <v>1093</v>
      </c>
      <c r="D578" t="s">
        <v>1335</v>
      </c>
      <c r="E578" t="s">
        <v>18</v>
      </c>
      <c r="F578" t="s">
        <v>18</v>
      </c>
      <c r="G578" t="s">
        <v>43</v>
      </c>
      <c r="H578" t="s">
        <v>44</v>
      </c>
      <c r="I578">
        <v>4</v>
      </c>
      <c r="J578" s="3">
        <v>15000</v>
      </c>
      <c r="K578" s="3">
        <v>9800</v>
      </c>
      <c r="L578" t="s">
        <v>80</v>
      </c>
      <c r="M578" t="s">
        <v>37</v>
      </c>
      <c r="N578" t="s">
        <v>52</v>
      </c>
      <c r="O578" t="s">
        <v>45</v>
      </c>
    </row>
    <row r="579" spans="1:15" x14ac:dyDescent="0.35">
      <c r="A579" t="s">
        <v>1336</v>
      </c>
      <c r="B579" s="2">
        <v>46133</v>
      </c>
      <c r="C579" t="s">
        <v>1033</v>
      </c>
      <c r="D579" t="s">
        <v>187</v>
      </c>
      <c r="E579" t="s">
        <v>84</v>
      </c>
      <c r="F579" t="s">
        <v>85</v>
      </c>
      <c r="G579" t="s">
        <v>34</v>
      </c>
      <c r="H579" t="s">
        <v>158</v>
      </c>
      <c r="I579">
        <v>7</v>
      </c>
      <c r="J579" s="3">
        <v>95000</v>
      </c>
      <c r="K579" s="3">
        <v>70000</v>
      </c>
      <c r="L579" t="s">
        <v>66</v>
      </c>
      <c r="M579" t="s">
        <v>51</v>
      </c>
      <c r="N579" t="s">
        <v>87</v>
      </c>
      <c r="O579" t="s">
        <v>24</v>
      </c>
    </row>
    <row r="580" spans="1:15" x14ac:dyDescent="0.35">
      <c r="A580" t="s">
        <v>1337</v>
      </c>
      <c r="B580" s="2">
        <v>46162</v>
      </c>
      <c r="C580" t="s">
        <v>1007</v>
      </c>
      <c r="D580" t="s">
        <v>1338</v>
      </c>
      <c r="E580" t="s">
        <v>18</v>
      </c>
      <c r="F580" t="s">
        <v>18</v>
      </c>
      <c r="G580" t="s">
        <v>43</v>
      </c>
      <c r="H580" t="s">
        <v>162</v>
      </c>
      <c r="I580">
        <v>3</v>
      </c>
      <c r="J580" s="3">
        <v>8000</v>
      </c>
      <c r="K580" s="3">
        <v>5000</v>
      </c>
      <c r="L580" t="s">
        <v>21</v>
      </c>
      <c r="M580" t="s">
        <v>31</v>
      </c>
      <c r="N580" t="s">
        <v>87</v>
      </c>
      <c r="O580" t="s">
        <v>24</v>
      </c>
    </row>
    <row r="581" spans="1:15" x14ac:dyDescent="0.35">
      <c r="A581" t="s">
        <v>1339</v>
      </c>
      <c r="B581" s="2">
        <v>46319</v>
      </c>
      <c r="C581" t="s">
        <v>1340</v>
      </c>
      <c r="D581" t="s">
        <v>459</v>
      </c>
      <c r="E581" t="s">
        <v>56</v>
      </c>
      <c r="F581" t="s">
        <v>57</v>
      </c>
      <c r="G581" t="s">
        <v>43</v>
      </c>
      <c r="H581" t="s">
        <v>162</v>
      </c>
      <c r="I581">
        <v>1</v>
      </c>
      <c r="J581" s="3">
        <v>8000</v>
      </c>
      <c r="K581" s="3">
        <v>4800</v>
      </c>
      <c r="L581" t="s">
        <v>66</v>
      </c>
      <c r="M581" t="s">
        <v>37</v>
      </c>
      <c r="N581" t="s">
        <v>87</v>
      </c>
      <c r="O581" t="s">
        <v>24</v>
      </c>
    </row>
    <row r="582" spans="1:15" x14ac:dyDescent="0.35">
      <c r="A582" t="s">
        <v>1341</v>
      </c>
      <c r="B582" s="2">
        <v>46238</v>
      </c>
      <c r="C582" t="s">
        <v>1342</v>
      </c>
      <c r="D582" t="s">
        <v>1343</v>
      </c>
      <c r="E582" t="s">
        <v>156</v>
      </c>
      <c r="F582" t="s">
        <v>157</v>
      </c>
      <c r="G582" t="s">
        <v>43</v>
      </c>
      <c r="H582" t="s">
        <v>49</v>
      </c>
      <c r="I582">
        <v>5</v>
      </c>
      <c r="J582" s="3">
        <v>9000</v>
      </c>
      <c r="K582" s="3">
        <v>6000</v>
      </c>
      <c r="L582" t="s">
        <v>96</v>
      </c>
      <c r="M582" t="s">
        <v>51</v>
      </c>
      <c r="N582" t="s">
        <v>52</v>
      </c>
      <c r="O582" t="s">
        <v>45</v>
      </c>
    </row>
    <row r="583" spans="1:15" x14ac:dyDescent="0.35">
      <c r="A583" t="s">
        <v>1344</v>
      </c>
      <c r="B583" s="2">
        <v>46347</v>
      </c>
      <c r="C583" t="s">
        <v>133</v>
      </c>
      <c r="D583" t="s">
        <v>367</v>
      </c>
      <c r="E583" t="s">
        <v>77</v>
      </c>
      <c r="F583" t="s">
        <v>78</v>
      </c>
      <c r="G583" t="s">
        <v>28</v>
      </c>
      <c r="H583" t="s">
        <v>65</v>
      </c>
      <c r="I583">
        <v>4</v>
      </c>
      <c r="J583" s="3">
        <v>12000</v>
      </c>
      <c r="K583" s="3">
        <v>7700</v>
      </c>
      <c r="L583" t="s">
        <v>80</v>
      </c>
      <c r="M583" t="s">
        <v>22</v>
      </c>
      <c r="N583" t="s">
        <v>87</v>
      </c>
      <c r="O583" t="s">
        <v>24</v>
      </c>
    </row>
    <row r="584" spans="1:15" x14ac:dyDescent="0.35">
      <c r="A584" t="s">
        <v>1345</v>
      </c>
      <c r="B584" s="2">
        <v>46235</v>
      </c>
      <c r="C584" t="s">
        <v>952</v>
      </c>
      <c r="D584" t="s">
        <v>1346</v>
      </c>
      <c r="E584" t="s">
        <v>18</v>
      </c>
      <c r="F584" t="s">
        <v>18</v>
      </c>
      <c r="G584" t="s">
        <v>19</v>
      </c>
      <c r="H584" t="s">
        <v>61</v>
      </c>
      <c r="I584">
        <v>2</v>
      </c>
      <c r="J584" s="3">
        <v>220000</v>
      </c>
      <c r="K584" s="3">
        <v>164800</v>
      </c>
      <c r="L584" t="s">
        <v>73</v>
      </c>
      <c r="M584" t="s">
        <v>37</v>
      </c>
      <c r="N584" t="s">
        <v>23</v>
      </c>
      <c r="O584" t="s">
        <v>24</v>
      </c>
    </row>
    <row r="585" spans="1:15" x14ac:dyDescent="0.35">
      <c r="A585" t="s">
        <v>1347</v>
      </c>
      <c r="B585" s="2">
        <v>46380</v>
      </c>
      <c r="C585" t="s">
        <v>1348</v>
      </c>
      <c r="D585" t="s">
        <v>482</v>
      </c>
      <c r="E585" t="s">
        <v>18</v>
      </c>
      <c r="F585" t="s">
        <v>18</v>
      </c>
      <c r="G585" t="s">
        <v>34</v>
      </c>
      <c r="H585" t="s">
        <v>95</v>
      </c>
      <c r="I585">
        <v>1</v>
      </c>
      <c r="J585" s="3">
        <v>472500</v>
      </c>
      <c r="K585" s="3">
        <v>381100</v>
      </c>
      <c r="L585" t="s">
        <v>30</v>
      </c>
      <c r="M585" t="s">
        <v>37</v>
      </c>
      <c r="N585" t="s">
        <v>52</v>
      </c>
      <c r="O585" t="s">
        <v>45</v>
      </c>
    </row>
    <row r="586" spans="1:15" x14ac:dyDescent="0.35">
      <c r="A586" t="s">
        <v>1349</v>
      </c>
      <c r="B586" s="2">
        <v>46156</v>
      </c>
      <c r="C586" t="s">
        <v>1007</v>
      </c>
      <c r="D586" t="s">
        <v>521</v>
      </c>
      <c r="E586" t="s">
        <v>190</v>
      </c>
      <c r="F586" t="s">
        <v>191</v>
      </c>
      <c r="G586" t="s">
        <v>43</v>
      </c>
      <c r="H586" t="s">
        <v>49</v>
      </c>
      <c r="I586">
        <v>10</v>
      </c>
      <c r="J586" s="3">
        <v>9000</v>
      </c>
      <c r="K586" s="3">
        <v>5800</v>
      </c>
      <c r="L586" t="s">
        <v>30</v>
      </c>
      <c r="M586" t="s">
        <v>37</v>
      </c>
      <c r="N586" t="s">
        <v>87</v>
      </c>
      <c r="O586" t="s">
        <v>24</v>
      </c>
    </row>
    <row r="587" spans="1:15" x14ac:dyDescent="0.35">
      <c r="A587" t="s">
        <v>1350</v>
      </c>
      <c r="B587" s="2">
        <v>46224</v>
      </c>
      <c r="C587" t="s">
        <v>596</v>
      </c>
      <c r="D587" t="s">
        <v>1109</v>
      </c>
      <c r="E587" t="s">
        <v>56</v>
      </c>
      <c r="F587" t="s">
        <v>57</v>
      </c>
      <c r="G587" t="s">
        <v>34</v>
      </c>
      <c r="H587" t="s">
        <v>158</v>
      </c>
      <c r="I587">
        <v>6</v>
      </c>
      <c r="J587" s="3">
        <v>95000</v>
      </c>
      <c r="K587" s="3">
        <v>67900</v>
      </c>
      <c r="L587" t="s">
        <v>80</v>
      </c>
      <c r="M587" t="s">
        <v>22</v>
      </c>
      <c r="N587" t="s">
        <v>23</v>
      </c>
      <c r="O587" t="s">
        <v>24</v>
      </c>
    </row>
    <row r="588" spans="1:15" x14ac:dyDescent="0.35">
      <c r="A588" t="s">
        <v>1351</v>
      </c>
      <c r="B588" s="2">
        <v>46167</v>
      </c>
      <c r="C588" t="s">
        <v>286</v>
      </c>
      <c r="D588" t="s">
        <v>922</v>
      </c>
      <c r="E588" t="s">
        <v>77</v>
      </c>
      <c r="F588" t="s">
        <v>78</v>
      </c>
      <c r="G588" t="s">
        <v>34</v>
      </c>
      <c r="H588" t="s">
        <v>35</v>
      </c>
      <c r="I588">
        <v>6</v>
      </c>
      <c r="J588" s="3">
        <v>57800</v>
      </c>
      <c r="K588" s="3">
        <v>39000</v>
      </c>
      <c r="L588" t="s">
        <v>66</v>
      </c>
      <c r="M588" t="s">
        <v>31</v>
      </c>
      <c r="N588" t="s">
        <v>23</v>
      </c>
      <c r="O588" t="s">
        <v>45</v>
      </c>
    </row>
    <row r="589" spans="1:15" x14ac:dyDescent="0.35">
      <c r="A589" t="s">
        <v>1352</v>
      </c>
      <c r="B589" s="2">
        <v>46298</v>
      </c>
      <c r="C589" t="s">
        <v>1353</v>
      </c>
      <c r="D589" t="s">
        <v>1224</v>
      </c>
      <c r="E589" t="s">
        <v>41</v>
      </c>
      <c r="F589" t="s">
        <v>42</v>
      </c>
      <c r="G589" t="s">
        <v>28</v>
      </c>
      <c r="H589" t="s">
        <v>65</v>
      </c>
      <c r="I589">
        <v>6</v>
      </c>
      <c r="J589" s="3">
        <v>12000</v>
      </c>
      <c r="K589" s="3">
        <v>7700</v>
      </c>
      <c r="L589" t="s">
        <v>80</v>
      </c>
      <c r="M589" t="s">
        <v>22</v>
      </c>
      <c r="N589" t="s">
        <v>23</v>
      </c>
      <c r="O589" t="s">
        <v>91</v>
      </c>
    </row>
    <row r="590" spans="1:15" x14ac:dyDescent="0.35">
      <c r="A590" t="s">
        <v>1354</v>
      </c>
      <c r="B590" s="2">
        <v>46330</v>
      </c>
      <c r="C590" t="s">
        <v>353</v>
      </c>
      <c r="D590" t="s">
        <v>1077</v>
      </c>
      <c r="E590" t="s">
        <v>56</v>
      </c>
      <c r="F590" t="s">
        <v>57</v>
      </c>
      <c r="G590" t="s">
        <v>28</v>
      </c>
      <c r="H590" t="s">
        <v>131</v>
      </c>
      <c r="I590">
        <v>6</v>
      </c>
      <c r="J590" s="3">
        <v>30000</v>
      </c>
      <c r="K590" s="3">
        <v>19600</v>
      </c>
      <c r="L590" t="s">
        <v>96</v>
      </c>
      <c r="M590" t="s">
        <v>31</v>
      </c>
      <c r="N590" t="s">
        <v>23</v>
      </c>
      <c r="O590" t="s">
        <v>24</v>
      </c>
    </row>
    <row r="591" spans="1:15" x14ac:dyDescent="0.35">
      <c r="A591" t="s">
        <v>1355</v>
      </c>
      <c r="B591" s="2">
        <v>46193</v>
      </c>
      <c r="C591" t="s">
        <v>1356</v>
      </c>
      <c r="D591" t="s">
        <v>498</v>
      </c>
      <c r="E591" t="s">
        <v>56</v>
      </c>
      <c r="F591" t="s">
        <v>57</v>
      </c>
      <c r="G591" t="s">
        <v>19</v>
      </c>
      <c r="H591" t="s">
        <v>20</v>
      </c>
      <c r="I591">
        <v>7</v>
      </c>
      <c r="J591" s="3">
        <v>61800</v>
      </c>
      <c r="K591" s="3">
        <v>43600</v>
      </c>
      <c r="L591" t="s">
        <v>36</v>
      </c>
      <c r="M591" t="s">
        <v>51</v>
      </c>
      <c r="N591" t="s">
        <v>52</v>
      </c>
      <c r="O591" t="s">
        <v>91</v>
      </c>
    </row>
    <row r="592" spans="1:15" x14ac:dyDescent="0.35">
      <c r="A592" t="s">
        <v>1357</v>
      </c>
      <c r="B592" s="2">
        <v>46120</v>
      </c>
      <c r="C592" t="s">
        <v>1358</v>
      </c>
      <c r="D592" t="s">
        <v>1359</v>
      </c>
      <c r="E592" t="s">
        <v>18</v>
      </c>
      <c r="F592" t="s">
        <v>18</v>
      </c>
      <c r="G592" t="s">
        <v>19</v>
      </c>
      <c r="H592" t="s">
        <v>20</v>
      </c>
      <c r="I592">
        <v>5</v>
      </c>
      <c r="J592" s="3">
        <v>68200</v>
      </c>
      <c r="K592" s="3">
        <v>43600</v>
      </c>
      <c r="L592" t="s">
        <v>96</v>
      </c>
      <c r="M592" t="s">
        <v>31</v>
      </c>
      <c r="N592" t="s">
        <v>87</v>
      </c>
      <c r="O592" t="s">
        <v>24</v>
      </c>
    </row>
    <row r="593" spans="1:15" x14ac:dyDescent="0.35">
      <c r="A593" t="s">
        <v>1360</v>
      </c>
      <c r="B593" s="2">
        <v>46363</v>
      </c>
      <c r="C593" t="s">
        <v>882</v>
      </c>
      <c r="D593" t="s">
        <v>1361</v>
      </c>
      <c r="E593" t="s">
        <v>18</v>
      </c>
      <c r="F593" t="s">
        <v>18</v>
      </c>
      <c r="G593" t="s">
        <v>19</v>
      </c>
      <c r="H593" t="s">
        <v>166</v>
      </c>
      <c r="I593">
        <v>8</v>
      </c>
      <c r="J593" s="3">
        <v>133000</v>
      </c>
      <c r="K593" s="3">
        <v>97000</v>
      </c>
      <c r="L593" t="s">
        <v>21</v>
      </c>
      <c r="M593" t="s">
        <v>22</v>
      </c>
      <c r="N593" t="s">
        <v>52</v>
      </c>
      <c r="O593" t="s">
        <v>45</v>
      </c>
    </row>
    <row r="594" spans="1:15" x14ac:dyDescent="0.35">
      <c r="A594" t="s">
        <v>1362</v>
      </c>
      <c r="B594" s="2">
        <v>46353</v>
      </c>
      <c r="C594" t="s">
        <v>892</v>
      </c>
      <c r="D594" t="s">
        <v>1363</v>
      </c>
      <c r="E594" t="s">
        <v>156</v>
      </c>
      <c r="F594" t="s">
        <v>170</v>
      </c>
      <c r="G594" t="s">
        <v>19</v>
      </c>
      <c r="H594" t="s">
        <v>112</v>
      </c>
      <c r="I594">
        <v>7</v>
      </c>
      <c r="J594" s="3">
        <v>85000</v>
      </c>
      <c r="K594" s="3">
        <v>60100</v>
      </c>
      <c r="L594" t="s">
        <v>80</v>
      </c>
      <c r="M594" t="s">
        <v>37</v>
      </c>
      <c r="N594" t="s">
        <v>23</v>
      </c>
      <c r="O594" t="s">
        <v>24</v>
      </c>
    </row>
    <row r="595" spans="1:15" x14ac:dyDescent="0.35">
      <c r="A595" t="s">
        <v>1364</v>
      </c>
      <c r="B595" s="2">
        <v>46332</v>
      </c>
      <c r="C595" t="s">
        <v>518</v>
      </c>
      <c r="D595" t="s">
        <v>1059</v>
      </c>
      <c r="E595" t="s">
        <v>41</v>
      </c>
      <c r="F595" t="s">
        <v>42</v>
      </c>
      <c r="G595" t="s">
        <v>19</v>
      </c>
      <c r="H595" t="s">
        <v>166</v>
      </c>
      <c r="I595">
        <v>8</v>
      </c>
      <c r="J595" s="3">
        <v>147000</v>
      </c>
      <c r="K595" s="3">
        <v>97000</v>
      </c>
      <c r="L595" t="s">
        <v>21</v>
      </c>
      <c r="M595" t="s">
        <v>31</v>
      </c>
      <c r="N595" t="s">
        <v>87</v>
      </c>
      <c r="O595" t="s">
        <v>24</v>
      </c>
    </row>
    <row r="596" spans="1:15" x14ac:dyDescent="0.35">
      <c r="A596" t="s">
        <v>1365</v>
      </c>
      <c r="B596" s="2">
        <v>46266</v>
      </c>
      <c r="C596" t="s">
        <v>559</v>
      </c>
      <c r="D596" t="s">
        <v>144</v>
      </c>
      <c r="E596" t="s">
        <v>156</v>
      </c>
      <c r="F596" t="s">
        <v>170</v>
      </c>
      <c r="G596" t="s">
        <v>34</v>
      </c>
      <c r="H596" t="s">
        <v>86</v>
      </c>
      <c r="I596">
        <v>7</v>
      </c>
      <c r="J596" s="3">
        <v>180000</v>
      </c>
      <c r="K596" s="3">
        <v>135000</v>
      </c>
      <c r="L596" t="s">
        <v>50</v>
      </c>
      <c r="M596" t="s">
        <v>37</v>
      </c>
      <c r="N596" t="s">
        <v>23</v>
      </c>
      <c r="O596" t="s">
        <v>24</v>
      </c>
    </row>
    <row r="597" spans="1:15" x14ac:dyDescent="0.35">
      <c r="A597" t="s">
        <v>1366</v>
      </c>
      <c r="B597" s="2">
        <v>46067</v>
      </c>
      <c r="C597" t="s">
        <v>908</v>
      </c>
      <c r="D597" t="s">
        <v>468</v>
      </c>
      <c r="E597" t="s">
        <v>84</v>
      </c>
      <c r="F597" t="s">
        <v>85</v>
      </c>
      <c r="G597" t="s">
        <v>28</v>
      </c>
      <c r="H597" t="s">
        <v>72</v>
      </c>
      <c r="I597">
        <v>3</v>
      </c>
      <c r="J597" s="3">
        <v>9500</v>
      </c>
      <c r="K597" s="3">
        <v>6000</v>
      </c>
      <c r="L597" t="s">
        <v>96</v>
      </c>
      <c r="M597" t="s">
        <v>31</v>
      </c>
      <c r="N597" t="s">
        <v>23</v>
      </c>
      <c r="O597" t="s">
        <v>24</v>
      </c>
    </row>
    <row r="598" spans="1:15" x14ac:dyDescent="0.35">
      <c r="A598" t="s">
        <v>1367</v>
      </c>
      <c r="B598" s="2">
        <v>46227</v>
      </c>
      <c r="C598" t="s">
        <v>1368</v>
      </c>
      <c r="D598" t="s">
        <v>1369</v>
      </c>
      <c r="E598" t="s">
        <v>18</v>
      </c>
      <c r="F598" t="s">
        <v>18</v>
      </c>
      <c r="G598" t="s">
        <v>28</v>
      </c>
      <c r="H598" t="s">
        <v>72</v>
      </c>
      <c r="I598">
        <v>1</v>
      </c>
      <c r="J598" s="3">
        <v>10500</v>
      </c>
      <c r="K598" s="3">
        <v>6200</v>
      </c>
      <c r="L598" t="s">
        <v>21</v>
      </c>
      <c r="M598" t="s">
        <v>51</v>
      </c>
      <c r="N598" t="s">
        <v>23</v>
      </c>
      <c r="O598" t="s">
        <v>45</v>
      </c>
    </row>
    <row r="599" spans="1:15" x14ac:dyDescent="0.35">
      <c r="A599" t="s">
        <v>1370</v>
      </c>
      <c r="B599" s="2">
        <v>46285</v>
      </c>
      <c r="C599" t="s">
        <v>1371</v>
      </c>
      <c r="D599" t="s">
        <v>674</v>
      </c>
      <c r="E599" t="s">
        <v>41</v>
      </c>
      <c r="F599" t="s">
        <v>42</v>
      </c>
      <c r="G599" t="s">
        <v>28</v>
      </c>
      <c r="H599" t="s">
        <v>29</v>
      </c>
      <c r="I599">
        <v>9</v>
      </c>
      <c r="J599" s="3">
        <v>7000</v>
      </c>
      <c r="K599" s="3">
        <v>3900</v>
      </c>
      <c r="L599" t="s">
        <v>30</v>
      </c>
      <c r="M599" t="s">
        <v>37</v>
      </c>
      <c r="N599" t="s">
        <v>23</v>
      </c>
      <c r="O599" t="s">
        <v>45</v>
      </c>
    </row>
    <row r="600" spans="1:15" x14ac:dyDescent="0.35">
      <c r="A600" t="s">
        <v>1372</v>
      </c>
      <c r="B600" s="2">
        <v>46219</v>
      </c>
      <c r="C600" t="s">
        <v>1143</v>
      </c>
      <c r="D600" t="s">
        <v>1361</v>
      </c>
      <c r="E600" t="s">
        <v>77</v>
      </c>
      <c r="F600" t="s">
        <v>78</v>
      </c>
      <c r="G600" t="s">
        <v>28</v>
      </c>
      <c r="H600" t="s">
        <v>29</v>
      </c>
      <c r="I600">
        <v>4</v>
      </c>
      <c r="J600" s="3">
        <v>7400</v>
      </c>
      <c r="K600" s="3">
        <v>4100</v>
      </c>
      <c r="L600" t="s">
        <v>73</v>
      </c>
      <c r="M600" t="s">
        <v>31</v>
      </c>
      <c r="N600" t="s">
        <v>23</v>
      </c>
      <c r="O600" t="s">
        <v>24</v>
      </c>
    </row>
    <row r="601" spans="1:15" x14ac:dyDescent="0.35">
      <c r="A601" t="s">
        <v>1373</v>
      </c>
      <c r="B601" s="2">
        <v>46267</v>
      </c>
      <c r="C601" t="s">
        <v>175</v>
      </c>
      <c r="D601" t="s">
        <v>643</v>
      </c>
      <c r="E601" t="s">
        <v>84</v>
      </c>
      <c r="F601" t="s">
        <v>85</v>
      </c>
      <c r="G601" t="s">
        <v>19</v>
      </c>
      <c r="H601" t="s">
        <v>166</v>
      </c>
      <c r="I601">
        <v>3</v>
      </c>
      <c r="J601" s="3">
        <v>140000</v>
      </c>
      <c r="K601" s="3">
        <v>97000</v>
      </c>
      <c r="L601" t="s">
        <v>36</v>
      </c>
      <c r="M601" t="s">
        <v>51</v>
      </c>
      <c r="N601" t="s">
        <v>23</v>
      </c>
      <c r="O601" t="s">
        <v>24</v>
      </c>
    </row>
    <row r="602" spans="1:15" x14ac:dyDescent="0.35">
      <c r="A602" t="s">
        <v>1374</v>
      </c>
      <c r="B602" s="2">
        <v>46205</v>
      </c>
      <c r="C602" t="s">
        <v>475</v>
      </c>
      <c r="D602" t="s">
        <v>1375</v>
      </c>
      <c r="E602" t="s">
        <v>18</v>
      </c>
      <c r="F602" t="s">
        <v>18</v>
      </c>
      <c r="G602" t="s">
        <v>34</v>
      </c>
      <c r="H602" t="s">
        <v>35</v>
      </c>
      <c r="I602">
        <v>1</v>
      </c>
      <c r="J602" s="3">
        <v>55000</v>
      </c>
      <c r="K602" s="3">
        <v>39000</v>
      </c>
      <c r="L602" t="s">
        <v>73</v>
      </c>
      <c r="M602" t="s">
        <v>37</v>
      </c>
      <c r="N602" t="s">
        <v>23</v>
      </c>
      <c r="O602" t="s">
        <v>45</v>
      </c>
    </row>
    <row r="603" spans="1:15" x14ac:dyDescent="0.35">
      <c r="A603" t="s">
        <v>1376</v>
      </c>
      <c r="B603" s="2">
        <v>46304</v>
      </c>
      <c r="C603" t="s">
        <v>129</v>
      </c>
      <c r="D603" t="s">
        <v>1377</v>
      </c>
      <c r="E603" t="s">
        <v>41</v>
      </c>
      <c r="F603" t="s">
        <v>42</v>
      </c>
      <c r="G603" t="s">
        <v>34</v>
      </c>
      <c r="H603" t="s">
        <v>158</v>
      </c>
      <c r="I603">
        <v>7</v>
      </c>
      <c r="J603" s="3">
        <v>99800</v>
      </c>
      <c r="K603" s="3">
        <v>72100</v>
      </c>
      <c r="L603" t="s">
        <v>30</v>
      </c>
      <c r="M603" t="s">
        <v>51</v>
      </c>
      <c r="N603" t="s">
        <v>87</v>
      </c>
      <c r="O603" t="s">
        <v>24</v>
      </c>
    </row>
    <row r="604" spans="1:15" x14ac:dyDescent="0.35">
      <c r="A604" t="s">
        <v>1378</v>
      </c>
      <c r="B604" s="2">
        <v>46306</v>
      </c>
      <c r="C604" t="s">
        <v>1379</v>
      </c>
      <c r="D604" t="s">
        <v>1380</v>
      </c>
      <c r="E604" t="s">
        <v>190</v>
      </c>
      <c r="F604" t="s">
        <v>191</v>
      </c>
      <c r="G604" t="s">
        <v>19</v>
      </c>
      <c r="H604" t="s">
        <v>20</v>
      </c>
      <c r="I604">
        <v>8</v>
      </c>
      <c r="J604" s="3">
        <v>65000</v>
      </c>
      <c r="K604" s="3">
        <v>46400</v>
      </c>
      <c r="L604" t="s">
        <v>50</v>
      </c>
      <c r="M604" t="s">
        <v>51</v>
      </c>
      <c r="N604" t="s">
        <v>87</v>
      </c>
      <c r="O604" t="s">
        <v>24</v>
      </c>
    </row>
    <row r="605" spans="1:15" x14ac:dyDescent="0.35">
      <c r="A605" t="s">
        <v>1381</v>
      </c>
      <c r="B605" s="2">
        <v>46243</v>
      </c>
      <c r="C605" t="s">
        <v>104</v>
      </c>
      <c r="D605" t="s">
        <v>1382</v>
      </c>
      <c r="E605" t="s">
        <v>84</v>
      </c>
      <c r="F605" t="s">
        <v>85</v>
      </c>
      <c r="G605" t="s">
        <v>19</v>
      </c>
      <c r="H605" t="s">
        <v>61</v>
      </c>
      <c r="I605">
        <v>7</v>
      </c>
      <c r="J605" s="3">
        <v>220000</v>
      </c>
      <c r="K605" s="3">
        <v>155200</v>
      </c>
      <c r="L605" t="s">
        <v>73</v>
      </c>
      <c r="M605" t="s">
        <v>22</v>
      </c>
      <c r="N605" t="s">
        <v>52</v>
      </c>
      <c r="O605" t="s">
        <v>24</v>
      </c>
    </row>
    <row r="606" spans="1:15" x14ac:dyDescent="0.35">
      <c r="A606" t="s">
        <v>1383</v>
      </c>
      <c r="B606" s="2">
        <v>46283</v>
      </c>
      <c r="C606" t="s">
        <v>863</v>
      </c>
      <c r="D606" t="s">
        <v>1384</v>
      </c>
      <c r="E606" t="s">
        <v>156</v>
      </c>
      <c r="F606" t="s">
        <v>157</v>
      </c>
      <c r="G606" t="s">
        <v>34</v>
      </c>
      <c r="H606" t="s">
        <v>95</v>
      </c>
      <c r="I606">
        <v>10</v>
      </c>
      <c r="J606" s="3">
        <v>450000</v>
      </c>
      <c r="K606" s="3">
        <v>381100</v>
      </c>
      <c r="L606" t="s">
        <v>80</v>
      </c>
      <c r="M606" t="s">
        <v>51</v>
      </c>
      <c r="N606" t="s">
        <v>52</v>
      </c>
      <c r="O606" t="s">
        <v>24</v>
      </c>
    </row>
    <row r="607" spans="1:15" x14ac:dyDescent="0.35">
      <c r="A607" t="s">
        <v>1385</v>
      </c>
      <c r="B607" s="2">
        <v>46312</v>
      </c>
      <c r="C607" t="s">
        <v>1386</v>
      </c>
      <c r="D607" t="s">
        <v>342</v>
      </c>
      <c r="E607" t="s">
        <v>18</v>
      </c>
      <c r="F607" t="s">
        <v>18</v>
      </c>
      <c r="G607" t="s">
        <v>34</v>
      </c>
      <c r="H607" t="s">
        <v>35</v>
      </c>
      <c r="I607">
        <v>4</v>
      </c>
      <c r="J607" s="3">
        <v>57800</v>
      </c>
      <c r="K607" s="3">
        <v>37800</v>
      </c>
      <c r="L607" t="s">
        <v>73</v>
      </c>
      <c r="M607" t="s">
        <v>37</v>
      </c>
      <c r="N607" t="s">
        <v>52</v>
      </c>
      <c r="O607" t="s">
        <v>91</v>
      </c>
    </row>
    <row r="608" spans="1:15" x14ac:dyDescent="0.35">
      <c r="A608" t="s">
        <v>1387</v>
      </c>
      <c r="B608" s="2">
        <v>46121</v>
      </c>
      <c r="C608" t="s">
        <v>255</v>
      </c>
      <c r="D608" t="s">
        <v>432</v>
      </c>
      <c r="E608" t="s">
        <v>18</v>
      </c>
      <c r="F608" t="s">
        <v>18</v>
      </c>
      <c r="G608" t="s">
        <v>34</v>
      </c>
      <c r="H608" t="s">
        <v>86</v>
      </c>
      <c r="I608">
        <v>6</v>
      </c>
      <c r="J608" s="3">
        <v>189000</v>
      </c>
      <c r="K608" s="3">
        <v>135000</v>
      </c>
      <c r="L608" t="s">
        <v>21</v>
      </c>
      <c r="M608" t="s">
        <v>37</v>
      </c>
      <c r="N608" t="s">
        <v>52</v>
      </c>
      <c r="O608" t="s">
        <v>24</v>
      </c>
    </row>
    <row r="609" spans="1:15" x14ac:dyDescent="0.35">
      <c r="A609" t="s">
        <v>1388</v>
      </c>
      <c r="B609" s="2">
        <v>46293</v>
      </c>
      <c r="C609" t="s">
        <v>1216</v>
      </c>
      <c r="D609" t="s">
        <v>1241</v>
      </c>
      <c r="E609" t="s">
        <v>77</v>
      </c>
      <c r="F609" t="s">
        <v>78</v>
      </c>
      <c r="G609" t="s">
        <v>43</v>
      </c>
      <c r="H609" t="s">
        <v>49</v>
      </c>
      <c r="I609">
        <v>8</v>
      </c>
      <c r="J609" s="3">
        <v>9000</v>
      </c>
      <c r="K609" s="3">
        <v>5600</v>
      </c>
      <c r="L609" t="s">
        <v>36</v>
      </c>
      <c r="M609" t="s">
        <v>37</v>
      </c>
      <c r="N609" t="s">
        <v>23</v>
      </c>
      <c r="O609" t="s">
        <v>45</v>
      </c>
    </row>
    <row r="610" spans="1:15" x14ac:dyDescent="0.35">
      <c r="A610" t="s">
        <v>1389</v>
      </c>
      <c r="B610" s="2">
        <v>46176</v>
      </c>
      <c r="C610" t="s">
        <v>1390</v>
      </c>
      <c r="D610" t="s">
        <v>276</v>
      </c>
      <c r="E610" t="s">
        <v>70</v>
      </c>
      <c r="F610" t="s">
        <v>71</v>
      </c>
      <c r="G610" t="s">
        <v>28</v>
      </c>
      <c r="H610" t="s">
        <v>131</v>
      </c>
      <c r="I610">
        <v>5</v>
      </c>
      <c r="J610" s="3">
        <v>30000</v>
      </c>
      <c r="K610" s="3">
        <v>19600</v>
      </c>
      <c r="L610" t="s">
        <v>66</v>
      </c>
      <c r="M610" t="s">
        <v>51</v>
      </c>
      <c r="N610" t="s">
        <v>52</v>
      </c>
      <c r="O610" t="s">
        <v>24</v>
      </c>
    </row>
    <row r="611" spans="1:15" x14ac:dyDescent="0.35">
      <c r="A611" t="s">
        <v>1391</v>
      </c>
      <c r="B611" s="2">
        <v>46366</v>
      </c>
      <c r="C611" t="s">
        <v>427</v>
      </c>
      <c r="D611" t="s">
        <v>814</v>
      </c>
      <c r="E611" t="s">
        <v>84</v>
      </c>
      <c r="F611" t="s">
        <v>85</v>
      </c>
      <c r="G611" t="s">
        <v>34</v>
      </c>
      <c r="H611" t="s">
        <v>86</v>
      </c>
      <c r="I611">
        <v>5</v>
      </c>
      <c r="J611" s="3">
        <v>180000</v>
      </c>
      <c r="K611" s="3">
        <v>131000</v>
      </c>
      <c r="L611" t="s">
        <v>30</v>
      </c>
      <c r="M611" t="s">
        <v>51</v>
      </c>
      <c r="N611" t="s">
        <v>52</v>
      </c>
      <c r="O611" t="s">
        <v>24</v>
      </c>
    </row>
    <row r="612" spans="1:15" x14ac:dyDescent="0.35">
      <c r="A612" t="s">
        <v>1392</v>
      </c>
      <c r="B612" s="2">
        <v>46377</v>
      </c>
      <c r="C612" t="s">
        <v>387</v>
      </c>
      <c r="D612" t="s">
        <v>144</v>
      </c>
      <c r="E612" t="s">
        <v>18</v>
      </c>
      <c r="F612" t="s">
        <v>18</v>
      </c>
      <c r="G612" t="s">
        <v>19</v>
      </c>
      <c r="H612" t="s">
        <v>20</v>
      </c>
      <c r="I612">
        <v>9</v>
      </c>
      <c r="J612" s="3">
        <v>65000</v>
      </c>
      <c r="K612" s="3">
        <v>43600</v>
      </c>
      <c r="L612" t="s">
        <v>96</v>
      </c>
      <c r="M612" t="s">
        <v>37</v>
      </c>
      <c r="N612" t="s">
        <v>87</v>
      </c>
      <c r="O612" t="s">
        <v>24</v>
      </c>
    </row>
    <row r="613" spans="1:15" x14ac:dyDescent="0.35">
      <c r="A613" t="s">
        <v>1393</v>
      </c>
      <c r="B613" s="2">
        <v>46351</v>
      </c>
      <c r="C613" t="s">
        <v>759</v>
      </c>
      <c r="D613" t="s">
        <v>521</v>
      </c>
      <c r="E613" t="s">
        <v>41</v>
      </c>
      <c r="F613" t="s">
        <v>42</v>
      </c>
      <c r="G613" t="s">
        <v>34</v>
      </c>
      <c r="H613" t="s">
        <v>86</v>
      </c>
      <c r="I613">
        <v>3</v>
      </c>
      <c r="J613" s="3">
        <v>180000</v>
      </c>
      <c r="K613" s="3">
        <v>139000</v>
      </c>
      <c r="L613" t="s">
        <v>66</v>
      </c>
      <c r="M613" t="s">
        <v>22</v>
      </c>
      <c r="N613" t="s">
        <v>23</v>
      </c>
      <c r="O613" t="s">
        <v>24</v>
      </c>
    </row>
    <row r="614" spans="1:15" x14ac:dyDescent="0.35">
      <c r="A614" t="s">
        <v>1394</v>
      </c>
      <c r="B614" s="2">
        <v>46290</v>
      </c>
      <c r="C614" t="s">
        <v>148</v>
      </c>
      <c r="D614" t="s">
        <v>1228</v>
      </c>
      <c r="E614" t="s">
        <v>18</v>
      </c>
      <c r="F614" t="s">
        <v>18</v>
      </c>
      <c r="G614" t="s">
        <v>34</v>
      </c>
      <c r="H614" t="s">
        <v>86</v>
      </c>
      <c r="I614">
        <v>3</v>
      </c>
      <c r="J614" s="3">
        <v>189000</v>
      </c>
      <c r="K614" s="3">
        <v>131000</v>
      </c>
      <c r="L614" t="s">
        <v>73</v>
      </c>
      <c r="M614" t="s">
        <v>37</v>
      </c>
      <c r="N614" t="s">
        <v>87</v>
      </c>
      <c r="O614" t="s">
        <v>45</v>
      </c>
    </row>
    <row r="615" spans="1:15" x14ac:dyDescent="0.35">
      <c r="A615" t="s">
        <v>1395</v>
      </c>
      <c r="B615" s="2">
        <v>46351</v>
      </c>
      <c r="C615" t="s">
        <v>518</v>
      </c>
      <c r="D615" t="s">
        <v>1396</v>
      </c>
      <c r="E615" t="s">
        <v>156</v>
      </c>
      <c r="F615" t="s">
        <v>170</v>
      </c>
      <c r="G615" t="s">
        <v>34</v>
      </c>
      <c r="H615" t="s">
        <v>141</v>
      </c>
      <c r="I615">
        <v>10</v>
      </c>
      <c r="J615" s="3">
        <v>160000</v>
      </c>
      <c r="K615" s="3">
        <v>123600</v>
      </c>
      <c r="L615" t="s">
        <v>73</v>
      </c>
      <c r="M615" t="s">
        <v>37</v>
      </c>
      <c r="N615" t="s">
        <v>52</v>
      </c>
      <c r="O615" t="s">
        <v>24</v>
      </c>
    </row>
    <row r="616" spans="1:15" x14ac:dyDescent="0.35">
      <c r="A616" t="s">
        <v>1397</v>
      </c>
      <c r="B616" s="2">
        <v>46111</v>
      </c>
      <c r="C616" t="s">
        <v>410</v>
      </c>
      <c r="D616" t="s">
        <v>688</v>
      </c>
      <c r="E616" t="s">
        <v>18</v>
      </c>
      <c r="F616" t="s">
        <v>18</v>
      </c>
      <c r="G616" t="s">
        <v>43</v>
      </c>
      <c r="H616" t="s">
        <v>162</v>
      </c>
      <c r="I616">
        <v>9</v>
      </c>
      <c r="J616" s="3">
        <v>8000</v>
      </c>
      <c r="K616" s="3">
        <v>5200</v>
      </c>
      <c r="L616" t="s">
        <v>73</v>
      </c>
      <c r="M616" t="s">
        <v>51</v>
      </c>
      <c r="N616" t="s">
        <v>23</v>
      </c>
      <c r="O616" t="s">
        <v>91</v>
      </c>
    </row>
    <row r="617" spans="1:15" x14ac:dyDescent="0.35">
      <c r="A617" t="s">
        <v>1398</v>
      </c>
      <c r="B617" s="2">
        <v>46066</v>
      </c>
      <c r="C617" t="s">
        <v>364</v>
      </c>
      <c r="D617" t="s">
        <v>1299</v>
      </c>
      <c r="E617" t="s">
        <v>190</v>
      </c>
      <c r="F617" t="s">
        <v>191</v>
      </c>
      <c r="G617" t="s">
        <v>43</v>
      </c>
      <c r="H617" t="s">
        <v>162</v>
      </c>
      <c r="I617">
        <v>5</v>
      </c>
      <c r="J617" s="3">
        <v>8000</v>
      </c>
      <c r="K617" s="3">
        <v>4800</v>
      </c>
      <c r="L617" t="s">
        <v>21</v>
      </c>
      <c r="M617" t="s">
        <v>37</v>
      </c>
      <c r="N617" t="s">
        <v>52</v>
      </c>
      <c r="O617" t="s">
        <v>24</v>
      </c>
    </row>
    <row r="618" spans="1:15" x14ac:dyDescent="0.35">
      <c r="A618" t="s">
        <v>1399</v>
      </c>
      <c r="B618" s="2">
        <v>46323</v>
      </c>
      <c r="C618" t="s">
        <v>234</v>
      </c>
      <c r="D618" t="s">
        <v>755</v>
      </c>
      <c r="E618" t="s">
        <v>156</v>
      </c>
      <c r="F618" t="s">
        <v>157</v>
      </c>
      <c r="G618" t="s">
        <v>34</v>
      </c>
      <c r="H618" t="s">
        <v>95</v>
      </c>
      <c r="I618">
        <v>7</v>
      </c>
      <c r="J618" s="3">
        <v>450000</v>
      </c>
      <c r="K618" s="3">
        <v>370000</v>
      </c>
      <c r="L618" t="s">
        <v>80</v>
      </c>
      <c r="M618" t="s">
        <v>37</v>
      </c>
      <c r="N618" t="s">
        <v>23</v>
      </c>
      <c r="O618" t="s">
        <v>24</v>
      </c>
    </row>
    <row r="619" spans="1:15" x14ac:dyDescent="0.35">
      <c r="A619" t="s">
        <v>1400</v>
      </c>
      <c r="B619" s="2">
        <v>46327</v>
      </c>
      <c r="C619" t="s">
        <v>874</v>
      </c>
      <c r="D619" t="s">
        <v>1262</v>
      </c>
      <c r="E619" t="s">
        <v>18</v>
      </c>
      <c r="F619" t="s">
        <v>18</v>
      </c>
      <c r="G619" t="s">
        <v>28</v>
      </c>
      <c r="H619" t="s">
        <v>72</v>
      </c>
      <c r="I619">
        <v>10</v>
      </c>
      <c r="J619" s="3">
        <v>10000</v>
      </c>
      <c r="K619" s="3">
        <v>6200</v>
      </c>
      <c r="L619" t="s">
        <v>21</v>
      </c>
      <c r="M619" t="s">
        <v>37</v>
      </c>
      <c r="N619" t="s">
        <v>52</v>
      </c>
      <c r="O619" t="s">
        <v>24</v>
      </c>
    </row>
    <row r="620" spans="1:15" x14ac:dyDescent="0.35">
      <c r="A620" t="s">
        <v>1401</v>
      </c>
      <c r="B620" s="2">
        <v>46147</v>
      </c>
      <c r="C620" t="s">
        <v>396</v>
      </c>
      <c r="D620" t="s">
        <v>48</v>
      </c>
      <c r="E620" t="s">
        <v>77</v>
      </c>
      <c r="F620" t="s">
        <v>78</v>
      </c>
      <c r="G620" t="s">
        <v>34</v>
      </c>
      <c r="H620" t="s">
        <v>35</v>
      </c>
      <c r="I620">
        <v>10</v>
      </c>
      <c r="J620" s="3">
        <v>55000</v>
      </c>
      <c r="K620" s="3">
        <v>39000</v>
      </c>
      <c r="L620" t="s">
        <v>96</v>
      </c>
      <c r="M620" t="s">
        <v>37</v>
      </c>
      <c r="N620" t="s">
        <v>23</v>
      </c>
      <c r="O620" t="s">
        <v>24</v>
      </c>
    </row>
    <row r="621" spans="1:15" x14ac:dyDescent="0.35">
      <c r="A621" t="s">
        <v>1402</v>
      </c>
      <c r="B621" s="2">
        <v>46188</v>
      </c>
      <c r="C621" t="s">
        <v>123</v>
      </c>
      <c r="D621" t="s">
        <v>1403</v>
      </c>
      <c r="E621" t="s">
        <v>156</v>
      </c>
      <c r="F621" t="s">
        <v>170</v>
      </c>
      <c r="G621" t="s">
        <v>28</v>
      </c>
      <c r="H621" t="s">
        <v>65</v>
      </c>
      <c r="I621">
        <v>1</v>
      </c>
      <c r="J621" s="3">
        <v>12600</v>
      </c>
      <c r="K621" s="3">
        <v>7500</v>
      </c>
      <c r="L621" t="s">
        <v>73</v>
      </c>
      <c r="M621" t="s">
        <v>37</v>
      </c>
      <c r="N621" t="s">
        <v>52</v>
      </c>
      <c r="O621" t="s">
        <v>24</v>
      </c>
    </row>
    <row r="622" spans="1:15" x14ac:dyDescent="0.35">
      <c r="A622" t="s">
        <v>1404</v>
      </c>
      <c r="B622" s="2">
        <v>46253</v>
      </c>
      <c r="C622" t="s">
        <v>1166</v>
      </c>
      <c r="D622" t="s">
        <v>1405</v>
      </c>
      <c r="E622" t="s">
        <v>156</v>
      </c>
      <c r="F622" t="s">
        <v>170</v>
      </c>
      <c r="G622" t="s">
        <v>34</v>
      </c>
      <c r="H622" t="s">
        <v>86</v>
      </c>
      <c r="I622">
        <v>4</v>
      </c>
      <c r="J622" s="3">
        <v>180000</v>
      </c>
      <c r="K622" s="3">
        <v>131000</v>
      </c>
      <c r="L622" t="s">
        <v>73</v>
      </c>
      <c r="M622" t="s">
        <v>37</v>
      </c>
      <c r="N622" t="s">
        <v>23</v>
      </c>
      <c r="O622" t="s">
        <v>24</v>
      </c>
    </row>
    <row r="623" spans="1:15" x14ac:dyDescent="0.35">
      <c r="A623" t="s">
        <v>1406</v>
      </c>
      <c r="B623" s="2">
        <v>46346</v>
      </c>
      <c r="C623" t="s">
        <v>1216</v>
      </c>
      <c r="D623" t="s">
        <v>1332</v>
      </c>
      <c r="E623" t="s">
        <v>56</v>
      </c>
      <c r="F623" t="s">
        <v>57</v>
      </c>
      <c r="G623" t="s">
        <v>34</v>
      </c>
      <c r="H623" t="s">
        <v>158</v>
      </c>
      <c r="I623">
        <v>3</v>
      </c>
      <c r="J623" s="3">
        <v>90200</v>
      </c>
      <c r="K623" s="3">
        <v>70000</v>
      </c>
      <c r="L623" t="s">
        <v>73</v>
      </c>
      <c r="M623" t="s">
        <v>51</v>
      </c>
      <c r="N623" t="s">
        <v>23</v>
      </c>
      <c r="O623" t="s">
        <v>45</v>
      </c>
    </row>
    <row r="624" spans="1:15" x14ac:dyDescent="0.35">
      <c r="A624" t="s">
        <v>1407</v>
      </c>
      <c r="B624" s="2">
        <v>46375</v>
      </c>
      <c r="C624" t="s">
        <v>1067</v>
      </c>
      <c r="D624" t="s">
        <v>1408</v>
      </c>
      <c r="E624" t="s">
        <v>18</v>
      </c>
      <c r="F624" t="s">
        <v>18</v>
      </c>
      <c r="G624" t="s">
        <v>43</v>
      </c>
      <c r="H624" t="s">
        <v>49</v>
      </c>
      <c r="I624">
        <v>7</v>
      </c>
      <c r="J624" s="3">
        <v>8600</v>
      </c>
      <c r="K624" s="3">
        <v>6000</v>
      </c>
      <c r="L624" t="s">
        <v>50</v>
      </c>
      <c r="M624" t="s">
        <v>51</v>
      </c>
      <c r="N624" t="s">
        <v>23</v>
      </c>
      <c r="O624" t="s">
        <v>24</v>
      </c>
    </row>
    <row r="625" spans="1:15" x14ac:dyDescent="0.35">
      <c r="A625" t="s">
        <v>1409</v>
      </c>
      <c r="B625" s="2">
        <v>46358</v>
      </c>
      <c r="C625" t="s">
        <v>1410</v>
      </c>
      <c r="D625" t="s">
        <v>317</v>
      </c>
      <c r="E625" t="s">
        <v>56</v>
      </c>
      <c r="F625" t="s">
        <v>57</v>
      </c>
      <c r="G625" t="s">
        <v>28</v>
      </c>
      <c r="H625" t="s">
        <v>131</v>
      </c>
      <c r="I625">
        <v>8</v>
      </c>
      <c r="J625" s="3">
        <v>28500</v>
      </c>
      <c r="K625" s="3">
        <v>18400</v>
      </c>
      <c r="L625" t="s">
        <v>96</v>
      </c>
      <c r="M625" t="s">
        <v>37</v>
      </c>
      <c r="N625" t="s">
        <v>23</v>
      </c>
      <c r="O625" t="s">
        <v>24</v>
      </c>
    </row>
    <row r="626" spans="1:15" x14ac:dyDescent="0.35">
      <c r="A626" t="s">
        <v>1411</v>
      </c>
      <c r="B626" s="2">
        <v>46220</v>
      </c>
      <c r="C626" t="s">
        <v>110</v>
      </c>
      <c r="D626" t="s">
        <v>1412</v>
      </c>
      <c r="E626" t="s">
        <v>18</v>
      </c>
      <c r="F626" t="s">
        <v>18</v>
      </c>
      <c r="G626" t="s">
        <v>28</v>
      </c>
      <c r="H626" t="s">
        <v>131</v>
      </c>
      <c r="I626">
        <v>9</v>
      </c>
      <c r="J626" s="3">
        <v>28500</v>
      </c>
      <c r="K626" s="3">
        <v>19600</v>
      </c>
      <c r="L626" t="s">
        <v>21</v>
      </c>
      <c r="M626" t="s">
        <v>37</v>
      </c>
      <c r="N626" t="s">
        <v>52</v>
      </c>
      <c r="O626" t="s">
        <v>91</v>
      </c>
    </row>
    <row r="627" spans="1:15" x14ac:dyDescent="0.35">
      <c r="A627" t="s">
        <v>1413</v>
      </c>
      <c r="B627" s="2">
        <v>46373</v>
      </c>
      <c r="C627" t="s">
        <v>1414</v>
      </c>
      <c r="D627" t="s">
        <v>646</v>
      </c>
      <c r="E627" t="s">
        <v>18</v>
      </c>
      <c r="F627" t="s">
        <v>18</v>
      </c>
      <c r="G627" t="s">
        <v>28</v>
      </c>
      <c r="H627" t="s">
        <v>248</v>
      </c>
      <c r="I627">
        <v>5</v>
      </c>
      <c r="J627" s="3">
        <v>25000</v>
      </c>
      <c r="K627" s="3">
        <v>16000</v>
      </c>
      <c r="L627" t="s">
        <v>30</v>
      </c>
      <c r="M627" t="s">
        <v>22</v>
      </c>
      <c r="N627" t="s">
        <v>23</v>
      </c>
      <c r="O627" t="s">
        <v>24</v>
      </c>
    </row>
    <row r="628" spans="1:15" x14ac:dyDescent="0.35">
      <c r="A628" t="s">
        <v>1415</v>
      </c>
      <c r="B628" s="2">
        <v>46280</v>
      </c>
      <c r="C628" t="s">
        <v>1416</v>
      </c>
      <c r="D628" t="s">
        <v>273</v>
      </c>
      <c r="E628" t="s">
        <v>84</v>
      </c>
      <c r="F628" t="s">
        <v>85</v>
      </c>
      <c r="G628" t="s">
        <v>28</v>
      </c>
      <c r="H628" t="s">
        <v>248</v>
      </c>
      <c r="I628">
        <v>5</v>
      </c>
      <c r="J628" s="3">
        <v>25000</v>
      </c>
      <c r="K628" s="3">
        <v>15500</v>
      </c>
      <c r="L628" t="s">
        <v>73</v>
      </c>
      <c r="M628" t="s">
        <v>37</v>
      </c>
      <c r="N628" t="s">
        <v>87</v>
      </c>
      <c r="O628" t="s">
        <v>91</v>
      </c>
    </row>
    <row r="629" spans="1:15" x14ac:dyDescent="0.35">
      <c r="A629" t="s">
        <v>1417</v>
      </c>
      <c r="B629" s="2">
        <v>46310</v>
      </c>
      <c r="C629" t="s">
        <v>314</v>
      </c>
      <c r="D629" t="s">
        <v>1418</v>
      </c>
      <c r="E629" t="s">
        <v>156</v>
      </c>
      <c r="F629" t="s">
        <v>157</v>
      </c>
      <c r="G629" t="s">
        <v>43</v>
      </c>
      <c r="H629" t="s">
        <v>79</v>
      </c>
      <c r="I629">
        <v>8</v>
      </c>
      <c r="J629" s="3">
        <v>6300</v>
      </c>
      <c r="K629" s="3">
        <v>4300</v>
      </c>
      <c r="L629" t="s">
        <v>36</v>
      </c>
      <c r="M629" t="s">
        <v>51</v>
      </c>
      <c r="N629" t="s">
        <v>87</v>
      </c>
      <c r="O629" t="s">
        <v>24</v>
      </c>
    </row>
    <row r="630" spans="1:15" x14ac:dyDescent="0.35">
      <c r="A630" t="s">
        <v>1419</v>
      </c>
      <c r="B630" s="2">
        <v>46336</v>
      </c>
      <c r="C630" t="s">
        <v>252</v>
      </c>
      <c r="D630" t="s">
        <v>1420</v>
      </c>
      <c r="E630" t="s">
        <v>156</v>
      </c>
      <c r="F630" t="s">
        <v>170</v>
      </c>
      <c r="G630" t="s">
        <v>19</v>
      </c>
      <c r="H630" t="s">
        <v>112</v>
      </c>
      <c r="I630">
        <v>10</v>
      </c>
      <c r="J630" s="3">
        <v>80800</v>
      </c>
      <c r="K630" s="3">
        <v>60100</v>
      </c>
      <c r="L630" t="s">
        <v>30</v>
      </c>
      <c r="M630" t="s">
        <v>22</v>
      </c>
      <c r="N630" t="s">
        <v>52</v>
      </c>
      <c r="O630" t="s">
        <v>24</v>
      </c>
    </row>
    <row r="631" spans="1:15" x14ac:dyDescent="0.35">
      <c r="A631" t="s">
        <v>1421</v>
      </c>
      <c r="B631" s="2">
        <v>46044</v>
      </c>
      <c r="C631" t="s">
        <v>334</v>
      </c>
      <c r="D631" t="s">
        <v>450</v>
      </c>
      <c r="E631" t="s">
        <v>18</v>
      </c>
      <c r="F631" t="s">
        <v>18</v>
      </c>
      <c r="G631" t="s">
        <v>43</v>
      </c>
      <c r="H631" t="s">
        <v>79</v>
      </c>
      <c r="I631">
        <v>6</v>
      </c>
      <c r="J631" s="3">
        <v>6300</v>
      </c>
      <c r="K631" s="3">
        <v>4200</v>
      </c>
      <c r="L631" t="s">
        <v>30</v>
      </c>
      <c r="M631" t="s">
        <v>51</v>
      </c>
      <c r="N631" t="s">
        <v>87</v>
      </c>
      <c r="O631" t="s">
        <v>91</v>
      </c>
    </row>
    <row r="632" spans="1:15" x14ac:dyDescent="0.35">
      <c r="A632" t="s">
        <v>1422</v>
      </c>
      <c r="B632" s="2">
        <v>46162</v>
      </c>
      <c r="C632" t="s">
        <v>107</v>
      </c>
      <c r="D632" t="s">
        <v>470</v>
      </c>
      <c r="E632" t="s">
        <v>18</v>
      </c>
      <c r="F632" t="s">
        <v>18</v>
      </c>
      <c r="G632" t="s">
        <v>28</v>
      </c>
      <c r="H632" t="s">
        <v>65</v>
      </c>
      <c r="I632">
        <v>1</v>
      </c>
      <c r="J632" s="3">
        <v>11400</v>
      </c>
      <c r="K632" s="3">
        <v>7300</v>
      </c>
      <c r="L632" t="s">
        <v>66</v>
      </c>
      <c r="M632" t="s">
        <v>51</v>
      </c>
      <c r="N632" t="s">
        <v>52</v>
      </c>
      <c r="O632" t="s">
        <v>24</v>
      </c>
    </row>
    <row r="633" spans="1:15" x14ac:dyDescent="0.35">
      <c r="A633" t="s">
        <v>1423</v>
      </c>
      <c r="B633" s="2">
        <v>46315</v>
      </c>
      <c r="C633" t="s">
        <v>1424</v>
      </c>
      <c r="D633" t="s">
        <v>821</v>
      </c>
      <c r="E633" t="s">
        <v>18</v>
      </c>
      <c r="F633" t="s">
        <v>18</v>
      </c>
      <c r="G633" t="s">
        <v>28</v>
      </c>
      <c r="H633" t="s">
        <v>65</v>
      </c>
      <c r="I633">
        <v>1</v>
      </c>
      <c r="J633" s="3">
        <v>12000</v>
      </c>
      <c r="K633" s="3">
        <v>7500</v>
      </c>
      <c r="L633" t="s">
        <v>30</v>
      </c>
      <c r="M633" t="s">
        <v>37</v>
      </c>
      <c r="N633" t="s">
        <v>23</v>
      </c>
      <c r="O633" t="s">
        <v>24</v>
      </c>
    </row>
    <row r="634" spans="1:15" x14ac:dyDescent="0.35">
      <c r="A634" t="s">
        <v>1425</v>
      </c>
      <c r="B634" s="2">
        <v>46075</v>
      </c>
      <c r="C634" t="s">
        <v>1210</v>
      </c>
      <c r="D634" t="s">
        <v>306</v>
      </c>
      <c r="E634" t="s">
        <v>18</v>
      </c>
      <c r="F634" t="s">
        <v>18</v>
      </c>
      <c r="G634" t="s">
        <v>19</v>
      </c>
      <c r="H634" t="s">
        <v>112</v>
      </c>
      <c r="I634">
        <v>8</v>
      </c>
      <c r="J634" s="3">
        <v>85000</v>
      </c>
      <c r="K634" s="3">
        <v>62000</v>
      </c>
      <c r="L634" t="s">
        <v>73</v>
      </c>
      <c r="M634" t="s">
        <v>37</v>
      </c>
      <c r="N634" t="s">
        <v>23</v>
      </c>
      <c r="O634" t="s">
        <v>24</v>
      </c>
    </row>
    <row r="635" spans="1:15" x14ac:dyDescent="0.35">
      <c r="A635" t="s">
        <v>1426</v>
      </c>
      <c r="B635" s="2">
        <v>46209</v>
      </c>
      <c r="C635" t="s">
        <v>1237</v>
      </c>
      <c r="D635" t="s">
        <v>1427</v>
      </c>
      <c r="E635" t="s">
        <v>84</v>
      </c>
      <c r="F635" t="s">
        <v>85</v>
      </c>
      <c r="G635" t="s">
        <v>28</v>
      </c>
      <c r="H635" t="s">
        <v>65</v>
      </c>
      <c r="I635">
        <v>9</v>
      </c>
      <c r="J635" s="3">
        <v>12600</v>
      </c>
      <c r="K635" s="3">
        <v>7700</v>
      </c>
      <c r="L635" t="s">
        <v>36</v>
      </c>
      <c r="M635" t="s">
        <v>22</v>
      </c>
      <c r="N635" t="s">
        <v>87</v>
      </c>
      <c r="O635" t="s">
        <v>24</v>
      </c>
    </row>
    <row r="636" spans="1:15" x14ac:dyDescent="0.35">
      <c r="A636" t="s">
        <v>1428</v>
      </c>
      <c r="B636" s="2">
        <v>46262</v>
      </c>
      <c r="C636" t="s">
        <v>210</v>
      </c>
      <c r="D636" t="s">
        <v>1429</v>
      </c>
      <c r="E636" t="s">
        <v>18</v>
      </c>
      <c r="F636" t="s">
        <v>18</v>
      </c>
      <c r="G636" t="s">
        <v>19</v>
      </c>
      <c r="H636" t="s">
        <v>112</v>
      </c>
      <c r="I636">
        <v>4</v>
      </c>
      <c r="J636" s="3">
        <v>80800</v>
      </c>
      <c r="K636" s="3">
        <v>63900</v>
      </c>
      <c r="L636" t="s">
        <v>50</v>
      </c>
      <c r="M636" t="s">
        <v>22</v>
      </c>
      <c r="N636" t="s">
        <v>23</v>
      </c>
      <c r="O636" t="s">
        <v>24</v>
      </c>
    </row>
    <row r="637" spans="1:15" x14ac:dyDescent="0.35">
      <c r="A637" t="s">
        <v>1430</v>
      </c>
      <c r="B637" s="2">
        <v>46164</v>
      </c>
      <c r="C637" t="s">
        <v>497</v>
      </c>
      <c r="D637" t="s">
        <v>1217</v>
      </c>
      <c r="E637" t="s">
        <v>18</v>
      </c>
      <c r="F637" t="s">
        <v>18</v>
      </c>
      <c r="G637" t="s">
        <v>43</v>
      </c>
      <c r="H637" t="s">
        <v>177</v>
      </c>
      <c r="I637">
        <v>10</v>
      </c>
      <c r="J637" s="3">
        <v>18000</v>
      </c>
      <c r="K637" s="3">
        <v>12100</v>
      </c>
      <c r="L637" t="s">
        <v>50</v>
      </c>
      <c r="M637" t="s">
        <v>37</v>
      </c>
      <c r="N637" t="s">
        <v>52</v>
      </c>
      <c r="O637" t="s">
        <v>24</v>
      </c>
    </row>
    <row r="638" spans="1:15" x14ac:dyDescent="0.35">
      <c r="A638" t="s">
        <v>1431</v>
      </c>
      <c r="B638" s="2">
        <v>46129</v>
      </c>
      <c r="C638" t="s">
        <v>1432</v>
      </c>
      <c r="D638" t="s">
        <v>223</v>
      </c>
      <c r="E638" t="s">
        <v>18</v>
      </c>
      <c r="F638" t="s">
        <v>18</v>
      </c>
      <c r="G638" t="s">
        <v>34</v>
      </c>
      <c r="H638" t="s">
        <v>35</v>
      </c>
      <c r="I638">
        <v>10</v>
      </c>
      <c r="J638" s="3">
        <v>57800</v>
      </c>
      <c r="K638" s="3">
        <v>37800</v>
      </c>
      <c r="L638" t="s">
        <v>36</v>
      </c>
      <c r="M638" t="s">
        <v>22</v>
      </c>
      <c r="N638" t="s">
        <v>23</v>
      </c>
      <c r="O638" t="s">
        <v>24</v>
      </c>
    </row>
    <row r="639" spans="1:15" x14ac:dyDescent="0.35">
      <c r="A639" t="s">
        <v>1433</v>
      </c>
      <c r="B639" s="2">
        <v>46064</v>
      </c>
      <c r="C639" t="s">
        <v>805</v>
      </c>
      <c r="D639" t="s">
        <v>1434</v>
      </c>
      <c r="E639" t="s">
        <v>18</v>
      </c>
      <c r="F639" t="s">
        <v>18</v>
      </c>
      <c r="G639" t="s">
        <v>34</v>
      </c>
      <c r="H639" t="s">
        <v>141</v>
      </c>
      <c r="I639">
        <v>10</v>
      </c>
      <c r="J639" s="3">
        <v>160000</v>
      </c>
      <c r="K639" s="3">
        <v>116400</v>
      </c>
      <c r="L639" t="s">
        <v>73</v>
      </c>
      <c r="M639" t="s">
        <v>31</v>
      </c>
      <c r="N639" t="s">
        <v>52</v>
      </c>
      <c r="O639" t="s">
        <v>24</v>
      </c>
    </row>
    <row r="640" spans="1:15" x14ac:dyDescent="0.35">
      <c r="A640" t="s">
        <v>1435</v>
      </c>
      <c r="B640" s="2">
        <v>46246</v>
      </c>
      <c r="C640" t="s">
        <v>286</v>
      </c>
      <c r="D640" t="s">
        <v>1016</v>
      </c>
      <c r="E640" t="s">
        <v>18</v>
      </c>
      <c r="F640" t="s">
        <v>18</v>
      </c>
      <c r="G640" t="s">
        <v>43</v>
      </c>
      <c r="H640" t="s">
        <v>162</v>
      </c>
      <c r="I640">
        <v>6</v>
      </c>
      <c r="J640" s="3">
        <v>8000</v>
      </c>
      <c r="K640" s="3">
        <v>5000</v>
      </c>
      <c r="M640" t="s">
        <v>51</v>
      </c>
      <c r="N640" t="s">
        <v>52</v>
      </c>
      <c r="O640" t="s">
        <v>24</v>
      </c>
    </row>
    <row r="641" spans="1:15" x14ac:dyDescent="0.35">
      <c r="A641" t="s">
        <v>1436</v>
      </c>
      <c r="B641" s="2">
        <v>46253</v>
      </c>
      <c r="C641" t="s">
        <v>1437</v>
      </c>
      <c r="D641" t="s">
        <v>953</v>
      </c>
      <c r="E641" t="s">
        <v>84</v>
      </c>
      <c r="F641" t="s">
        <v>85</v>
      </c>
      <c r="G641" t="s">
        <v>28</v>
      </c>
      <c r="H641" t="s">
        <v>29</v>
      </c>
      <c r="I641">
        <v>5</v>
      </c>
      <c r="J641" s="3">
        <v>7000</v>
      </c>
      <c r="K641" s="3">
        <v>4000</v>
      </c>
      <c r="L641" t="s">
        <v>30</v>
      </c>
      <c r="M641" t="s">
        <v>51</v>
      </c>
      <c r="N641" t="s">
        <v>23</v>
      </c>
      <c r="O641" t="s">
        <v>24</v>
      </c>
    </row>
    <row r="642" spans="1:15" x14ac:dyDescent="0.35">
      <c r="A642" t="s">
        <v>1438</v>
      </c>
      <c r="B642" s="2">
        <v>46115</v>
      </c>
      <c r="C642" t="s">
        <v>603</v>
      </c>
      <c r="D642" t="s">
        <v>1439</v>
      </c>
      <c r="E642" t="s">
        <v>84</v>
      </c>
      <c r="F642" t="s">
        <v>85</v>
      </c>
      <c r="G642" t="s">
        <v>19</v>
      </c>
      <c r="H642" t="s">
        <v>20</v>
      </c>
      <c r="I642">
        <v>2</v>
      </c>
      <c r="J642" s="3">
        <v>68200</v>
      </c>
      <c r="K642" s="3">
        <v>43600</v>
      </c>
      <c r="L642" t="s">
        <v>50</v>
      </c>
      <c r="M642" t="s">
        <v>37</v>
      </c>
      <c r="N642" t="s">
        <v>23</v>
      </c>
      <c r="O642" t="s">
        <v>24</v>
      </c>
    </row>
    <row r="643" spans="1:15" x14ac:dyDescent="0.35">
      <c r="A643" t="s">
        <v>1440</v>
      </c>
      <c r="B643" s="2">
        <v>46113</v>
      </c>
      <c r="C643" t="s">
        <v>196</v>
      </c>
      <c r="D643" t="s">
        <v>1258</v>
      </c>
      <c r="E643" t="s">
        <v>56</v>
      </c>
      <c r="F643" t="s">
        <v>57</v>
      </c>
      <c r="G643" t="s">
        <v>28</v>
      </c>
      <c r="H643" t="s">
        <v>248</v>
      </c>
      <c r="I643">
        <v>8</v>
      </c>
      <c r="J643" s="3">
        <v>25000</v>
      </c>
      <c r="K643" s="3">
        <v>15500</v>
      </c>
      <c r="L643" t="s">
        <v>73</v>
      </c>
      <c r="M643" t="s">
        <v>51</v>
      </c>
      <c r="N643" t="s">
        <v>52</v>
      </c>
      <c r="O643" t="s">
        <v>24</v>
      </c>
    </row>
    <row r="644" spans="1:15" x14ac:dyDescent="0.35">
      <c r="A644" t="s">
        <v>1441</v>
      </c>
      <c r="B644" s="2">
        <v>46061</v>
      </c>
      <c r="C644" t="s">
        <v>1442</v>
      </c>
      <c r="D644" t="s">
        <v>1322</v>
      </c>
      <c r="E644" t="s">
        <v>18</v>
      </c>
      <c r="F644" t="s">
        <v>18</v>
      </c>
      <c r="G644" t="s">
        <v>28</v>
      </c>
      <c r="H644" t="s">
        <v>248</v>
      </c>
      <c r="I644">
        <v>8</v>
      </c>
      <c r="J644" s="3">
        <v>23800</v>
      </c>
      <c r="K644" s="3">
        <v>15500</v>
      </c>
      <c r="L644" t="s">
        <v>96</v>
      </c>
      <c r="M644" t="s">
        <v>31</v>
      </c>
      <c r="N644" t="s">
        <v>87</v>
      </c>
      <c r="O644" t="s">
        <v>24</v>
      </c>
    </row>
    <row r="645" spans="1:15" x14ac:dyDescent="0.35">
      <c r="A645" t="s">
        <v>1443</v>
      </c>
      <c r="B645" s="2">
        <v>46062</v>
      </c>
      <c r="C645" t="s">
        <v>1444</v>
      </c>
      <c r="D645" t="s">
        <v>1054</v>
      </c>
      <c r="E645" t="s">
        <v>70</v>
      </c>
      <c r="F645" t="s">
        <v>71</v>
      </c>
      <c r="G645" t="s">
        <v>43</v>
      </c>
      <c r="H645" t="s">
        <v>44</v>
      </c>
      <c r="I645">
        <v>7</v>
      </c>
      <c r="J645" s="3">
        <v>15000</v>
      </c>
      <c r="K645" s="3">
        <v>9500</v>
      </c>
      <c r="L645" t="s">
        <v>50</v>
      </c>
      <c r="M645" t="s">
        <v>51</v>
      </c>
      <c r="N645" t="s">
        <v>52</v>
      </c>
      <c r="O645" t="s">
        <v>91</v>
      </c>
    </row>
    <row r="646" spans="1:15" x14ac:dyDescent="0.35">
      <c r="A646" t="s">
        <v>1445</v>
      </c>
      <c r="B646" s="2">
        <v>46337</v>
      </c>
      <c r="C646" t="s">
        <v>1446</v>
      </c>
      <c r="D646" t="s">
        <v>317</v>
      </c>
      <c r="E646" t="s">
        <v>156</v>
      </c>
      <c r="F646" t="s">
        <v>170</v>
      </c>
      <c r="G646" t="s">
        <v>43</v>
      </c>
      <c r="H646" t="s">
        <v>79</v>
      </c>
      <c r="I646">
        <v>10</v>
      </c>
      <c r="J646" s="3">
        <v>6000</v>
      </c>
      <c r="K646" s="3">
        <v>4300</v>
      </c>
      <c r="L646" t="s">
        <v>50</v>
      </c>
      <c r="M646" t="s">
        <v>37</v>
      </c>
      <c r="N646" t="s">
        <v>52</v>
      </c>
      <c r="O646" t="s">
        <v>24</v>
      </c>
    </row>
    <row r="647" spans="1:15" x14ac:dyDescent="0.35">
      <c r="A647" t="s">
        <v>1447</v>
      </c>
      <c r="B647" s="2">
        <v>46062</v>
      </c>
      <c r="C647" t="s">
        <v>1448</v>
      </c>
      <c r="D647" t="s">
        <v>1094</v>
      </c>
      <c r="E647" t="s">
        <v>18</v>
      </c>
      <c r="F647" t="s">
        <v>18</v>
      </c>
      <c r="G647" t="s">
        <v>19</v>
      </c>
      <c r="H647" t="s">
        <v>112</v>
      </c>
      <c r="I647">
        <v>1</v>
      </c>
      <c r="J647" s="3">
        <v>89200</v>
      </c>
      <c r="K647" s="3">
        <v>63900</v>
      </c>
      <c r="L647" t="s">
        <v>21</v>
      </c>
      <c r="M647" t="s">
        <v>37</v>
      </c>
      <c r="N647" t="s">
        <v>52</v>
      </c>
      <c r="O647" t="s">
        <v>24</v>
      </c>
    </row>
    <row r="648" spans="1:15" x14ac:dyDescent="0.35">
      <c r="A648" t="s">
        <v>1449</v>
      </c>
      <c r="B648" s="2">
        <v>46202</v>
      </c>
      <c r="C648" t="s">
        <v>1450</v>
      </c>
      <c r="D648" t="s">
        <v>1322</v>
      </c>
      <c r="E648" t="s">
        <v>18</v>
      </c>
      <c r="F648" t="s">
        <v>18</v>
      </c>
      <c r="G648" t="s">
        <v>34</v>
      </c>
      <c r="H648" t="s">
        <v>95</v>
      </c>
      <c r="I648">
        <v>2</v>
      </c>
      <c r="J648" s="3">
        <v>427500</v>
      </c>
      <c r="K648" s="3">
        <v>358900</v>
      </c>
      <c r="L648" t="s">
        <v>80</v>
      </c>
      <c r="M648" t="s">
        <v>31</v>
      </c>
      <c r="N648" t="s">
        <v>52</v>
      </c>
      <c r="O648" t="s">
        <v>24</v>
      </c>
    </row>
    <row r="649" spans="1:15" x14ac:dyDescent="0.35">
      <c r="A649" t="s">
        <v>1451</v>
      </c>
      <c r="B649" s="2">
        <v>46292</v>
      </c>
      <c r="C649" t="s">
        <v>945</v>
      </c>
      <c r="D649" t="s">
        <v>1256</v>
      </c>
      <c r="E649" t="s">
        <v>41</v>
      </c>
      <c r="F649" t="s">
        <v>42</v>
      </c>
      <c r="G649" t="s">
        <v>43</v>
      </c>
      <c r="H649" t="s">
        <v>44</v>
      </c>
      <c r="I649">
        <v>3</v>
      </c>
      <c r="J649" s="3">
        <v>15000</v>
      </c>
      <c r="K649" s="3">
        <v>9500</v>
      </c>
      <c r="L649" t="s">
        <v>96</v>
      </c>
      <c r="M649" t="s">
        <v>22</v>
      </c>
      <c r="N649" t="s">
        <v>23</v>
      </c>
      <c r="O649" t="s">
        <v>24</v>
      </c>
    </row>
    <row r="650" spans="1:15" x14ac:dyDescent="0.35">
      <c r="A650" t="s">
        <v>1452</v>
      </c>
      <c r="B650" s="2">
        <v>46062</v>
      </c>
      <c r="C650" t="s">
        <v>308</v>
      </c>
      <c r="D650" t="s">
        <v>1453</v>
      </c>
      <c r="E650" t="s">
        <v>41</v>
      </c>
      <c r="F650" t="s">
        <v>42</v>
      </c>
      <c r="G650" t="s">
        <v>34</v>
      </c>
      <c r="H650" t="s">
        <v>35</v>
      </c>
      <c r="I650">
        <v>10</v>
      </c>
      <c r="J650" s="3">
        <v>52200</v>
      </c>
      <c r="K650" s="3">
        <v>40200</v>
      </c>
      <c r="L650" t="s">
        <v>21</v>
      </c>
      <c r="M650" t="s">
        <v>37</v>
      </c>
      <c r="N650" t="s">
        <v>87</v>
      </c>
      <c r="O650" t="s">
        <v>24</v>
      </c>
    </row>
    <row r="651" spans="1:15" x14ac:dyDescent="0.35">
      <c r="A651" t="s">
        <v>1454</v>
      </c>
      <c r="B651" s="2">
        <v>46023</v>
      </c>
      <c r="C651" t="s">
        <v>888</v>
      </c>
      <c r="D651" t="s">
        <v>447</v>
      </c>
      <c r="E651" t="s">
        <v>70</v>
      </c>
      <c r="F651" t="s">
        <v>71</v>
      </c>
      <c r="G651" t="s">
        <v>19</v>
      </c>
      <c r="H651" t="s">
        <v>112</v>
      </c>
      <c r="I651">
        <v>2</v>
      </c>
      <c r="J651" s="3">
        <v>85000</v>
      </c>
      <c r="K651" s="3">
        <v>62000</v>
      </c>
      <c r="L651" t="s">
        <v>96</v>
      </c>
      <c r="M651" t="s">
        <v>31</v>
      </c>
      <c r="N651" t="s">
        <v>23</v>
      </c>
      <c r="O651" t="s">
        <v>24</v>
      </c>
    </row>
    <row r="652" spans="1:15" x14ac:dyDescent="0.35">
      <c r="A652" t="s">
        <v>1455</v>
      </c>
      <c r="B652" s="2">
        <v>46294</v>
      </c>
      <c r="C652" t="s">
        <v>1456</v>
      </c>
      <c r="D652" t="s">
        <v>1308</v>
      </c>
      <c r="E652" t="s">
        <v>156</v>
      </c>
      <c r="F652" t="s">
        <v>170</v>
      </c>
      <c r="G652" t="s">
        <v>28</v>
      </c>
      <c r="H652" t="s">
        <v>131</v>
      </c>
      <c r="I652">
        <v>10</v>
      </c>
      <c r="J652" s="3">
        <v>31500</v>
      </c>
      <c r="K652" s="3">
        <v>19000</v>
      </c>
      <c r="L652" t="s">
        <v>30</v>
      </c>
      <c r="M652" t="s">
        <v>31</v>
      </c>
      <c r="N652" t="s">
        <v>23</v>
      </c>
      <c r="O652" t="s">
        <v>45</v>
      </c>
    </row>
    <row r="653" spans="1:15" x14ac:dyDescent="0.35">
      <c r="A653" t="s">
        <v>1457</v>
      </c>
      <c r="B653" s="2">
        <v>46310</v>
      </c>
      <c r="C653" t="s">
        <v>222</v>
      </c>
      <c r="D653" t="s">
        <v>1264</v>
      </c>
      <c r="E653" t="s">
        <v>18</v>
      </c>
      <c r="F653" t="s">
        <v>18</v>
      </c>
      <c r="G653" t="s">
        <v>28</v>
      </c>
      <c r="H653" t="s">
        <v>72</v>
      </c>
      <c r="I653">
        <v>6</v>
      </c>
      <c r="J653" s="3">
        <v>10500</v>
      </c>
      <c r="K653" s="3">
        <v>6000</v>
      </c>
      <c r="L653" t="s">
        <v>66</v>
      </c>
      <c r="M653" t="s">
        <v>37</v>
      </c>
      <c r="N653" t="s">
        <v>23</v>
      </c>
      <c r="O653" t="s">
        <v>24</v>
      </c>
    </row>
    <row r="654" spans="1:15" x14ac:dyDescent="0.35">
      <c r="A654" t="s">
        <v>1458</v>
      </c>
      <c r="B654" s="2">
        <v>46233</v>
      </c>
      <c r="C654" t="s">
        <v>114</v>
      </c>
      <c r="D654" t="s">
        <v>724</v>
      </c>
      <c r="E654" t="s">
        <v>156</v>
      </c>
      <c r="F654" t="s">
        <v>170</v>
      </c>
      <c r="G654" t="s">
        <v>34</v>
      </c>
      <c r="H654" t="s">
        <v>141</v>
      </c>
      <c r="I654">
        <v>5</v>
      </c>
      <c r="J654" s="3">
        <v>152000</v>
      </c>
      <c r="K654" s="3">
        <v>120000</v>
      </c>
      <c r="L654" t="s">
        <v>36</v>
      </c>
      <c r="M654" t="s">
        <v>51</v>
      </c>
      <c r="N654" t="s">
        <v>52</v>
      </c>
      <c r="O654" t="s">
        <v>91</v>
      </c>
    </row>
    <row r="655" spans="1:15" x14ac:dyDescent="0.35">
      <c r="A655" t="s">
        <v>1459</v>
      </c>
      <c r="B655" s="2">
        <v>46105</v>
      </c>
      <c r="C655" t="s">
        <v>207</v>
      </c>
      <c r="D655" t="s">
        <v>297</v>
      </c>
      <c r="E655" t="s">
        <v>18</v>
      </c>
      <c r="F655" t="s">
        <v>18</v>
      </c>
      <c r="G655" t="s">
        <v>28</v>
      </c>
      <c r="H655" t="s">
        <v>29</v>
      </c>
      <c r="I655">
        <v>10</v>
      </c>
      <c r="J655" s="3">
        <v>6600</v>
      </c>
      <c r="K655" s="3">
        <v>4000</v>
      </c>
      <c r="L655" t="s">
        <v>96</v>
      </c>
      <c r="M655" t="s">
        <v>51</v>
      </c>
      <c r="N655" t="s">
        <v>52</v>
      </c>
      <c r="O655" t="s">
        <v>24</v>
      </c>
    </row>
    <row r="656" spans="1:15" x14ac:dyDescent="0.35">
      <c r="A656" t="s">
        <v>1460</v>
      </c>
      <c r="B656" s="2">
        <v>46386</v>
      </c>
      <c r="C656" t="s">
        <v>143</v>
      </c>
      <c r="D656" t="s">
        <v>1403</v>
      </c>
      <c r="E656" t="s">
        <v>84</v>
      </c>
      <c r="F656" t="s">
        <v>85</v>
      </c>
      <c r="G656" t="s">
        <v>34</v>
      </c>
      <c r="H656" t="s">
        <v>86</v>
      </c>
      <c r="I656">
        <v>8</v>
      </c>
      <c r="J656" s="3">
        <v>171000</v>
      </c>
      <c r="K656" s="3">
        <v>131000</v>
      </c>
      <c r="L656" t="s">
        <v>96</v>
      </c>
      <c r="M656" t="s">
        <v>37</v>
      </c>
      <c r="N656" t="s">
        <v>23</v>
      </c>
      <c r="O656" t="s">
        <v>24</v>
      </c>
    </row>
    <row r="657" spans="1:15" x14ac:dyDescent="0.35">
      <c r="A657" t="s">
        <v>1461</v>
      </c>
      <c r="B657" s="2">
        <v>46232</v>
      </c>
      <c r="C657" t="s">
        <v>808</v>
      </c>
      <c r="D657" t="s">
        <v>1230</v>
      </c>
      <c r="E657" t="s">
        <v>70</v>
      </c>
      <c r="F657" t="s">
        <v>71</v>
      </c>
      <c r="G657" t="s">
        <v>34</v>
      </c>
      <c r="H657" t="s">
        <v>95</v>
      </c>
      <c r="I657">
        <v>3</v>
      </c>
      <c r="J657" s="3">
        <v>450000</v>
      </c>
      <c r="K657" s="3">
        <v>370000</v>
      </c>
      <c r="L657" t="s">
        <v>66</v>
      </c>
      <c r="M657" t="s">
        <v>31</v>
      </c>
      <c r="N657" t="s">
        <v>52</v>
      </c>
      <c r="O657" t="s">
        <v>91</v>
      </c>
    </row>
    <row r="658" spans="1:15" x14ac:dyDescent="0.35">
      <c r="A658" t="s">
        <v>1462</v>
      </c>
      <c r="B658" s="2">
        <v>46266</v>
      </c>
      <c r="C658" t="s">
        <v>1463</v>
      </c>
      <c r="D658" t="s">
        <v>447</v>
      </c>
      <c r="E658" t="s">
        <v>56</v>
      </c>
      <c r="F658" t="s">
        <v>57</v>
      </c>
      <c r="G658" t="s">
        <v>43</v>
      </c>
      <c r="H658" t="s">
        <v>44</v>
      </c>
      <c r="I658">
        <v>7</v>
      </c>
      <c r="J658" s="3">
        <v>15000</v>
      </c>
      <c r="K658" s="3">
        <v>9500</v>
      </c>
      <c r="L658" t="s">
        <v>36</v>
      </c>
      <c r="M658" t="s">
        <v>51</v>
      </c>
      <c r="N658" t="s">
        <v>87</v>
      </c>
      <c r="O658" t="s">
        <v>24</v>
      </c>
    </row>
    <row r="659" spans="1:15" x14ac:dyDescent="0.35">
      <c r="A659" t="s">
        <v>1464</v>
      </c>
      <c r="B659" s="2">
        <v>46154</v>
      </c>
      <c r="C659" t="s">
        <v>1465</v>
      </c>
      <c r="D659" t="s">
        <v>504</v>
      </c>
      <c r="E659" t="s">
        <v>18</v>
      </c>
      <c r="F659" t="s">
        <v>18</v>
      </c>
      <c r="G659" t="s">
        <v>28</v>
      </c>
      <c r="H659" t="s">
        <v>131</v>
      </c>
      <c r="I659">
        <v>7</v>
      </c>
      <c r="J659" s="3">
        <v>28500</v>
      </c>
      <c r="K659" s="3">
        <v>19600</v>
      </c>
      <c r="L659" t="s">
        <v>66</v>
      </c>
      <c r="M659" t="s">
        <v>51</v>
      </c>
      <c r="N659" t="s">
        <v>23</v>
      </c>
      <c r="O659" t="s">
        <v>24</v>
      </c>
    </row>
    <row r="660" spans="1:15" x14ac:dyDescent="0.35">
      <c r="A660" t="s">
        <v>1466</v>
      </c>
      <c r="B660" s="2">
        <v>46174</v>
      </c>
      <c r="C660" t="s">
        <v>777</v>
      </c>
      <c r="D660" t="s">
        <v>1303</v>
      </c>
      <c r="E660" t="s">
        <v>18</v>
      </c>
      <c r="F660" t="s">
        <v>18</v>
      </c>
      <c r="G660" t="s">
        <v>43</v>
      </c>
      <c r="H660" t="s">
        <v>177</v>
      </c>
      <c r="I660">
        <v>1</v>
      </c>
      <c r="J660" s="3">
        <v>18000</v>
      </c>
      <c r="K660" s="3">
        <v>12500</v>
      </c>
      <c r="L660" t="s">
        <v>73</v>
      </c>
      <c r="M660" t="s">
        <v>37</v>
      </c>
      <c r="N660" t="s">
        <v>23</v>
      </c>
      <c r="O660" t="s">
        <v>24</v>
      </c>
    </row>
    <row r="661" spans="1:15" x14ac:dyDescent="0.35">
      <c r="A661" t="s">
        <v>1467</v>
      </c>
      <c r="B661" s="2">
        <v>46249</v>
      </c>
      <c r="C661" t="s">
        <v>228</v>
      </c>
      <c r="D661" t="s">
        <v>1014</v>
      </c>
      <c r="E661" t="s">
        <v>190</v>
      </c>
      <c r="F661" t="s">
        <v>191</v>
      </c>
      <c r="G661" t="s">
        <v>19</v>
      </c>
      <c r="H661" t="s">
        <v>61</v>
      </c>
      <c r="I661">
        <v>6</v>
      </c>
      <c r="J661" s="3">
        <v>220000</v>
      </c>
      <c r="K661" s="3">
        <v>160000</v>
      </c>
      <c r="L661" t="s">
        <v>80</v>
      </c>
      <c r="M661" t="s">
        <v>22</v>
      </c>
      <c r="N661" t="s">
        <v>87</v>
      </c>
      <c r="O661" t="s">
        <v>24</v>
      </c>
    </row>
    <row r="662" spans="1:15" x14ac:dyDescent="0.35">
      <c r="A662" t="s">
        <v>1468</v>
      </c>
      <c r="B662" s="2">
        <v>46165</v>
      </c>
      <c r="C662" t="s">
        <v>1207</v>
      </c>
      <c r="D662" t="s">
        <v>535</v>
      </c>
      <c r="E662" t="s">
        <v>18</v>
      </c>
      <c r="F662" t="s">
        <v>18</v>
      </c>
      <c r="G662" t="s">
        <v>43</v>
      </c>
      <c r="H662" t="s">
        <v>162</v>
      </c>
      <c r="I662">
        <v>8</v>
      </c>
      <c r="J662" s="3">
        <v>7600</v>
      </c>
      <c r="K662" s="3">
        <v>5000</v>
      </c>
      <c r="L662" t="s">
        <v>73</v>
      </c>
      <c r="M662" t="s">
        <v>37</v>
      </c>
      <c r="N662" t="s">
        <v>23</v>
      </c>
      <c r="O662" t="s">
        <v>24</v>
      </c>
    </row>
    <row r="663" spans="1:15" x14ac:dyDescent="0.35">
      <c r="A663" t="s">
        <v>1469</v>
      </c>
      <c r="B663" s="2">
        <v>46028</v>
      </c>
      <c r="C663" t="s">
        <v>337</v>
      </c>
      <c r="D663" t="s">
        <v>267</v>
      </c>
      <c r="E663" t="s">
        <v>18</v>
      </c>
      <c r="F663" t="s">
        <v>18</v>
      </c>
      <c r="G663" t="s">
        <v>34</v>
      </c>
      <c r="H663" t="s">
        <v>95</v>
      </c>
      <c r="I663">
        <v>9</v>
      </c>
      <c r="J663" s="3">
        <v>450000</v>
      </c>
      <c r="K663" s="3">
        <v>381100</v>
      </c>
      <c r="L663" t="s">
        <v>80</v>
      </c>
      <c r="M663" t="s">
        <v>37</v>
      </c>
      <c r="N663" t="s">
        <v>23</v>
      </c>
      <c r="O663" t="s">
        <v>24</v>
      </c>
    </row>
    <row r="664" spans="1:15" x14ac:dyDescent="0.35">
      <c r="A664" t="s">
        <v>1470</v>
      </c>
      <c r="B664" s="2">
        <v>46230</v>
      </c>
      <c r="C664" t="s">
        <v>513</v>
      </c>
      <c r="D664" t="s">
        <v>1471</v>
      </c>
      <c r="E664" t="s">
        <v>84</v>
      </c>
      <c r="F664" t="s">
        <v>85</v>
      </c>
      <c r="G664" t="s">
        <v>43</v>
      </c>
      <c r="H664" t="s">
        <v>44</v>
      </c>
      <c r="I664">
        <v>7</v>
      </c>
      <c r="J664" s="3">
        <v>15000</v>
      </c>
      <c r="K664" s="3">
        <v>9500</v>
      </c>
      <c r="L664" t="s">
        <v>80</v>
      </c>
      <c r="M664" t="s">
        <v>37</v>
      </c>
      <c r="N664" t="s">
        <v>52</v>
      </c>
      <c r="O664" t="s">
        <v>24</v>
      </c>
    </row>
    <row r="665" spans="1:15" x14ac:dyDescent="0.35">
      <c r="A665" t="s">
        <v>1472</v>
      </c>
      <c r="B665" s="2">
        <v>46027</v>
      </c>
      <c r="C665" t="s">
        <v>1156</v>
      </c>
      <c r="D665" t="s">
        <v>1473</v>
      </c>
      <c r="E665" t="s">
        <v>41</v>
      </c>
      <c r="F665" t="s">
        <v>42</v>
      </c>
      <c r="G665" t="s">
        <v>43</v>
      </c>
      <c r="H665" t="s">
        <v>44</v>
      </c>
      <c r="I665">
        <v>9</v>
      </c>
      <c r="J665" s="3">
        <v>15800</v>
      </c>
      <c r="K665" s="3">
        <v>9800</v>
      </c>
      <c r="L665" t="s">
        <v>80</v>
      </c>
      <c r="M665" t="s">
        <v>37</v>
      </c>
      <c r="N665" t="s">
        <v>52</v>
      </c>
      <c r="O665" t="s">
        <v>24</v>
      </c>
    </row>
    <row r="666" spans="1:15" x14ac:dyDescent="0.35">
      <c r="A666" t="s">
        <v>1474</v>
      </c>
      <c r="B666" s="2">
        <v>46082</v>
      </c>
      <c r="C666" t="s">
        <v>638</v>
      </c>
      <c r="D666" t="s">
        <v>750</v>
      </c>
      <c r="E666" t="s">
        <v>41</v>
      </c>
      <c r="F666" t="s">
        <v>42</v>
      </c>
      <c r="G666" t="s">
        <v>43</v>
      </c>
      <c r="H666" t="s">
        <v>49</v>
      </c>
      <c r="I666">
        <v>8</v>
      </c>
      <c r="J666" s="3">
        <v>8600</v>
      </c>
      <c r="K666" s="3">
        <v>5800</v>
      </c>
      <c r="L666" t="s">
        <v>66</v>
      </c>
      <c r="M666" t="s">
        <v>51</v>
      </c>
      <c r="N666" t="s">
        <v>23</v>
      </c>
      <c r="O666" t="s">
        <v>45</v>
      </c>
    </row>
    <row r="667" spans="1:15" x14ac:dyDescent="0.35">
      <c r="A667" t="s">
        <v>1475</v>
      </c>
      <c r="B667" s="2">
        <v>46375</v>
      </c>
      <c r="C667" t="s">
        <v>774</v>
      </c>
      <c r="D667" t="s">
        <v>781</v>
      </c>
      <c r="E667" t="s">
        <v>70</v>
      </c>
      <c r="F667" t="s">
        <v>71</v>
      </c>
      <c r="G667" t="s">
        <v>34</v>
      </c>
      <c r="H667" t="s">
        <v>86</v>
      </c>
      <c r="I667">
        <v>1</v>
      </c>
      <c r="J667" s="3">
        <v>171000</v>
      </c>
      <c r="K667" s="3">
        <v>131000</v>
      </c>
      <c r="L667" t="s">
        <v>50</v>
      </c>
      <c r="M667" t="s">
        <v>51</v>
      </c>
      <c r="N667" t="s">
        <v>23</v>
      </c>
      <c r="O667" t="s">
        <v>24</v>
      </c>
    </row>
    <row r="668" spans="1:15" x14ac:dyDescent="0.35">
      <c r="A668" t="s">
        <v>1476</v>
      </c>
      <c r="B668" s="2">
        <v>46078</v>
      </c>
      <c r="C668" t="s">
        <v>143</v>
      </c>
      <c r="D668" t="s">
        <v>235</v>
      </c>
      <c r="E668" t="s">
        <v>190</v>
      </c>
      <c r="F668" t="s">
        <v>191</v>
      </c>
      <c r="G668" t="s">
        <v>28</v>
      </c>
      <c r="H668" t="s">
        <v>72</v>
      </c>
      <c r="I668">
        <v>10</v>
      </c>
      <c r="J668" s="3">
        <v>10000</v>
      </c>
      <c r="K668" s="3">
        <v>6200</v>
      </c>
      <c r="L668" t="s">
        <v>21</v>
      </c>
      <c r="M668" t="s">
        <v>22</v>
      </c>
      <c r="N668" t="s">
        <v>23</v>
      </c>
      <c r="O668" t="s">
        <v>24</v>
      </c>
    </row>
    <row r="669" spans="1:15" x14ac:dyDescent="0.35">
      <c r="A669" t="s">
        <v>1477</v>
      </c>
      <c r="B669" s="2">
        <v>46211</v>
      </c>
      <c r="C669" t="s">
        <v>605</v>
      </c>
      <c r="D669" t="s">
        <v>229</v>
      </c>
      <c r="E669" t="s">
        <v>77</v>
      </c>
      <c r="F669" t="s">
        <v>78</v>
      </c>
      <c r="G669" t="s">
        <v>28</v>
      </c>
      <c r="H669" t="s">
        <v>72</v>
      </c>
      <c r="I669">
        <v>3</v>
      </c>
      <c r="J669" s="3">
        <v>10000</v>
      </c>
      <c r="K669" s="3">
        <v>6400</v>
      </c>
      <c r="L669" t="s">
        <v>80</v>
      </c>
      <c r="M669" t="s">
        <v>51</v>
      </c>
      <c r="N669" t="s">
        <v>52</v>
      </c>
      <c r="O669" t="s">
        <v>45</v>
      </c>
    </row>
    <row r="670" spans="1:15" x14ac:dyDescent="0.35">
      <c r="A670" t="s">
        <v>1478</v>
      </c>
      <c r="B670" s="2">
        <v>46265</v>
      </c>
      <c r="C670" t="s">
        <v>1479</v>
      </c>
      <c r="D670" t="s">
        <v>306</v>
      </c>
      <c r="E670" t="s">
        <v>84</v>
      </c>
      <c r="F670" t="s">
        <v>85</v>
      </c>
      <c r="G670" t="s">
        <v>34</v>
      </c>
      <c r="H670" t="s">
        <v>95</v>
      </c>
      <c r="I670">
        <v>10</v>
      </c>
      <c r="J670" s="3">
        <v>427500</v>
      </c>
      <c r="K670" s="3">
        <v>381100</v>
      </c>
      <c r="L670" t="s">
        <v>66</v>
      </c>
      <c r="M670" t="s">
        <v>51</v>
      </c>
      <c r="N670" t="s">
        <v>23</v>
      </c>
      <c r="O670" t="s">
        <v>24</v>
      </c>
    </row>
    <row r="671" spans="1:15" x14ac:dyDescent="0.35">
      <c r="A671" t="s">
        <v>1480</v>
      </c>
      <c r="B671" s="2">
        <v>46301</v>
      </c>
      <c r="C671" t="s">
        <v>1481</v>
      </c>
      <c r="D671" t="s">
        <v>235</v>
      </c>
      <c r="E671" t="s">
        <v>18</v>
      </c>
      <c r="F671" t="s">
        <v>18</v>
      </c>
      <c r="G671" t="s">
        <v>43</v>
      </c>
      <c r="H671" t="s">
        <v>162</v>
      </c>
      <c r="I671">
        <v>8</v>
      </c>
      <c r="J671" s="3">
        <v>8000</v>
      </c>
      <c r="K671" s="3">
        <v>4800</v>
      </c>
      <c r="L671" t="s">
        <v>21</v>
      </c>
      <c r="M671" t="s">
        <v>22</v>
      </c>
      <c r="N671" t="s">
        <v>52</v>
      </c>
      <c r="O671" t="s">
        <v>24</v>
      </c>
    </row>
    <row r="672" spans="1:15" x14ac:dyDescent="0.35">
      <c r="A672" t="s">
        <v>1482</v>
      </c>
      <c r="B672" s="2">
        <v>46305</v>
      </c>
      <c r="C672" t="s">
        <v>207</v>
      </c>
      <c r="D672" t="s">
        <v>40</v>
      </c>
      <c r="E672" t="s">
        <v>70</v>
      </c>
      <c r="F672" t="s">
        <v>71</v>
      </c>
      <c r="G672" t="s">
        <v>34</v>
      </c>
      <c r="H672" t="s">
        <v>35</v>
      </c>
      <c r="I672">
        <v>6</v>
      </c>
      <c r="J672" s="3">
        <v>52200</v>
      </c>
      <c r="K672" s="3">
        <v>40200</v>
      </c>
      <c r="L672" t="s">
        <v>80</v>
      </c>
      <c r="M672" t="s">
        <v>37</v>
      </c>
      <c r="N672" t="s">
        <v>52</v>
      </c>
      <c r="O672" t="s">
        <v>24</v>
      </c>
    </row>
    <row r="673" spans="1:15" x14ac:dyDescent="0.35">
      <c r="A673" t="s">
        <v>1483</v>
      </c>
      <c r="B673" s="2">
        <v>46141</v>
      </c>
      <c r="C673" t="s">
        <v>664</v>
      </c>
      <c r="D673" t="s">
        <v>1484</v>
      </c>
      <c r="E673" t="s">
        <v>18</v>
      </c>
      <c r="F673" t="s">
        <v>18</v>
      </c>
      <c r="G673" t="s">
        <v>34</v>
      </c>
      <c r="H673" t="s">
        <v>141</v>
      </c>
      <c r="I673">
        <v>5</v>
      </c>
      <c r="J673" s="3">
        <v>168000</v>
      </c>
      <c r="K673" s="3">
        <v>116400</v>
      </c>
      <c r="L673" t="s">
        <v>80</v>
      </c>
      <c r="M673" t="s">
        <v>37</v>
      </c>
      <c r="N673" t="s">
        <v>52</v>
      </c>
      <c r="O673" t="s">
        <v>24</v>
      </c>
    </row>
    <row r="674" spans="1:15" x14ac:dyDescent="0.35">
      <c r="A674" t="s">
        <v>1485</v>
      </c>
      <c r="B674" s="2">
        <v>46347</v>
      </c>
      <c r="C674" t="s">
        <v>727</v>
      </c>
      <c r="D674" t="s">
        <v>1486</v>
      </c>
      <c r="E674" t="s">
        <v>18</v>
      </c>
      <c r="F674" t="s">
        <v>18</v>
      </c>
      <c r="G674" t="s">
        <v>28</v>
      </c>
      <c r="H674" t="s">
        <v>248</v>
      </c>
      <c r="I674">
        <v>7</v>
      </c>
      <c r="J674" s="3">
        <v>26200</v>
      </c>
      <c r="K674" s="3">
        <v>16000</v>
      </c>
      <c r="L674" t="s">
        <v>73</v>
      </c>
      <c r="M674" t="s">
        <v>31</v>
      </c>
      <c r="N674" t="s">
        <v>23</v>
      </c>
      <c r="O674" t="s">
        <v>24</v>
      </c>
    </row>
    <row r="675" spans="1:15" x14ac:dyDescent="0.35">
      <c r="A675" t="s">
        <v>1487</v>
      </c>
      <c r="B675" s="2">
        <v>46240</v>
      </c>
      <c r="C675" t="s">
        <v>559</v>
      </c>
      <c r="D675" t="s">
        <v>636</v>
      </c>
      <c r="E675" t="s">
        <v>18</v>
      </c>
      <c r="F675" t="s">
        <v>18</v>
      </c>
      <c r="G675" t="s">
        <v>43</v>
      </c>
      <c r="H675" t="s">
        <v>44</v>
      </c>
      <c r="I675">
        <v>5</v>
      </c>
      <c r="J675" s="3">
        <v>15000</v>
      </c>
      <c r="K675" s="3">
        <v>9500</v>
      </c>
      <c r="L675" t="s">
        <v>30</v>
      </c>
      <c r="M675" t="s">
        <v>51</v>
      </c>
      <c r="N675" t="s">
        <v>23</v>
      </c>
      <c r="O675" t="s">
        <v>24</v>
      </c>
    </row>
    <row r="676" spans="1:15" x14ac:dyDescent="0.35">
      <c r="A676" t="s">
        <v>1488</v>
      </c>
      <c r="B676" s="2">
        <v>46112</v>
      </c>
      <c r="C676" t="s">
        <v>730</v>
      </c>
      <c r="D676" t="s">
        <v>1132</v>
      </c>
      <c r="E676" t="s">
        <v>41</v>
      </c>
      <c r="F676" t="s">
        <v>42</v>
      </c>
      <c r="G676" t="s">
        <v>43</v>
      </c>
      <c r="H676" t="s">
        <v>49</v>
      </c>
      <c r="I676">
        <v>5</v>
      </c>
      <c r="J676" s="3">
        <v>9000</v>
      </c>
      <c r="K676" s="3">
        <v>6000</v>
      </c>
      <c r="L676" t="s">
        <v>36</v>
      </c>
      <c r="M676" t="s">
        <v>37</v>
      </c>
      <c r="N676" t="s">
        <v>23</v>
      </c>
      <c r="O676" t="s">
        <v>24</v>
      </c>
    </row>
    <row r="677" spans="1:15" x14ac:dyDescent="0.35">
      <c r="A677" t="s">
        <v>1489</v>
      </c>
      <c r="B677" s="2">
        <v>46382</v>
      </c>
      <c r="C677" t="s">
        <v>1490</v>
      </c>
      <c r="D677" t="s">
        <v>846</v>
      </c>
      <c r="E677" t="s">
        <v>41</v>
      </c>
      <c r="F677" t="s">
        <v>42</v>
      </c>
      <c r="G677" t="s">
        <v>28</v>
      </c>
      <c r="H677" t="s">
        <v>29</v>
      </c>
      <c r="I677">
        <v>9</v>
      </c>
      <c r="J677" s="3">
        <v>6600</v>
      </c>
      <c r="K677" s="3">
        <v>4100</v>
      </c>
      <c r="L677" t="s">
        <v>66</v>
      </c>
      <c r="M677" t="s">
        <v>51</v>
      </c>
      <c r="N677" t="s">
        <v>23</v>
      </c>
      <c r="O677" t="s">
        <v>91</v>
      </c>
    </row>
    <row r="678" spans="1:15" x14ac:dyDescent="0.35">
      <c r="A678" t="s">
        <v>1491</v>
      </c>
      <c r="B678" s="2">
        <v>46152</v>
      </c>
      <c r="C678" t="s">
        <v>63</v>
      </c>
      <c r="D678" t="s">
        <v>1126</v>
      </c>
      <c r="E678" t="s">
        <v>156</v>
      </c>
      <c r="F678" t="s">
        <v>170</v>
      </c>
      <c r="G678" t="s">
        <v>19</v>
      </c>
      <c r="H678" t="s">
        <v>61</v>
      </c>
      <c r="I678">
        <v>2</v>
      </c>
      <c r="J678" s="3">
        <v>209000</v>
      </c>
      <c r="K678" s="3">
        <v>155200</v>
      </c>
      <c r="L678" t="s">
        <v>96</v>
      </c>
      <c r="M678" t="s">
        <v>51</v>
      </c>
      <c r="N678" t="s">
        <v>52</v>
      </c>
      <c r="O678" t="s">
        <v>45</v>
      </c>
    </row>
    <row r="679" spans="1:15" x14ac:dyDescent="0.35">
      <c r="A679" t="s">
        <v>1492</v>
      </c>
      <c r="B679" s="2">
        <v>46297</v>
      </c>
      <c r="C679" t="s">
        <v>626</v>
      </c>
      <c r="D679" t="s">
        <v>622</v>
      </c>
      <c r="E679" t="s">
        <v>84</v>
      </c>
      <c r="F679" t="s">
        <v>85</v>
      </c>
      <c r="G679" t="s">
        <v>19</v>
      </c>
      <c r="H679" t="s">
        <v>112</v>
      </c>
      <c r="I679">
        <v>8</v>
      </c>
      <c r="J679" s="3">
        <v>85000</v>
      </c>
      <c r="K679" s="3">
        <v>62000</v>
      </c>
      <c r="L679" t="s">
        <v>50</v>
      </c>
      <c r="M679" t="s">
        <v>22</v>
      </c>
      <c r="N679" t="s">
        <v>52</v>
      </c>
      <c r="O679" t="s">
        <v>91</v>
      </c>
    </row>
    <row r="680" spans="1:15" x14ac:dyDescent="0.35">
      <c r="A680" t="s">
        <v>1493</v>
      </c>
      <c r="B680" s="2">
        <v>46159</v>
      </c>
      <c r="C680" t="s">
        <v>955</v>
      </c>
      <c r="D680" t="s">
        <v>570</v>
      </c>
      <c r="E680" t="s">
        <v>156</v>
      </c>
      <c r="F680" t="s">
        <v>170</v>
      </c>
      <c r="G680" t="s">
        <v>28</v>
      </c>
      <c r="H680" t="s">
        <v>65</v>
      </c>
      <c r="I680">
        <v>10</v>
      </c>
      <c r="J680" s="3">
        <v>12600</v>
      </c>
      <c r="K680" s="3">
        <v>7700</v>
      </c>
      <c r="L680" t="s">
        <v>96</v>
      </c>
      <c r="M680" t="s">
        <v>37</v>
      </c>
      <c r="N680" t="s">
        <v>23</v>
      </c>
      <c r="O680" t="s">
        <v>45</v>
      </c>
    </row>
    <row r="681" spans="1:15" x14ac:dyDescent="0.35">
      <c r="A681" t="s">
        <v>1494</v>
      </c>
      <c r="B681" s="2">
        <v>46238</v>
      </c>
      <c r="C681" t="s">
        <v>1248</v>
      </c>
      <c r="D681" t="s">
        <v>130</v>
      </c>
      <c r="E681" t="s">
        <v>84</v>
      </c>
      <c r="F681" t="s">
        <v>85</v>
      </c>
      <c r="G681" t="s">
        <v>43</v>
      </c>
      <c r="H681" t="s">
        <v>79</v>
      </c>
      <c r="I681">
        <v>7</v>
      </c>
      <c r="J681" s="3">
        <v>5700</v>
      </c>
      <c r="K681" s="3">
        <v>4100</v>
      </c>
      <c r="L681" t="s">
        <v>36</v>
      </c>
      <c r="M681" t="s">
        <v>31</v>
      </c>
      <c r="N681" t="s">
        <v>52</v>
      </c>
      <c r="O681" t="s">
        <v>24</v>
      </c>
    </row>
    <row r="682" spans="1:15" x14ac:dyDescent="0.35">
      <c r="A682" t="s">
        <v>1495</v>
      </c>
      <c r="B682" s="2">
        <v>46268</v>
      </c>
      <c r="C682" t="s">
        <v>331</v>
      </c>
      <c r="D682" t="s">
        <v>1439</v>
      </c>
      <c r="E682" t="s">
        <v>18</v>
      </c>
      <c r="F682" t="s">
        <v>18</v>
      </c>
      <c r="G682" t="s">
        <v>19</v>
      </c>
      <c r="H682" t="s">
        <v>61</v>
      </c>
      <c r="I682">
        <v>8</v>
      </c>
      <c r="J682" s="3">
        <v>220000</v>
      </c>
      <c r="K682" s="3">
        <v>160000</v>
      </c>
      <c r="L682" t="s">
        <v>66</v>
      </c>
      <c r="M682" t="s">
        <v>51</v>
      </c>
      <c r="N682" t="s">
        <v>23</v>
      </c>
      <c r="O682" t="s">
        <v>24</v>
      </c>
    </row>
    <row r="683" spans="1:15" x14ac:dyDescent="0.35">
      <c r="A683" t="s">
        <v>1496</v>
      </c>
      <c r="B683" s="2">
        <v>46289</v>
      </c>
      <c r="C683" t="s">
        <v>836</v>
      </c>
      <c r="D683" t="s">
        <v>1497</v>
      </c>
      <c r="E683" t="s">
        <v>18</v>
      </c>
      <c r="F683" t="s">
        <v>18</v>
      </c>
      <c r="G683" t="s">
        <v>34</v>
      </c>
      <c r="H683" t="s">
        <v>141</v>
      </c>
      <c r="I683">
        <v>6</v>
      </c>
      <c r="J683" s="3">
        <v>168000</v>
      </c>
      <c r="K683" s="3">
        <v>116400</v>
      </c>
      <c r="L683" t="s">
        <v>96</v>
      </c>
      <c r="M683" t="s">
        <v>37</v>
      </c>
      <c r="N683" t="s">
        <v>23</v>
      </c>
      <c r="O683" t="s">
        <v>24</v>
      </c>
    </row>
    <row r="684" spans="1:15" x14ac:dyDescent="0.35">
      <c r="A684" t="s">
        <v>1498</v>
      </c>
      <c r="B684" s="2">
        <v>46295</v>
      </c>
      <c r="C684" t="s">
        <v>1164</v>
      </c>
      <c r="D684" t="s">
        <v>1195</v>
      </c>
      <c r="E684" t="s">
        <v>84</v>
      </c>
      <c r="F684" t="s">
        <v>85</v>
      </c>
      <c r="G684" t="s">
        <v>34</v>
      </c>
      <c r="H684" t="s">
        <v>95</v>
      </c>
      <c r="I684">
        <v>10</v>
      </c>
      <c r="J684" s="3">
        <v>450000</v>
      </c>
      <c r="K684" s="3">
        <v>370000</v>
      </c>
      <c r="L684" t="s">
        <v>30</v>
      </c>
      <c r="M684" t="s">
        <v>37</v>
      </c>
      <c r="N684" t="s">
        <v>52</v>
      </c>
      <c r="O684" t="s">
        <v>24</v>
      </c>
    </row>
    <row r="685" spans="1:15" x14ac:dyDescent="0.35">
      <c r="A685" t="s">
        <v>1499</v>
      </c>
      <c r="B685" s="2">
        <v>46148</v>
      </c>
      <c r="C685" t="s">
        <v>370</v>
      </c>
      <c r="D685" t="s">
        <v>276</v>
      </c>
      <c r="E685" t="s">
        <v>84</v>
      </c>
      <c r="F685" t="s">
        <v>85</v>
      </c>
      <c r="G685" t="s">
        <v>34</v>
      </c>
      <c r="H685" t="s">
        <v>35</v>
      </c>
      <c r="I685">
        <v>10</v>
      </c>
      <c r="J685" s="3">
        <v>55000</v>
      </c>
      <c r="K685" s="3">
        <v>39000</v>
      </c>
      <c r="L685" t="s">
        <v>36</v>
      </c>
      <c r="M685" t="s">
        <v>31</v>
      </c>
      <c r="N685" t="s">
        <v>52</v>
      </c>
      <c r="O685" t="s">
        <v>24</v>
      </c>
    </row>
    <row r="686" spans="1:15" x14ac:dyDescent="0.35">
      <c r="A686" t="s">
        <v>1500</v>
      </c>
      <c r="B686" s="2">
        <v>46326</v>
      </c>
      <c r="C686" t="s">
        <v>1501</v>
      </c>
      <c r="D686" t="s">
        <v>507</v>
      </c>
      <c r="E686" t="s">
        <v>41</v>
      </c>
      <c r="F686" t="s">
        <v>42</v>
      </c>
      <c r="G686" t="s">
        <v>34</v>
      </c>
      <c r="H686" t="s">
        <v>158</v>
      </c>
      <c r="I686">
        <v>1</v>
      </c>
      <c r="J686" s="3">
        <v>99800</v>
      </c>
      <c r="K686" s="3">
        <v>67900</v>
      </c>
      <c r="L686" t="s">
        <v>21</v>
      </c>
      <c r="M686" t="s">
        <v>51</v>
      </c>
      <c r="N686" t="s">
        <v>23</v>
      </c>
      <c r="O686" t="s">
        <v>45</v>
      </c>
    </row>
    <row r="687" spans="1:15" x14ac:dyDescent="0.35">
      <c r="A687" t="s">
        <v>1502</v>
      </c>
      <c r="B687" s="2">
        <v>46214</v>
      </c>
      <c r="C687" t="s">
        <v>1503</v>
      </c>
      <c r="D687" t="s">
        <v>672</v>
      </c>
      <c r="E687" t="s">
        <v>56</v>
      </c>
      <c r="F687" t="s">
        <v>57</v>
      </c>
      <c r="G687" t="s">
        <v>34</v>
      </c>
      <c r="H687" t="s">
        <v>35</v>
      </c>
      <c r="I687">
        <v>3</v>
      </c>
      <c r="J687" s="3">
        <v>55000</v>
      </c>
      <c r="K687" s="3">
        <v>40200</v>
      </c>
      <c r="M687" t="s">
        <v>22</v>
      </c>
      <c r="N687" t="s">
        <v>87</v>
      </c>
      <c r="O687" t="s">
        <v>45</v>
      </c>
    </row>
    <row r="688" spans="1:15" x14ac:dyDescent="0.35">
      <c r="A688" t="s">
        <v>1504</v>
      </c>
      <c r="B688" s="2">
        <v>46357</v>
      </c>
      <c r="C688" t="s">
        <v>39</v>
      </c>
      <c r="D688" t="s">
        <v>767</v>
      </c>
      <c r="E688" t="s">
        <v>18</v>
      </c>
      <c r="F688" t="s">
        <v>18</v>
      </c>
      <c r="G688" t="s">
        <v>34</v>
      </c>
      <c r="H688" t="s">
        <v>86</v>
      </c>
      <c r="I688">
        <v>9</v>
      </c>
      <c r="J688" s="3">
        <v>180000</v>
      </c>
      <c r="K688" s="3">
        <v>139000</v>
      </c>
      <c r="L688" t="s">
        <v>50</v>
      </c>
      <c r="M688" t="s">
        <v>51</v>
      </c>
      <c r="N688" t="s">
        <v>52</v>
      </c>
      <c r="O688" t="s">
        <v>24</v>
      </c>
    </row>
    <row r="689" spans="1:15" x14ac:dyDescent="0.35">
      <c r="A689" t="s">
        <v>1505</v>
      </c>
      <c r="B689" s="2">
        <v>46137</v>
      </c>
      <c r="C689" t="s">
        <v>1506</v>
      </c>
      <c r="D689" t="s">
        <v>589</v>
      </c>
      <c r="E689" t="s">
        <v>190</v>
      </c>
      <c r="F689" t="s">
        <v>191</v>
      </c>
      <c r="G689" t="s">
        <v>43</v>
      </c>
      <c r="H689" t="s">
        <v>177</v>
      </c>
      <c r="I689">
        <v>6</v>
      </c>
      <c r="J689" s="3">
        <v>18000</v>
      </c>
      <c r="K689" s="3">
        <v>12500</v>
      </c>
      <c r="L689" t="s">
        <v>50</v>
      </c>
      <c r="M689" t="s">
        <v>37</v>
      </c>
      <c r="N689" t="s">
        <v>87</v>
      </c>
      <c r="O689" t="s">
        <v>45</v>
      </c>
    </row>
    <row r="690" spans="1:15" x14ac:dyDescent="0.35">
      <c r="A690" t="s">
        <v>1507</v>
      </c>
      <c r="B690" s="2">
        <v>46324</v>
      </c>
      <c r="C690" t="s">
        <v>1444</v>
      </c>
      <c r="D690" t="s">
        <v>1403</v>
      </c>
      <c r="E690" t="s">
        <v>156</v>
      </c>
      <c r="F690" t="s">
        <v>157</v>
      </c>
      <c r="G690" t="s">
        <v>19</v>
      </c>
      <c r="H690" t="s">
        <v>166</v>
      </c>
      <c r="I690">
        <v>3</v>
      </c>
      <c r="J690" s="3">
        <v>133000</v>
      </c>
      <c r="K690" s="3">
        <v>97000</v>
      </c>
      <c r="L690" t="s">
        <v>73</v>
      </c>
      <c r="M690" t="s">
        <v>37</v>
      </c>
      <c r="N690" t="s">
        <v>52</v>
      </c>
      <c r="O690" t="s">
        <v>24</v>
      </c>
    </row>
    <row r="691" spans="1:15" x14ac:dyDescent="0.35">
      <c r="A691" t="s">
        <v>1508</v>
      </c>
      <c r="B691" s="2">
        <v>46275</v>
      </c>
      <c r="C691" t="s">
        <v>1509</v>
      </c>
      <c r="D691" t="s">
        <v>665</v>
      </c>
      <c r="E691" t="s">
        <v>156</v>
      </c>
      <c r="F691" t="s">
        <v>157</v>
      </c>
      <c r="G691" t="s">
        <v>19</v>
      </c>
      <c r="H691" t="s">
        <v>112</v>
      </c>
      <c r="I691">
        <v>6</v>
      </c>
      <c r="J691" s="3">
        <v>89200</v>
      </c>
      <c r="K691" s="3">
        <v>63900</v>
      </c>
      <c r="L691" t="s">
        <v>50</v>
      </c>
      <c r="M691" t="s">
        <v>51</v>
      </c>
      <c r="N691" t="s">
        <v>23</v>
      </c>
      <c r="O691" t="s">
        <v>24</v>
      </c>
    </row>
    <row r="692" spans="1:15" x14ac:dyDescent="0.35">
      <c r="A692" t="s">
        <v>1510</v>
      </c>
      <c r="B692" s="2">
        <v>46111</v>
      </c>
      <c r="C692" t="s">
        <v>1511</v>
      </c>
      <c r="D692" t="s">
        <v>613</v>
      </c>
      <c r="E692" t="s">
        <v>41</v>
      </c>
      <c r="F692" t="s">
        <v>42</v>
      </c>
      <c r="G692" t="s">
        <v>43</v>
      </c>
      <c r="H692" t="s">
        <v>162</v>
      </c>
      <c r="I692">
        <v>2</v>
      </c>
      <c r="J692" s="3">
        <v>8000</v>
      </c>
      <c r="K692" s="3">
        <v>5000</v>
      </c>
      <c r="L692" t="s">
        <v>80</v>
      </c>
      <c r="M692" t="s">
        <v>51</v>
      </c>
      <c r="N692" t="s">
        <v>23</v>
      </c>
      <c r="O692" t="s">
        <v>24</v>
      </c>
    </row>
    <row r="693" spans="1:15" x14ac:dyDescent="0.35">
      <c r="A693" t="s">
        <v>1512</v>
      </c>
      <c r="B693" s="2">
        <v>46221</v>
      </c>
      <c r="C693" t="s">
        <v>526</v>
      </c>
      <c r="D693" t="s">
        <v>1031</v>
      </c>
      <c r="E693" t="s">
        <v>77</v>
      </c>
      <c r="F693" t="s">
        <v>78</v>
      </c>
      <c r="G693" t="s">
        <v>43</v>
      </c>
      <c r="H693" t="s">
        <v>79</v>
      </c>
      <c r="I693">
        <v>6</v>
      </c>
      <c r="J693" s="3">
        <v>5700</v>
      </c>
      <c r="K693" s="3">
        <v>4200</v>
      </c>
      <c r="L693" t="s">
        <v>36</v>
      </c>
      <c r="M693" t="s">
        <v>51</v>
      </c>
      <c r="N693" t="s">
        <v>52</v>
      </c>
      <c r="O693" t="s">
        <v>91</v>
      </c>
    </row>
    <row r="694" spans="1:15" x14ac:dyDescent="0.35">
      <c r="A694" t="s">
        <v>1513</v>
      </c>
      <c r="B694" s="2">
        <v>46380</v>
      </c>
      <c r="C694" t="s">
        <v>326</v>
      </c>
      <c r="D694" t="s">
        <v>1408</v>
      </c>
      <c r="E694" t="s">
        <v>18</v>
      </c>
      <c r="F694" t="s">
        <v>18</v>
      </c>
      <c r="G694" t="s">
        <v>34</v>
      </c>
      <c r="H694" t="s">
        <v>158</v>
      </c>
      <c r="I694">
        <v>1</v>
      </c>
      <c r="J694" s="3">
        <v>99800</v>
      </c>
      <c r="K694" s="3">
        <v>67900</v>
      </c>
      <c r="L694" t="s">
        <v>21</v>
      </c>
      <c r="M694" t="s">
        <v>37</v>
      </c>
      <c r="N694" t="s">
        <v>23</v>
      </c>
      <c r="O694" t="s">
        <v>91</v>
      </c>
    </row>
    <row r="695" spans="1:15" x14ac:dyDescent="0.35">
      <c r="A695" t="s">
        <v>1514</v>
      </c>
      <c r="B695" s="2">
        <v>46171</v>
      </c>
      <c r="C695" t="s">
        <v>621</v>
      </c>
      <c r="D695" t="s">
        <v>731</v>
      </c>
      <c r="E695" t="s">
        <v>156</v>
      </c>
      <c r="F695" t="s">
        <v>157</v>
      </c>
      <c r="G695" t="s">
        <v>43</v>
      </c>
      <c r="H695" t="s">
        <v>177</v>
      </c>
      <c r="I695">
        <v>4</v>
      </c>
      <c r="J695" s="3">
        <v>18000</v>
      </c>
      <c r="K695" s="3">
        <v>12500</v>
      </c>
      <c r="L695" t="s">
        <v>80</v>
      </c>
      <c r="M695" t="s">
        <v>37</v>
      </c>
      <c r="N695" t="s">
        <v>23</v>
      </c>
      <c r="O695" t="s">
        <v>24</v>
      </c>
    </row>
    <row r="696" spans="1:15" x14ac:dyDescent="0.35">
      <c r="A696" t="s">
        <v>1515</v>
      </c>
      <c r="B696" s="2">
        <v>46068</v>
      </c>
      <c r="C696" t="s">
        <v>1183</v>
      </c>
      <c r="D696" t="s">
        <v>688</v>
      </c>
      <c r="E696" t="s">
        <v>18</v>
      </c>
      <c r="F696" t="s">
        <v>18</v>
      </c>
      <c r="G696" t="s">
        <v>19</v>
      </c>
      <c r="H696" t="s">
        <v>112</v>
      </c>
      <c r="I696">
        <v>3</v>
      </c>
      <c r="J696" s="3">
        <v>85000</v>
      </c>
      <c r="K696" s="3">
        <v>62000</v>
      </c>
      <c r="L696" t="s">
        <v>80</v>
      </c>
      <c r="M696" t="s">
        <v>51</v>
      </c>
      <c r="N696" t="s">
        <v>52</v>
      </c>
      <c r="O696" t="s">
        <v>24</v>
      </c>
    </row>
    <row r="697" spans="1:15" x14ac:dyDescent="0.35">
      <c r="A697" t="s">
        <v>1516</v>
      </c>
      <c r="B697" s="2">
        <v>46081</v>
      </c>
      <c r="C697" t="s">
        <v>943</v>
      </c>
      <c r="D697" t="s">
        <v>567</v>
      </c>
      <c r="E697" t="s">
        <v>77</v>
      </c>
      <c r="F697" t="s">
        <v>78</v>
      </c>
      <c r="G697" t="s">
        <v>43</v>
      </c>
      <c r="H697" t="s">
        <v>177</v>
      </c>
      <c r="I697">
        <v>4</v>
      </c>
      <c r="J697" s="3">
        <v>17100</v>
      </c>
      <c r="K697" s="3">
        <v>12500</v>
      </c>
      <c r="L697" t="s">
        <v>66</v>
      </c>
      <c r="M697" t="s">
        <v>37</v>
      </c>
      <c r="N697" t="s">
        <v>23</v>
      </c>
      <c r="O697" t="s">
        <v>91</v>
      </c>
    </row>
    <row r="698" spans="1:15" x14ac:dyDescent="0.35">
      <c r="A698" t="s">
        <v>1517</v>
      </c>
      <c r="B698" s="2">
        <v>46055</v>
      </c>
      <c r="C698" t="s">
        <v>1518</v>
      </c>
      <c r="D698" t="s">
        <v>1519</v>
      </c>
      <c r="E698" t="s">
        <v>18</v>
      </c>
      <c r="F698" t="s">
        <v>18</v>
      </c>
      <c r="G698" t="s">
        <v>28</v>
      </c>
      <c r="H698" t="s">
        <v>29</v>
      </c>
      <c r="I698">
        <v>1</v>
      </c>
      <c r="J698" s="3">
        <v>7000</v>
      </c>
      <c r="K698" s="3">
        <v>4000</v>
      </c>
      <c r="L698" t="s">
        <v>50</v>
      </c>
      <c r="M698" t="s">
        <v>31</v>
      </c>
      <c r="N698" t="s">
        <v>52</v>
      </c>
      <c r="O698" t="s">
        <v>91</v>
      </c>
    </row>
    <row r="699" spans="1:15" x14ac:dyDescent="0.35">
      <c r="A699" t="s">
        <v>1520</v>
      </c>
      <c r="B699" s="2">
        <v>46106</v>
      </c>
      <c r="C699" t="s">
        <v>774</v>
      </c>
      <c r="D699" t="s">
        <v>1043</v>
      </c>
      <c r="E699" t="s">
        <v>156</v>
      </c>
      <c r="F699" t="s">
        <v>170</v>
      </c>
      <c r="G699" t="s">
        <v>43</v>
      </c>
      <c r="H699" t="s">
        <v>49</v>
      </c>
      <c r="I699">
        <v>1</v>
      </c>
      <c r="J699" s="3">
        <v>9000</v>
      </c>
      <c r="K699" s="3">
        <v>5600</v>
      </c>
      <c r="L699" t="s">
        <v>36</v>
      </c>
      <c r="M699" t="s">
        <v>31</v>
      </c>
      <c r="N699" t="s">
        <v>23</v>
      </c>
      <c r="O699" t="s">
        <v>24</v>
      </c>
    </row>
    <row r="700" spans="1:15" x14ac:dyDescent="0.35">
      <c r="A700" t="s">
        <v>1521</v>
      </c>
      <c r="B700" s="2">
        <v>46349</v>
      </c>
      <c r="C700" t="s">
        <v>1522</v>
      </c>
      <c r="D700" t="s">
        <v>697</v>
      </c>
      <c r="E700" t="s">
        <v>18</v>
      </c>
      <c r="F700" t="s">
        <v>18</v>
      </c>
      <c r="G700" t="s">
        <v>43</v>
      </c>
      <c r="H700" t="s">
        <v>44</v>
      </c>
      <c r="I700">
        <v>8</v>
      </c>
      <c r="J700" s="3">
        <v>14200</v>
      </c>
      <c r="K700" s="3">
        <v>9500</v>
      </c>
      <c r="L700" t="s">
        <v>66</v>
      </c>
      <c r="M700" t="s">
        <v>37</v>
      </c>
      <c r="N700" t="s">
        <v>87</v>
      </c>
      <c r="O700" t="s">
        <v>24</v>
      </c>
    </row>
    <row r="701" spans="1:15" x14ac:dyDescent="0.35">
      <c r="A701" t="s">
        <v>1523</v>
      </c>
      <c r="B701" s="2">
        <v>46127</v>
      </c>
      <c r="C701" t="s">
        <v>1524</v>
      </c>
      <c r="D701" t="s">
        <v>803</v>
      </c>
      <c r="E701" t="s">
        <v>190</v>
      </c>
      <c r="F701" t="s">
        <v>191</v>
      </c>
      <c r="G701" t="s">
        <v>34</v>
      </c>
      <c r="H701" t="s">
        <v>95</v>
      </c>
      <c r="I701">
        <v>6</v>
      </c>
      <c r="J701" s="3">
        <v>450000</v>
      </c>
      <c r="K701" s="3">
        <v>370000</v>
      </c>
      <c r="L701" t="s">
        <v>36</v>
      </c>
      <c r="M701" t="s">
        <v>51</v>
      </c>
      <c r="N701" t="s">
        <v>23</v>
      </c>
      <c r="O701" t="s">
        <v>24</v>
      </c>
    </row>
    <row r="702" spans="1:15" x14ac:dyDescent="0.35">
      <c r="A702" t="s">
        <v>1525</v>
      </c>
      <c r="B702" s="2">
        <v>46227</v>
      </c>
      <c r="C702" t="s">
        <v>164</v>
      </c>
      <c r="D702" t="s">
        <v>963</v>
      </c>
      <c r="E702" t="s">
        <v>18</v>
      </c>
      <c r="F702" t="s">
        <v>18</v>
      </c>
      <c r="G702" t="s">
        <v>43</v>
      </c>
      <c r="H702" t="s">
        <v>44</v>
      </c>
      <c r="I702">
        <v>7</v>
      </c>
      <c r="J702" s="3">
        <v>15000</v>
      </c>
      <c r="K702" s="3">
        <v>9800</v>
      </c>
      <c r="L702" t="s">
        <v>73</v>
      </c>
      <c r="M702" t="s">
        <v>22</v>
      </c>
      <c r="N702" t="s">
        <v>23</v>
      </c>
      <c r="O702" t="s">
        <v>45</v>
      </c>
    </row>
    <row r="703" spans="1:15" x14ac:dyDescent="0.35">
      <c r="A703" t="s">
        <v>1526</v>
      </c>
      <c r="B703" s="2">
        <v>46153</v>
      </c>
      <c r="C703" t="s">
        <v>1527</v>
      </c>
      <c r="D703" t="s">
        <v>64</v>
      </c>
      <c r="E703" t="s">
        <v>18</v>
      </c>
      <c r="F703" t="s">
        <v>18</v>
      </c>
      <c r="G703" t="s">
        <v>43</v>
      </c>
      <c r="H703" t="s">
        <v>49</v>
      </c>
      <c r="I703">
        <v>6</v>
      </c>
      <c r="J703" s="3">
        <v>9000</v>
      </c>
      <c r="K703" s="3">
        <v>6000</v>
      </c>
      <c r="L703" t="s">
        <v>50</v>
      </c>
      <c r="M703" t="s">
        <v>51</v>
      </c>
      <c r="N703" t="s">
        <v>52</v>
      </c>
      <c r="O703" t="s">
        <v>24</v>
      </c>
    </row>
    <row r="704" spans="1:15" x14ac:dyDescent="0.35">
      <c r="A704" t="s">
        <v>1528</v>
      </c>
      <c r="B704" s="2">
        <v>46195</v>
      </c>
      <c r="C704" t="s">
        <v>1529</v>
      </c>
      <c r="D704" t="s">
        <v>180</v>
      </c>
      <c r="E704" t="s">
        <v>18</v>
      </c>
      <c r="F704" t="s">
        <v>18</v>
      </c>
      <c r="G704" t="s">
        <v>34</v>
      </c>
      <c r="H704" t="s">
        <v>95</v>
      </c>
      <c r="I704">
        <v>9</v>
      </c>
      <c r="J704" s="3">
        <v>427500</v>
      </c>
      <c r="K704" s="3">
        <v>358900</v>
      </c>
      <c r="L704" t="s">
        <v>30</v>
      </c>
      <c r="M704" t="s">
        <v>22</v>
      </c>
      <c r="N704" t="s">
        <v>87</v>
      </c>
      <c r="O704" t="s">
        <v>24</v>
      </c>
    </row>
    <row r="705" spans="1:15" x14ac:dyDescent="0.35">
      <c r="A705" t="s">
        <v>1530</v>
      </c>
      <c r="B705" s="2">
        <v>46363</v>
      </c>
      <c r="C705" t="s">
        <v>1051</v>
      </c>
      <c r="D705" t="s">
        <v>530</v>
      </c>
      <c r="E705" t="s">
        <v>190</v>
      </c>
      <c r="F705" t="s">
        <v>191</v>
      </c>
      <c r="G705" t="s">
        <v>34</v>
      </c>
      <c r="H705" t="s">
        <v>158</v>
      </c>
      <c r="I705">
        <v>3</v>
      </c>
      <c r="J705" s="3">
        <v>99800</v>
      </c>
      <c r="K705" s="3">
        <v>70000</v>
      </c>
      <c r="L705" t="s">
        <v>96</v>
      </c>
      <c r="M705" t="s">
        <v>22</v>
      </c>
      <c r="N705" t="s">
        <v>52</v>
      </c>
      <c r="O705" t="s">
        <v>24</v>
      </c>
    </row>
    <row r="706" spans="1:15" x14ac:dyDescent="0.35">
      <c r="A706" t="s">
        <v>1531</v>
      </c>
      <c r="B706" s="2">
        <v>46125</v>
      </c>
      <c r="C706" t="s">
        <v>1532</v>
      </c>
      <c r="D706" t="s">
        <v>1297</v>
      </c>
      <c r="E706" t="s">
        <v>77</v>
      </c>
      <c r="F706" t="s">
        <v>78</v>
      </c>
      <c r="G706" t="s">
        <v>43</v>
      </c>
      <c r="H706" t="s">
        <v>49</v>
      </c>
      <c r="I706">
        <v>6</v>
      </c>
      <c r="J706" s="3">
        <v>9400</v>
      </c>
      <c r="K706" s="3">
        <v>6000</v>
      </c>
      <c r="L706" t="s">
        <v>50</v>
      </c>
      <c r="M706" t="s">
        <v>37</v>
      </c>
      <c r="N706" t="s">
        <v>23</v>
      </c>
      <c r="O706" t="s">
        <v>24</v>
      </c>
    </row>
    <row r="707" spans="1:15" x14ac:dyDescent="0.35">
      <c r="A707" t="s">
        <v>1533</v>
      </c>
      <c r="B707" s="2">
        <v>46356</v>
      </c>
      <c r="C707" t="s">
        <v>489</v>
      </c>
      <c r="D707" t="s">
        <v>356</v>
      </c>
      <c r="E707" t="s">
        <v>84</v>
      </c>
      <c r="F707" t="s">
        <v>85</v>
      </c>
      <c r="G707" t="s">
        <v>34</v>
      </c>
      <c r="H707" t="s">
        <v>95</v>
      </c>
      <c r="I707">
        <v>8</v>
      </c>
      <c r="J707" s="3">
        <v>450000</v>
      </c>
      <c r="K707" s="3">
        <v>381100</v>
      </c>
      <c r="L707" t="s">
        <v>66</v>
      </c>
      <c r="M707" t="s">
        <v>51</v>
      </c>
      <c r="N707" t="s">
        <v>23</v>
      </c>
      <c r="O707" t="s">
        <v>45</v>
      </c>
    </row>
    <row r="708" spans="1:15" x14ac:dyDescent="0.35">
      <c r="A708" t="s">
        <v>1534</v>
      </c>
      <c r="B708" s="2">
        <v>46192</v>
      </c>
      <c r="C708" t="s">
        <v>945</v>
      </c>
      <c r="D708" t="s">
        <v>1535</v>
      </c>
      <c r="E708" t="s">
        <v>18</v>
      </c>
      <c r="F708" t="s">
        <v>18</v>
      </c>
      <c r="G708" t="s">
        <v>34</v>
      </c>
      <c r="H708" t="s">
        <v>95</v>
      </c>
      <c r="I708">
        <v>1</v>
      </c>
      <c r="J708" s="3">
        <v>427500</v>
      </c>
      <c r="K708" s="3">
        <v>358900</v>
      </c>
      <c r="L708" t="s">
        <v>66</v>
      </c>
      <c r="M708" t="s">
        <v>37</v>
      </c>
      <c r="N708" t="s">
        <v>23</v>
      </c>
      <c r="O708" t="s">
        <v>24</v>
      </c>
    </row>
    <row r="709" spans="1:15" x14ac:dyDescent="0.35">
      <c r="A709" t="s">
        <v>1536</v>
      </c>
      <c r="B709" s="2">
        <v>46120</v>
      </c>
      <c r="C709" t="s">
        <v>727</v>
      </c>
      <c r="D709" t="s">
        <v>814</v>
      </c>
      <c r="E709" t="s">
        <v>18</v>
      </c>
      <c r="F709" t="s">
        <v>18</v>
      </c>
      <c r="G709" t="s">
        <v>43</v>
      </c>
      <c r="H709" t="s">
        <v>44</v>
      </c>
      <c r="I709">
        <v>3</v>
      </c>
      <c r="J709" s="3">
        <v>15000</v>
      </c>
      <c r="K709" s="3">
        <v>9200</v>
      </c>
      <c r="L709" t="s">
        <v>36</v>
      </c>
      <c r="M709" t="s">
        <v>31</v>
      </c>
      <c r="N709" t="s">
        <v>52</v>
      </c>
      <c r="O709" t="s">
        <v>24</v>
      </c>
    </row>
    <row r="710" spans="1:15" x14ac:dyDescent="0.35">
      <c r="A710" t="s">
        <v>1537</v>
      </c>
      <c r="B710" s="2">
        <v>46297</v>
      </c>
      <c r="C710" t="s">
        <v>1076</v>
      </c>
      <c r="D710" t="s">
        <v>631</v>
      </c>
      <c r="E710" t="s">
        <v>70</v>
      </c>
      <c r="F710" t="s">
        <v>71</v>
      </c>
      <c r="G710" t="s">
        <v>34</v>
      </c>
      <c r="H710" t="s">
        <v>141</v>
      </c>
      <c r="I710">
        <v>1</v>
      </c>
      <c r="J710" s="3">
        <v>168000</v>
      </c>
      <c r="K710" s="3">
        <v>120000</v>
      </c>
      <c r="L710" t="s">
        <v>30</v>
      </c>
      <c r="M710" t="s">
        <v>51</v>
      </c>
      <c r="N710" t="s">
        <v>52</v>
      </c>
      <c r="O710" t="s">
        <v>24</v>
      </c>
    </row>
    <row r="711" spans="1:15" x14ac:dyDescent="0.35">
      <c r="A711" t="s">
        <v>1538</v>
      </c>
      <c r="B711" s="2">
        <v>46064</v>
      </c>
      <c r="C711" t="s">
        <v>1539</v>
      </c>
      <c r="D711" t="s">
        <v>992</v>
      </c>
      <c r="E711" t="s">
        <v>18</v>
      </c>
      <c r="F711" t="s">
        <v>18</v>
      </c>
      <c r="G711" t="s">
        <v>43</v>
      </c>
      <c r="H711" t="s">
        <v>79</v>
      </c>
      <c r="I711">
        <v>3</v>
      </c>
      <c r="J711" s="3">
        <v>6300</v>
      </c>
      <c r="K711" s="3">
        <v>4100</v>
      </c>
      <c r="L711" t="s">
        <v>73</v>
      </c>
      <c r="M711" t="s">
        <v>51</v>
      </c>
      <c r="N711" t="s">
        <v>23</v>
      </c>
      <c r="O711" t="s">
        <v>24</v>
      </c>
    </row>
    <row r="712" spans="1:15" x14ac:dyDescent="0.35">
      <c r="A712" t="s">
        <v>1540</v>
      </c>
      <c r="B712" s="2">
        <v>46173</v>
      </c>
      <c r="C712" t="s">
        <v>1541</v>
      </c>
      <c r="D712" t="s">
        <v>1542</v>
      </c>
      <c r="E712" t="s">
        <v>70</v>
      </c>
      <c r="F712" t="s">
        <v>71</v>
      </c>
      <c r="G712" t="s">
        <v>34</v>
      </c>
      <c r="H712" t="s">
        <v>141</v>
      </c>
      <c r="I712">
        <v>6</v>
      </c>
      <c r="J712" s="3">
        <v>152000</v>
      </c>
      <c r="K712" s="3">
        <v>116400</v>
      </c>
      <c r="L712" t="s">
        <v>21</v>
      </c>
      <c r="M712" t="s">
        <v>31</v>
      </c>
      <c r="N712" t="s">
        <v>52</v>
      </c>
      <c r="O712" t="s">
        <v>45</v>
      </c>
    </row>
    <row r="713" spans="1:15" x14ac:dyDescent="0.35">
      <c r="A713" t="s">
        <v>1543</v>
      </c>
      <c r="B713" s="2">
        <v>46327</v>
      </c>
      <c r="C713" t="s">
        <v>1503</v>
      </c>
      <c r="D713" t="s">
        <v>1234</v>
      </c>
      <c r="E713" t="s">
        <v>156</v>
      </c>
      <c r="F713" t="s">
        <v>157</v>
      </c>
      <c r="G713" t="s">
        <v>43</v>
      </c>
      <c r="H713" t="s">
        <v>162</v>
      </c>
      <c r="I713">
        <v>5</v>
      </c>
      <c r="J713" s="3">
        <v>8000</v>
      </c>
      <c r="K713" s="3">
        <v>5000</v>
      </c>
      <c r="L713" t="s">
        <v>30</v>
      </c>
      <c r="M713" t="s">
        <v>51</v>
      </c>
      <c r="N713" t="s">
        <v>23</v>
      </c>
      <c r="O713" t="s">
        <v>24</v>
      </c>
    </row>
    <row r="714" spans="1:15" x14ac:dyDescent="0.35">
      <c r="A714" t="s">
        <v>1544</v>
      </c>
      <c r="B714" s="2">
        <v>46379</v>
      </c>
      <c r="C714" t="s">
        <v>733</v>
      </c>
      <c r="D714" t="s">
        <v>998</v>
      </c>
      <c r="E714" t="s">
        <v>156</v>
      </c>
      <c r="F714" t="s">
        <v>170</v>
      </c>
      <c r="G714" t="s">
        <v>28</v>
      </c>
      <c r="H714" t="s">
        <v>29</v>
      </c>
      <c r="I714">
        <v>9</v>
      </c>
      <c r="J714" s="3">
        <v>7000</v>
      </c>
      <c r="K714" s="3">
        <v>4000</v>
      </c>
      <c r="L714" t="s">
        <v>73</v>
      </c>
      <c r="M714" t="s">
        <v>37</v>
      </c>
      <c r="N714" t="s">
        <v>23</v>
      </c>
      <c r="O714" t="s">
        <v>45</v>
      </c>
    </row>
    <row r="715" spans="1:15" x14ac:dyDescent="0.35">
      <c r="A715" t="s">
        <v>1545</v>
      </c>
      <c r="B715" s="2">
        <v>46307</v>
      </c>
      <c r="C715" t="s">
        <v>588</v>
      </c>
      <c r="D715" t="s">
        <v>1546</v>
      </c>
      <c r="E715" t="s">
        <v>18</v>
      </c>
      <c r="F715" t="s">
        <v>18</v>
      </c>
      <c r="G715" t="s">
        <v>34</v>
      </c>
      <c r="H715" t="s">
        <v>86</v>
      </c>
      <c r="I715">
        <v>9</v>
      </c>
      <c r="J715" s="3">
        <v>180000</v>
      </c>
      <c r="K715" s="3">
        <v>135000</v>
      </c>
      <c r="L715" t="s">
        <v>50</v>
      </c>
      <c r="M715" t="s">
        <v>51</v>
      </c>
      <c r="N715" t="s">
        <v>52</v>
      </c>
      <c r="O715" t="s">
        <v>45</v>
      </c>
    </row>
    <row r="716" spans="1:15" x14ac:dyDescent="0.35">
      <c r="A716" t="s">
        <v>1547</v>
      </c>
      <c r="B716" s="2">
        <v>46036</v>
      </c>
      <c r="C716" t="s">
        <v>1548</v>
      </c>
      <c r="D716" t="s">
        <v>755</v>
      </c>
      <c r="E716" t="s">
        <v>18</v>
      </c>
      <c r="F716" t="s">
        <v>18</v>
      </c>
      <c r="G716" t="s">
        <v>43</v>
      </c>
      <c r="H716" t="s">
        <v>162</v>
      </c>
      <c r="I716">
        <v>3</v>
      </c>
      <c r="J716" s="3">
        <v>8400</v>
      </c>
      <c r="K716" s="3">
        <v>5000</v>
      </c>
      <c r="L716" t="s">
        <v>30</v>
      </c>
      <c r="M716" t="s">
        <v>37</v>
      </c>
      <c r="N716" t="s">
        <v>52</v>
      </c>
      <c r="O716" t="s">
        <v>24</v>
      </c>
    </row>
    <row r="717" spans="1:15" x14ac:dyDescent="0.35">
      <c r="A717" t="s">
        <v>1549</v>
      </c>
      <c r="B717" s="2">
        <v>46109</v>
      </c>
      <c r="C717" t="s">
        <v>1056</v>
      </c>
      <c r="D717" t="s">
        <v>1171</v>
      </c>
      <c r="E717" t="s">
        <v>18</v>
      </c>
      <c r="F717" t="s">
        <v>18</v>
      </c>
      <c r="G717" t="s">
        <v>34</v>
      </c>
      <c r="H717" t="s">
        <v>86</v>
      </c>
      <c r="I717">
        <v>2</v>
      </c>
      <c r="J717" s="3">
        <v>180000</v>
      </c>
      <c r="K717" s="3">
        <v>139000</v>
      </c>
      <c r="L717" t="s">
        <v>36</v>
      </c>
      <c r="M717" t="s">
        <v>31</v>
      </c>
      <c r="N717" t="s">
        <v>23</v>
      </c>
      <c r="O717" t="s">
        <v>24</v>
      </c>
    </row>
    <row r="718" spans="1:15" x14ac:dyDescent="0.35">
      <c r="A718" t="s">
        <v>1550</v>
      </c>
      <c r="B718" s="2">
        <v>46150</v>
      </c>
      <c r="C718" t="s">
        <v>467</v>
      </c>
      <c r="D718" t="s">
        <v>1551</v>
      </c>
      <c r="E718" t="s">
        <v>84</v>
      </c>
      <c r="F718" t="s">
        <v>85</v>
      </c>
      <c r="G718" t="s">
        <v>28</v>
      </c>
      <c r="H718" t="s">
        <v>29</v>
      </c>
      <c r="I718">
        <v>1</v>
      </c>
      <c r="J718" s="3">
        <v>7000</v>
      </c>
      <c r="K718" s="3">
        <v>3900</v>
      </c>
      <c r="L718" t="s">
        <v>21</v>
      </c>
      <c r="M718" t="s">
        <v>22</v>
      </c>
      <c r="N718" t="s">
        <v>23</v>
      </c>
      <c r="O718" t="s">
        <v>24</v>
      </c>
    </row>
    <row r="719" spans="1:15" x14ac:dyDescent="0.35">
      <c r="A719" t="s">
        <v>1552</v>
      </c>
      <c r="B719" s="2">
        <v>46061</v>
      </c>
      <c r="C719" t="s">
        <v>580</v>
      </c>
      <c r="D719" t="s">
        <v>1141</v>
      </c>
      <c r="E719" t="s">
        <v>84</v>
      </c>
      <c r="F719" t="s">
        <v>85</v>
      </c>
      <c r="G719" t="s">
        <v>28</v>
      </c>
      <c r="H719" t="s">
        <v>248</v>
      </c>
      <c r="I719">
        <v>6</v>
      </c>
      <c r="J719" s="3">
        <v>26200</v>
      </c>
      <c r="K719" s="3">
        <v>15500</v>
      </c>
      <c r="L719" t="s">
        <v>80</v>
      </c>
      <c r="M719" t="s">
        <v>51</v>
      </c>
      <c r="N719" t="s">
        <v>52</v>
      </c>
      <c r="O719" t="s">
        <v>24</v>
      </c>
    </row>
    <row r="720" spans="1:15" x14ac:dyDescent="0.35">
      <c r="A720" t="s">
        <v>1553</v>
      </c>
      <c r="B720" s="2">
        <v>46344</v>
      </c>
      <c r="C720" t="s">
        <v>1524</v>
      </c>
      <c r="D720" t="s">
        <v>1554</v>
      </c>
      <c r="E720" t="s">
        <v>18</v>
      </c>
      <c r="F720" t="s">
        <v>18</v>
      </c>
      <c r="G720" t="s">
        <v>28</v>
      </c>
      <c r="H720" t="s">
        <v>131</v>
      </c>
      <c r="I720">
        <v>1</v>
      </c>
      <c r="J720" s="3">
        <v>30000</v>
      </c>
      <c r="K720" s="3">
        <v>19600</v>
      </c>
      <c r="L720" t="s">
        <v>73</v>
      </c>
      <c r="M720" t="s">
        <v>51</v>
      </c>
      <c r="N720" t="s">
        <v>52</v>
      </c>
      <c r="O720" t="s">
        <v>24</v>
      </c>
    </row>
    <row r="721" spans="1:15" x14ac:dyDescent="0.35">
      <c r="A721" t="s">
        <v>1555</v>
      </c>
      <c r="B721" s="2">
        <v>46171</v>
      </c>
      <c r="C721" t="s">
        <v>678</v>
      </c>
      <c r="D721" t="s">
        <v>329</v>
      </c>
      <c r="E721" t="s">
        <v>190</v>
      </c>
      <c r="F721" t="s">
        <v>191</v>
      </c>
      <c r="G721" t="s">
        <v>34</v>
      </c>
      <c r="H721" t="s">
        <v>141</v>
      </c>
      <c r="I721">
        <v>8</v>
      </c>
      <c r="J721" s="3">
        <v>160000</v>
      </c>
      <c r="K721" s="3">
        <v>120000</v>
      </c>
      <c r="L721" t="s">
        <v>21</v>
      </c>
      <c r="M721" t="s">
        <v>31</v>
      </c>
      <c r="N721" t="s">
        <v>52</v>
      </c>
      <c r="O721" t="s">
        <v>24</v>
      </c>
    </row>
    <row r="722" spans="1:15" x14ac:dyDescent="0.35">
      <c r="A722" t="s">
        <v>1556</v>
      </c>
      <c r="B722" s="2">
        <v>46229</v>
      </c>
      <c r="C722" t="s">
        <v>393</v>
      </c>
      <c r="D722" t="s">
        <v>1557</v>
      </c>
      <c r="E722" t="s">
        <v>56</v>
      </c>
      <c r="F722" t="s">
        <v>57</v>
      </c>
      <c r="G722" t="s">
        <v>28</v>
      </c>
      <c r="H722" t="s">
        <v>72</v>
      </c>
      <c r="I722">
        <v>9</v>
      </c>
      <c r="J722" s="3">
        <v>10500</v>
      </c>
      <c r="K722" s="3">
        <v>6200</v>
      </c>
      <c r="L722" t="s">
        <v>96</v>
      </c>
      <c r="M722" t="s">
        <v>31</v>
      </c>
      <c r="N722" t="s">
        <v>23</v>
      </c>
      <c r="O722" t="s">
        <v>24</v>
      </c>
    </row>
    <row r="723" spans="1:15" x14ac:dyDescent="0.35">
      <c r="A723" t="s">
        <v>1558</v>
      </c>
      <c r="B723" s="2">
        <v>46110</v>
      </c>
      <c r="C723" t="s">
        <v>379</v>
      </c>
      <c r="D723" t="s">
        <v>1559</v>
      </c>
      <c r="E723" t="s">
        <v>41</v>
      </c>
      <c r="F723" t="s">
        <v>42</v>
      </c>
      <c r="G723" t="s">
        <v>28</v>
      </c>
      <c r="H723" t="s">
        <v>72</v>
      </c>
      <c r="I723">
        <v>1</v>
      </c>
      <c r="J723" s="3">
        <v>10000</v>
      </c>
      <c r="K723" s="3">
        <v>6200</v>
      </c>
      <c r="L723" t="s">
        <v>36</v>
      </c>
      <c r="M723" t="s">
        <v>51</v>
      </c>
      <c r="N723" t="s">
        <v>23</v>
      </c>
      <c r="O723" t="s">
        <v>24</v>
      </c>
    </row>
    <row r="724" spans="1:15" x14ac:dyDescent="0.35">
      <c r="A724" t="s">
        <v>1560</v>
      </c>
      <c r="B724" s="2">
        <v>46242</v>
      </c>
      <c r="C724" t="s">
        <v>1072</v>
      </c>
      <c r="D724" t="s">
        <v>99</v>
      </c>
      <c r="E724" t="s">
        <v>190</v>
      </c>
      <c r="F724" t="s">
        <v>191</v>
      </c>
      <c r="G724" t="s">
        <v>43</v>
      </c>
      <c r="H724" t="s">
        <v>49</v>
      </c>
      <c r="I724">
        <v>7</v>
      </c>
      <c r="J724" s="3">
        <v>9400</v>
      </c>
      <c r="K724" s="3">
        <v>5600</v>
      </c>
      <c r="L724" t="s">
        <v>66</v>
      </c>
      <c r="M724" t="s">
        <v>37</v>
      </c>
      <c r="N724" t="s">
        <v>23</v>
      </c>
      <c r="O724" t="s">
        <v>45</v>
      </c>
    </row>
    <row r="725" spans="1:15" x14ac:dyDescent="0.35">
      <c r="A725" t="s">
        <v>1561</v>
      </c>
      <c r="B725" s="2">
        <v>46369</v>
      </c>
      <c r="C725" t="s">
        <v>981</v>
      </c>
      <c r="D725" t="s">
        <v>1117</v>
      </c>
      <c r="E725" t="s">
        <v>77</v>
      </c>
      <c r="F725" t="s">
        <v>78</v>
      </c>
      <c r="G725" t="s">
        <v>34</v>
      </c>
      <c r="H725" t="s">
        <v>86</v>
      </c>
      <c r="I725">
        <v>8</v>
      </c>
      <c r="J725" s="3">
        <v>171000</v>
      </c>
      <c r="K725" s="3">
        <v>131000</v>
      </c>
      <c r="L725" t="s">
        <v>80</v>
      </c>
      <c r="M725" t="s">
        <v>37</v>
      </c>
      <c r="N725" t="s">
        <v>23</v>
      </c>
      <c r="O725" t="s">
        <v>24</v>
      </c>
    </row>
    <row r="726" spans="1:15" x14ac:dyDescent="0.35">
      <c r="A726" t="s">
        <v>1562</v>
      </c>
      <c r="B726" s="2">
        <v>46231</v>
      </c>
      <c r="C726" t="s">
        <v>104</v>
      </c>
      <c r="D726" t="s">
        <v>1563</v>
      </c>
      <c r="E726" t="s">
        <v>70</v>
      </c>
      <c r="F726" t="s">
        <v>71</v>
      </c>
      <c r="G726" t="s">
        <v>34</v>
      </c>
      <c r="H726" t="s">
        <v>141</v>
      </c>
      <c r="I726">
        <v>1</v>
      </c>
      <c r="J726" s="3">
        <v>152000</v>
      </c>
      <c r="K726" s="3">
        <v>120000</v>
      </c>
      <c r="L726" t="s">
        <v>66</v>
      </c>
      <c r="M726" t="s">
        <v>37</v>
      </c>
      <c r="N726" t="s">
        <v>23</v>
      </c>
      <c r="O726" t="s">
        <v>24</v>
      </c>
    </row>
    <row r="727" spans="1:15" x14ac:dyDescent="0.35">
      <c r="A727" t="s">
        <v>1564</v>
      </c>
      <c r="B727" s="2">
        <v>46144</v>
      </c>
      <c r="C727" t="s">
        <v>1565</v>
      </c>
      <c r="D727" t="s">
        <v>262</v>
      </c>
      <c r="E727" t="s">
        <v>190</v>
      </c>
      <c r="F727" t="s">
        <v>191</v>
      </c>
      <c r="G727" t="s">
        <v>19</v>
      </c>
      <c r="H727" t="s">
        <v>166</v>
      </c>
      <c r="I727">
        <v>2</v>
      </c>
      <c r="J727" s="3">
        <v>140000</v>
      </c>
      <c r="K727" s="3">
        <v>103000</v>
      </c>
      <c r="L727" t="s">
        <v>73</v>
      </c>
      <c r="M727" t="s">
        <v>31</v>
      </c>
      <c r="N727" t="s">
        <v>52</v>
      </c>
      <c r="O727" t="s">
        <v>24</v>
      </c>
    </row>
    <row r="728" spans="1:15" x14ac:dyDescent="0.35">
      <c r="A728" t="s">
        <v>1566</v>
      </c>
      <c r="B728" s="2">
        <v>46039</v>
      </c>
      <c r="C728" t="s">
        <v>1567</v>
      </c>
      <c r="D728" t="s">
        <v>1091</v>
      </c>
      <c r="E728" t="s">
        <v>156</v>
      </c>
      <c r="F728" t="s">
        <v>157</v>
      </c>
      <c r="G728" t="s">
        <v>19</v>
      </c>
      <c r="H728" t="s">
        <v>20</v>
      </c>
      <c r="I728">
        <v>3</v>
      </c>
      <c r="J728" s="3">
        <v>65000</v>
      </c>
      <c r="K728" s="3">
        <v>46400</v>
      </c>
      <c r="L728" t="s">
        <v>96</v>
      </c>
      <c r="M728" t="s">
        <v>31</v>
      </c>
      <c r="N728" t="s">
        <v>23</v>
      </c>
      <c r="O728" t="s">
        <v>24</v>
      </c>
    </row>
    <row r="729" spans="1:15" x14ac:dyDescent="0.35">
      <c r="A729" t="s">
        <v>1568</v>
      </c>
      <c r="B729" s="2">
        <v>46312</v>
      </c>
      <c r="C729" t="s">
        <v>1340</v>
      </c>
      <c r="D729" t="s">
        <v>403</v>
      </c>
      <c r="E729" t="s">
        <v>190</v>
      </c>
      <c r="F729" t="s">
        <v>191</v>
      </c>
      <c r="G729" t="s">
        <v>34</v>
      </c>
      <c r="H729" t="s">
        <v>158</v>
      </c>
      <c r="I729">
        <v>5</v>
      </c>
      <c r="J729" s="3">
        <v>95000</v>
      </c>
      <c r="K729" s="3">
        <v>70000</v>
      </c>
      <c r="L729" t="s">
        <v>80</v>
      </c>
      <c r="M729" t="s">
        <v>31</v>
      </c>
      <c r="N729" t="s">
        <v>87</v>
      </c>
      <c r="O729" t="s">
        <v>24</v>
      </c>
    </row>
    <row r="730" spans="1:15" x14ac:dyDescent="0.35">
      <c r="A730" t="s">
        <v>1569</v>
      </c>
      <c r="B730" s="2">
        <v>46326</v>
      </c>
      <c r="C730" t="s">
        <v>518</v>
      </c>
      <c r="D730" t="s">
        <v>223</v>
      </c>
      <c r="E730" t="s">
        <v>190</v>
      </c>
      <c r="F730" t="s">
        <v>191</v>
      </c>
      <c r="G730" t="s">
        <v>28</v>
      </c>
      <c r="H730" t="s">
        <v>248</v>
      </c>
      <c r="I730">
        <v>10</v>
      </c>
      <c r="J730" s="3">
        <v>25000</v>
      </c>
      <c r="K730" s="3">
        <v>16000</v>
      </c>
      <c r="L730" t="s">
        <v>96</v>
      </c>
      <c r="M730" t="s">
        <v>37</v>
      </c>
      <c r="N730" t="s">
        <v>23</v>
      </c>
      <c r="O730" t="s">
        <v>24</v>
      </c>
    </row>
    <row r="731" spans="1:15" x14ac:dyDescent="0.35">
      <c r="A731" t="s">
        <v>1570</v>
      </c>
      <c r="B731" s="2">
        <v>46092</v>
      </c>
      <c r="C731" t="s">
        <v>1416</v>
      </c>
      <c r="D731" t="s">
        <v>875</v>
      </c>
      <c r="E731" t="s">
        <v>18</v>
      </c>
      <c r="F731" t="s">
        <v>18</v>
      </c>
      <c r="G731" t="s">
        <v>43</v>
      </c>
      <c r="H731" t="s">
        <v>79</v>
      </c>
      <c r="I731">
        <v>1</v>
      </c>
      <c r="J731" s="3">
        <v>6000</v>
      </c>
      <c r="K731" s="3">
        <v>4100</v>
      </c>
      <c r="L731" t="s">
        <v>30</v>
      </c>
      <c r="M731" t="s">
        <v>51</v>
      </c>
      <c r="N731" t="s">
        <v>87</v>
      </c>
      <c r="O731" t="s">
        <v>24</v>
      </c>
    </row>
    <row r="732" spans="1:15" x14ac:dyDescent="0.35">
      <c r="A732" t="s">
        <v>1571</v>
      </c>
      <c r="B732" s="2">
        <v>46072</v>
      </c>
      <c r="C732" t="s">
        <v>1572</v>
      </c>
      <c r="D732" t="s">
        <v>1573</v>
      </c>
      <c r="E732" t="s">
        <v>18</v>
      </c>
      <c r="F732" t="s">
        <v>18</v>
      </c>
      <c r="G732" t="s">
        <v>43</v>
      </c>
      <c r="H732" t="s">
        <v>49</v>
      </c>
      <c r="I732">
        <v>4</v>
      </c>
      <c r="J732" s="3">
        <v>9000</v>
      </c>
      <c r="K732" s="3">
        <v>5600</v>
      </c>
      <c r="L732" t="s">
        <v>73</v>
      </c>
      <c r="M732" t="s">
        <v>51</v>
      </c>
      <c r="N732" t="s">
        <v>52</v>
      </c>
      <c r="O732" t="s">
        <v>24</v>
      </c>
    </row>
    <row r="733" spans="1:15" x14ac:dyDescent="0.35">
      <c r="A733" t="s">
        <v>1574</v>
      </c>
      <c r="B733" s="2">
        <v>46078</v>
      </c>
      <c r="C733" t="s">
        <v>1575</v>
      </c>
      <c r="D733" t="s">
        <v>1576</v>
      </c>
      <c r="E733" t="s">
        <v>18</v>
      </c>
      <c r="F733" t="s">
        <v>18</v>
      </c>
      <c r="G733" t="s">
        <v>28</v>
      </c>
      <c r="H733" t="s">
        <v>72</v>
      </c>
      <c r="I733">
        <v>8</v>
      </c>
      <c r="J733" s="3">
        <v>10500</v>
      </c>
      <c r="K733" s="3">
        <v>6400</v>
      </c>
      <c r="L733" t="s">
        <v>66</v>
      </c>
      <c r="M733" t="s">
        <v>51</v>
      </c>
      <c r="N733" t="s">
        <v>52</v>
      </c>
      <c r="O733" t="s">
        <v>24</v>
      </c>
    </row>
    <row r="734" spans="1:15" x14ac:dyDescent="0.35">
      <c r="A734" t="s">
        <v>1577</v>
      </c>
      <c r="B734" s="2">
        <v>46293</v>
      </c>
      <c r="C734" t="s">
        <v>685</v>
      </c>
      <c r="D734" t="s">
        <v>1113</v>
      </c>
      <c r="E734" t="s">
        <v>18</v>
      </c>
      <c r="F734" t="s">
        <v>18</v>
      </c>
      <c r="G734" t="s">
        <v>28</v>
      </c>
      <c r="H734" t="s">
        <v>248</v>
      </c>
      <c r="I734">
        <v>9</v>
      </c>
      <c r="J734" s="3">
        <v>26200</v>
      </c>
      <c r="K734" s="3">
        <v>15500</v>
      </c>
      <c r="L734" t="s">
        <v>66</v>
      </c>
      <c r="M734" t="s">
        <v>37</v>
      </c>
      <c r="N734" t="s">
        <v>23</v>
      </c>
      <c r="O734" t="s">
        <v>24</v>
      </c>
    </row>
    <row r="735" spans="1:15" x14ac:dyDescent="0.35">
      <c r="A735" t="s">
        <v>1578</v>
      </c>
      <c r="B735" s="2">
        <v>46094</v>
      </c>
      <c r="C735" t="s">
        <v>1192</v>
      </c>
      <c r="D735" t="s">
        <v>422</v>
      </c>
      <c r="E735" t="s">
        <v>18</v>
      </c>
      <c r="F735" t="s">
        <v>18</v>
      </c>
      <c r="G735" t="s">
        <v>28</v>
      </c>
      <c r="H735" t="s">
        <v>248</v>
      </c>
      <c r="I735">
        <v>1</v>
      </c>
      <c r="J735" s="3">
        <v>23800</v>
      </c>
      <c r="K735" s="3">
        <v>16000</v>
      </c>
      <c r="L735" t="s">
        <v>80</v>
      </c>
      <c r="M735" t="s">
        <v>51</v>
      </c>
      <c r="N735" t="s">
        <v>23</v>
      </c>
      <c r="O735" t="s">
        <v>24</v>
      </c>
    </row>
    <row r="736" spans="1:15" x14ac:dyDescent="0.35">
      <c r="A736" t="s">
        <v>1579</v>
      </c>
      <c r="B736" s="2">
        <v>46369</v>
      </c>
      <c r="C736" t="s">
        <v>413</v>
      </c>
      <c r="D736" t="s">
        <v>176</v>
      </c>
      <c r="E736" t="s">
        <v>56</v>
      </c>
      <c r="F736" t="s">
        <v>57</v>
      </c>
      <c r="G736" t="s">
        <v>28</v>
      </c>
      <c r="H736" t="s">
        <v>131</v>
      </c>
      <c r="I736">
        <v>4</v>
      </c>
      <c r="J736" s="3">
        <v>28500</v>
      </c>
      <c r="K736" s="3">
        <v>18400</v>
      </c>
      <c r="L736" t="s">
        <v>66</v>
      </c>
      <c r="M736" t="s">
        <v>51</v>
      </c>
      <c r="N736" t="s">
        <v>87</v>
      </c>
      <c r="O736" t="s">
        <v>45</v>
      </c>
    </row>
    <row r="737" spans="1:15" x14ac:dyDescent="0.35">
      <c r="A737" t="s">
        <v>1580</v>
      </c>
      <c r="B737" s="2">
        <v>46219</v>
      </c>
      <c r="C737" t="s">
        <v>478</v>
      </c>
      <c r="D737" t="s">
        <v>1581</v>
      </c>
      <c r="E737" t="s">
        <v>18</v>
      </c>
      <c r="F737" t="s">
        <v>18</v>
      </c>
      <c r="G737" t="s">
        <v>28</v>
      </c>
      <c r="H737" t="s">
        <v>248</v>
      </c>
      <c r="I737">
        <v>6</v>
      </c>
      <c r="J737" s="3">
        <v>25000</v>
      </c>
      <c r="K737" s="3">
        <v>16000</v>
      </c>
      <c r="L737" t="s">
        <v>66</v>
      </c>
      <c r="M737" t="s">
        <v>37</v>
      </c>
      <c r="N737" t="s">
        <v>23</v>
      </c>
      <c r="O737" t="s">
        <v>24</v>
      </c>
    </row>
    <row r="738" spans="1:15" x14ac:dyDescent="0.35">
      <c r="A738" t="s">
        <v>1582</v>
      </c>
      <c r="B738" s="2">
        <v>46154</v>
      </c>
      <c r="C738" t="s">
        <v>458</v>
      </c>
      <c r="D738" t="s">
        <v>629</v>
      </c>
      <c r="E738" t="s">
        <v>41</v>
      </c>
      <c r="F738" t="s">
        <v>42</v>
      </c>
      <c r="G738" t="s">
        <v>19</v>
      </c>
      <c r="H738" t="s">
        <v>61</v>
      </c>
      <c r="I738">
        <v>4</v>
      </c>
      <c r="J738" s="3">
        <v>220000</v>
      </c>
      <c r="K738" s="3">
        <v>164800</v>
      </c>
      <c r="L738" t="s">
        <v>21</v>
      </c>
      <c r="M738" t="s">
        <v>31</v>
      </c>
      <c r="N738" t="s">
        <v>23</v>
      </c>
      <c r="O738" t="s">
        <v>24</v>
      </c>
    </row>
    <row r="739" spans="1:15" x14ac:dyDescent="0.35">
      <c r="A739" t="s">
        <v>1583</v>
      </c>
      <c r="B739" s="2">
        <v>46119</v>
      </c>
      <c r="C739" t="s">
        <v>1164</v>
      </c>
      <c r="D739" t="s">
        <v>1584</v>
      </c>
      <c r="E739" t="s">
        <v>156</v>
      </c>
      <c r="F739" t="s">
        <v>157</v>
      </c>
      <c r="G739" t="s">
        <v>34</v>
      </c>
      <c r="H739" t="s">
        <v>86</v>
      </c>
      <c r="I739">
        <v>6</v>
      </c>
      <c r="J739" s="3">
        <v>171000</v>
      </c>
      <c r="K739" s="3">
        <v>135000</v>
      </c>
      <c r="L739" t="s">
        <v>21</v>
      </c>
      <c r="M739" t="s">
        <v>31</v>
      </c>
      <c r="N739" t="s">
        <v>52</v>
      </c>
      <c r="O739" t="s">
        <v>24</v>
      </c>
    </row>
    <row r="740" spans="1:15" x14ac:dyDescent="0.35">
      <c r="A740" t="s">
        <v>1585</v>
      </c>
      <c r="B740" s="2">
        <v>46104</v>
      </c>
      <c r="C740" t="s">
        <v>529</v>
      </c>
      <c r="D740" t="s">
        <v>909</v>
      </c>
      <c r="E740" t="s">
        <v>84</v>
      </c>
      <c r="F740" t="s">
        <v>85</v>
      </c>
      <c r="G740" t="s">
        <v>19</v>
      </c>
      <c r="H740" t="s">
        <v>166</v>
      </c>
      <c r="I740">
        <v>3</v>
      </c>
      <c r="J740" s="3">
        <v>133000</v>
      </c>
      <c r="K740" s="3">
        <v>103000</v>
      </c>
      <c r="L740" t="s">
        <v>66</v>
      </c>
      <c r="M740" t="s">
        <v>22</v>
      </c>
      <c r="N740" t="s">
        <v>87</v>
      </c>
      <c r="O740" t="s">
        <v>24</v>
      </c>
    </row>
    <row r="741" spans="1:15" x14ac:dyDescent="0.35">
      <c r="A741" t="s">
        <v>1586</v>
      </c>
      <c r="B741" s="2">
        <v>46249</v>
      </c>
      <c r="C741" t="s">
        <v>405</v>
      </c>
      <c r="D741" t="s">
        <v>1332</v>
      </c>
      <c r="E741" t="s">
        <v>18</v>
      </c>
      <c r="F741" t="s">
        <v>18</v>
      </c>
      <c r="G741" t="s">
        <v>19</v>
      </c>
      <c r="H741" t="s">
        <v>166</v>
      </c>
      <c r="I741">
        <v>8</v>
      </c>
      <c r="J741" s="3">
        <v>133000</v>
      </c>
      <c r="K741" s="3">
        <v>97000</v>
      </c>
      <c r="L741" t="s">
        <v>50</v>
      </c>
      <c r="M741" t="s">
        <v>37</v>
      </c>
      <c r="N741" t="s">
        <v>87</v>
      </c>
      <c r="O741" t="s">
        <v>24</v>
      </c>
    </row>
    <row r="742" spans="1:15" x14ac:dyDescent="0.35">
      <c r="A742" t="s">
        <v>1587</v>
      </c>
      <c r="B742" s="2">
        <v>46188</v>
      </c>
      <c r="C742" t="s">
        <v>366</v>
      </c>
      <c r="D742" t="s">
        <v>391</v>
      </c>
      <c r="E742" t="s">
        <v>190</v>
      </c>
      <c r="F742" t="s">
        <v>191</v>
      </c>
      <c r="G742" t="s">
        <v>43</v>
      </c>
      <c r="H742" t="s">
        <v>79</v>
      </c>
      <c r="I742">
        <v>5</v>
      </c>
      <c r="J742" s="3">
        <v>6000</v>
      </c>
      <c r="K742" s="3">
        <v>4300</v>
      </c>
      <c r="L742" t="s">
        <v>96</v>
      </c>
      <c r="M742" t="s">
        <v>37</v>
      </c>
      <c r="N742" t="s">
        <v>23</v>
      </c>
      <c r="O742" t="s">
        <v>45</v>
      </c>
    </row>
    <row r="743" spans="1:15" x14ac:dyDescent="0.35">
      <c r="A743" t="s">
        <v>1588</v>
      </c>
      <c r="B743" s="2">
        <v>46051</v>
      </c>
      <c r="C743" t="s">
        <v>299</v>
      </c>
      <c r="D743" t="s">
        <v>501</v>
      </c>
      <c r="E743" t="s">
        <v>77</v>
      </c>
      <c r="F743" t="s">
        <v>78</v>
      </c>
      <c r="G743" t="s">
        <v>28</v>
      </c>
      <c r="H743" t="s">
        <v>72</v>
      </c>
      <c r="I743">
        <v>2</v>
      </c>
      <c r="J743" s="3">
        <v>10000</v>
      </c>
      <c r="K743" s="3">
        <v>6400</v>
      </c>
      <c r="L743" t="s">
        <v>21</v>
      </c>
      <c r="M743" t="s">
        <v>37</v>
      </c>
      <c r="N743" t="s">
        <v>23</v>
      </c>
      <c r="O743" t="s">
        <v>24</v>
      </c>
    </row>
    <row r="744" spans="1:15" x14ac:dyDescent="0.35">
      <c r="A744" t="s">
        <v>1589</v>
      </c>
      <c r="B744" s="2">
        <v>46286</v>
      </c>
      <c r="C744" t="s">
        <v>1509</v>
      </c>
      <c r="D744" t="s">
        <v>1087</v>
      </c>
      <c r="E744" t="s">
        <v>18</v>
      </c>
      <c r="F744" t="s">
        <v>18</v>
      </c>
      <c r="G744" t="s">
        <v>43</v>
      </c>
      <c r="H744" t="s">
        <v>79</v>
      </c>
      <c r="I744">
        <v>6</v>
      </c>
      <c r="J744" s="3">
        <v>5700</v>
      </c>
      <c r="K744" s="3">
        <v>4200</v>
      </c>
      <c r="L744" t="s">
        <v>96</v>
      </c>
      <c r="M744" t="s">
        <v>51</v>
      </c>
      <c r="N744" t="s">
        <v>52</v>
      </c>
      <c r="O744" t="s">
        <v>45</v>
      </c>
    </row>
    <row r="745" spans="1:15" x14ac:dyDescent="0.35">
      <c r="A745" t="s">
        <v>1590</v>
      </c>
      <c r="B745" s="2">
        <v>46303</v>
      </c>
      <c r="C745" t="s">
        <v>237</v>
      </c>
      <c r="D745" t="s">
        <v>1591</v>
      </c>
      <c r="E745" t="s">
        <v>156</v>
      </c>
      <c r="F745" t="s">
        <v>170</v>
      </c>
      <c r="G745" t="s">
        <v>28</v>
      </c>
      <c r="H745" t="s">
        <v>248</v>
      </c>
      <c r="I745">
        <v>7</v>
      </c>
      <c r="J745" s="3">
        <v>26200</v>
      </c>
      <c r="K745" s="3">
        <v>16000</v>
      </c>
      <c r="L745" t="s">
        <v>21</v>
      </c>
      <c r="M745" t="s">
        <v>37</v>
      </c>
      <c r="N745" t="s">
        <v>23</v>
      </c>
      <c r="O745" t="s">
        <v>24</v>
      </c>
    </row>
    <row r="746" spans="1:15" x14ac:dyDescent="0.35">
      <c r="A746" t="s">
        <v>1592</v>
      </c>
      <c r="B746" s="2">
        <v>46348</v>
      </c>
      <c r="C746" t="s">
        <v>1302</v>
      </c>
      <c r="D746" t="s">
        <v>284</v>
      </c>
      <c r="E746" t="s">
        <v>190</v>
      </c>
      <c r="F746" t="s">
        <v>191</v>
      </c>
      <c r="G746" t="s">
        <v>34</v>
      </c>
      <c r="H746" t="s">
        <v>86</v>
      </c>
      <c r="I746">
        <v>5</v>
      </c>
      <c r="J746" s="3">
        <v>189000</v>
      </c>
      <c r="K746" s="3">
        <v>139000</v>
      </c>
      <c r="L746" t="s">
        <v>96</v>
      </c>
      <c r="M746" t="s">
        <v>22</v>
      </c>
      <c r="N746" t="s">
        <v>52</v>
      </c>
      <c r="O746" t="s">
        <v>24</v>
      </c>
    </row>
    <row r="747" spans="1:15" x14ac:dyDescent="0.35">
      <c r="A747" t="s">
        <v>1593</v>
      </c>
      <c r="B747" s="2">
        <v>46201</v>
      </c>
      <c r="C747" t="s">
        <v>1594</v>
      </c>
      <c r="D747" t="s">
        <v>1330</v>
      </c>
      <c r="E747" t="s">
        <v>70</v>
      </c>
      <c r="F747" t="s">
        <v>71</v>
      </c>
      <c r="G747" t="s">
        <v>34</v>
      </c>
      <c r="H747" t="s">
        <v>141</v>
      </c>
      <c r="I747">
        <v>1</v>
      </c>
      <c r="J747" s="3">
        <v>160000</v>
      </c>
      <c r="K747" s="3">
        <v>123600</v>
      </c>
      <c r="L747" t="s">
        <v>21</v>
      </c>
      <c r="M747" t="s">
        <v>37</v>
      </c>
      <c r="N747" t="s">
        <v>23</v>
      </c>
      <c r="O747" t="s">
        <v>24</v>
      </c>
    </row>
    <row r="748" spans="1:15" x14ac:dyDescent="0.35">
      <c r="A748" t="s">
        <v>1595</v>
      </c>
      <c r="B748" s="2">
        <v>46208</v>
      </c>
      <c r="C748" t="s">
        <v>874</v>
      </c>
      <c r="D748" t="s">
        <v>1181</v>
      </c>
      <c r="E748" t="s">
        <v>84</v>
      </c>
      <c r="F748" t="s">
        <v>85</v>
      </c>
      <c r="G748" t="s">
        <v>34</v>
      </c>
      <c r="H748" t="s">
        <v>141</v>
      </c>
      <c r="I748">
        <v>6</v>
      </c>
      <c r="J748" s="3">
        <v>152000</v>
      </c>
      <c r="K748" s="3">
        <v>120000</v>
      </c>
      <c r="L748" t="s">
        <v>21</v>
      </c>
      <c r="M748" t="s">
        <v>37</v>
      </c>
      <c r="N748" t="s">
        <v>52</v>
      </c>
      <c r="O748" t="s">
        <v>45</v>
      </c>
    </row>
    <row r="749" spans="1:15" x14ac:dyDescent="0.35">
      <c r="A749" t="s">
        <v>1596</v>
      </c>
      <c r="B749" s="2">
        <v>46230</v>
      </c>
      <c r="C749" t="s">
        <v>1597</v>
      </c>
      <c r="D749" t="s">
        <v>1598</v>
      </c>
      <c r="E749" t="s">
        <v>77</v>
      </c>
      <c r="F749" t="s">
        <v>78</v>
      </c>
      <c r="G749" t="s">
        <v>34</v>
      </c>
      <c r="H749" t="s">
        <v>95</v>
      </c>
      <c r="I749">
        <v>2</v>
      </c>
      <c r="J749" s="3">
        <v>450000</v>
      </c>
      <c r="K749" s="3">
        <v>370000</v>
      </c>
      <c r="L749" t="s">
        <v>73</v>
      </c>
      <c r="M749" t="s">
        <v>22</v>
      </c>
      <c r="N749" t="s">
        <v>52</v>
      </c>
      <c r="O749" t="s">
        <v>24</v>
      </c>
    </row>
    <row r="750" spans="1:15" x14ac:dyDescent="0.35">
      <c r="A750" t="s">
        <v>1599</v>
      </c>
      <c r="B750" s="2">
        <v>46112</v>
      </c>
      <c r="C750" t="s">
        <v>382</v>
      </c>
      <c r="D750" t="s">
        <v>1230</v>
      </c>
      <c r="E750" t="s">
        <v>77</v>
      </c>
      <c r="F750" t="s">
        <v>78</v>
      </c>
      <c r="G750" t="s">
        <v>43</v>
      </c>
      <c r="H750" t="s">
        <v>79</v>
      </c>
      <c r="I750">
        <v>2</v>
      </c>
      <c r="J750" s="3">
        <v>6000</v>
      </c>
      <c r="K750" s="3">
        <v>4300</v>
      </c>
      <c r="L750" t="s">
        <v>66</v>
      </c>
      <c r="M750" t="s">
        <v>37</v>
      </c>
      <c r="N750" t="s">
        <v>23</v>
      </c>
      <c r="O750" t="s">
        <v>91</v>
      </c>
    </row>
    <row r="751" spans="1:15" x14ac:dyDescent="0.35">
      <c r="A751" t="s">
        <v>1600</v>
      </c>
      <c r="B751" s="2">
        <v>46292</v>
      </c>
      <c r="C751" t="s">
        <v>1501</v>
      </c>
      <c r="D751" t="s">
        <v>1126</v>
      </c>
      <c r="E751" t="s">
        <v>18</v>
      </c>
      <c r="F751" t="s">
        <v>18</v>
      </c>
      <c r="G751" t="s">
        <v>34</v>
      </c>
      <c r="H751" t="s">
        <v>86</v>
      </c>
      <c r="I751">
        <v>5</v>
      </c>
      <c r="J751" s="3">
        <v>180000</v>
      </c>
      <c r="K751" s="3">
        <v>139000</v>
      </c>
      <c r="L751" t="s">
        <v>21</v>
      </c>
      <c r="M751" t="s">
        <v>31</v>
      </c>
      <c r="N751" t="s">
        <v>23</v>
      </c>
      <c r="O751" t="s">
        <v>24</v>
      </c>
    </row>
    <row r="752" spans="1:15" x14ac:dyDescent="0.35">
      <c r="A752" t="s">
        <v>1601</v>
      </c>
      <c r="B752" s="2">
        <v>46157</v>
      </c>
      <c r="C752" t="s">
        <v>452</v>
      </c>
      <c r="D752" t="s">
        <v>1602</v>
      </c>
      <c r="E752" t="s">
        <v>18</v>
      </c>
      <c r="F752" t="s">
        <v>18</v>
      </c>
      <c r="G752" t="s">
        <v>43</v>
      </c>
      <c r="H752" t="s">
        <v>79</v>
      </c>
      <c r="I752">
        <v>8</v>
      </c>
      <c r="J752" s="3">
        <v>5700</v>
      </c>
      <c r="K752" s="3">
        <v>4300</v>
      </c>
      <c r="L752" t="s">
        <v>50</v>
      </c>
      <c r="M752" t="s">
        <v>31</v>
      </c>
      <c r="N752" t="s">
        <v>87</v>
      </c>
      <c r="O752" t="s">
        <v>91</v>
      </c>
    </row>
    <row r="753" spans="1:15" x14ac:dyDescent="0.35">
      <c r="A753" t="s">
        <v>1603</v>
      </c>
      <c r="B753" s="2">
        <v>46200</v>
      </c>
      <c r="C753" t="s">
        <v>575</v>
      </c>
      <c r="D753" t="s">
        <v>1604</v>
      </c>
      <c r="E753" t="s">
        <v>18</v>
      </c>
      <c r="F753" t="s">
        <v>18</v>
      </c>
      <c r="G753" t="s">
        <v>34</v>
      </c>
      <c r="H753" t="s">
        <v>158</v>
      </c>
      <c r="I753">
        <v>5</v>
      </c>
      <c r="J753" s="3">
        <v>95000</v>
      </c>
      <c r="K753" s="3">
        <v>70000</v>
      </c>
      <c r="L753" t="s">
        <v>30</v>
      </c>
      <c r="M753" t="s">
        <v>37</v>
      </c>
      <c r="N753" t="s">
        <v>23</v>
      </c>
      <c r="O753" t="s">
        <v>24</v>
      </c>
    </row>
    <row r="754" spans="1:15" x14ac:dyDescent="0.35">
      <c r="A754" t="s">
        <v>1605</v>
      </c>
      <c r="B754" s="2">
        <v>46122</v>
      </c>
      <c r="C754" t="s">
        <v>759</v>
      </c>
      <c r="D754" t="s">
        <v>1382</v>
      </c>
      <c r="E754" t="s">
        <v>156</v>
      </c>
      <c r="F754" t="s">
        <v>170</v>
      </c>
      <c r="G754" t="s">
        <v>19</v>
      </c>
      <c r="H754" t="s">
        <v>112</v>
      </c>
      <c r="I754">
        <v>2</v>
      </c>
      <c r="J754" s="3">
        <v>80800</v>
      </c>
      <c r="K754" s="3">
        <v>62000</v>
      </c>
      <c r="L754" t="s">
        <v>96</v>
      </c>
      <c r="M754" t="s">
        <v>37</v>
      </c>
      <c r="N754" t="s">
        <v>52</v>
      </c>
      <c r="O754" t="s">
        <v>24</v>
      </c>
    </row>
    <row r="755" spans="1:15" x14ac:dyDescent="0.35">
      <c r="A755" t="s">
        <v>1606</v>
      </c>
      <c r="B755" s="2">
        <v>46188</v>
      </c>
      <c r="C755" t="s">
        <v>1358</v>
      </c>
      <c r="D755" t="s">
        <v>438</v>
      </c>
      <c r="E755" t="s">
        <v>156</v>
      </c>
      <c r="F755" t="s">
        <v>157</v>
      </c>
      <c r="G755" t="s">
        <v>19</v>
      </c>
      <c r="H755" t="s">
        <v>166</v>
      </c>
      <c r="I755">
        <v>7</v>
      </c>
      <c r="J755" s="3">
        <v>133000</v>
      </c>
      <c r="K755" s="3">
        <v>97000</v>
      </c>
      <c r="L755" t="s">
        <v>73</v>
      </c>
      <c r="M755" t="s">
        <v>37</v>
      </c>
      <c r="N755" t="s">
        <v>23</v>
      </c>
      <c r="O755" t="s">
        <v>24</v>
      </c>
    </row>
    <row r="756" spans="1:15" x14ac:dyDescent="0.35">
      <c r="A756" t="s">
        <v>1607</v>
      </c>
      <c r="B756" s="2">
        <v>46250</v>
      </c>
      <c r="C756" t="s">
        <v>853</v>
      </c>
      <c r="D756" t="s">
        <v>144</v>
      </c>
      <c r="E756" t="s">
        <v>41</v>
      </c>
      <c r="F756" t="s">
        <v>42</v>
      </c>
      <c r="G756" t="s">
        <v>34</v>
      </c>
      <c r="H756" t="s">
        <v>95</v>
      </c>
      <c r="I756">
        <v>1</v>
      </c>
      <c r="J756" s="3">
        <v>450000</v>
      </c>
      <c r="K756" s="3">
        <v>370000</v>
      </c>
      <c r="L756" t="s">
        <v>80</v>
      </c>
      <c r="M756" t="s">
        <v>22</v>
      </c>
      <c r="N756" t="s">
        <v>52</v>
      </c>
      <c r="O756" t="s">
        <v>24</v>
      </c>
    </row>
    <row r="757" spans="1:15" x14ac:dyDescent="0.35">
      <c r="A757" t="s">
        <v>1608</v>
      </c>
      <c r="B757" s="2">
        <v>46303</v>
      </c>
      <c r="C757" t="s">
        <v>1609</v>
      </c>
      <c r="D757" t="s">
        <v>1054</v>
      </c>
      <c r="E757" t="s">
        <v>190</v>
      </c>
      <c r="F757" t="s">
        <v>191</v>
      </c>
      <c r="G757" t="s">
        <v>28</v>
      </c>
      <c r="H757" t="s">
        <v>65</v>
      </c>
      <c r="I757">
        <v>10</v>
      </c>
      <c r="J757" s="3">
        <v>12600</v>
      </c>
      <c r="K757" s="3">
        <v>7300</v>
      </c>
      <c r="L757" t="s">
        <v>50</v>
      </c>
      <c r="M757" t="s">
        <v>37</v>
      </c>
      <c r="N757" t="s">
        <v>52</v>
      </c>
      <c r="O757" t="s">
        <v>24</v>
      </c>
    </row>
    <row r="758" spans="1:15" x14ac:dyDescent="0.35">
      <c r="A758" t="s">
        <v>1610</v>
      </c>
      <c r="B758" s="2">
        <v>46256</v>
      </c>
      <c r="C758" t="s">
        <v>1532</v>
      </c>
      <c r="D758" t="s">
        <v>1427</v>
      </c>
      <c r="E758" t="s">
        <v>70</v>
      </c>
      <c r="F758" t="s">
        <v>71</v>
      </c>
      <c r="G758" t="s">
        <v>34</v>
      </c>
      <c r="H758" t="s">
        <v>95</v>
      </c>
      <c r="I758">
        <v>3</v>
      </c>
      <c r="J758" s="3">
        <v>427500</v>
      </c>
      <c r="K758" s="3">
        <v>358900</v>
      </c>
      <c r="L758" t="s">
        <v>73</v>
      </c>
      <c r="M758" t="s">
        <v>51</v>
      </c>
      <c r="N758" t="s">
        <v>52</v>
      </c>
      <c r="O758" t="s">
        <v>45</v>
      </c>
    </row>
    <row r="759" spans="1:15" x14ac:dyDescent="0.35">
      <c r="A759" t="s">
        <v>1611</v>
      </c>
      <c r="B759" s="2">
        <v>46152</v>
      </c>
      <c r="C759" t="s">
        <v>1040</v>
      </c>
      <c r="D759" t="s">
        <v>1052</v>
      </c>
      <c r="E759" t="s">
        <v>77</v>
      </c>
      <c r="F759" t="s">
        <v>78</v>
      </c>
      <c r="G759" t="s">
        <v>34</v>
      </c>
      <c r="H759" t="s">
        <v>95</v>
      </c>
      <c r="I759">
        <v>6</v>
      </c>
      <c r="J759" s="3">
        <v>472500</v>
      </c>
      <c r="K759" s="3">
        <v>370000</v>
      </c>
      <c r="L759" t="s">
        <v>96</v>
      </c>
      <c r="M759" t="s">
        <v>22</v>
      </c>
      <c r="N759" t="s">
        <v>87</v>
      </c>
      <c r="O759" t="s">
        <v>24</v>
      </c>
    </row>
    <row r="760" spans="1:15" x14ac:dyDescent="0.35">
      <c r="A760" t="s">
        <v>1612</v>
      </c>
      <c r="B760" s="2">
        <v>46290</v>
      </c>
      <c r="C760" t="s">
        <v>107</v>
      </c>
      <c r="D760" t="s">
        <v>1613</v>
      </c>
      <c r="E760" t="s">
        <v>18</v>
      </c>
      <c r="F760" t="s">
        <v>18</v>
      </c>
      <c r="G760" t="s">
        <v>34</v>
      </c>
      <c r="H760" t="s">
        <v>35</v>
      </c>
      <c r="I760">
        <v>9</v>
      </c>
      <c r="J760" s="3">
        <v>55000</v>
      </c>
      <c r="K760" s="3">
        <v>37800</v>
      </c>
      <c r="L760" t="s">
        <v>96</v>
      </c>
      <c r="M760" t="s">
        <v>51</v>
      </c>
      <c r="N760" t="s">
        <v>87</v>
      </c>
      <c r="O760" t="s">
        <v>91</v>
      </c>
    </row>
    <row r="761" spans="1:15" x14ac:dyDescent="0.35">
      <c r="A761" t="s">
        <v>1614</v>
      </c>
      <c r="B761" s="2">
        <v>46361</v>
      </c>
      <c r="C761" t="s">
        <v>877</v>
      </c>
      <c r="D761" t="s">
        <v>94</v>
      </c>
      <c r="E761" t="s">
        <v>56</v>
      </c>
      <c r="F761" t="s">
        <v>57</v>
      </c>
      <c r="G761" t="s">
        <v>19</v>
      </c>
      <c r="H761" t="s">
        <v>20</v>
      </c>
      <c r="I761">
        <v>8</v>
      </c>
      <c r="J761" s="3">
        <v>65000</v>
      </c>
      <c r="K761" s="3">
        <v>45000</v>
      </c>
      <c r="L761" t="s">
        <v>96</v>
      </c>
      <c r="M761" t="s">
        <v>51</v>
      </c>
      <c r="N761" t="s">
        <v>23</v>
      </c>
      <c r="O761" t="s">
        <v>24</v>
      </c>
    </row>
    <row r="762" spans="1:15" x14ac:dyDescent="0.35">
      <c r="A762" t="s">
        <v>1615</v>
      </c>
      <c r="B762" s="2">
        <v>46257</v>
      </c>
      <c r="C762" t="s">
        <v>580</v>
      </c>
      <c r="D762" t="s">
        <v>362</v>
      </c>
      <c r="E762" t="s">
        <v>70</v>
      </c>
      <c r="F762" t="s">
        <v>71</v>
      </c>
      <c r="G762" t="s">
        <v>43</v>
      </c>
      <c r="H762" t="s">
        <v>177</v>
      </c>
      <c r="I762">
        <v>1</v>
      </c>
      <c r="J762" s="3">
        <v>18900</v>
      </c>
      <c r="K762" s="3">
        <v>12900</v>
      </c>
      <c r="L762" t="s">
        <v>73</v>
      </c>
      <c r="M762" t="s">
        <v>37</v>
      </c>
      <c r="N762" t="s">
        <v>52</v>
      </c>
      <c r="O762" t="s">
        <v>24</v>
      </c>
    </row>
    <row r="763" spans="1:15" x14ac:dyDescent="0.35">
      <c r="A763" t="s">
        <v>1616</v>
      </c>
      <c r="B763" s="2">
        <v>46093</v>
      </c>
      <c r="C763" t="s">
        <v>1617</v>
      </c>
      <c r="D763" t="s">
        <v>297</v>
      </c>
      <c r="E763" t="s">
        <v>77</v>
      </c>
      <c r="F763" t="s">
        <v>78</v>
      </c>
      <c r="G763" t="s">
        <v>28</v>
      </c>
      <c r="H763" t="s">
        <v>131</v>
      </c>
      <c r="I763">
        <v>3</v>
      </c>
      <c r="J763" s="3">
        <v>28500</v>
      </c>
      <c r="K763" s="3">
        <v>19600</v>
      </c>
      <c r="L763" t="s">
        <v>21</v>
      </c>
      <c r="M763" t="s">
        <v>22</v>
      </c>
      <c r="N763" t="s">
        <v>87</v>
      </c>
      <c r="O763" t="s">
        <v>24</v>
      </c>
    </row>
    <row r="764" spans="1:15" x14ac:dyDescent="0.35">
      <c r="A764" t="s">
        <v>1618</v>
      </c>
      <c r="B764" s="2">
        <v>46360</v>
      </c>
      <c r="C764" t="s">
        <v>1064</v>
      </c>
      <c r="D764" t="s">
        <v>1104</v>
      </c>
      <c r="E764" t="s">
        <v>56</v>
      </c>
      <c r="F764" t="s">
        <v>57</v>
      </c>
      <c r="G764" t="s">
        <v>34</v>
      </c>
      <c r="H764" t="s">
        <v>95</v>
      </c>
      <c r="I764">
        <v>9</v>
      </c>
      <c r="J764" s="3">
        <v>450000</v>
      </c>
      <c r="K764" s="3">
        <v>370000</v>
      </c>
      <c r="L764" t="s">
        <v>21</v>
      </c>
      <c r="M764" t="s">
        <v>37</v>
      </c>
      <c r="N764" t="s">
        <v>87</v>
      </c>
      <c r="O764" t="s">
        <v>91</v>
      </c>
    </row>
    <row r="765" spans="1:15" x14ac:dyDescent="0.35">
      <c r="A765" t="s">
        <v>1619</v>
      </c>
      <c r="B765" s="2">
        <v>46139</v>
      </c>
      <c r="C765" t="s">
        <v>1620</v>
      </c>
      <c r="D765" t="s">
        <v>950</v>
      </c>
      <c r="E765" t="s">
        <v>18</v>
      </c>
      <c r="F765" t="s">
        <v>18</v>
      </c>
      <c r="G765" t="s">
        <v>43</v>
      </c>
      <c r="H765" t="s">
        <v>79</v>
      </c>
      <c r="I765">
        <v>10</v>
      </c>
      <c r="J765" s="3">
        <v>5700</v>
      </c>
      <c r="K765" s="3">
        <v>4200</v>
      </c>
      <c r="L765" t="s">
        <v>21</v>
      </c>
      <c r="M765" t="s">
        <v>22</v>
      </c>
      <c r="N765" t="s">
        <v>87</v>
      </c>
      <c r="O765" t="s">
        <v>91</v>
      </c>
    </row>
    <row r="766" spans="1:15" x14ac:dyDescent="0.35">
      <c r="A766" t="s">
        <v>1621</v>
      </c>
      <c r="B766" s="2">
        <v>46210</v>
      </c>
      <c r="C766" t="s">
        <v>1465</v>
      </c>
      <c r="D766" t="s">
        <v>1292</v>
      </c>
      <c r="E766" t="s">
        <v>41</v>
      </c>
      <c r="F766" t="s">
        <v>42</v>
      </c>
      <c r="G766" t="s">
        <v>34</v>
      </c>
      <c r="H766" t="s">
        <v>95</v>
      </c>
      <c r="I766">
        <v>4</v>
      </c>
      <c r="J766" s="3">
        <v>450000</v>
      </c>
      <c r="K766" s="3">
        <v>381100</v>
      </c>
      <c r="L766" t="s">
        <v>80</v>
      </c>
      <c r="M766" t="s">
        <v>51</v>
      </c>
      <c r="N766" t="s">
        <v>52</v>
      </c>
      <c r="O766" t="s">
        <v>24</v>
      </c>
    </row>
    <row r="767" spans="1:15" x14ac:dyDescent="0.35">
      <c r="A767" t="s">
        <v>1622</v>
      </c>
      <c r="B767" s="2">
        <v>46364</v>
      </c>
      <c r="C767" t="s">
        <v>275</v>
      </c>
      <c r="D767" t="s">
        <v>540</v>
      </c>
      <c r="E767" t="s">
        <v>18</v>
      </c>
      <c r="F767" t="s">
        <v>18</v>
      </c>
      <c r="G767" t="s">
        <v>34</v>
      </c>
      <c r="H767" t="s">
        <v>86</v>
      </c>
      <c r="I767">
        <v>3</v>
      </c>
      <c r="J767" s="3">
        <v>171000</v>
      </c>
      <c r="K767" s="3">
        <v>131000</v>
      </c>
      <c r="L767" t="s">
        <v>21</v>
      </c>
      <c r="M767" t="s">
        <v>22</v>
      </c>
      <c r="N767" t="s">
        <v>52</v>
      </c>
      <c r="O767" t="s">
        <v>24</v>
      </c>
    </row>
    <row r="768" spans="1:15" x14ac:dyDescent="0.35">
      <c r="A768" t="s">
        <v>1623</v>
      </c>
      <c r="B768" s="2">
        <v>46303</v>
      </c>
      <c r="C768" t="s">
        <v>234</v>
      </c>
      <c r="D768" t="s">
        <v>1299</v>
      </c>
      <c r="E768" t="s">
        <v>70</v>
      </c>
      <c r="F768" t="s">
        <v>71</v>
      </c>
      <c r="G768" t="s">
        <v>28</v>
      </c>
      <c r="H768" t="s">
        <v>29</v>
      </c>
      <c r="I768">
        <v>2</v>
      </c>
      <c r="J768" s="3">
        <v>6600</v>
      </c>
      <c r="K768" s="3">
        <v>4100</v>
      </c>
      <c r="L768" t="s">
        <v>73</v>
      </c>
      <c r="M768" t="s">
        <v>37</v>
      </c>
      <c r="N768" t="s">
        <v>23</v>
      </c>
      <c r="O768" t="s">
        <v>24</v>
      </c>
    </row>
    <row r="769" spans="1:15" x14ac:dyDescent="0.35">
      <c r="A769" t="s">
        <v>1624</v>
      </c>
      <c r="B769" s="2">
        <v>46114</v>
      </c>
      <c r="C769" t="s">
        <v>1414</v>
      </c>
      <c r="D769" t="s">
        <v>872</v>
      </c>
      <c r="E769" t="s">
        <v>18</v>
      </c>
      <c r="F769" t="s">
        <v>18</v>
      </c>
      <c r="G769" t="s">
        <v>43</v>
      </c>
      <c r="H769" t="s">
        <v>162</v>
      </c>
      <c r="I769">
        <v>10</v>
      </c>
      <c r="J769" s="3">
        <v>8000</v>
      </c>
      <c r="K769" s="3">
        <v>5200</v>
      </c>
      <c r="L769" t="s">
        <v>30</v>
      </c>
      <c r="M769" t="s">
        <v>31</v>
      </c>
      <c r="N769" t="s">
        <v>23</v>
      </c>
      <c r="O769" t="s">
        <v>24</v>
      </c>
    </row>
    <row r="770" spans="1:15" x14ac:dyDescent="0.35">
      <c r="A770" t="s">
        <v>1625</v>
      </c>
      <c r="B770" s="2">
        <v>46069</v>
      </c>
      <c r="C770" t="s">
        <v>1226</v>
      </c>
      <c r="D770" t="s">
        <v>1604</v>
      </c>
      <c r="E770" t="s">
        <v>18</v>
      </c>
      <c r="F770" t="s">
        <v>18</v>
      </c>
      <c r="G770" t="s">
        <v>28</v>
      </c>
      <c r="H770" t="s">
        <v>65</v>
      </c>
      <c r="I770">
        <v>3</v>
      </c>
      <c r="J770" s="3">
        <v>12600</v>
      </c>
      <c r="K770" s="3">
        <v>7500</v>
      </c>
      <c r="L770" t="s">
        <v>80</v>
      </c>
      <c r="M770" t="s">
        <v>37</v>
      </c>
      <c r="N770" t="s">
        <v>23</v>
      </c>
      <c r="O770" t="s">
        <v>24</v>
      </c>
    </row>
    <row r="771" spans="1:15" x14ac:dyDescent="0.35">
      <c r="A771" t="s">
        <v>1626</v>
      </c>
      <c r="B771" s="2">
        <v>46067</v>
      </c>
      <c r="C771" t="s">
        <v>612</v>
      </c>
      <c r="D771" t="s">
        <v>262</v>
      </c>
      <c r="E771" t="s">
        <v>77</v>
      </c>
      <c r="F771" t="s">
        <v>78</v>
      </c>
      <c r="G771" t="s">
        <v>34</v>
      </c>
      <c r="H771" t="s">
        <v>141</v>
      </c>
      <c r="I771">
        <v>2</v>
      </c>
      <c r="J771" s="3">
        <v>160000</v>
      </c>
      <c r="K771" s="3">
        <v>123600</v>
      </c>
      <c r="L771" t="s">
        <v>80</v>
      </c>
      <c r="M771" t="s">
        <v>51</v>
      </c>
      <c r="N771" t="s">
        <v>52</v>
      </c>
      <c r="O771" t="s">
        <v>45</v>
      </c>
    </row>
    <row r="772" spans="1:15" x14ac:dyDescent="0.35">
      <c r="A772" t="s">
        <v>1627</v>
      </c>
      <c r="B772" s="2">
        <v>46144</v>
      </c>
      <c r="C772" t="s">
        <v>151</v>
      </c>
      <c r="D772" t="s">
        <v>1628</v>
      </c>
      <c r="E772" t="s">
        <v>18</v>
      </c>
      <c r="F772" t="s">
        <v>18</v>
      </c>
      <c r="G772" t="s">
        <v>43</v>
      </c>
      <c r="H772" t="s">
        <v>162</v>
      </c>
      <c r="I772">
        <v>7</v>
      </c>
      <c r="J772" s="3">
        <v>8000</v>
      </c>
      <c r="K772" s="3">
        <v>5200</v>
      </c>
      <c r="L772" t="s">
        <v>73</v>
      </c>
      <c r="M772" t="s">
        <v>31</v>
      </c>
      <c r="N772" t="s">
        <v>87</v>
      </c>
      <c r="O772" t="s">
        <v>24</v>
      </c>
    </row>
    <row r="773" spans="1:15" x14ac:dyDescent="0.35">
      <c r="A773" t="s">
        <v>1629</v>
      </c>
      <c r="B773" s="2">
        <v>46145</v>
      </c>
      <c r="C773" t="s">
        <v>148</v>
      </c>
      <c r="D773" t="s">
        <v>17</v>
      </c>
      <c r="E773" t="s">
        <v>18</v>
      </c>
      <c r="F773" t="s">
        <v>18</v>
      </c>
      <c r="G773" t="s">
        <v>28</v>
      </c>
      <c r="H773" t="s">
        <v>248</v>
      </c>
      <c r="I773">
        <v>1</v>
      </c>
      <c r="J773" s="3">
        <v>26200</v>
      </c>
      <c r="K773" s="3">
        <v>16000</v>
      </c>
      <c r="L773" t="s">
        <v>73</v>
      </c>
      <c r="M773" t="s">
        <v>51</v>
      </c>
      <c r="N773" t="s">
        <v>87</v>
      </c>
      <c r="O773" t="s">
        <v>45</v>
      </c>
    </row>
    <row r="774" spans="1:15" x14ac:dyDescent="0.35">
      <c r="A774" t="s">
        <v>1630</v>
      </c>
      <c r="B774" s="2">
        <v>46036</v>
      </c>
      <c r="C774" t="s">
        <v>186</v>
      </c>
      <c r="D774" t="s">
        <v>784</v>
      </c>
      <c r="E774" t="s">
        <v>41</v>
      </c>
      <c r="F774" t="s">
        <v>42</v>
      </c>
      <c r="G774" t="s">
        <v>19</v>
      </c>
      <c r="H774" t="s">
        <v>166</v>
      </c>
      <c r="J774" s="3">
        <v>140000</v>
      </c>
      <c r="K774" s="3">
        <v>97000</v>
      </c>
      <c r="L774" t="s">
        <v>73</v>
      </c>
      <c r="M774" t="s">
        <v>37</v>
      </c>
      <c r="N774" t="s">
        <v>23</v>
      </c>
      <c r="O774" t="s">
        <v>24</v>
      </c>
    </row>
    <row r="775" spans="1:15" x14ac:dyDescent="0.35">
      <c r="A775" t="s">
        <v>1631</v>
      </c>
      <c r="B775" s="2">
        <v>46168</v>
      </c>
      <c r="C775" t="s">
        <v>1632</v>
      </c>
      <c r="D775" t="s">
        <v>1633</v>
      </c>
      <c r="E775" t="s">
        <v>18</v>
      </c>
      <c r="F775" t="s">
        <v>18</v>
      </c>
      <c r="G775" t="s">
        <v>28</v>
      </c>
      <c r="H775" t="s">
        <v>72</v>
      </c>
      <c r="I775">
        <v>2</v>
      </c>
      <c r="J775" s="3">
        <v>10500</v>
      </c>
      <c r="K775" s="3">
        <v>6200</v>
      </c>
      <c r="L775" t="s">
        <v>66</v>
      </c>
      <c r="M775" t="s">
        <v>22</v>
      </c>
      <c r="N775" t="s">
        <v>23</v>
      </c>
      <c r="O775" t="s">
        <v>24</v>
      </c>
    </row>
    <row r="776" spans="1:15" x14ac:dyDescent="0.35">
      <c r="A776" t="s">
        <v>1634</v>
      </c>
      <c r="B776" s="2">
        <v>46094</v>
      </c>
      <c r="C776" t="s">
        <v>518</v>
      </c>
      <c r="D776" t="s">
        <v>1635</v>
      </c>
      <c r="E776" t="s">
        <v>18</v>
      </c>
      <c r="F776" t="s">
        <v>18</v>
      </c>
      <c r="G776" t="s">
        <v>28</v>
      </c>
      <c r="H776" t="s">
        <v>248</v>
      </c>
      <c r="I776">
        <v>8</v>
      </c>
      <c r="J776" s="3">
        <v>23800</v>
      </c>
      <c r="K776" s="3">
        <v>16500</v>
      </c>
      <c r="L776" t="s">
        <v>73</v>
      </c>
      <c r="M776" t="s">
        <v>37</v>
      </c>
      <c r="N776" t="s">
        <v>23</v>
      </c>
      <c r="O776" t="s">
        <v>24</v>
      </c>
    </row>
    <row r="777" spans="1:15" x14ac:dyDescent="0.35">
      <c r="A777" t="s">
        <v>1636</v>
      </c>
      <c r="B777" s="2">
        <v>46184</v>
      </c>
      <c r="C777" t="s">
        <v>896</v>
      </c>
      <c r="D777" t="s">
        <v>1179</v>
      </c>
      <c r="E777" t="s">
        <v>70</v>
      </c>
      <c r="F777" t="s">
        <v>71</v>
      </c>
      <c r="G777" t="s">
        <v>19</v>
      </c>
      <c r="H777" t="s">
        <v>61</v>
      </c>
      <c r="I777">
        <v>2</v>
      </c>
      <c r="J777" s="3">
        <v>209000</v>
      </c>
      <c r="K777" s="3">
        <v>164800</v>
      </c>
      <c r="L777" t="s">
        <v>50</v>
      </c>
      <c r="M777" t="s">
        <v>22</v>
      </c>
      <c r="N777" t="s">
        <v>23</v>
      </c>
      <c r="O777" t="s">
        <v>24</v>
      </c>
    </row>
    <row r="778" spans="1:15" x14ac:dyDescent="0.35">
      <c r="A778" t="s">
        <v>1637</v>
      </c>
      <c r="B778" s="2">
        <v>46140</v>
      </c>
      <c r="C778" t="s">
        <v>783</v>
      </c>
      <c r="D778" t="s">
        <v>1638</v>
      </c>
      <c r="E778" t="s">
        <v>56</v>
      </c>
      <c r="F778" t="s">
        <v>57</v>
      </c>
      <c r="G778" t="s">
        <v>43</v>
      </c>
      <c r="H778" t="s">
        <v>79</v>
      </c>
      <c r="I778">
        <v>4</v>
      </c>
      <c r="J778" s="3">
        <v>6000</v>
      </c>
      <c r="K778" s="3">
        <v>4200</v>
      </c>
      <c r="L778" t="s">
        <v>21</v>
      </c>
      <c r="M778" t="s">
        <v>37</v>
      </c>
      <c r="N778" t="s">
        <v>87</v>
      </c>
      <c r="O778" t="s">
        <v>24</v>
      </c>
    </row>
    <row r="779" spans="1:15" x14ac:dyDescent="0.35">
      <c r="A779" t="s">
        <v>1639</v>
      </c>
      <c r="B779" s="2">
        <v>46101</v>
      </c>
      <c r="C779" t="s">
        <v>101</v>
      </c>
      <c r="D779" t="s">
        <v>519</v>
      </c>
      <c r="E779" t="s">
        <v>18</v>
      </c>
      <c r="F779" t="s">
        <v>18</v>
      </c>
      <c r="G779" t="s">
        <v>34</v>
      </c>
      <c r="H779" t="s">
        <v>95</v>
      </c>
      <c r="I779">
        <v>7</v>
      </c>
      <c r="J779" s="3">
        <v>450000</v>
      </c>
      <c r="K779" s="3">
        <v>370000</v>
      </c>
      <c r="L779" t="s">
        <v>80</v>
      </c>
      <c r="M779" t="s">
        <v>22</v>
      </c>
      <c r="N779" t="s">
        <v>52</v>
      </c>
      <c r="O779" t="s">
        <v>24</v>
      </c>
    </row>
    <row r="780" spans="1:15" x14ac:dyDescent="0.35">
      <c r="A780" t="s">
        <v>1640</v>
      </c>
      <c r="B780" s="2">
        <v>46340</v>
      </c>
      <c r="C780" t="s">
        <v>1379</v>
      </c>
      <c r="D780" t="s">
        <v>1091</v>
      </c>
      <c r="E780" t="s">
        <v>18</v>
      </c>
      <c r="F780" t="s">
        <v>18</v>
      </c>
      <c r="G780" t="s">
        <v>34</v>
      </c>
      <c r="H780" t="s">
        <v>86</v>
      </c>
      <c r="I780">
        <v>4</v>
      </c>
      <c r="J780" s="3">
        <v>180000</v>
      </c>
      <c r="K780" s="3">
        <v>135000</v>
      </c>
      <c r="L780" t="s">
        <v>96</v>
      </c>
      <c r="M780" t="s">
        <v>37</v>
      </c>
      <c r="N780" t="s">
        <v>23</v>
      </c>
      <c r="O780" t="s">
        <v>24</v>
      </c>
    </row>
    <row r="781" spans="1:15" x14ac:dyDescent="0.35">
      <c r="A781" t="s">
        <v>1641</v>
      </c>
      <c r="B781" s="2">
        <v>46384</v>
      </c>
      <c r="C781" t="s">
        <v>1642</v>
      </c>
      <c r="D781" t="s">
        <v>1643</v>
      </c>
      <c r="E781" t="s">
        <v>56</v>
      </c>
      <c r="F781" t="s">
        <v>57</v>
      </c>
      <c r="G781" t="s">
        <v>19</v>
      </c>
      <c r="H781" t="s">
        <v>20</v>
      </c>
      <c r="I781">
        <v>1</v>
      </c>
      <c r="J781" s="3">
        <v>61800</v>
      </c>
      <c r="K781" s="3">
        <v>43600</v>
      </c>
      <c r="L781" t="s">
        <v>50</v>
      </c>
      <c r="M781" t="s">
        <v>22</v>
      </c>
      <c r="N781" t="s">
        <v>23</v>
      </c>
      <c r="O781" t="s">
        <v>24</v>
      </c>
    </row>
    <row r="782" spans="1:15" x14ac:dyDescent="0.35">
      <c r="A782" t="s">
        <v>1644</v>
      </c>
      <c r="B782" s="2">
        <v>46385</v>
      </c>
      <c r="C782" t="s">
        <v>941</v>
      </c>
      <c r="D782" t="s">
        <v>1054</v>
      </c>
      <c r="E782" t="s">
        <v>56</v>
      </c>
      <c r="F782" t="s">
        <v>57</v>
      </c>
      <c r="G782" t="s">
        <v>34</v>
      </c>
      <c r="H782" t="s">
        <v>95</v>
      </c>
      <c r="I782">
        <v>3</v>
      </c>
      <c r="J782" s="3">
        <v>450000</v>
      </c>
      <c r="K782" s="3">
        <v>381100</v>
      </c>
      <c r="L782" t="s">
        <v>50</v>
      </c>
      <c r="M782" t="s">
        <v>51</v>
      </c>
      <c r="N782" t="s">
        <v>52</v>
      </c>
      <c r="O782" t="s">
        <v>24</v>
      </c>
    </row>
    <row r="783" spans="1:15" x14ac:dyDescent="0.35">
      <c r="A783" t="s">
        <v>1645</v>
      </c>
      <c r="B783" s="2">
        <v>46247</v>
      </c>
      <c r="C783" t="s">
        <v>934</v>
      </c>
      <c r="D783" t="s">
        <v>1613</v>
      </c>
      <c r="E783" t="s">
        <v>190</v>
      </c>
      <c r="F783" t="s">
        <v>191</v>
      </c>
      <c r="G783" t="s">
        <v>34</v>
      </c>
      <c r="H783" t="s">
        <v>95</v>
      </c>
      <c r="I783">
        <v>10</v>
      </c>
      <c r="J783" s="3">
        <v>472500</v>
      </c>
      <c r="K783" s="3">
        <v>358900</v>
      </c>
      <c r="L783" t="s">
        <v>73</v>
      </c>
      <c r="M783" t="s">
        <v>51</v>
      </c>
      <c r="N783" t="s">
        <v>52</v>
      </c>
      <c r="O783" t="s">
        <v>24</v>
      </c>
    </row>
    <row r="784" spans="1:15" x14ac:dyDescent="0.35">
      <c r="A784" t="s">
        <v>1646</v>
      </c>
      <c r="B784" s="2">
        <v>46153</v>
      </c>
      <c r="C784" t="s">
        <v>234</v>
      </c>
      <c r="D784" t="s">
        <v>1420</v>
      </c>
      <c r="E784" t="s">
        <v>56</v>
      </c>
      <c r="F784" t="s">
        <v>57</v>
      </c>
      <c r="G784" t="s">
        <v>34</v>
      </c>
      <c r="H784" t="s">
        <v>35</v>
      </c>
      <c r="I784">
        <v>4</v>
      </c>
      <c r="J784" s="3">
        <v>55000</v>
      </c>
      <c r="K784" s="3">
        <v>39000</v>
      </c>
      <c r="L784" t="s">
        <v>36</v>
      </c>
      <c r="M784" t="s">
        <v>37</v>
      </c>
      <c r="N784" t="s">
        <v>52</v>
      </c>
      <c r="O784" t="s">
        <v>24</v>
      </c>
    </row>
    <row r="785" spans="1:15" x14ac:dyDescent="0.35">
      <c r="A785" t="s">
        <v>1647</v>
      </c>
      <c r="B785" s="2">
        <v>46049</v>
      </c>
      <c r="C785" t="s">
        <v>510</v>
      </c>
      <c r="D785" t="s">
        <v>1322</v>
      </c>
      <c r="E785" t="s">
        <v>77</v>
      </c>
      <c r="F785" t="s">
        <v>78</v>
      </c>
      <c r="G785" t="s">
        <v>34</v>
      </c>
      <c r="H785" t="s">
        <v>35</v>
      </c>
      <c r="I785">
        <v>2</v>
      </c>
      <c r="J785" s="3">
        <v>55000</v>
      </c>
      <c r="K785" s="3">
        <v>37800</v>
      </c>
      <c r="L785" t="s">
        <v>21</v>
      </c>
      <c r="M785" t="s">
        <v>51</v>
      </c>
      <c r="N785" t="s">
        <v>52</v>
      </c>
      <c r="O785" t="s">
        <v>24</v>
      </c>
    </row>
    <row r="786" spans="1:15" x14ac:dyDescent="0.35">
      <c r="A786" t="s">
        <v>1648</v>
      </c>
      <c r="B786" s="2">
        <v>46368</v>
      </c>
      <c r="C786" t="s">
        <v>370</v>
      </c>
      <c r="D786" t="s">
        <v>383</v>
      </c>
      <c r="E786" t="s">
        <v>77</v>
      </c>
      <c r="F786" t="s">
        <v>78</v>
      </c>
      <c r="G786" t="s">
        <v>34</v>
      </c>
      <c r="H786" t="s">
        <v>158</v>
      </c>
      <c r="I786">
        <v>9</v>
      </c>
      <c r="J786" s="3">
        <v>90200</v>
      </c>
      <c r="K786" s="3">
        <v>70000</v>
      </c>
      <c r="L786" t="s">
        <v>50</v>
      </c>
      <c r="M786" t="s">
        <v>37</v>
      </c>
      <c r="N786" t="s">
        <v>87</v>
      </c>
      <c r="O786" t="s">
        <v>24</v>
      </c>
    </row>
    <row r="787" spans="1:15" x14ac:dyDescent="0.35">
      <c r="A787" t="s">
        <v>1649</v>
      </c>
      <c r="B787" s="2">
        <v>46024</v>
      </c>
      <c r="C787" t="s">
        <v>500</v>
      </c>
      <c r="D787" t="s">
        <v>462</v>
      </c>
      <c r="E787" t="s">
        <v>18</v>
      </c>
      <c r="F787" t="s">
        <v>18</v>
      </c>
      <c r="G787" t="s">
        <v>28</v>
      </c>
      <c r="H787" t="s">
        <v>29</v>
      </c>
      <c r="I787">
        <v>1</v>
      </c>
      <c r="J787" s="3">
        <v>7000</v>
      </c>
      <c r="K787" s="3">
        <v>4100</v>
      </c>
      <c r="L787" t="s">
        <v>66</v>
      </c>
      <c r="M787" t="s">
        <v>51</v>
      </c>
      <c r="N787" t="s">
        <v>87</v>
      </c>
      <c r="O787" t="s">
        <v>91</v>
      </c>
    </row>
    <row r="788" spans="1:15" x14ac:dyDescent="0.35">
      <c r="A788" t="s">
        <v>1650</v>
      </c>
      <c r="B788" s="2">
        <v>46256</v>
      </c>
      <c r="C788" t="s">
        <v>1651</v>
      </c>
      <c r="D788" t="s">
        <v>1171</v>
      </c>
      <c r="E788" t="s">
        <v>156</v>
      </c>
      <c r="F788" t="s">
        <v>157</v>
      </c>
      <c r="G788" t="s">
        <v>34</v>
      </c>
      <c r="H788" t="s">
        <v>95</v>
      </c>
      <c r="I788">
        <v>1</v>
      </c>
      <c r="J788" s="3">
        <v>472500</v>
      </c>
      <c r="K788" s="3">
        <v>358900</v>
      </c>
      <c r="L788" t="s">
        <v>80</v>
      </c>
      <c r="M788" t="s">
        <v>37</v>
      </c>
      <c r="N788" t="s">
        <v>23</v>
      </c>
      <c r="O788" t="s">
        <v>24</v>
      </c>
    </row>
    <row r="789" spans="1:15" x14ac:dyDescent="0.35">
      <c r="A789" t="s">
        <v>1652</v>
      </c>
      <c r="B789" s="2">
        <v>46231</v>
      </c>
      <c r="C789" t="s">
        <v>1653</v>
      </c>
      <c r="D789" t="s">
        <v>1654</v>
      </c>
      <c r="E789" t="s">
        <v>77</v>
      </c>
      <c r="F789" t="s">
        <v>78</v>
      </c>
      <c r="G789" t="s">
        <v>43</v>
      </c>
      <c r="H789" t="s">
        <v>44</v>
      </c>
      <c r="I789">
        <v>5</v>
      </c>
      <c r="J789" s="3">
        <v>15800</v>
      </c>
      <c r="K789" s="3">
        <v>9200</v>
      </c>
      <c r="L789" t="s">
        <v>96</v>
      </c>
      <c r="M789" t="s">
        <v>37</v>
      </c>
      <c r="N789" t="s">
        <v>23</v>
      </c>
      <c r="O789" t="s">
        <v>24</v>
      </c>
    </row>
    <row r="790" spans="1:15" x14ac:dyDescent="0.35">
      <c r="A790" t="s">
        <v>1655</v>
      </c>
      <c r="B790" s="2">
        <v>46327</v>
      </c>
      <c r="C790" t="s">
        <v>1575</v>
      </c>
      <c r="D790" t="s">
        <v>1656</v>
      </c>
      <c r="E790" t="s">
        <v>84</v>
      </c>
      <c r="F790" t="s">
        <v>85</v>
      </c>
      <c r="G790" t="s">
        <v>19</v>
      </c>
      <c r="H790" t="s">
        <v>20</v>
      </c>
      <c r="I790">
        <v>9</v>
      </c>
      <c r="J790" s="3">
        <v>61800</v>
      </c>
      <c r="K790" s="3">
        <v>43600</v>
      </c>
      <c r="L790" t="s">
        <v>50</v>
      </c>
      <c r="M790" t="s">
        <v>51</v>
      </c>
      <c r="N790" t="s">
        <v>23</v>
      </c>
      <c r="O790" t="s">
        <v>24</v>
      </c>
    </row>
    <row r="791" spans="1:15" x14ac:dyDescent="0.35">
      <c r="A791" t="s">
        <v>1657</v>
      </c>
      <c r="B791" s="2">
        <v>46035</v>
      </c>
      <c r="C791" t="s">
        <v>1658</v>
      </c>
      <c r="D791" t="s">
        <v>1380</v>
      </c>
      <c r="E791" t="s">
        <v>190</v>
      </c>
      <c r="F791" t="s">
        <v>191</v>
      </c>
      <c r="G791" t="s">
        <v>19</v>
      </c>
      <c r="H791" t="s">
        <v>112</v>
      </c>
      <c r="I791">
        <v>4</v>
      </c>
      <c r="J791" s="3">
        <v>85000</v>
      </c>
      <c r="K791" s="3">
        <v>62000</v>
      </c>
      <c r="L791" t="s">
        <v>21</v>
      </c>
      <c r="M791" t="s">
        <v>37</v>
      </c>
      <c r="N791" t="s">
        <v>87</v>
      </c>
      <c r="O791" t="s">
        <v>24</v>
      </c>
    </row>
    <row r="792" spans="1:15" x14ac:dyDescent="0.35">
      <c r="A792" t="s">
        <v>1659</v>
      </c>
      <c r="B792" s="2">
        <v>46128</v>
      </c>
      <c r="C792" t="s">
        <v>212</v>
      </c>
      <c r="D792" t="s">
        <v>294</v>
      </c>
      <c r="E792" t="s">
        <v>18</v>
      </c>
      <c r="F792" t="s">
        <v>18</v>
      </c>
      <c r="G792" t="s">
        <v>34</v>
      </c>
      <c r="H792" t="s">
        <v>95</v>
      </c>
      <c r="I792">
        <v>6</v>
      </c>
      <c r="J792" s="3">
        <v>450000</v>
      </c>
      <c r="K792" s="3">
        <v>381100</v>
      </c>
      <c r="L792" t="s">
        <v>36</v>
      </c>
      <c r="M792" t="s">
        <v>31</v>
      </c>
      <c r="N792" t="s">
        <v>52</v>
      </c>
      <c r="O792" t="s">
        <v>24</v>
      </c>
    </row>
    <row r="793" spans="1:15" x14ac:dyDescent="0.35">
      <c r="A793" t="s">
        <v>1660</v>
      </c>
      <c r="B793" s="2">
        <v>46328</v>
      </c>
      <c r="C793" t="s">
        <v>1661</v>
      </c>
      <c r="D793" t="s">
        <v>703</v>
      </c>
      <c r="E793" t="s">
        <v>84</v>
      </c>
      <c r="F793" t="s">
        <v>85</v>
      </c>
      <c r="G793" t="s">
        <v>34</v>
      </c>
      <c r="H793" t="s">
        <v>95</v>
      </c>
      <c r="I793">
        <v>3</v>
      </c>
      <c r="J793" s="3">
        <v>450000</v>
      </c>
      <c r="K793" s="3">
        <v>381100</v>
      </c>
      <c r="L793" t="s">
        <v>30</v>
      </c>
      <c r="M793" t="s">
        <v>31</v>
      </c>
      <c r="N793" t="s">
        <v>52</v>
      </c>
      <c r="O793" t="s">
        <v>24</v>
      </c>
    </row>
    <row r="794" spans="1:15" x14ac:dyDescent="0.35">
      <c r="A794" t="s">
        <v>1662</v>
      </c>
      <c r="B794" s="2">
        <v>46301</v>
      </c>
      <c r="C794" t="s">
        <v>1501</v>
      </c>
      <c r="D794" t="s">
        <v>291</v>
      </c>
      <c r="E794" t="s">
        <v>84</v>
      </c>
      <c r="F794" t="s">
        <v>85</v>
      </c>
      <c r="G794" t="s">
        <v>34</v>
      </c>
      <c r="H794" t="s">
        <v>141</v>
      </c>
      <c r="I794">
        <v>10</v>
      </c>
      <c r="J794" s="3">
        <v>152000</v>
      </c>
      <c r="K794" s="3">
        <v>120000</v>
      </c>
      <c r="L794" t="s">
        <v>21</v>
      </c>
      <c r="M794" t="s">
        <v>37</v>
      </c>
      <c r="N794" t="s">
        <v>23</v>
      </c>
      <c r="O794" t="s">
        <v>45</v>
      </c>
    </row>
    <row r="795" spans="1:15" x14ac:dyDescent="0.35">
      <c r="A795" t="s">
        <v>1663</v>
      </c>
      <c r="B795" s="2">
        <v>46156</v>
      </c>
      <c r="C795" t="s">
        <v>1572</v>
      </c>
      <c r="D795" t="s">
        <v>1322</v>
      </c>
      <c r="E795" t="s">
        <v>41</v>
      </c>
      <c r="F795" t="s">
        <v>42</v>
      </c>
      <c r="G795" t="s">
        <v>34</v>
      </c>
      <c r="H795" t="s">
        <v>35</v>
      </c>
      <c r="I795">
        <v>2</v>
      </c>
      <c r="J795" s="3">
        <v>55000</v>
      </c>
      <c r="K795" s="3">
        <v>40200</v>
      </c>
      <c r="L795" t="s">
        <v>30</v>
      </c>
      <c r="M795" t="s">
        <v>31</v>
      </c>
      <c r="N795" t="s">
        <v>23</v>
      </c>
      <c r="O795" t="s">
        <v>45</v>
      </c>
    </row>
    <row r="796" spans="1:15" x14ac:dyDescent="0.35">
      <c r="A796" t="s">
        <v>1664</v>
      </c>
      <c r="B796" s="2">
        <v>46197</v>
      </c>
      <c r="C796" t="s">
        <v>1665</v>
      </c>
      <c r="D796" t="s">
        <v>1557</v>
      </c>
      <c r="E796" t="s">
        <v>18</v>
      </c>
      <c r="F796" t="s">
        <v>18</v>
      </c>
      <c r="G796" t="s">
        <v>19</v>
      </c>
      <c r="H796" t="s">
        <v>112</v>
      </c>
      <c r="I796">
        <v>2</v>
      </c>
      <c r="J796" s="3">
        <v>80800</v>
      </c>
      <c r="K796" s="3">
        <v>63900</v>
      </c>
      <c r="L796" t="s">
        <v>36</v>
      </c>
      <c r="M796" t="s">
        <v>37</v>
      </c>
      <c r="N796" t="s">
        <v>87</v>
      </c>
      <c r="O796" t="s">
        <v>24</v>
      </c>
    </row>
    <row r="797" spans="1:15" x14ac:dyDescent="0.35">
      <c r="A797" t="s">
        <v>1666</v>
      </c>
      <c r="B797" s="2">
        <v>46206</v>
      </c>
      <c r="C797" t="s">
        <v>1156</v>
      </c>
      <c r="D797" t="s">
        <v>300</v>
      </c>
      <c r="E797" t="s">
        <v>190</v>
      </c>
      <c r="F797" t="s">
        <v>191</v>
      </c>
      <c r="G797" t="s">
        <v>43</v>
      </c>
      <c r="H797" t="s">
        <v>177</v>
      </c>
      <c r="I797">
        <v>1</v>
      </c>
      <c r="J797" s="3">
        <v>18000</v>
      </c>
      <c r="K797" s="3">
        <v>12500</v>
      </c>
      <c r="L797" t="s">
        <v>96</v>
      </c>
      <c r="M797" t="s">
        <v>22</v>
      </c>
      <c r="N797" t="s">
        <v>23</v>
      </c>
      <c r="O797" t="s">
        <v>24</v>
      </c>
    </row>
    <row r="798" spans="1:15" x14ac:dyDescent="0.35">
      <c r="A798" t="s">
        <v>1667</v>
      </c>
      <c r="B798" s="2">
        <v>46199</v>
      </c>
      <c r="C798" t="s">
        <v>240</v>
      </c>
      <c r="D798" t="s">
        <v>738</v>
      </c>
      <c r="E798" t="s">
        <v>84</v>
      </c>
      <c r="F798" t="s">
        <v>85</v>
      </c>
      <c r="G798" t="s">
        <v>34</v>
      </c>
      <c r="H798" t="s">
        <v>141</v>
      </c>
      <c r="I798">
        <v>2</v>
      </c>
      <c r="J798" s="3">
        <v>152000</v>
      </c>
      <c r="K798" s="3">
        <v>120000</v>
      </c>
      <c r="L798" t="s">
        <v>66</v>
      </c>
      <c r="M798" t="s">
        <v>22</v>
      </c>
      <c r="N798" t="s">
        <v>52</v>
      </c>
      <c r="O798" t="s">
        <v>24</v>
      </c>
    </row>
    <row r="799" spans="1:15" x14ac:dyDescent="0.35">
      <c r="A799" t="s">
        <v>1668</v>
      </c>
      <c r="B799" s="2">
        <v>46300</v>
      </c>
      <c r="C799" t="s">
        <v>133</v>
      </c>
      <c r="D799" t="s">
        <v>208</v>
      </c>
      <c r="E799" t="s">
        <v>190</v>
      </c>
      <c r="F799" t="s">
        <v>191</v>
      </c>
      <c r="G799" t="s">
        <v>28</v>
      </c>
      <c r="H799" t="s">
        <v>131</v>
      </c>
      <c r="I799">
        <v>2</v>
      </c>
      <c r="J799" s="3">
        <v>30000</v>
      </c>
      <c r="K799" s="3">
        <v>19600</v>
      </c>
      <c r="L799" t="s">
        <v>50</v>
      </c>
      <c r="M799" t="s">
        <v>51</v>
      </c>
      <c r="N799" t="s">
        <v>87</v>
      </c>
      <c r="O799" t="s">
        <v>24</v>
      </c>
    </row>
    <row r="800" spans="1:15" x14ac:dyDescent="0.35">
      <c r="A800" t="s">
        <v>1669</v>
      </c>
      <c r="B800" s="2">
        <v>46264</v>
      </c>
      <c r="C800" t="s">
        <v>557</v>
      </c>
      <c r="D800" t="s">
        <v>1670</v>
      </c>
      <c r="E800" t="s">
        <v>18</v>
      </c>
      <c r="F800" t="s">
        <v>18</v>
      </c>
      <c r="G800" t="s">
        <v>28</v>
      </c>
      <c r="H800" t="s">
        <v>72</v>
      </c>
      <c r="I800">
        <v>1</v>
      </c>
      <c r="J800" s="3">
        <v>9500</v>
      </c>
      <c r="K800" s="3">
        <v>6200</v>
      </c>
      <c r="L800" t="s">
        <v>66</v>
      </c>
      <c r="M800" t="s">
        <v>51</v>
      </c>
      <c r="N800" t="s">
        <v>23</v>
      </c>
      <c r="O800" t="s">
        <v>24</v>
      </c>
    </row>
    <row r="801" spans="1:15" x14ac:dyDescent="0.35">
      <c r="A801" t="s">
        <v>1671</v>
      </c>
      <c r="B801" s="2">
        <v>46220</v>
      </c>
      <c r="C801" t="s">
        <v>830</v>
      </c>
      <c r="D801" t="s">
        <v>688</v>
      </c>
      <c r="E801" t="s">
        <v>77</v>
      </c>
      <c r="F801" t="s">
        <v>78</v>
      </c>
      <c r="G801" t="s">
        <v>34</v>
      </c>
      <c r="H801" t="s">
        <v>86</v>
      </c>
      <c r="I801">
        <v>4</v>
      </c>
      <c r="J801" s="3">
        <v>180000</v>
      </c>
      <c r="K801" s="3">
        <v>135000</v>
      </c>
      <c r="L801" t="s">
        <v>30</v>
      </c>
      <c r="M801" t="s">
        <v>31</v>
      </c>
      <c r="N801" t="s">
        <v>52</v>
      </c>
      <c r="O801" t="s">
        <v>91</v>
      </c>
    </row>
    <row r="802" spans="1:15" x14ac:dyDescent="0.35">
      <c r="A802" t="s">
        <v>1672</v>
      </c>
      <c r="B802" s="2">
        <v>46204</v>
      </c>
      <c r="C802" t="s">
        <v>1673</v>
      </c>
      <c r="D802" t="s">
        <v>504</v>
      </c>
      <c r="E802" t="s">
        <v>18</v>
      </c>
      <c r="F802" t="s">
        <v>18</v>
      </c>
      <c r="G802" t="s">
        <v>28</v>
      </c>
      <c r="H802" t="s">
        <v>72</v>
      </c>
      <c r="I802">
        <v>5</v>
      </c>
      <c r="J802" s="3">
        <v>10000</v>
      </c>
      <c r="K802" s="3">
        <v>6200</v>
      </c>
      <c r="L802" t="s">
        <v>66</v>
      </c>
      <c r="M802" t="s">
        <v>37</v>
      </c>
      <c r="N802" t="s">
        <v>52</v>
      </c>
      <c r="O802" t="s">
        <v>24</v>
      </c>
    </row>
    <row r="803" spans="1:15" x14ac:dyDescent="0.35">
      <c r="A803" t="s">
        <v>1674</v>
      </c>
      <c r="B803" s="2">
        <v>46148</v>
      </c>
      <c r="C803" t="s">
        <v>358</v>
      </c>
      <c r="D803" t="s">
        <v>359</v>
      </c>
      <c r="E803" t="s">
        <v>70</v>
      </c>
      <c r="F803" t="s">
        <v>71</v>
      </c>
      <c r="G803" t="s">
        <v>28</v>
      </c>
      <c r="H803" t="s">
        <v>131</v>
      </c>
      <c r="I803">
        <v>7</v>
      </c>
      <c r="J803" s="3">
        <v>30000</v>
      </c>
      <c r="K803" s="3">
        <v>18400</v>
      </c>
      <c r="L803" t="s">
        <v>66</v>
      </c>
      <c r="M803" t="s">
        <v>31</v>
      </c>
      <c r="N803" t="s">
        <v>23</v>
      </c>
      <c r="O803" t="s">
        <v>24</v>
      </c>
    </row>
    <row r="804" spans="1:15" x14ac:dyDescent="0.35">
      <c r="A804" t="s">
        <v>1675</v>
      </c>
      <c r="B804" s="2">
        <v>46361</v>
      </c>
      <c r="C804" t="s">
        <v>850</v>
      </c>
      <c r="D804" t="s">
        <v>1557</v>
      </c>
      <c r="E804" t="s">
        <v>56</v>
      </c>
      <c r="F804" t="s">
        <v>57</v>
      </c>
      <c r="G804" t="s">
        <v>43</v>
      </c>
      <c r="H804" t="s">
        <v>177</v>
      </c>
      <c r="I804">
        <v>8</v>
      </c>
      <c r="J804" s="3">
        <v>18000</v>
      </c>
      <c r="K804" s="3">
        <v>12100</v>
      </c>
      <c r="L804" t="s">
        <v>66</v>
      </c>
      <c r="M804" t="s">
        <v>31</v>
      </c>
      <c r="N804" t="s">
        <v>52</v>
      </c>
      <c r="O804" t="s">
        <v>45</v>
      </c>
    </row>
    <row r="805" spans="1:15" x14ac:dyDescent="0.35">
      <c r="A805" t="s">
        <v>1676</v>
      </c>
      <c r="B805" s="2">
        <v>46281</v>
      </c>
      <c r="C805" t="s">
        <v>671</v>
      </c>
      <c r="D805" t="s">
        <v>1219</v>
      </c>
      <c r="E805" t="s">
        <v>18</v>
      </c>
      <c r="F805" t="s">
        <v>18</v>
      </c>
      <c r="G805" t="s">
        <v>34</v>
      </c>
      <c r="H805" t="s">
        <v>86</v>
      </c>
      <c r="I805">
        <v>7</v>
      </c>
      <c r="J805" s="3">
        <v>180000</v>
      </c>
      <c r="K805" s="3">
        <v>131000</v>
      </c>
      <c r="L805" t="s">
        <v>36</v>
      </c>
      <c r="M805" t="s">
        <v>51</v>
      </c>
      <c r="N805" t="s">
        <v>52</v>
      </c>
      <c r="O805" t="s">
        <v>24</v>
      </c>
    </row>
    <row r="806" spans="1:15" x14ac:dyDescent="0.35">
      <c r="A806" t="s">
        <v>1677</v>
      </c>
      <c r="B806" s="2">
        <v>46222</v>
      </c>
      <c r="C806" t="s">
        <v>305</v>
      </c>
      <c r="D806" t="s">
        <v>1315</v>
      </c>
      <c r="E806" t="s">
        <v>41</v>
      </c>
      <c r="F806" t="s">
        <v>42</v>
      </c>
      <c r="G806" t="s">
        <v>34</v>
      </c>
      <c r="H806" t="s">
        <v>35</v>
      </c>
      <c r="I806">
        <v>9</v>
      </c>
      <c r="J806" s="3">
        <v>55000</v>
      </c>
      <c r="K806" s="3">
        <v>40200</v>
      </c>
      <c r="L806" t="s">
        <v>66</v>
      </c>
      <c r="M806" t="s">
        <v>22</v>
      </c>
      <c r="N806" t="s">
        <v>23</v>
      </c>
      <c r="O806" t="s">
        <v>24</v>
      </c>
    </row>
    <row r="807" spans="1:15" x14ac:dyDescent="0.35">
      <c r="A807" t="s">
        <v>1678</v>
      </c>
      <c r="B807" s="2">
        <v>46182</v>
      </c>
      <c r="C807" t="s">
        <v>416</v>
      </c>
      <c r="D807" t="s">
        <v>988</v>
      </c>
      <c r="E807" t="s">
        <v>18</v>
      </c>
      <c r="F807" t="s">
        <v>18</v>
      </c>
      <c r="G807" t="s">
        <v>34</v>
      </c>
      <c r="H807" t="s">
        <v>158</v>
      </c>
      <c r="I807">
        <v>7</v>
      </c>
      <c r="J807" s="3">
        <v>99800</v>
      </c>
      <c r="K807" s="3">
        <v>67900</v>
      </c>
      <c r="L807" t="s">
        <v>66</v>
      </c>
      <c r="M807" t="s">
        <v>37</v>
      </c>
      <c r="N807" t="s">
        <v>23</v>
      </c>
      <c r="O807" t="s">
        <v>45</v>
      </c>
    </row>
    <row r="808" spans="1:15" x14ac:dyDescent="0.35">
      <c r="A808" t="s">
        <v>1679</v>
      </c>
      <c r="B808" s="2">
        <v>46362</v>
      </c>
      <c r="C808" t="s">
        <v>1342</v>
      </c>
      <c r="D808" t="s">
        <v>1576</v>
      </c>
      <c r="E808" t="s">
        <v>190</v>
      </c>
      <c r="F808" t="s">
        <v>191</v>
      </c>
      <c r="G808" t="s">
        <v>34</v>
      </c>
      <c r="H808" t="s">
        <v>35</v>
      </c>
      <c r="I808">
        <v>7</v>
      </c>
      <c r="J808" s="3">
        <v>55000</v>
      </c>
      <c r="K808" s="3">
        <v>39000</v>
      </c>
      <c r="L808" t="s">
        <v>36</v>
      </c>
      <c r="M808" t="s">
        <v>37</v>
      </c>
      <c r="N808" t="s">
        <v>87</v>
      </c>
      <c r="O808" t="s">
        <v>24</v>
      </c>
    </row>
    <row r="809" spans="1:15" x14ac:dyDescent="0.35">
      <c r="A809" t="s">
        <v>1680</v>
      </c>
      <c r="B809" s="2">
        <v>46158</v>
      </c>
      <c r="C809" t="s">
        <v>179</v>
      </c>
      <c r="D809" t="s">
        <v>1157</v>
      </c>
      <c r="E809" t="s">
        <v>18</v>
      </c>
      <c r="F809" t="s">
        <v>18</v>
      </c>
      <c r="G809" t="s">
        <v>43</v>
      </c>
      <c r="H809" t="s">
        <v>44</v>
      </c>
      <c r="I809">
        <v>3</v>
      </c>
      <c r="J809" s="3">
        <v>15800</v>
      </c>
      <c r="K809" s="3">
        <v>9500</v>
      </c>
      <c r="L809" t="s">
        <v>73</v>
      </c>
      <c r="M809" t="s">
        <v>22</v>
      </c>
      <c r="N809" t="s">
        <v>23</v>
      </c>
      <c r="O809" t="s">
        <v>24</v>
      </c>
    </row>
    <row r="810" spans="1:15" x14ac:dyDescent="0.35">
      <c r="A810" t="s">
        <v>1681</v>
      </c>
      <c r="B810" s="2">
        <v>46096</v>
      </c>
      <c r="C810" t="s">
        <v>1223</v>
      </c>
      <c r="D810" t="s">
        <v>622</v>
      </c>
      <c r="E810" t="s">
        <v>18</v>
      </c>
      <c r="F810" t="s">
        <v>18</v>
      </c>
      <c r="G810" t="s">
        <v>28</v>
      </c>
      <c r="H810" t="s">
        <v>248</v>
      </c>
      <c r="I810">
        <v>8</v>
      </c>
      <c r="J810" s="3">
        <v>25000</v>
      </c>
      <c r="K810" s="3">
        <v>15500</v>
      </c>
      <c r="L810" t="s">
        <v>80</v>
      </c>
      <c r="M810" t="s">
        <v>22</v>
      </c>
      <c r="N810" t="s">
        <v>23</v>
      </c>
      <c r="O810" t="s">
        <v>24</v>
      </c>
    </row>
    <row r="811" spans="1:15" x14ac:dyDescent="0.35">
      <c r="A811" t="s">
        <v>1682</v>
      </c>
      <c r="B811" s="2">
        <v>46036</v>
      </c>
      <c r="C811" t="s">
        <v>757</v>
      </c>
      <c r="D811" t="s">
        <v>226</v>
      </c>
      <c r="E811" t="s">
        <v>56</v>
      </c>
      <c r="F811" t="s">
        <v>57</v>
      </c>
      <c r="G811" t="s">
        <v>34</v>
      </c>
      <c r="H811" t="s">
        <v>141</v>
      </c>
      <c r="I811">
        <v>6</v>
      </c>
      <c r="J811" s="3">
        <v>160000</v>
      </c>
      <c r="K811" s="3">
        <v>123600</v>
      </c>
      <c r="L811" t="s">
        <v>96</v>
      </c>
      <c r="M811" t="s">
        <v>51</v>
      </c>
      <c r="N811" t="s">
        <v>23</v>
      </c>
      <c r="O811" t="s">
        <v>24</v>
      </c>
    </row>
    <row r="812" spans="1:15" x14ac:dyDescent="0.35">
      <c r="A812" t="s">
        <v>1683</v>
      </c>
      <c r="B812" s="2">
        <v>46203</v>
      </c>
      <c r="C812" t="s">
        <v>1532</v>
      </c>
      <c r="D812" t="s">
        <v>267</v>
      </c>
      <c r="E812" t="s">
        <v>56</v>
      </c>
      <c r="F812" t="s">
        <v>57</v>
      </c>
      <c r="G812" t="s">
        <v>28</v>
      </c>
      <c r="H812" t="s">
        <v>65</v>
      </c>
      <c r="I812">
        <v>7</v>
      </c>
      <c r="J812" s="3">
        <v>12600</v>
      </c>
      <c r="K812" s="3">
        <v>7300</v>
      </c>
      <c r="L812" t="s">
        <v>50</v>
      </c>
      <c r="M812" t="s">
        <v>37</v>
      </c>
      <c r="N812" t="s">
        <v>23</v>
      </c>
      <c r="O812" t="s">
        <v>24</v>
      </c>
    </row>
    <row r="813" spans="1:15" x14ac:dyDescent="0.35">
      <c r="A813" t="s">
        <v>1684</v>
      </c>
      <c r="B813" s="2">
        <v>46242</v>
      </c>
      <c r="C813" t="s">
        <v>523</v>
      </c>
      <c r="D813" t="s">
        <v>1136</v>
      </c>
      <c r="E813" t="s">
        <v>18</v>
      </c>
      <c r="F813" t="s">
        <v>18</v>
      </c>
      <c r="G813" t="s">
        <v>28</v>
      </c>
      <c r="H813" t="s">
        <v>131</v>
      </c>
      <c r="I813">
        <v>4</v>
      </c>
      <c r="J813" s="3">
        <v>30000</v>
      </c>
      <c r="K813" s="3">
        <v>19000</v>
      </c>
      <c r="L813" t="s">
        <v>80</v>
      </c>
      <c r="M813" t="s">
        <v>37</v>
      </c>
      <c r="N813" t="s">
        <v>87</v>
      </c>
      <c r="O813" t="s">
        <v>24</v>
      </c>
    </row>
    <row r="814" spans="1:15" x14ac:dyDescent="0.35">
      <c r="A814" t="s">
        <v>1685</v>
      </c>
      <c r="B814" s="2">
        <v>46218</v>
      </c>
      <c r="C814" t="s">
        <v>596</v>
      </c>
      <c r="D814" t="s">
        <v>1686</v>
      </c>
      <c r="E814" t="s">
        <v>56</v>
      </c>
      <c r="F814" t="s">
        <v>57</v>
      </c>
      <c r="G814" t="s">
        <v>34</v>
      </c>
      <c r="H814" t="s">
        <v>86</v>
      </c>
      <c r="I814">
        <v>2</v>
      </c>
      <c r="J814" s="3">
        <v>180000</v>
      </c>
      <c r="K814" s="3">
        <v>131000</v>
      </c>
      <c r="L814" t="s">
        <v>21</v>
      </c>
      <c r="M814" t="s">
        <v>31</v>
      </c>
      <c r="N814" t="s">
        <v>87</v>
      </c>
      <c r="O814" t="s">
        <v>24</v>
      </c>
    </row>
    <row r="815" spans="1:15" x14ac:dyDescent="0.35">
      <c r="A815" t="s">
        <v>1687</v>
      </c>
      <c r="B815" s="2">
        <v>46112</v>
      </c>
      <c r="C815" t="s">
        <v>143</v>
      </c>
      <c r="D815" t="s">
        <v>1554</v>
      </c>
      <c r="E815" t="s">
        <v>56</v>
      </c>
      <c r="F815" t="s">
        <v>57</v>
      </c>
      <c r="G815" t="s">
        <v>34</v>
      </c>
      <c r="H815" t="s">
        <v>141</v>
      </c>
      <c r="I815">
        <v>10</v>
      </c>
      <c r="J815" s="3">
        <v>160000</v>
      </c>
      <c r="K815" s="3">
        <v>120000</v>
      </c>
      <c r="L815" t="s">
        <v>21</v>
      </c>
      <c r="M815" t="s">
        <v>31</v>
      </c>
      <c r="N815" t="s">
        <v>52</v>
      </c>
      <c r="O815" t="s">
        <v>24</v>
      </c>
    </row>
    <row r="816" spans="1:15" x14ac:dyDescent="0.35">
      <c r="A816" t="s">
        <v>1688</v>
      </c>
      <c r="B816" s="2">
        <v>46320</v>
      </c>
      <c r="C816" t="s">
        <v>913</v>
      </c>
      <c r="D816" t="s">
        <v>1689</v>
      </c>
      <c r="E816" t="s">
        <v>41</v>
      </c>
      <c r="F816" t="s">
        <v>42</v>
      </c>
      <c r="G816" t="s">
        <v>34</v>
      </c>
      <c r="H816" t="s">
        <v>95</v>
      </c>
      <c r="I816">
        <v>9</v>
      </c>
      <c r="J816" s="3">
        <v>450000</v>
      </c>
      <c r="K816" s="3">
        <v>358900</v>
      </c>
      <c r="L816" t="s">
        <v>96</v>
      </c>
      <c r="M816" t="s">
        <v>51</v>
      </c>
      <c r="N816" t="s">
        <v>87</v>
      </c>
      <c r="O816" t="s">
        <v>91</v>
      </c>
    </row>
    <row r="817" spans="1:15" x14ac:dyDescent="0.35">
      <c r="A817" t="s">
        <v>1690</v>
      </c>
      <c r="B817" s="2">
        <v>46108</v>
      </c>
      <c r="C817" t="s">
        <v>1245</v>
      </c>
      <c r="D817" t="s">
        <v>1691</v>
      </c>
      <c r="E817" t="s">
        <v>156</v>
      </c>
      <c r="F817" t="s">
        <v>170</v>
      </c>
      <c r="G817" t="s">
        <v>43</v>
      </c>
      <c r="H817" t="s">
        <v>44</v>
      </c>
      <c r="I817">
        <v>1</v>
      </c>
      <c r="J817" s="3">
        <v>15000</v>
      </c>
      <c r="K817" s="3">
        <v>9200</v>
      </c>
      <c r="L817" t="s">
        <v>80</v>
      </c>
      <c r="M817" t="s">
        <v>51</v>
      </c>
      <c r="N817" t="s">
        <v>87</v>
      </c>
      <c r="O817" t="s">
        <v>24</v>
      </c>
    </row>
    <row r="818" spans="1:15" x14ac:dyDescent="0.35">
      <c r="A818" t="s">
        <v>1692</v>
      </c>
      <c r="B818" s="2">
        <v>46055</v>
      </c>
      <c r="C818" t="s">
        <v>1693</v>
      </c>
      <c r="D818" t="s">
        <v>629</v>
      </c>
      <c r="E818" t="s">
        <v>18</v>
      </c>
      <c r="F818" t="s">
        <v>18</v>
      </c>
      <c r="G818" t="s">
        <v>19</v>
      </c>
      <c r="H818" t="s">
        <v>112</v>
      </c>
      <c r="I818">
        <v>5</v>
      </c>
      <c r="J818" s="3">
        <v>80800</v>
      </c>
      <c r="K818" s="3">
        <v>60100</v>
      </c>
      <c r="L818" t="s">
        <v>66</v>
      </c>
      <c r="M818" t="s">
        <v>37</v>
      </c>
      <c r="N818" t="s">
        <v>52</v>
      </c>
      <c r="O818" t="s">
        <v>91</v>
      </c>
    </row>
    <row r="819" spans="1:15" x14ac:dyDescent="0.35">
      <c r="A819" t="s">
        <v>1694</v>
      </c>
      <c r="B819" s="2">
        <v>46034</v>
      </c>
      <c r="C819" t="s">
        <v>353</v>
      </c>
      <c r="D819" t="s">
        <v>1377</v>
      </c>
      <c r="E819" t="s">
        <v>41</v>
      </c>
      <c r="F819" t="s">
        <v>42</v>
      </c>
      <c r="G819" t="s">
        <v>28</v>
      </c>
      <c r="H819" t="s">
        <v>72</v>
      </c>
      <c r="I819">
        <v>3</v>
      </c>
      <c r="J819" s="3">
        <v>10000</v>
      </c>
      <c r="K819" s="3">
        <v>6200</v>
      </c>
      <c r="L819" t="s">
        <v>80</v>
      </c>
      <c r="M819" t="s">
        <v>31</v>
      </c>
      <c r="N819" t="s">
        <v>87</v>
      </c>
      <c r="O819" t="s">
        <v>24</v>
      </c>
    </row>
    <row r="820" spans="1:15" x14ac:dyDescent="0.35">
      <c r="A820" t="s">
        <v>1695</v>
      </c>
      <c r="B820" s="2">
        <v>46113</v>
      </c>
      <c r="C820" t="s">
        <v>1696</v>
      </c>
      <c r="D820" t="s">
        <v>1099</v>
      </c>
      <c r="E820" t="s">
        <v>18</v>
      </c>
      <c r="F820" t="s">
        <v>18</v>
      </c>
      <c r="G820" t="s">
        <v>28</v>
      </c>
      <c r="H820" t="s">
        <v>72</v>
      </c>
      <c r="I820">
        <v>3</v>
      </c>
      <c r="J820" s="3">
        <v>10000</v>
      </c>
      <c r="K820" s="3">
        <v>6000</v>
      </c>
      <c r="L820" t="s">
        <v>36</v>
      </c>
      <c r="M820" t="s">
        <v>51</v>
      </c>
      <c r="N820" t="s">
        <v>23</v>
      </c>
      <c r="O820" t="s">
        <v>24</v>
      </c>
    </row>
    <row r="821" spans="1:15" x14ac:dyDescent="0.35">
      <c r="A821" t="s">
        <v>1697</v>
      </c>
      <c r="B821" s="2">
        <v>46196</v>
      </c>
      <c r="C821" t="s">
        <v>1214</v>
      </c>
      <c r="D821" t="s">
        <v>1403</v>
      </c>
      <c r="E821" t="s">
        <v>18</v>
      </c>
      <c r="F821" t="s">
        <v>18</v>
      </c>
      <c r="G821" t="s">
        <v>19</v>
      </c>
      <c r="H821" t="s">
        <v>61</v>
      </c>
      <c r="I821">
        <v>5</v>
      </c>
      <c r="J821" s="3">
        <v>209000</v>
      </c>
      <c r="K821" s="3">
        <v>164800</v>
      </c>
      <c r="L821" t="s">
        <v>73</v>
      </c>
      <c r="M821" t="s">
        <v>22</v>
      </c>
      <c r="N821" t="s">
        <v>23</v>
      </c>
      <c r="O821" t="s">
        <v>24</v>
      </c>
    </row>
    <row r="822" spans="1:15" x14ac:dyDescent="0.35">
      <c r="A822" t="s">
        <v>1698</v>
      </c>
      <c r="B822" s="2">
        <v>46256</v>
      </c>
      <c r="C822" t="s">
        <v>1051</v>
      </c>
      <c r="D822" t="s">
        <v>1699</v>
      </c>
      <c r="E822" t="s">
        <v>41</v>
      </c>
      <c r="F822" t="s">
        <v>42</v>
      </c>
      <c r="G822" t="s">
        <v>19</v>
      </c>
      <c r="H822" t="s">
        <v>112</v>
      </c>
      <c r="I822">
        <v>10</v>
      </c>
      <c r="J822" s="3">
        <v>85000</v>
      </c>
      <c r="K822" s="3">
        <v>62000</v>
      </c>
      <c r="L822" t="s">
        <v>66</v>
      </c>
      <c r="M822" t="s">
        <v>31</v>
      </c>
      <c r="N822" t="s">
        <v>23</v>
      </c>
      <c r="O822" t="s">
        <v>24</v>
      </c>
    </row>
    <row r="823" spans="1:15" x14ac:dyDescent="0.35">
      <c r="A823" t="s">
        <v>1700</v>
      </c>
      <c r="B823" s="2">
        <v>46118</v>
      </c>
      <c r="C823" t="s">
        <v>1701</v>
      </c>
      <c r="D823" t="s">
        <v>1412</v>
      </c>
      <c r="E823" t="s">
        <v>77</v>
      </c>
      <c r="F823" t="s">
        <v>78</v>
      </c>
      <c r="G823" t="s">
        <v>34</v>
      </c>
      <c r="H823" t="s">
        <v>35</v>
      </c>
      <c r="I823">
        <v>8</v>
      </c>
      <c r="J823" s="3">
        <v>52200</v>
      </c>
      <c r="K823" s="3">
        <v>39000</v>
      </c>
      <c r="L823" t="s">
        <v>21</v>
      </c>
      <c r="M823" t="s">
        <v>31</v>
      </c>
      <c r="N823" t="s">
        <v>23</v>
      </c>
      <c r="O823" t="s">
        <v>24</v>
      </c>
    </row>
    <row r="824" spans="1:15" x14ac:dyDescent="0.35">
      <c r="A824" t="s">
        <v>1702</v>
      </c>
      <c r="B824" s="2">
        <v>46355</v>
      </c>
      <c r="C824" t="s">
        <v>649</v>
      </c>
      <c r="D824" t="s">
        <v>713</v>
      </c>
      <c r="E824" t="s">
        <v>156</v>
      </c>
      <c r="F824" t="s">
        <v>170</v>
      </c>
      <c r="G824" t="s">
        <v>34</v>
      </c>
      <c r="H824" t="s">
        <v>95</v>
      </c>
      <c r="I824">
        <v>1</v>
      </c>
      <c r="J824" s="3">
        <v>450000</v>
      </c>
      <c r="K824" s="3">
        <v>358900</v>
      </c>
      <c r="L824" t="s">
        <v>50</v>
      </c>
      <c r="M824" t="s">
        <v>51</v>
      </c>
      <c r="N824" t="s">
        <v>23</v>
      </c>
      <c r="O824" t="s">
        <v>24</v>
      </c>
    </row>
    <row r="825" spans="1:15" x14ac:dyDescent="0.35">
      <c r="A825" t="s">
        <v>1703</v>
      </c>
      <c r="B825" s="2">
        <v>46233</v>
      </c>
      <c r="C825" t="s">
        <v>350</v>
      </c>
      <c r="D825" t="s">
        <v>576</v>
      </c>
      <c r="E825" t="s">
        <v>41</v>
      </c>
      <c r="F825" t="s">
        <v>42</v>
      </c>
      <c r="G825" t="s">
        <v>43</v>
      </c>
      <c r="H825" t="s">
        <v>162</v>
      </c>
      <c r="I825">
        <v>5</v>
      </c>
      <c r="J825" s="3">
        <v>8000</v>
      </c>
      <c r="K825" s="3">
        <v>4800</v>
      </c>
      <c r="L825" t="s">
        <v>66</v>
      </c>
      <c r="M825" t="s">
        <v>31</v>
      </c>
      <c r="N825" t="s">
        <v>23</v>
      </c>
      <c r="O825" t="s">
        <v>45</v>
      </c>
    </row>
    <row r="826" spans="1:15" x14ac:dyDescent="0.35">
      <c r="A826" t="s">
        <v>1704</v>
      </c>
      <c r="B826" s="2">
        <v>46294</v>
      </c>
      <c r="C826" t="s">
        <v>1134</v>
      </c>
      <c r="D826" t="s">
        <v>646</v>
      </c>
      <c r="E826" t="s">
        <v>84</v>
      </c>
      <c r="F826" t="s">
        <v>85</v>
      </c>
      <c r="G826" t="s">
        <v>34</v>
      </c>
      <c r="H826" t="s">
        <v>158</v>
      </c>
      <c r="I826">
        <v>5</v>
      </c>
      <c r="J826" s="3">
        <v>99800</v>
      </c>
      <c r="K826" s="3">
        <v>72100</v>
      </c>
      <c r="L826" t="s">
        <v>80</v>
      </c>
      <c r="M826" t="s">
        <v>51</v>
      </c>
      <c r="N826" t="s">
        <v>23</v>
      </c>
      <c r="O826" t="s">
        <v>24</v>
      </c>
    </row>
    <row r="827" spans="1:15" x14ac:dyDescent="0.35">
      <c r="A827" t="s">
        <v>1705</v>
      </c>
      <c r="B827" s="2">
        <v>46106</v>
      </c>
      <c r="C827" t="s">
        <v>749</v>
      </c>
      <c r="D827" t="s">
        <v>613</v>
      </c>
      <c r="E827" t="s">
        <v>156</v>
      </c>
      <c r="F827" t="s">
        <v>170</v>
      </c>
      <c r="G827" t="s">
        <v>43</v>
      </c>
      <c r="H827" t="s">
        <v>177</v>
      </c>
      <c r="I827">
        <v>3</v>
      </c>
      <c r="J827" s="3">
        <v>17100</v>
      </c>
      <c r="K827" s="3">
        <v>12100</v>
      </c>
      <c r="L827" t="s">
        <v>80</v>
      </c>
      <c r="M827" t="s">
        <v>51</v>
      </c>
      <c r="N827" t="s">
        <v>87</v>
      </c>
      <c r="O827" t="s">
        <v>24</v>
      </c>
    </row>
    <row r="828" spans="1:15" x14ac:dyDescent="0.35">
      <c r="A828" t="s">
        <v>1706</v>
      </c>
      <c r="B828" s="2">
        <v>46360</v>
      </c>
      <c r="C828" t="s">
        <v>1192</v>
      </c>
      <c r="D828" t="s">
        <v>1707</v>
      </c>
      <c r="E828" t="s">
        <v>70</v>
      </c>
      <c r="F828" t="s">
        <v>71</v>
      </c>
      <c r="G828" t="s">
        <v>43</v>
      </c>
      <c r="H828" t="s">
        <v>49</v>
      </c>
      <c r="I828">
        <v>7</v>
      </c>
      <c r="J828" s="3">
        <v>9400</v>
      </c>
      <c r="K828" s="3">
        <v>6000</v>
      </c>
      <c r="L828" t="s">
        <v>73</v>
      </c>
      <c r="M828" t="s">
        <v>51</v>
      </c>
      <c r="N828" t="s">
        <v>23</v>
      </c>
      <c r="O828" t="s">
        <v>24</v>
      </c>
    </row>
    <row r="829" spans="1:15" x14ac:dyDescent="0.35">
      <c r="A829" t="s">
        <v>1708</v>
      </c>
      <c r="B829" s="2">
        <v>46051</v>
      </c>
      <c r="C829" t="s">
        <v>618</v>
      </c>
      <c r="D829" t="s">
        <v>546</v>
      </c>
      <c r="E829" t="s">
        <v>156</v>
      </c>
      <c r="F829" t="s">
        <v>157</v>
      </c>
      <c r="G829" t="s">
        <v>43</v>
      </c>
      <c r="H829" t="s">
        <v>44</v>
      </c>
      <c r="I829">
        <v>5</v>
      </c>
      <c r="J829" s="3">
        <v>15800</v>
      </c>
      <c r="K829" s="3">
        <v>9200</v>
      </c>
      <c r="L829" t="s">
        <v>36</v>
      </c>
      <c r="M829" t="s">
        <v>51</v>
      </c>
      <c r="N829" t="s">
        <v>52</v>
      </c>
      <c r="O829" t="s">
        <v>24</v>
      </c>
    </row>
    <row r="830" spans="1:15" x14ac:dyDescent="0.35">
      <c r="A830" t="s">
        <v>1709</v>
      </c>
      <c r="B830" s="2">
        <v>46073</v>
      </c>
      <c r="C830" t="s">
        <v>1085</v>
      </c>
      <c r="D830" t="s">
        <v>1028</v>
      </c>
      <c r="E830" t="s">
        <v>18</v>
      </c>
      <c r="F830" t="s">
        <v>18</v>
      </c>
      <c r="G830" t="s">
        <v>34</v>
      </c>
      <c r="H830" t="s">
        <v>141</v>
      </c>
      <c r="I830">
        <v>6</v>
      </c>
      <c r="J830" s="3">
        <v>168000</v>
      </c>
      <c r="K830" s="3">
        <v>120000</v>
      </c>
      <c r="L830" t="s">
        <v>50</v>
      </c>
      <c r="M830" t="s">
        <v>37</v>
      </c>
      <c r="N830" t="s">
        <v>52</v>
      </c>
      <c r="O830" t="s">
        <v>24</v>
      </c>
    </row>
    <row r="831" spans="1:15" x14ac:dyDescent="0.35">
      <c r="A831" t="s">
        <v>1710</v>
      </c>
      <c r="B831" s="2">
        <v>46042</v>
      </c>
      <c r="C831" t="s">
        <v>104</v>
      </c>
      <c r="D831" t="s">
        <v>979</v>
      </c>
      <c r="E831" t="s">
        <v>156</v>
      </c>
      <c r="F831" t="s">
        <v>157</v>
      </c>
      <c r="G831" t="s">
        <v>28</v>
      </c>
      <c r="H831" t="s">
        <v>248</v>
      </c>
      <c r="I831">
        <v>1</v>
      </c>
      <c r="J831" s="3">
        <v>25000</v>
      </c>
      <c r="K831" s="3">
        <v>16000</v>
      </c>
      <c r="L831" t="s">
        <v>96</v>
      </c>
      <c r="M831" t="s">
        <v>22</v>
      </c>
      <c r="N831" t="s">
        <v>23</v>
      </c>
      <c r="O831" t="s">
        <v>24</v>
      </c>
    </row>
    <row r="832" spans="1:15" x14ac:dyDescent="0.35">
      <c r="A832" t="s">
        <v>1711</v>
      </c>
      <c r="B832" s="2">
        <v>46370</v>
      </c>
      <c r="C832" t="s">
        <v>382</v>
      </c>
      <c r="D832" t="s">
        <v>306</v>
      </c>
      <c r="E832" t="s">
        <v>18</v>
      </c>
      <c r="F832" t="s">
        <v>18</v>
      </c>
      <c r="G832" t="s">
        <v>19</v>
      </c>
      <c r="H832" t="s">
        <v>112</v>
      </c>
      <c r="I832">
        <v>6</v>
      </c>
      <c r="J832" s="3">
        <v>89200</v>
      </c>
      <c r="K832" s="3">
        <v>60100</v>
      </c>
      <c r="L832" t="s">
        <v>30</v>
      </c>
      <c r="M832" t="s">
        <v>37</v>
      </c>
      <c r="N832" t="s">
        <v>23</v>
      </c>
      <c r="O832" t="s">
        <v>24</v>
      </c>
    </row>
    <row r="833" spans="1:15" x14ac:dyDescent="0.35">
      <c r="A833" t="s">
        <v>1712</v>
      </c>
      <c r="B833" s="2">
        <v>46112</v>
      </c>
      <c r="C833" t="s">
        <v>927</v>
      </c>
      <c r="D833" t="s">
        <v>465</v>
      </c>
      <c r="E833" t="s">
        <v>56</v>
      </c>
      <c r="F833" t="s">
        <v>57</v>
      </c>
      <c r="G833" t="s">
        <v>34</v>
      </c>
      <c r="H833" t="s">
        <v>86</v>
      </c>
      <c r="I833">
        <v>5</v>
      </c>
      <c r="J833" s="3">
        <v>189000</v>
      </c>
      <c r="K833" s="3">
        <v>135000</v>
      </c>
      <c r="L833" t="s">
        <v>36</v>
      </c>
      <c r="M833" t="s">
        <v>51</v>
      </c>
      <c r="N833" t="s">
        <v>52</v>
      </c>
      <c r="O833" t="s">
        <v>24</v>
      </c>
    </row>
    <row r="834" spans="1:15" x14ac:dyDescent="0.35">
      <c r="A834" t="s">
        <v>1713</v>
      </c>
      <c r="B834" s="2">
        <v>46305</v>
      </c>
      <c r="C834" t="s">
        <v>293</v>
      </c>
      <c r="D834" t="s">
        <v>1202</v>
      </c>
      <c r="E834" t="s">
        <v>56</v>
      </c>
      <c r="F834" t="s">
        <v>57</v>
      </c>
      <c r="G834" t="s">
        <v>28</v>
      </c>
      <c r="H834" t="s">
        <v>248</v>
      </c>
      <c r="I834">
        <v>6</v>
      </c>
      <c r="J834" s="3">
        <v>25000</v>
      </c>
      <c r="K834" s="3">
        <v>15500</v>
      </c>
      <c r="L834" t="s">
        <v>96</v>
      </c>
      <c r="M834" t="s">
        <v>37</v>
      </c>
      <c r="N834" t="s">
        <v>52</v>
      </c>
      <c r="O834" t="s">
        <v>91</v>
      </c>
    </row>
    <row r="835" spans="1:15" x14ac:dyDescent="0.35">
      <c r="A835" t="s">
        <v>1714</v>
      </c>
      <c r="B835" s="2">
        <v>46185</v>
      </c>
      <c r="C835" t="s">
        <v>1715</v>
      </c>
      <c r="D835" t="s">
        <v>1573</v>
      </c>
      <c r="E835" t="s">
        <v>41</v>
      </c>
      <c r="F835" t="s">
        <v>42</v>
      </c>
      <c r="G835" t="s">
        <v>34</v>
      </c>
      <c r="H835" t="s">
        <v>35</v>
      </c>
      <c r="I835">
        <v>3</v>
      </c>
      <c r="J835" s="3">
        <v>55000</v>
      </c>
      <c r="K835" s="3">
        <v>39000</v>
      </c>
      <c r="L835" t="s">
        <v>36</v>
      </c>
      <c r="M835" t="s">
        <v>22</v>
      </c>
      <c r="N835" t="s">
        <v>23</v>
      </c>
      <c r="O835" t="s">
        <v>24</v>
      </c>
    </row>
    <row r="836" spans="1:15" x14ac:dyDescent="0.35">
      <c r="A836" t="s">
        <v>1716</v>
      </c>
      <c r="B836" s="2">
        <v>46321</v>
      </c>
      <c r="C836" t="s">
        <v>1266</v>
      </c>
      <c r="D836" t="s">
        <v>1717</v>
      </c>
      <c r="E836" t="s">
        <v>156</v>
      </c>
      <c r="F836" t="s">
        <v>157</v>
      </c>
      <c r="G836" t="s">
        <v>43</v>
      </c>
      <c r="H836" t="s">
        <v>79</v>
      </c>
      <c r="I836">
        <v>5</v>
      </c>
      <c r="J836" s="3">
        <v>6000</v>
      </c>
      <c r="K836" s="3">
        <v>4100</v>
      </c>
      <c r="L836" t="s">
        <v>73</v>
      </c>
      <c r="M836" t="s">
        <v>31</v>
      </c>
      <c r="N836" t="s">
        <v>23</v>
      </c>
      <c r="O836" t="s">
        <v>91</v>
      </c>
    </row>
    <row r="837" spans="1:15" x14ac:dyDescent="0.35">
      <c r="A837" t="s">
        <v>1718</v>
      </c>
      <c r="B837" s="2">
        <v>46379</v>
      </c>
      <c r="C837" t="s">
        <v>481</v>
      </c>
      <c r="D837" t="s">
        <v>144</v>
      </c>
      <c r="E837" t="s">
        <v>18</v>
      </c>
      <c r="F837" t="s">
        <v>18</v>
      </c>
      <c r="G837" t="s">
        <v>19</v>
      </c>
      <c r="H837" t="s">
        <v>20</v>
      </c>
      <c r="I837">
        <v>8</v>
      </c>
      <c r="J837" s="3">
        <v>65000</v>
      </c>
      <c r="K837" s="3">
        <v>45000</v>
      </c>
      <c r="L837" t="s">
        <v>66</v>
      </c>
      <c r="M837" t="s">
        <v>37</v>
      </c>
      <c r="N837" t="s">
        <v>52</v>
      </c>
      <c r="O837" t="s">
        <v>24</v>
      </c>
    </row>
    <row r="838" spans="1:15" x14ac:dyDescent="0.35">
      <c r="A838" t="s">
        <v>1719</v>
      </c>
      <c r="B838" s="2">
        <v>46158</v>
      </c>
      <c r="C838" t="s">
        <v>1056</v>
      </c>
      <c r="D838" t="s">
        <v>1141</v>
      </c>
      <c r="E838" t="s">
        <v>18</v>
      </c>
      <c r="F838" t="s">
        <v>18</v>
      </c>
      <c r="G838" t="s">
        <v>43</v>
      </c>
      <c r="H838" t="s">
        <v>44</v>
      </c>
      <c r="I838">
        <v>8</v>
      </c>
      <c r="J838" s="3">
        <v>15000</v>
      </c>
      <c r="K838" s="3">
        <v>9800</v>
      </c>
      <c r="L838" t="s">
        <v>30</v>
      </c>
      <c r="M838" t="s">
        <v>37</v>
      </c>
      <c r="N838" t="s">
        <v>23</v>
      </c>
      <c r="O838" t="s">
        <v>91</v>
      </c>
    </row>
    <row r="839" spans="1:15" x14ac:dyDescent="0.35">
      <c r="A839" t="s">
        <v>1720</v>
      </c>
      <c r="B839" s="2">
        <v>46195</v>
      </c>
      <c r="C839" t="s">
        <v>1527</v>
      </c>
      <c r="D839" t="s">
        <v>1559</v>
      </c>
      <c r="E839" t="s">
        <v>41</v>
      </c>
      <c r="F839" t="s">
        <v>42</v>
      </c>
      <c r="G839" t="s">
        <v>19</v>
      </c>
      <c r="H839" t="s">
        <v>61</v>
      </c>
      <c r="I839">
        <v>7</v>
      </c>
      <c r="J839" s="3">
        <v>220000</v>
      </c>
      <c r="K839" s="3">
        <v>164800</v>
      </c>
      <c r="L839" t="s">
        <v>50</v>
      </c>
      <c r="M839" t="s">
        <v>31</v>
      </c>
      <c r="N839" t="s">
        <v>87</v>
      </c>
      <c r="O839" t="s">
        <v>24</v>
      </c>
    </row>
    <row r="840" spans="1:15" x14ac:dyDescent="0.35">
      <c r="A840" t="s">
        <v>1721</v>
      </c>
      <c r="B840" s="2">
        <v>46284</v>
      </c>
      <c r="C840" t="s">
        <v>537</v>
      </c>
      <c r="D840" t="s">
        <v>1079</v>
      </c>
      <c r="E840" t="s">
        <v>70</v>
      </c>
      <c r="F840" t="s">
        <v>71</v>
      </c>
      <c r="G840" t="s">
        <v>28</v>
      </c>
      <c r="H840" t="s">
        <v>72</v>
      </c>
      <c r="I840">
        <v>5</v>
      </c>
      <c r="J840" s="3">
        <v>10000</v>
      </c>
      <c r="K840" s="3">
        <v>6000</v>
      </c>
      <c r="L840" t="s">
        <v>96</v>
      </c>
      <c r="M840" t="s">
        <v>51</v>
      </c>
      <c r="N840" t="s">
        <v>52</v>
      </c>
      <c r="O840" t="s">
        <v>24</v>
      </c>
    </row>
    <row r="841" spans="1:15" x14ac:dyDescent="0.35">
      <c r="A841" t="s">
        <v>1722</v>
      </c>
      <c r="B841" s="2">
        <v>46236</v>
      </c>
      <c r="C841" t="s">
        <v>832</v>
      </c>
      <c r="D841" t="s">
        <v>1427</v>
      </c>
      <c r="E841" t="s">
        <v>18</v>
      </c>
      <c r="F841" t="s">
        <v>18</v>
      </c>
      <c r="G841" t="s">
        <v>43</v>
      </c>
      <c r="H841" t="s">
        <v>49</v>
      </c>
      <c r="I841">
        <v>4</v>
      </c>
      <c r="J841" s="3">
        <v>8600</v>
      </c>
      <c r="K841" s="3">
        <v>5600</v>
      </c>
      <c r="L841" t="s">
        <v>30</v>
      </c>
      <c r="M841" t="s">
        <v>51</v>
      </c>
      <c r="N841" t="s">
        <v>23</v>
      </c>
      <c r="O841" t="s">
        <v>24</v>
      </c>
    </row>
    <row r="842" spans="1:15" x14ac:dyDescent="0.35">
      <c r="A842" t="s">
        <v>1723</v>
      </c>
      <c r="B842" s="2">
        <v>46335</v>
      </c>
      <c r="C842" t="s">
        <v>373</v>
      </c>
      <c r="D842" t="s">
        <v>854</v>
      </c>
      <c r="E842" t="s">
        <v>70</v>
      </c>
      <c r="F842" t="s">
        <v>71</v>
      </c>
      <c r="G842" t="s">
        <v>34</v>
      </c>
      <c r="H842" t="s">
        <v>86</v>
      </c>
      <c r="I842">
        <v>8</v>
      </c>
      <c r="J842" s="3">
        <v>171000</v>
      </c>
      <c r="K842" s="3">
        <v>135000</v>
      </c>
      <c r="L842" t="s">
        <v>36</v>
      </c>
      <c r="M842" t="s">
        <v>31</v>
      </c>
      <c r="N842" t="s">
        <v>23</v>
      </c>
      <c r="O842" t="s">
        <v>24</v>
      </c>
    </row>
    <row r="843" spans="1:15" x14ac:dyDescent="0.35">
      <c r="A843" t="s">
        <v>1724</v>
      </c>
      <c r="B843" s="2">
        <v>46172</v>
      </c>
      <c r="C843" t="s">
        <v>1620</v>
      </c>
      <c r="D843" t="s">
        <v>124</v>
      </c>
      <c r="E843" t="s">
        <v>56</v>
      </c>
      <c r="F843" t="s">
        <v>57</v>
      </c>
      <c r="G843" t="s">
        <v>19</v>
      </c>
      <c r="H843" t="s">
        <v>166</v>
      </c>
      <c r="I843">
        <v>3</v>
      </c>
      <c r="J843" s="3">
        <v>133000</v>
      </c>
      <c r="K843" s="3">
        <v>97000</v>
      </c>
      <c r="L843" t="s">
        <v>96</v>
      </c>
      <c r="M843" t="s">
        <v>22</v>
      </c>
      <c r="N843" t="s">
        <v>52</v>
      </c>
      <c r="O843" t="s">
        <v>24</v>
      </c>
    </row>
    <row r="844" spans="1:15" x14ac:dyDescent="0.35">
      <c r="A844" t="s">
        <v>1725</v>
      </c>
      <c r="B844" s="2">
        <v>46084</v>
      </c>
      <c r="C844" t="s">
        <v>603</v>
      </c>
      <c r="D844" t="s">
        <v>406</v>
      </c>
      <c r="E844" t="s">
        <v>18</v>
      </c>
      <c r="F844" t="s">
        <v>18</v>
      </c>
      <c r="G844" t="s">
        <v>34</v>
      </c>
      <c r="H844" t="s">
        <v>86</v>
      </c>
      <c r="I844">
        <v>10</v>
      </c>
      <c r="J844" s="3">
        <v>180000</v>
      </c>
      <c r="K844" s="3">
        <v>139000</v>
      </c>
      <c r="L844" t="s">
        <v>66</v>
      </c>
      <c r="M844" t="s">
        <v>31</v>
      </c>
      <c r="N844" t="s">
        <v>23</v>
      </c>
      <c r="O844" t="s">
        <v>24</v>
      </c>
    </row>
    <row r="845" spans="1:15" x14ac:dyDescent="0.35">
      <c r="A845" t="s">
        <v>1726</v>
      </c>
      <c r="B845" s="2">
        <v>46181</v>
      </c>
      <c r="C845" t="s">
        <v>290</v>
      </c>
      <c r="D845" t="s">
        <v>180</v>
      </c>
      <c r="E845" t="s">
        <v>156</v>
      </c>
      <c r="F845" t="s">
        <v>157</v>
      </c>
      <c r="G845" t="s">
        <v>19</v>
      </c>
      <c r="H845" t="s">
        <v>20</v>
      </c>
      <c r="I845">
        <v>3</v>
      </c>
      <c r="J845" s="3">
        <v>65000</v>
      </c>
      <c r="K845" s="3">
        <v>46400</v>
      </c>
      <c r="L845" t="s">
        <v>36</v>
      </c>
      <c r="M845" t="s">
        <v>37</v>
      </c>
      <c r="N845" t="s">
        <v>23</v>
      </c>
      <c r="O845" t="s">
        <v>24</v>
      </c>
    </row>
    <row r="846" spans="1:15" x14ac:dyDescent="0.35">
      <c r="A846" t="s">
        <v>1727</v>
      </c>
      <c r="B846" s="2">
        <v>46205</v>
      </c>
      <c r="C846" t="s">
        <v>603</v>
      </c>
      <c r="D846" t="s">
        <v>1728</v>
      </c>
      <c r="E846" t="s">
        <v>156</v>
      </c>
      <c r="F846" t="s">
        <v>170</v>
      </c>
      <c r="G846" t="s">
        <v>43</v>
      </c>
      <c r="H846" t="s">
        <v>162</v>
      </c>
      <c r="I846">
        <v>6</v>
      </c>
      <c r="J846" s="3">
        <v>8400</v>
      </c>
      <c r="K846" s="3">
        <v>5200</v>
      </c>
      <c r="L846" t="s">
        <v>36</v>
      </c>
      <c r="M846" t="s">
        <v>22</v>
      </c>
      <c r="N846" t="s">
        <v>23</v>
      </c>
      <c r="O846" t="s">
        <v>24</v>
      </c>
    </row>
    <row r="847" spans="1:15" x14ac:dyDescent="0.35">
      <c r="A847" t="s">
        <v>1729</v>
      </c>
      <c r="B847" s="2">
        <v>46240</v>
      </c>
      <c r="C847" t="s">
        <v>1321</v>
      </c>
      <c r="D847" t="s">
        <v>567</v>
      </c>
      <c r="E847" t="s">
        <v>18</v>
      </c>
      <c r="F847" t="s">
        <v>18</v>
      </c>
      <c r="G847" t="s">
        <v>34</v>
      </c>
      <c r="H847" t="s">
        <v>86</v>
      </c>
      <c r="I847">
        <v>2</v>
      </c>
      <c r="J847" s="3">
        <v>189000</v>
      </c>
      <c r="K847" s="3">
        <v>139000</v>
      </c>
      <c r="L847" t="s">
        <v>50</v>
      </c>
      <c r="M847" t="s">
        <v>51</v>
      </c>
      <c r="N847" t="s">
        <v>52</v>
      </c>
      <c r="O847" t="s">
        <v>24</v>
      </c>
    </row>
    <row r="848" spans="1:15" x14ac:dyDescent="0.35">
      <c r="A848" t="s">
        <v>1730</v>
      </c>
      <c r="B848" s="2">
        <v>46178</v>
      </c>
      <c r="C848" t="s">
        <v>1463</v>
      </c>
      <c r="D848" t="s">
        <v>1023</v>
      </c>
      <c r="E848" t="s">
        <v>18</v>
      </c>
      <c r="F848" t="s">
        <v>18</v>
      </c>
      <c r="G848" t="s">
        <v>19</v>
      </c>
      <c r="H848" t="s">
        <v>61</v>
      </c>
      <c r="I848">
        <v>9</v>
      </c>
      <c r="J848" s="3">
        <v>231000</v>
      </c>
      <c r="K848" s="3">
        <v>155200</v>
      </c>
      <c r="L848" t="s">
        <v>21</v>
      </c>
      <c r="M848" t="s">
        <v>37</v>
      </c>
      <c r="N848" t="s">
        <v>87</v>
      </c>
      <c r="O848" t="s">
        <v>24</v>
      </c>
    </row>
    <row r="849" spans="1:15" x14ac:dyDescent="0.35">
      <c r="A849" t="s">
        <v>1731</v>
      </c>
      <c r="B849" s="2">
        <v>46244</v>
      </c>
      <c r="C849" t="s">
        <v>1732</v>
      </c>
      <c r="D849" t="s">
        <v>482</v>
      </c>
      <c r="E849" t="s">
        <v>56</v>
      </c>
      <c r="F849" t="s">
        <v>57</v>
      </c>
      <c r="G849" t="s">
        <v>43</v>
      </c>
      <c r="H849" t="s">
        <v>49</v>
      </c>
      <c r="I849">
        <v>9</v>
      </c>
      <c r="J849" s="3">
        <v>9000</v>
      </c>
      <c r="K849" s="3">
        <v>5800</v>
      </c>
      <c r="L849" t="s">
        <v>36</v>
      </c>
      <c r="M849" t="s">
        <v>22</v>
      </c>
      <c r="N849" t="s">
        <v>52</v>
      </c>
      <c r="O849" t="s">
        <v>24</v>
      </c>
    </row>
    <row r="850" spans="1:15" x14ac:dyDescent="0.35">
      <c r="A850" t="s">
        <v>1733</v>
      </c>
      <c r="B850" s="2">
        <v>46150</v>
      </c>
      <c r="C850" t="s">
        <v>1509</v>
      </c>
      <c r="D850" t="s">
        <v>1654</v>
      </c>
      <c r="E850" t="s">
        <v>84</v>
      </c>
      <c r="F850" t="s">
        <v>85</v>
      </c>
      <c r="G850" t="s">
        <v>19</v>
      </c>
      <c r="H850" t="s">
        <v>112</v>
      </c>
      <c r="I850">
        <v>7</v>
      </c>
      <c r="J850" s="3">
        <v>80800</v>
      </c>
      <c r="K850" s="3">
        <v>63900</v>
      </c>
      <c r="L850" t="s">
        <v>73</v>
      </c>
      <c r="M850" t="s">
        <v>22</v>
      </c>
      <c r="N850" t="s">
        <v>23</v>
      </c>
      <c r="O850" t="s">
        <v>24</v>
      </c>
    </row>
    <row r="851" spans="1:15" x14ac:dyDescent="0.35">
      <c r="A851" t="s">
        <v>1734</v>
      </c>
      <c r="B851" s="2">
        <v>46336</v>
      </c>
      <c r="C851" t="s">
        <v>919</v>
      </c>
      <c r="D851" t="s">
        <v>161</v>
      </c>
      <c r="E851" t="s">
        <v>18</v>
      </c>
      <c r="F851" t="s">
        <v>18</v>
      </c>
      <c r="G851" t="s">
        <v>28</v>
      </c>
      <c r="H851" t="s">
        <v>248</v>
      </c>
      <c r="I851">
        <v>2</v>
      </c>
      <c r="J851" s="3">
        <v>25000</v>
      </c>
      <c r="K851" s="3">
        <v>15500</v>
      </c>
      <c r="L851" t="s">
        <v>30</v>
      </c>
      <c r="M851" t="s">
        <v>31</v>
      </c>
      <c r="N851" t="s">
        <v>52</v>
      </c>
      <c r="O851" t="s">
        <v>91</v>
      </c>
    </row>
    <row r="852" spans="1:15" x14ac:dyDescent="0.35">
      <c r="A852" t="s">
        <v>1735</v>
      </c>
      <c r="B852" s="2">
        <v>46182</v>
      </c>
      <c r="C852" t="s">
        <v>1503</v>
      </c>
      <c r="D852" t="s">
        <v>462</v>
      </c>
      <c r="E852" t="s">
        <v>84</v>
      </c>
      <c r="F852" t="s">
        <v>85</v>
      </c>
      <c r="G852" t="s">
        <v>34</v>
      </c>
      <c r="H852" t="s">
        <v>141</v>
      </c>
      <c r="I852">
        <v>9</v>
      </c>
      <c r="J852" s="3">
        <v>160000</v>
      </c>
      <c r="K852" s="3">
        <v>120000</v>
      </c>
      <c r="L852" t="s">
        <v>66</v>
      </c>
      <c r="M852" t="s">
        <v>37</v>
      </c>
      <c r="N852" t="s">
        <v>87</v>
      </c>
      <c r="O852" t="s">
        <v>24</v>
      </c>
    </row>
    <row r="853" spans="1:15" x14ac:dyDescent="0.35">
      <c r="A853" t="s">
        <v>1736</v>
      </c>
      <c r="B853" s="2">
        <v>46275</v>
      </c>
      <c r="C853" t="s">
        <v>172</v>
      </c>
      <c r="D853" t="s">
        <v>833</v>
      </c>
      <c r="E853" t="s">
        <v>56</v>
      </c>
      <c r="F853" t="s">
        <v>57</v>
      </c>
      <c r="G853" t="s">
        <v>28</v>
      </c>
      <c r="H853" t="s">
        <v>248</v>
      </c>
      <c r="I853">
        <v>10</v>
      </c>
      <c r="J853" s="3">
        <v>23800</v>
      </c>
      <c r="K853" s="3">
        <v>15500</v>
      </c>
      <c r="L853" t="s">
        <v>73</v>
      </c>
      <c r="M853" t="s">
        <v>51</v>
      </c>
      <c r="N853" t="s">
        <v>23</v>
      </c>
      <c r="O853" t="s">
        <v>91</v>
      </c>
    </row>
    <row r="854" spans="1:15" x14ac:dyDescent="0.35">
      <c r="A854" t="s">
        <v>1737</v>
      </c>
      <c r="B854" s="2">
        <v>46184</v>
      </c>
      <c r="C854" t="s">
        <v>1651</v>
      </c>
      <c r="D854" t="s">
        <v>1738</v>
      </c>
      <c r="E854" t="s">
        <v>77</v>
      </c>
      <c r="F854" t="s">
        <v>78</v>
      </c>
      <c r="G854" t="s">
        <v>34</v>
      </c>
      <c r="H854" t="s">
        <v>95</v>
      </c>
      <c r="I854">
        <v>2</v>
      </c>
      <c r="J854" s="3">
        <v>450000</v>
      </c>
      <c r="K854" s="3">
        <v>358900</v>
      </c>
      <c r="L854" t="s">
        <v>80</v>
      </c>
      <c r="M854" t="s">
        <v>51</v>
      </c>
      <c r="N854" t="s">
        <v>87</v>
      </c>
      <c r="O854" t="s">
        <v>24</v>
      </c>
    </row>
    <row r="855" spans="1:15" x14ac:dyDescent="0.35">
      <c r="A855" t="s">
        <v>1739</v>
      </c>
      <c r="B855" s="2">
        <v>46071</v>
      </c>
      <c r="C855" t="s">
        <v>1529</v>
      </c>
      <c r="D855" t="s">
        <v>672</v>
      </c>
      <c r="E855" t="s">
        <v>18</v>
      </c>
      <c r="F855" t="s">
        <v>18</v>
      </c>
      <c r="G855" t="s">
        <v>19</v>
      </c>
      <c r="H855" t="s">
        <v>20</v>
      </c>
      <c r="I855">
        <v>2</v>
      </c>
      <c r="J855" s="3">
        <v>61800</v>
      </c>
      <c r="K855" s="3">
        <v>43600</v>
      </c>
      <c r="L855" t="s">
        <v>21</v>
      </c>
      <c r="M855" t="s">
        <v>51</v>
      </c>
      <c r="N855" t="s">
        <v>52</v>
      </c>
      <c r="O855" t="s">
        <v>24</v>
      </c>
    </row>
    <row r="856" spans="1:15" x14ac:dyDescent="0.35">
      <c r="A856" t="s">
        <v>1740</v>
      </c>
      <c r="B856" s="2">
        <v>46185</v>
      </c>
      <c r="C856" t="s">
        <v>1321</v>
      </c>
      <c r="D856" t="s">
        <v>1741</v>
      </c>
      <c r="E856" t="s">
        <v>156</v>
      </c>
      <c r="F856" t="s">
        <v>170</v>
      </c>
      <c r="G856" t="s">
        <v>34</v>
      </c>
      <c r="H856" t="s">
        <v>35</v>
      </c>
      <c r="I856">
        <v>5</v>
      </c>
      <c r="J856" s="3">
        <v>55000</v>
      </c>
      <c r="K856" s="3">
        <v>39000</v>
      </c>
      <c r="L856" t="s">
        <v>36</v>
      </c>
      <c r="M856" t="s">
        <v>37</v>
      </c>
      <c r="N856" t="s">
        <v>52</v>
      </c>
      <c r="O856" t="s">
        <v>45</v>
      </c>
    </row>
    <row r="857" spans="1:15" x14ac:dyDescent="0.35">
      <c r="A857" t="s">
        <v>1742</v>
      </c>
      <c r="B857" s="2">
        <v>46132</v>
      </c>
      <c r="C857" t="s">
        <v>1743</v>
      </c>
      <c r="D857" t="s">
        <v>709</v>
      </c>
      <c r="E857" t="s">
        <v>41</v>
      </c>
      <c r="F857" t="s">
        <v>42</v>
      </c>
      <c r="G857" t="s">
        <v>43</v>
      </c>
      <c r="H857" t="s">
        <v>79</v>
      </c>
      <c r="I857">
        <v>9</v>
      </c>
      <c r="J857" s="3">
        <v>6000</v>
      </c>
      <c r="K857" s="3">
        <v>4200</v>
      </c>
      <c r="L857" t="s">
        <v>96</v>
      </c>
      <c r="M857" t="s">
        <v>22</v>
      </c>
      <c r="N857" t="s">
        <v>52</v>
      </c>
      <c r="O857" t="s">
        <v>24</v>
      </c>
    </row>
    <row r="858" spans="1:15" x14ac:dyDescent="0.35">
      <c r="A858" t="s">
        <v>1744</v>
      </c>
      <c r="B858" s="2">
        <v>46053</v>
      </c>
      <c r="C858" t="s">
        <v>283</v>
      </c>
      <c r="D858" t="s">
        <v>560</v>
      </c>
      <c r="E858" t="s">
        <v>84</v>
      </c>
      <c r="F858" t="s">
        <v>85</v>
      </c>
      <c r="G858" t="s">
        <v>19</v>
      </c>
      <c r="H858" t="s">
        <v>112</v>
      </c>
      <c r="I858">
        <v>8</v>
      </c>
      <c r="J858" s="3">
        <v>85000</v>
      </c>
      <c r="K858" s="3">
        <v>60100</v>
      </c>
      <c r="L858" t="s">
        <v>73</v>
      </c>
      <c r="M858" t="s">
        <v>37</v>
      </c>
      <c r="N858" t="s">
        <v>87</v>
      </c>
      <c r="O858" t="s">
        <v>24</v>
      </c>
    </row>
    <row r="859" spans="1:15" x14ac:dyDescent="0.35">
      <c r="A859" t="s">
        <v>1745</v>
      </c>
      <c r="B859" s="2">
        <v>46068</v>
      </c>
      <c r="C859" t="s">
        <v>1010</v>
      </c>
      <c r="D859" t="s">
        <v>1181</v>
      </c>
      <c r="E859" t="s">
        <v>56</v>
      </c>
      <c r="F859" t="s">
        <v>57</v>
      </c>
      <c r="G859" t="s">
        <v>19</v>
      </c>
      <c r="H859" t="s">
        <v>112</v>
      </c>
      <c r="I859">
        <v>6</v>
      </c>
      <c r="J859" s="3">
        <v>89200</v>
      </c>
      <c r="K859" s="3">
        <v>62000</v>
      </c>
      <c r="L859" t="s">
        <v>80</v>
      </c>
      <c r="M859" t="s">
        <v>31</v>
      </c>
      <c r="N859" t="s">
        <v>52</v>
      </c>
      <c r="O859" t="s">
        <v>24</v>
      </c>
    </row>
    <row r="860" spans="1:15" x14ac:dyDescent="0.35">
      <c r="A860" t="s">
        <v>1746</v>
      </c>
      <c r="B860" s="2">
        <v>46067</v>
      </c>
      <c r="C860" t="s">
        <v>1747</v>
      </c>
      <c r="D860" t="s">
        <v>194</v>
      </c>
      <c r="E860" t="s">
        <v>84</v>
      </c>
      <c r="F860" t="s">
        <v>85</v>
      </c>
      <c r="G860" t="s">
        <v>43</v>
      </c>
      <c r="H860" t="s">
        <v>162</v>
      </c>
      <c r="I860">
        <v>5</v>
      </c>
      <c r="J860" s="3">
        <v>8000</v>
      </c>
      <c r="K860" s="3">
        <v>5200</v>
      </c>
      <c r="L860" t="s">
        <v>66</v>
      </c>
      <c r="M860" t="s">
        <v>51</v>
      </c>
      <c r="N860" t="s">
        <v>23</v>
      </c>
      <c r="O860" t="s">
        <v>24</v>
      </c>
    </row>
    <row r="861" spans="1:15" x14ac:dyDescent="0.35">
      <c r="A861" t="s">
        <v>1748</v>
      </c>
      <c r="B861" s="2">
        <v>46315</v>
      </c>
      <c r="C861" t="s">
        <v>1673</v>
      </c>
      <c r="D861" t="s">
        <v>809</v>
      </c>
      <c r="E861" t="s">
        <v>156</v>
      </c>
      <c r="F861" t="s">
        <v>157</v>
      </c>
      <c r="G861" t="s">
        <v>28</v>
      </c>
      <c r="H861" t="s">
        <v>131</v>
      </c>
      <c r="I861">
        <v>3</v>
      </c>
      <c r="J861" s="3">
        <v>30000</v>
      </c>
      <c r="K861" s="3">
        <v>19000</v>
      </c>
      <c r="L861" t="s">
        <v>21</v>
      </c>
      <c r="M861" t="s">
        <v>22</v>
      </c>
      <c r="N861" t="s">
        <v>52</v>
      </c>
      <c r="O861" t="s">
        <v>24</v>
      </c>
    </row>
    <row r="862" spans="1:15" x14ac:dyDescent="0.35">
      <c r="A862" t="s">
        <v>1749</v>
      </c>
      <c r="B862" s="2">
        <v>46044</v>
      </c>
      <c r="C862" t="s">
        <v>1020</v>
      </c>
      <c r="D862" t="s">
        <v>459</v>
      </c>
      <c r="E862" t="s">
        <v>41</v>
      </c>
      <c r="F862" t="s">
        <v>42</v>
      </c>
      <c r="G862" t="s">
        <v>34</v>
      </c>
      <c r="H862" t="s">
        <v>141</v>
      </c>
      <c r="I862">
        <v>3</v>
      </c>
      <c r="J862" s="3">
        <v>152000</v>
      </c>
      <c r="K862" s="3">
        <v>116400</v>
      </c>
      <c r="L862" t="s">
        <v>30</v>
      </c>
      <c r="M862" t="s">
        <v>22</v>
      </c>
      <c r="N862" t="s">
        <v>23</v>
      </c>
      <c r="O862" t="s">
        <v>91</v>
      </c>
    </row>
    <row r="863" spans="1:15" x14ac:dyDescent="0.35">
      <c r="A863" t="s">
        <v>1750</v>
      </c>
      <c r="B863" s="2">
        <v>46251</v>
      </c>
      <c r="C863" t="s">
        <v>1751</v>
      </c>
      <c r="D863" t="s">
        <v>105</v>
      </c>
      <c r="E863" t="s">
        <v>156</v>
      </c>
      <c r="F863" t="s">
        <v>157</v>
      </c>
      <c r="G863" t="s">
        <v>43</v>
      </c>
      <c r="H863" t="s">
        <v>177</v>
      </c>
      <c r="I863">
        <v>5</v>
      </c>
      <c r="J863" s="3">
        <v>18000</v>
      </c>
      <c r="K863" s="3">
        <v>12900</v>
      </c>
      <c r="L863" t="s">
        <v>66</v>
      </c>
      <c r="M863" t="s">
        <v>51</v>
      </c>
      <c r="N863" t="s">
        <v>23</v>
      </c>
      <c r="O863" t="s">
        <v>91</v>
      </c>
    </row>
    <row r="864" spans="1:15" x14ac:dyDescent="0.35">
      <c r="A864" t="s">
        <v>1752</v>
      </c>
      <c r="B864" s="2">
        <v>46266</v>
      </c>
      <c r="C864" t="s">
        <v>1490</v>
      </c>
      <c r="D864" t="s">
        <v>259</v>
      </c>
      <c r="E864" t="s">
        <v>156</v>
      </c>
      <c r="F864" t="s">
        <v>170</v>
      </c>
      <c r="G864" t="s">
        <v>34</v>
      </c>
      <c r="H864" t="s">
        <v>35</v>
      </c>
      <c r="I864">
        <v>8</v>
      </c>
      <c r="J864" s="3">
        <v>52200</v>
      </c>
      <c r="K864" s="3">
        <v>39000</v>
      </c>
      <c r="L864" t="s">
        <v>30</v>
      </c>
      <c r="M864" t="s">
        <v>51</v>
      </c>
      <c r="N864" t="s">
        <v>23</v>
      </c>
      <c r="O864" t="s">
        <v>24</v>
      </c>
    </row>
    <row r="865" spans="1:15" x14ac:dyDescent="0.35">
      <c r="A865" t="s">
        <v>1753</v>
      </c>
      <c r="B865" s="2">
        <v>46090</v>
      </c>
      <c r="C865" t="s">
        <v>1754</v>
      </c>
      <c r="D865" t="s">
        <v>348</v>
      </c>
      <c r="E865" t="s">
        <v>18</v>
      </c>
      <c r="F865" t="s">
        <v>18</v>
      </c>
      <c r="G865" t="s">
        <v>43</v>
      </c>
      <c r="H865" t="s">
        <v>162</v>
      </c>
      <c r="I865">
        <v>6</v>
      </c>
      <c r="J865" s="3">
        <v>8000</v>
      </c>
      <c r="K865" s="3">
        <v>5000</v>
      </c>
      <c r="L865" t="s">
        <v>80</v>
      </c>
      <c r="M865" t="s">
        <v>37</v>
      </c>
      <c r="N865" t="s">
        <v>87</v>
      </c>
      <c r="O865" t="s">
        <v>45</v>
      </c>
    </row>
    <row r="866" spans="1:15" x14ac:dyDescent="0.35">
      <c r="A866" t="s">
        <v>1755</v>
      </c>
      <c r="B866" s="2">
        <v>46223</v>
      </c>
      <c r="C866" t="s">
        <v>311</v>
      </c>
      <c r="D866" t="s">
        <v>1043</v>
      </c>
      <c r="E866" t="s">
        <v>156</v>
      </c>
      <c r="F866" t="s">
        <v>157</v>
      </c>
      <c r="G866" t="s">
        <v>43</v>
      </c>
      <c r="H866" t="s">
        <v>44</v>
      </c>
      <c r="I866">
        <v>7</v>
      </c>
      <c r="J866" s="3">
        <v>15000</v>
      </c>
      <c r="K866" s="3">
        <v>9800</v>
      </c>
      <c r="L866" t="s">
        <v>50</v>
      </c>
      <c r="M866" t="s">
        <v>37</v>
      </c>
      <c r="N866" t="s">
        <v>52</v>
      </c>
      <c r="O866" t="s">
        <v>24</v>
      </c>
    </row>
    <row r="867" spans="1:15" x14ac:dyDescent="0.35">
      <c r="A867" t="s">
        <v>1756</v>
      </c>
      <c r="B867" s="2">
        <v>46241</v>
      </c>
      <c r="C867" t="s">
        <v>1757</v>
      </c>
      <c r="D867" t="s">
        <v>535</v>
      </c>
      <c r="E867" t="s">
        <v>18</v>
      </c>
      <c r="F867" t="s">
        <v>18</v>
      </c>
      <c r="G867" t="s">
        <v>34</v>
      </c>
      <c r="H867" t="s">
        <v>141</v>
      </c>
      <c r="I867">
        <v>7</v>
      </c>
      <c r="J867" s="3">
        <v>160000</v>
      </c>
      <c r="K867" s="3">
        <v>120000</v>
      </c>
      <c r="L867" t="s">
        <v>73</v>
      </c>
      <c r="M867" t="s">
        <v>37</v>
      </c>
      <c r="N867" t="s">
        <v>52</v>
      </c>
      <c r="O867" t="s">
        <v>24</v>
      </c>
    </row>
    <row r="868" spans="1:15" x14ac:dyDescent="0.35">
      <c r="A868" t="s">
        <v>1758</v>
      </c>
      <c r="B868" s="2">
        <v>46102</v>
      </c>
      <c r="C868" t="s">
        <v>1759</v>
      </c>
      <c r="D868" t="s">
        <v>1760</v>
      </c>
      <c r="E868" t="s">
        <v>70</v>
      </c>
      <c r="F868" t="s">
        <v>71</v>
      </c>
      <c r="G868" t="s">
        <v>19</v>
      </c>
      <c r="H868" t="s">
        <v>112</v>
      </c>
      <c r="I868">
        <v>3</v>
      </c>
      <c r="J868" s="3">
        <v>89200</v>
      </c>
      <c r="K868" s="3">
        <v>60100</v>
      </c>
      <c r="L868" t="s">
        <v>21</v>
      </c>
      <c r="M868" t="s">
        <v>37</v>
      </c>
      <c r="N868" t="s">
        <v>23</v>
      </c>
      <c r="O868" t="s">
        <v>24</v>
      </c>
    </row>
    <row r="869" spans="1:15" x14ac:dyDescent="0.35">
      <c r="A869" t="s">
        <v>1761</v>
      </c>
      <c r="B869" s="2">
        <v>46129</v>
      </c>
      <c r="C869" t="s">
        <v>1156</v>
      </c>
      <c r="D869" t="s">
        <v>1303</v>
      </c>
      <c r="E869" t="s">
        <v>41</v>
      </c>
      <c r="F869" t="s">
        <v>42</v>
      </c>
      <c r="G869" t="s">
        <v>34</v>
      </c>
      <c r="H869" t="s">
        <v>141</v>
      </c>
      <c r="I869">
        <v>10</v>
      </c>
      <c r="J869" s="3">
        <v>152000</v>
      </c>
      <c r="K869" s="3">
        <v>116400</v>
      </c>
      <c r="L869" t="s">
        <v>50</v>
      </c>
      <c r="M869" t="s">
        <v>51</v>
      </c>
      <c r="N869" t="s">
        <v>23</v>
      </c>
      <c r="O869" t="s">
        <v>24</v>
      </c>
    </row>
    <row r="870" spans="1:15" x14ac:dyDescent="0.35">
      <c r="A870" t="s">
        <v>1762</v>
      </c>
      <c r="B870" s="2">
        <v>46369</v>
      </c>
      <c r="C870" t="s">
        <v>1696</v>
      </c>
      <c r="D870" t="s">
        <v>490</v>
      </c>
      <c r="E870" t="s">
        <v>18</v>
      </c>
      <c r="F870" t="s">
        <v>18</v>
      </c>
      <c r="G870" t="s">
        <v>28</v>
      </c>
      <c r="H870" t="s">
        <v>131</v>
      </c>
      <c r="I870">
        <v>5</v>
      </c>
      <c r="J870" s="3">
        <v>30000</v>
      </c>
      <c r="K870" s="3">
        <v>19600</v>
      </c>
      <c r="L870" t="s">
        <v>66</v>
      </c>
      <c r="M870" t="s">
        <v>31</v>
      </c>
      <c r="N870" t="s">
        <v>52</v>
      </c>
      <c r="O870" t="s">
        <v>24</v>
      </c>
    </row>
    <row r="871" spans="1:15" x14ac:dyDescent="0.35">
      <c r="A871" t="s">
        <v>1763</v>
      </c>
      <c r="B871" s="2">
        <v>46209</v>
      </c>
      <c r="C871" t="s">
        <v>492</v>
      </c>
      <c r="D871" t="s">
        <v>374</v>
      </c>
      <c r="E871" t="s">
        <v>156</v>
      </c>
      <c r="F871" t="s">
        <v>170</v>
      </c>
      <c r="G871" t="s">
        <v>43</v>
      </c>
      <c r="H871" t="s">
        <v>44</v>
      </c>
      <c r="I871">
        <v>5</v>
      </c>
      <c r="J871" s="3">
        <v>15000</v>
      </c>
      <c r="K871" s="3">
        <v>9500</v>
      </c>
      <c r="L871" t="s">
        <v>96</v>
      </c>
      <c r="M871" t="s">
        <v>31</v>
      </c>
      <c r="N871" t="s">
        <v>52</v>
      </c>
      <c r="O871" t="s">
        <v>24</v>
      </c>
    </row>
    <row r="872" spans="1:15" x14ac:dyDescent="0.35">
      <c r="A872" t="s">
        <v>1764</v>
      </c>
      <c r="B872" s="2">
        <v>46376</v>
      </c>
      <c r="C872" t="s">
        <v>1490</v>
      </c>
      <c r="D872" t="s">
        <v>695</v>
      </c>
      <c r="E872" t="s">
        <v>18</v>
      </c>
      <c r="F872" t="s">
        <v>18</v>
      </c>
      <c r="G872" t="s">
        <v>28</v>
      </c>
      <c r="H872" t="s">
        <v>72</v>
      </c>
      <c r="I872">
        <v>5</v>
      </c>
      <c r="J872" s="3">
        <v>10500</v>
      </c>
      <c r="K872" s="3">
        <v>6000</v>
      </c>
      <c r="L872" t="s">
        <v>80</v>
      </c>
      <c r="M872" t="s">
        <v>51</v>
      </c>
      <c r="N872" t="s">
        <v>23</v>
      </c>
      <c r="O872" t="s">
        <v>91</v>
      </c>
    </row>
    <row r="873" spans="1:15" x14ac:dyDescent="0.35">
      <c r="A873" t="s">
        <v>1765</v>
      </c>
      <c r="B873" s="2">
        <v>46243</v>
      </c>
      <c r="C873" t="s">
        <v>858</v>
      </c>
      <c r="D873" t="s">
        <v>898</v>
      </c>
      <c r="E873" t="s">
        <v>77</v>
      </c>
      <c r="F873" t="s">
        <v>78</v>
      </c>
      <c r="G873" t="s">
        <v>28</v>
      </c>
      <c r="H873" t="s">
        <v>65</v>
      </c>
      <c r="I873">
        <v>6</v>
      </c>
      <c r="J873" s="3">
        <v>12000</v>
      </c>
      <c r="K873" s="3">
        <v>7500</v>
      </c>
      <c r="L873" t="s">
        <v>66</v>
      </c>
      <c r="M873" t="s">
        <v>37</v>
      </c>
      <c r="N873" t="s">
        <v>87</v>
      </c>
      <c r="O873" t="s">
        <v>24</v>
      </c>
    </row>
    <row r="874" spans="1:15" x14ac:dyDescent="0.35">
      <c r="A874" t="s">
        <v>1766</v>
      </c>
      <c r="B874" s="2">
        <v>46285</v>
      </c>
      <c r="C874" t="s">
        <v>877</v>
      </c>
      <c r="D874" t="s">
        <v>572</v>
      </c>
      <c r="E874" t="s">
        <v>18</v>
      </c>
      <c r="F874" t="s">
        <v>18</v>
      </c>
      <c r="G874" t="s">
        <v>34</v>
      </c>
      <c r="H874" t="s">
        <v>158</v>
      </c>
      <c r="I874">
        <v>4</v>
      </c>
      <c r="J874" s="3">
        <v>90200</v>
      </c>
      <c r="K874" s="3">
        <v>70000</v>
      </c>
      <c r="L874" t="s">
        <v>30</v>
      </c>
      <c r="M874" t="s">
        <v>22</v>
      </c>
      <c r="N874" t="s">
        <v>23</v>
      </c>
      <c r="O874" t="s">
        <v>24</v>
      </c>
    </row>
    <row r="875" spans="1:15" x14ac:dyDescent="0.35">
      <c r="A875" t="s">
        <v>1767</v>
      </c>
      <c r="B875" s="2">
        <v>46050</v>
      </c>
      <c r="C875" t="s">
        <v>455</v>
      </c>
      <c r="D875" t="s">
        <v>1202</v>
      </c>
      <c r="E875" t="s">
        <v>18</v>
      </c>
      <c r="F875" t="s">
        <v>18</v>
      </c>
      <c r="G875" t="s">
        <v>34</v>
      </c>
      <c r="H875" t="s">
        <v>86</v>
      </c>
      <c r="I875">
        <v>4</v>
      </c>
      <c r="J875" s="3">
        <v>189000</v>
      </c>
      <c r="K875" s="3">
        <v>131000</v>
      </c>
      <c r="L875" t="s">
        <v>96</v>
      </c>
      <c r="M875" t="s">
        <v>22</v>
      </c>
      <c r="N875" t="s">
        <v>52</v>
      </c>
      <c r="O875" t="s">
        <v>24</v>
      </c>
    </row>
    <row r="876" spans="1:15" x14ac:dyDescent="0.35">
      <c r="A876" t="s">
        <v>1768</v>
      </c>
      <c r="B876" s="2">
        <v>46341</v>
      </c>
      <c r="C876" t="s">
        <v>370</v>
      </c>
      <c r="D876" t="s">
        <v>1670</v>
      </c>
      <c r="E876" t="s">
        <v>56</v>
      </c>
      <c r="F876" t="s">
        <v>57</v>
      </c>
      <c r="G876" t="s">
        <v>43</v>
      </c>
      <c r="H876" t="s">
        <v>49</v>
      </c>
      <c r="I876">
        <v>10</v>
      </c>
      <c r="J876" s="3">
        <v>9000</v>
      </c>
      <c r="K876" s="3">
        <v>5800</v>
      </c>
      <c r="L876" t="s">
        <v>80</v>
      </c>
      <c r="M876" t="s">
        <v>37</v>
      </c>
      <c r="N876" t="s">
        <v>23</v>
      </c>
      <c r="O876" t="s">
        <v>24</v>
      </c>
    </row>
    <row r="877" spans="1:15" x14ac:dyDescent="0.35">
      <c r="A877" t="s">
        <v>1769</v>
      </c>
      <c r="B877" s="2">
        <v>46091</v>
      </c>
      <c r="C877" t="s">
        <v>1770</v>
      </c>
      <c r="D877" t="s">
        <v>1405</v>
      </c>
      <c r="E877" t="s">
        <v>18</v>
      </c>
      <c r="F877" t="s">
        <v>18</v>
      </c>
      <c r="G877" t="s">
        <v>43</v>
      </c>
      <c r="H877" t="s">
        <v>177</v>
      </c>
      <c r="I877">
        <v>4</v>
      </c>
      <c r="J877" s="3">
        <v>18900</v>
      </c>
      <c r="K877" s="3">
        <v>12500</v>
      </c>
      <c r="L877" t="s">
        <v>21</v>
      </c>
      <c r="M877" t="s">
        <v>37</v>
      </c>
      <c r="N877" t="s">
        <v>52</v>
      </c>
      <c r="O877" t="s">
        <v>24</v>
      </c>
    </row>
    <row r="878" spans="1:15" x14ac:dyDescent="0.35">
      <c r="A878" t="s">
        <v>1771</v>
      </c>
      <c r="B878" s="2">
        <v>46033</v>
      </c>
      <c r="C878" t="s">
        <v>1386</v>
      </c>
      <c r="D878" t="s">
        <v>1772</v>
      </c>
      <c r="E878" t="s">
        <v>77</v>
      </c>
      <c r="F878" t="s">
        <v>78</v>
      </c>
      <c r="G878" t="s">
        <v>28</v>
      </c>
      <c r="H878" t="s">
        <v>65</v>
      </c>
      <c r="I878">
        <v>2</v>
      </c>
      <c r="J878" s="3">
        <v>11400</v>
      </c>
      <c r="K878" s="3">
        <v>7700</v>
      </c>
      <c r="L878" t="s">
        <v>50</v>
      </c>
      <c r="M878" t="s">
        <v>37</v>
      </c>
      <c r="N878" t="s">
        <v>23</v>
      </c>
      <c r="O878" t="s">
        <v>24</v>
      </c>
    </row>
    <row r="879" spans="1:15" x14ac:dyDescent="0.35">
      <c r="A879" t="s">
        <v>1773</v>
      </c>
      <c r="B879" s="2">
        <v>46179</v>
      </c>
      <c r="C879" t="s">
        <v>1527</v>
      </c>
      <c r="D879" t="s">
        <v>1774</v>
      </c>
      <c r="E879" t="s">
        <v>18</v>
      </c>
      <c r="F879" t="s">
        <v>18</v>
      </c>
      <c r="G879" t="s">
        <v>34</v>
      </c>
      <c r="H879" t="s">
        <v>158</v>
      </c>
      <c r="I879">
        <v>1</v>
      </c>
      <c r="J879" s="3">
        <v>95000</v>
      </c>
      <c r="K879" s="3">
        <v>67900</v>
      </c>
      <c r="L879" t="s">
        <v>50</v>
      </c>
      <c r="M879" t="s">
        <v>37</v>
      </c>
      <c r="N879" t="s">
        <v>23</v>
      </c>
      <c r="O879" t="s">
        <v>24</v>
      </c>
    </row>
    <row r="880" spans="1:15" x14ac:dyDescent="0.35">
      <c r="A880" t="s">
        <v>1775</v>
      </c>
      <c r="B880" s="2">
        <v>46162</v>
      </c>
      <c r="C880" t="s">
        <v>1539</v>
      </c>
      <c r="D880" t="s">
        <v>893</v>
      </c>
      <c r="E880" t="s">
        <v>56</v>
      </c>
      <c r="F880" t="s">
        <v>57</v>
      </c>
      <c r="G880" t="s">
        <v>43</v>
      </c>
      <c r="H880" t="s">
        <v>79</v>
      </c>
      <c r="I880">
        <v>3</v>
      </c>
      <c r="J880" s="3">
        <v>6300</v>
      </c>
      <c r="K880" s="3">
        <v>4100</v>
      </c>
      <c r="L880" t="s">
        <v>36</v>
      </c>
      <c r="M880" t="s">
        <v>37</v>
      </c>
      <c r="N880" t="s">
        <v>23</v>
      </c>
      <c r="O880" t="s">
        <v>24</v>
      </c>
    </row>
    <row r="881" spans="1:15" x14ac:dyDescent="0.35">
      <c r="A881" t="s">
        <v>1776</v>
      </c>
      <c r="B881" s="2">
        <v>46242</v>
      </c>
      <c r="C881" t="s">
        <v>68</v>
      </c>
      <c r="D881" t="s">
        <v>1267</v>
      </c>
      <c r="E881" t="s">
        <v>18</v>
      </c>
      <c r="F881" t="s">
        <v>18</v>
      </c>
      <c r="G881" t="s">
        <v>28</v>
      </c>
      <c r="H881" t="s">
        <v>131</v>
      </c>
      <c r="I881">
        <v>9</v>
      </c>
      <c r="J881" s="3">
        <v>28500</v>
      </c>
      <c r="K881" s="3">
        <v>18400</v>
      </c>
      <c r="L881" t="s">
        <v>80</v>
      </c>
      <c r="M881" t="s">
        <v>37</v>
      </c>
      <c r="N881" t="s">
        <v>23</v>
      </c>
      <c r="O881" t="s">
        <v>24</v>
      </c>
    </row>
    <row r="882" spans="1:15" x14ac:dyDescent="0.35">
      <c r="A882" t="s">
        <v>1777</v>
      </c>
      <c r="B882" s="2">
        <v>46244</v>
      </c>
      <c r="C882" t="s">
        <v>1778</v>
      </c>
      <c r="D882" t="s">
        <v>570</v>
      </c>
      <c r="E882" t="s">
        <v>18</v>
      </c>
      <c r="F882" t="s">
        <v>18</v>
      </c>
      <c r="G882" t="s">
        <v>34</v>
      </c>
      <c r="H882" t="s">
        <v>95</v>
      </c>
      <c r="I882">
        <v>6</v>
      </c>
      <c r="J882" s="3">
        <v>472500</v>
      </c>
      <c r="K882" s="3">
        <v>370000</v>
      </c>
      <c r="L882" t="s">
        <v>21</v>
      </c>
      <c r="M882" t="s">
        <v>51</v>
      </c>
      <c r="N882" t="s">
        <v>23</v>
      </c>
      <c r="O882" t="s">
        <v>24</v>
      </c>
    </row>
    <row r="883" spans="1:15" x14ac:dyDescent="0.35">
      <c r="A883" t="s">
        <v>1779</v>
      </c>
      <c r="B883" s="2">
        <v>46146</v>
      </c>
      <c r="C883" t="s">
        <v>1780</v>
      </c>
      <c r="D883" t="s">
        <v>504</v>
      </c>
      <c r="E883" t="s">
        <v>18</v>
      </c>
      <c r="F883" t="s">
        <v>18</v>
      </c>
      <c r="G883" t="s">
        <v>43</v>
      </c>
      <c r="H883" t="s">
        <v>162</v>
      </c>
      <c r="I883">
        <v>1</v>
      </c>
      <c r="J883" s="3">
        <v>7600</v>
      </c>
      <c r="K883" s="3">
        <v>5200</v>
      </c>
      <c r="L883" t="s">
        <v>21</v>
      </c>
      <c r="M883" t="s">
        <v>51</v>
      </c>
      <c r="N883" t="s">
        <v>52</v>
      </c>
      <c r="O883" t="s">
        <v>91</v>
      </c>
    </row>
    <row r="884" spans="1:15" x14ac:dyDescent="0.35">
      <c r="A884" t="s">
        <v>1781</v>
      </c>
      <c r="B884" s="2">
        <v>46355</v>
      </c>
      <c r="C884" t="s">
        <v>1541</v>
      </c>
      <c r="D884" t="s">
        <v>1563</v>
      </c>
      <c r="E884" t="s">
        <v>41</v>
      </c>
      <c r="F884" t="s">
        <v>42</v>
      </c>
      <c r="G884" t="s">
        <v>34</v>
      </c>
      <c r="H884" t="s">
        <v>86</v>
      </c>
      <c r="I884">
        <v>1</v>
      </c>
      <c r="J884" s="3">
        <v>180000</v>
      </c>
      <c r="K884" s="3">
        <v>131000</v>
      </c>
      <c r="L884" t="s">
        <v>30</v>
      </c>
      <c r="M884" t="s">
        <v>31</v>
      </c>
      <c r="N884" t="s">
        <v>52</v>
      </c>
      <c r="O884" t="s">
        <v>24</v>
      </c>
    </row>
    <row r="885" spans="1:15" x14ac:dyDescent="0.35">
      <c r="A885" t="s">
        <v>1782</v>
      </c>
      <c r="B885" s="2">
        <v>46023</v>
      </c>
      <c r="C885" t="s">
        <v>293</v>
      </c>
      <c r="D885" t="s">
        <v>1783</v>
      </c>
      <c r="E885" t="s">
        <v>18</v>
      </c>
      <c r="F885" t="s">
        <v>18</v>
      </c>
      <c r="G885" t="s">
        <v>43</v>
      </c>
      <c r="H885" t="s">
        <v>79</v>
      </c>
      <c r="I885">
        <v>10</v>
      </c>
      <c r="J885" s="3">
        <v>6300</v>
      </c>
      <c r="K885" s="3">
        <v>4300</v>
      </c>
      <c r="L885" t="s">
        <v>30</v>
      </c>
      <c r="M885" t="s">
        <v>31</v>
      </c>
      <c r="N885" t="s">
        <v>52</v>
      </c>
      <c r="O885" t="s">
        <v>24</v>
      </c>
    </row>
    <row r="886" spans="1:15" x14ac:dyDescent="0.35">
      <c r="A886" t="s">
        <v>1784</v>
      </c>
      <c r="B886" s="2">
        <v>46104</v>
      </c>
      <c r="C886" t="s">
        <v>316</v>
      </c>
      <c r="D886" t="s">
        <v>140</v>
      </c>
      <c r="E886" t="s">
        <v>84</v>
      </c>
      <c r="F886" t="s">
        <v>85</v>
      </c>
      <c r="G886" t="s">
        <v>34</v>
      </c>
      <c r="H886" t="s">
        <v>158</v>
      </c>
      <c r="I886">
        <v>10</v>
      </c>
      <c r="J886" s="3">
        <v>95000</v>
      </c>
      <c r="K886" s="3">
        <v>70000</v>
      </c>
      <c r="L886" t="s">
        <v>96</v>
      </c>
      <c r="M886" t="s">
        <v>37</v>
      </c>
      <c r="N886" t="s">
        <v>87</v>
      </c>
      <c r="O886" t="s">
        <v>45</v>
      </c>
    </row>
    <row r="887" spans="1:15" x14ac:dyDescent="0.35">
      <c r="A887" t="s">
        <v>1785</v>
      </c>
      <c r="B887" s="2">
        <v>46357</v>
      </c>
      <c r="C887" t="s">
        <v>1442</v>
      </c>
      <c r="D887" t="s">
        <v>1581</v>
      </c>
      <c r="E887" t="s">
        <v>18</v>
      </c>
      <c r="F887" t="s">
        <v>18</v>
      </c>
      <c r="G887" t="s">
        <v>34</v>
      </c>
      <c r="H887" t="s">
        <v>158</v>
      </c>
      <c r="I887">
        <v>9</v>
      </c>
      <c r="J887" s="3">
        <v>99800</v>
      </c>
      <c r="K887" s="3">
        <v>67900</v>
      </c>
      <c r="L887" t="s">
        <v>96</v>
      </c>
      <c r="M887" t="s">
        <v>22</v>
      </c>
      <c r="N887" t="s">
        <v>23</v>
      </c>
      <c r="O887" t="s">
        <v>91</v>
      </c>
    </row>
    <row r="888" spans="1:15" x14ac:dyDescent="0.35">
      <c r="A888" t="s">
        <v>1786</v>
      </c>
      <c r="B888" s="2">
        <v>46319</v>
      </c>
      <c r="C888" t="s">
        <v>1119</v>
      </c>
      <c r="D888" t="s">
        <v>291</v>
      </c>
      <c r="E888" t="s">
        <v>56</v>
      </c>
      <c r="F888" t="s">
        <v>57</v>
      </c>
      <c r="G888" t="s">
        <v>19</v>
      </c>
      <c r="H888" t="s">
        <v>61</v>
      </c>
      <c r="I888">
        <v>2</v>
      </c>
      <c r="J888" s="3">
        <v>231000</v>
      </c>
      <c r="K888" s="3">
        <v>155200</v>
      </c>
      <c r="L888" t="s">
        <v>30</v>
      </c>
      <c r="M888" t="s">
        <v>51</v>
      </c>
      <c r="N888" t="s">
        <v>52</v>
      </c>
      <c r="O888" t="s">
        <v>45</v>
      </c>
    </row>
    <row r="889" spans="1:15" x14ac:dyDescent="0.35">
      <c r="A889" t="s">
        <v>1787</v>
      </c>
      <c r="B889" s="2">
        <v>46333</v>
      </c>
      <c r="C889" t="s">
        <v>1788</v>
      </c>
      <c r="D889" t="s">
        <v>1643</v>
      </c>
      <c r="E889" t="s">
        <v>70</v>
      </c>
      <c r="F889" t="s">
        <v>71</v>
      </c>
      <c r="G889" t="s">
        <v>34</v>
      </c>
      <c r="H889" t="s">
        <v>141</v>
      </c>
      <c r="I889">
        <v>6</v>
      </c>
      <c r="J889" s="3">
        <v>168000</v>
      </c>
      <c r="K889" s="3">
        <v>123600</v>
      </c>
      <c r="L889" t="s">
        <v>50</v>
      </c>
      <c r="M889" t="s">
        <v>51</v>
      </c>
      <c r="N889" t="s">
        <v>52</v>
      </c>
      <c r="O889" t="s">
        <v>24</v>
      </c>
    </row>
    <row r="890" spans="1:15" x14ac:dyDescent="0.35">
      <c r="A890" t="s">
        <v>1789</v>
      </c>
      <c r="B890" s="2">
        <v>46354</v>
      </c>
      <c r="C890" t="s">
        <v>654</v>
      </c>
      <c r="D890" t="s">
        <v>743</v>
      </c>
      <c r="E890" t="s">
        <v>84</v>
      </c>
      <c r="F890" t="s">
        <v>85</v>
      </c>
      <c r="G890" t="s">
        <v>43</v>
      </c>
      <c r="H890" t="s">
        <v>162</v>
      </c>
      <c r="I890">
        <v>9</v>
      </c>
      <c r="J890" s="3">
        <v>8400</v>
      </c>
      <c r="K890" s="3">
        <v>4800</v>
      </c>
      <c r="L890" t="s">
        <v>50</v>
      </c>
      <c r="M890" t="s">
        <v>37</v>
      </c>
      <c r="N890" t="s">
        <v>23</v>
      </c>
      <c r="O890" t="s">
        <v>24</v>
      </c>
    </row>
    <row r="891" spans="1:15" x14ac:dyDescent="0.35">
      <c r="A891" t="s">
        <v>1790</v>
      </c>
      <c r="B891" s="2">
        <v>46220</v>
      </c>
      <c r="C891" t="s">
        <v>1463</v>
      </c>
      <c r="D891" t="s">
        <v>1484</v>
      </c>
      <c r="E891" t="s">
        <v>56</v>
      </c>
      <c r="F891" t="s">
        <v>57</v>
      </c>
      <c r="G891" t="s">
        <v>43</v>
      </c>
      <c r="H891" t="s">
        <v>177</v>
      </c>
      <c r="I891">
        <v>8</v>
      </c>
      <c r="J891" s="3">
        <v>18000</v>
      </c>
      <c r="K891" s="3">
        <v>12900</v>
      </c>
      <c r="L891" t="s">
        <v>21</v>
      </c>
      <c r="M891" t="s">
        <v>22</v>
      </c>
      <c r="N891" t="s">
        <v>52</v>
      </c>
      <c r="O891" t="s">
        <v>45</v>
      </c>
    </row>
    <row r="892" spans="1:15" x14ac:dyDescent="0.35">
      <c r="A892" t="s">
        <v>1791</v>
      </c>
      <c r="B892" s="2">
        <v>46058</v>
      </c>
      <c r="C892" t="s">
        <v>1524</v>
      </c>
      <c r="D892" t="s">
        <v>1338</v>
      </c>
      <c r="E892" t="s">
        <v>18</v>
      </c>
      <c r="F892" t="s">
        <v>18</v>
      </c>
      <c r="G892" t="s">
        <v>28</v>
      </c>
      <c r="H892" t="s">
        <v>72</v>
      </c>
      <c r="I892">
        <v>5</v>
      </c>
      <c r="J892" s="3">
        <v>10500</v>
      </c>
      <c r="K892" s="3">
        <v>6000</v>
      </c>
      <c r="L892" t="s">
        <v>36</v>
      </c>
      <c r="M892" t="s">
        <v>37</v>
      </c>
      <c r="N892" t="s">
        <v>87</v>
      </c>
      <c r="O892" t="s">
        <v>24</v>
      </c>
    </row>
    <row r="893" spans="1:15" x14ac:dyDescent="0.35">
      <c r="A893" t="s">
        <v>1792</v>
      </c>
      <c r="B893" s="2">
        <v>46345</v>
      </c>
      <c r="C893" t="s">
        <v>1793</v>
      </c>
      <c r="D893" t="s">
        <v>1794</v>
      </c>
      <c r="E893" t="s">
        <v>77</v>
      </c>
      <c r="F893" t="s">
        <v>78</v>
      </c>
      <c r="G893" t="s">
        <v>19</v>
      </c>
      <c r="H893" t="s">
        <v>61</v>
      </c>
      <c r="I893">
        <v>7</v>
      </c>
      <c r="J893" s="3">
        <v>231000</v>
      </c>
      <c r="K893" s="3">
        <v>155200</v>
      </c>
      <c r="L893" t="s">
        <v>66</v>
      </c>
      <c r="M893" t="s">
        <v>37</v>
      </c>
      <c r="N893" t="s">
        <v>23</v>
      </c>
      <c r="O893" t="s">
        <v>24</v>
      </c>
    </row>
    <row r="894" spans="1:15" x14ac:dyDescent="0.35">
      <c r="A894" t="s">
        <v>1795</v>
      </c>
      <c r="B894" s="2">
        <v>46043</v>
      </c>
      <c r="C894" t="s">
        <v>305</v>
      </c>
      <c r="D894" t="s">
        <v>823</v>
      </c>
      <c r="E894" t="s">
        <v>18</v>
      </c>
      <c r="F894" t="s">
        <v>18</v>
      </c>
      <c r="G894" t="s">
        <v>34</v>
      </c>
      <c r="H894" t="s">
        <v>35</v>
      </c>
      <c r="I894">
        <v>1</v>
      </c>
      <c r="J894" s="3">
        <v>52200</v>
      </c>
      <c r="K894" s="3">
        <v>39000</v>
      </c>
      <c r="L894" t="s">
        <v>80</v>
      </c>
      <c r="M894" t="s">
        <v>31</v>
      </c>
      <c r="N894" t="s">
        <v>52</v>
      </c>
      <c r="O894" t="s">
        <v>24</v>
      </c>
    </row>
    <row r="895" spans="1:15" x14ac:dyDescent="0.35">
      <c r="A895" t="s">
        <v>1796</v>
      </c>
      <c r="B895" s="2">
        <v>46228</v>
      </c>
      <c r="C895" t="s">
        <v>1020</v>
      </c>
      <c r="D895" t="s">
        <v>1797</v>
      </c>
      <c r="E895" t="s">
        <v>77</v>
      </c>
      <c r="F895" t="s">
        <v>78</v>
      </c>
      <c r="G895" t="s">
        <v>34</v>
      </c>
      <c r="H895" t="s">
        <v>86</v>
      </c>
      <c r="I895">
        <v>4</v>
      </c>
      <c r="J895" s="3">
        <v>171000</v>
      </c>
      <c r="K895" s="3">
        <v>139000</v>
      </c>
      <c r="L895" t="s">
        <v>30</v>
      </c>
      <c r="M895" t="s">
        <v>37</v>
      </c>
      <c r="N895" t="s">
        <v>87</v>
      </c>
      <c r="O895" t="s">
        <v>24</v>
      </c>
    </row>
    <row r="896" spans="1:15" x14ac:dyDescent="0.35">
      <c r="A896" t="s">
        <v>1798</v>
      </c>
      <c r="B896" s="2">
        <v>46106</v>
      </c>
      <c r="C896" t="s">
        <v>1651</v>
      </c>
      <c r="D896" t="s">
        <v>213</v>
      </c>
      <c r="E896" t="s">
        <v>77</v>
      </c>
      <c r="F896" t="s">
        <v>78</v>
      </c>
      <c r="G896" t="s">
        <v>19</v>
      </c>
      <c r="H896" t="s">
        <v>20</v>
      </c>
      <c r="I896">
        <v>8</v>
      </c>
      <c r="J896" s="3">
        <v>68200</v>
      </c>
      <c r="K896" s="3">
        <v>46400</v>
      </c>
      <c r="L896" t="s">
        <v>21</v>
      </c>
      <c r="M896" t="s">
        <v>31</v>
      </c>
      <c r="N896" t="s">
        <v>23</v>
      </c>
      <c r="O896" t="s">
        <v>91</v>
      </c>
    </row>
    <row r="897" spans="1:15" x14ac:dyDescent="0.35">
      <c r="A897" t="s">
        <v>1799</v>
      </c>
      <c r="B897" s="2">
        <v>46055</v>
      </c>
      <c r="C897" t="s">
        <v>600</v>
      </c>
      <c r="D897" t="s">
        <v>1359</v>
      </c>
      <c r="E897" t="s">
        <v>18</v>
      </c>
      <c r="F897" t="s">
        <v>18</v>
      </c>
      <c r="G897" t="s">
        <v>43</v>
      </c>
      <c r="H897" t="s">
        <v>177</v>
      </c>
      <c r="I897">
        <v>2</v>
      </c>
      <c r="J897" s="3">
        <v>18000</v>
      </c>
      <c r="K897" s="3">
        <v>12900</v>
      </c>
      <c r="L897" t="s">
        <v>21</v>
      </c>
      <c r="M897" t="s">
        <v>51</v>
      </c>
      <c r="N897" t="s">
        <v>52</v>
      </c>
      <c r="O897" t="s">
        <v>24</v>
      </c>
    </row>
    <row r="898" spans="1:15" x14ac:dyDescent="0.35">
      <c r="A898" t="s">
        <v>1800</v>
      </c>
      <c r="B898" s="2">
        <v>46373</v>
      </c>
      <c r="C898" t="s">
        <v>1156</v>
      </c>
      <c r="D898" t="s">
        <v>1104</v>
      </c>
      <c r="E898" t="s">
        <v>156</v>
      </c>
      <c r="F898" t="s">
        <v>170</v>
      </c>
      <c r="G898" t="s">
        <v>43</v>
      </c>
      <c r="H898" t="s">
        <v>44</v>
      </c>
      <c r="I898">
        <v>2</v>
      </c>
      <c r="J898" s="3">
        <v>14200</v>
      </c>
      <c r="K898" s="3">
        <v>9800</v>
      </c>
      <c r="L898" t="s">
        <v>96</v>
      </c>
      <c r="M898" t="s">
        <v>37</v>
      </c>
      <c r="N898" t="s">
        <v>23</v>
      </c>
      <c r="O898" t="s">
        <v>24</v>
      </c>
    </row>
    <row r="899" spans="1:15" x14ac:dyDescent="0.35">
      <c r="A899" t="s">
        <v>1801</v>
      </c>
      <c r="B899" s="2">
        <v>46032</v>
      </c>
      <c r="C899" t="s">
        <v>1658</v>
      </c>
      <c r="D899" t="s">
        <v>391</v>
      </c>
      <c r="E899" t="s">
        <v>84</v>
      </c>
      <c r="F899" t="s">
        <v>85</v>
      </c>
      <c r="G899" t="s">
        <v>34</v>
      </c>
      <c r="H899" t="s">
        <v>141</v>
      </c>
      <c r="I899">
        <v>6</v>
      </c>
      <c r="J899" s="3">
        <v>160000</v>
      </c>
      <c r="K899" s="3">
        <v>120000</v>
      </c>
      <c r="L899" t="s">
        <v>80</v>
      </c>
      <c r="M899" t="s">
        <v>22</v>
      </c>
      <c r="N899" t="s">
        <v>52</v>
      </c>
      <c r="O899" t="s">
        <v>24</v>
      </c>
    </row>
    <row r="900" spans="1:15" x14ac:dyDescent="0.35">
      <c r="A900" t="s">
        <v>1802</v>
      </c>
      <c r="B900" s="2">
        <v>46035</v>
      </c>
      <c r="C900" t="s">
        <v>1207</v>
      </c>
      <c r="D900" t="s">
        <v>140</v>
      </c>
      <c r="E900" t="s">
        <v>70</v>
      </c>
      <c r="F900" t="s">
        <v>71</v>
      </c>
      <c r="G900" t="s">
        <v>34</v>
      </c>
      <c r="H900" t="s">
        <v>95</v>
      </c>
      <c r="I900">
        <v>3</v>
      </c>
      <c r="J900" s="3">
        <v>450000</v>
      </c>
      <c r="K900" s="3">
        <v>358900</v>
      </c>
      <c r="L900" t="s">
        <v>36</v>
      </c>
      <c r="M900" t="s">
        <v>51</v>
      </c>
      <c r="N900" t="s">
        <v>23</v>
      </c>
      <c r="O900" t="s">
        <v>24</v>
      </c>
    </row>
    <row r="901" spans="1:15" x14ac:dyDescent="0.35">
      <c r="A901" t="s">
        <v>1803</v>
      </c>
      <c r="B901" s="2">
        <v>46354</v>
      </c>
      <c r="C901" t="s">
        <v>1804</v>
      </c>
      <c r="D901" t="s">
        <v>572</v>
      </c>
      <c r="E901" t="s">
        <v>56</v>
      </c>
      <c r="F901" t="s">
        <v>57</v>
      </c>
      <c r="G901" t="s">
        <v>19</v>
      </c>
      <c r="H901" t="s">
        <v>112</v>
      </c>
      <c r="I901">
        <v>3</v>
      </c>
      <c r="J901" s="3">
        <v>80800</v>
      </c>
      <c r="K901" s="3">
        <v>63900</v>
      </c>
      <c r="L901" t="s">
        <v>80</v>
      </c>
      <c r="M901" t="s">
        <v>22</v>
      </c>
      <c r="N901" t="s">
        <v>23</v>
      </c>
      <c r="O901" t="s">
        <v>24</v>
      </c>
    </row>
    <row r="902" spans="1:15" x14ac:dyDescent="0.35">
      <c r="A902" t="s">
        <v>1805</v>
      </c>
      <c r="B902" s="2">
        <v>46262</v>
      </c>
      <c r="C902" t="s">
        <v>175</v>
      </c>
      <c r="D902" t="s">
        <v>64</v>
      </c>
      <c r="E902" t="s">
        <v>18</v>
      </c>
      <c r="F902" t="s">
        <v>18</v>
      </c>
      <c r="G902" t="s">
        <v>28</v>
      </c>
      <c r="H902" t="s">
        <v>65</v>
      </c>
      <c r="I902">
        <v>9</v>
      </c>
      <c r="J902" s="3">
        <v>12000</v>
      </c>
      <c r="K902" s="3">
        <v>7500</v>
      </c>
      <c r="L902" t="s">
        <v>73</v>
      </c>
      <c r="M902" t="s">
        <v>22</v>
      </c>
      <c r="N902" t="s">
        <v>52</v>
      </c>
      <c r="O902" t="s">
        <v>24</v>
      </c>
    </row>
    <row r="903" spans="1:15" x14ac:dyDescent="0.35">
      <c r="A903" t="s">
        <v>1806</v>
      </c>
      <c r="B903" s="2">
        <v>46068</v>
      </c>
      <c r="C903" t="s">
        <v>886</v>
      </c>
      <c r="D903" t="s">
        <v>1094</v>
      </c>
      <c r="E903" t="s">
        <v>84</v>
      </c>
      <c r="F903" t="s">
        <v>85</v>
      </c>
      <c r="G903" t="s">
        <v>28</v>
      </c>
      <c r="H903" t="s">
        <v>248</v>
      </c>
      <c r="I903">
        <v>1</v>
      </c>
      <c r="J903" s="3">
        <v>26200</v>
      </c>
      <c r="K903" s="3">
        <v>15500</v>
      </c>
      <c r="L903" t="s">
        <v>21</v>
      </c>
      <c r="M903" t="s">
        <v>37</v>
      </c>
      <c r="N903" t="s">
        <v>87</v>
      </c>
      <c r="O903" t="s">
        <v>24</v>
      </c>
    </row>
    <row r="904" spans="1:15" x14ac:dyDescent="0.35">
      <c r="A904" t="s">
        <v>1807</v>
      </c>
      <c r="B904" s="2">
        <v>46042</v>
      </c>
      <c r="C904" t="s">
        <v>1201</v>
      </c>
      <c r="D904" t="s">
        <v>184</v>
      </c>
      <c r="E904" t="s">
        <v>56</v>
      </c>
      <c r="F904" t="s">
        <v>57</v>
      </c>
      <c r="G904" t="s">
        <v>19</v>
      </c>
      <c r="H904" t="s">
        <v>166</v>
      </c>
      <c r="I904">
        <v>2</v>
      </c>
      <c r="J904" s="3">
        <v>140000</v>
      </c>
      <c r="K904" s="3">
        <v>100000</v>
      </c>
      <c r="L904" t="s">
        <v>36</v>
      </c>
      <c r="M904" t="s">
        <v>51</v>
      </c>
      <c r="N904" t="s">
        <v>52</v>
      </c>
      <c r="O904" t="s">
        <v>91</v>
      </c>
    </row>
    <row r="905" spans="1:15" x14ac:dyDescent="0.35">
      <c r="A905" t="s">
        <v>1808</v>
      </c>
      <c r="B905" s="2">
        <v>46382</v>
      </c>
      <c r="C905" t="s">
        <v>269</v>
      </c>
      <c r="D905" t="s">
        <v>429</v>
      </c>
      <c r="E905" t="s">
        <v>77</v>
      </c>
      <c r="F905" t="s">
        <v>78</v>
      </c>
      <c r="G905" t="s">
        <v>19</v>
      </c>
      <c r="H905" t="s">
        <v>20</v>
      </c>
      <c r="I905">
        <v>1</v>
      </c>
      <c r="J905" s="3">
        <v>65000</v>
      </c>
      <c r="K905" s="3">
        <v>45000</v>
      </c>
      <c r="L905" t="s">
        <v>50</v>
      </c>
      <c r="M905" t="s">
        <v>22</v>
      </c>
      <c r="N905" t="s">
        <v>23</v>
      </c>
      <c r="O905" t="s">
        <v>24</v>
      </c>
    </row>
    <row r="906" spans="1:15" x14ac:dyDescent="0.35">
      <c r="A906" t="s">
        <v>1809</v>
      </c>
      <c r="B906" s="2">
        <v>46320</v>
      </c>
      <c r="C906" t="s">
        <v>583</v>
      </c>
      <c r="D906" t="s">
        <v>1338</v>
      </c>
      <c r="E906" t="s">
        <v>18</v>
      </c>
      <c r="F906" t="s">
        <v>18</v>
      </c>
      <c r="G906" t="s">
        <v>43</v>
      </c>
      <c r="H906" t="s">
        <v>44</v>
      </c>
      <c r="I906">
        <v>5</v>
      </c>
      <c r="J906" s="3">
        <v>15800</v>
      </c>
      <c r="K906" s="3">
        <v>9500</v>
      </c>
      <c r="L906" t="s">
        <v>21</v>
      </c>
      <c r="M906" t="s">
        <v>51</v>
      </c>
      <c r="N906" t="s">
        <v>87</v>
      </c>
      <c r="O906" t="s">
        <v>45</v>
      </c>
    </row>
    <row r="907" spans="1:15" x14ac:dyDescent="0.35">
      <c r="A907" t="s">
        <v>1810</v>
      </c>
      <c r="B907" s="2">
        <v>46213</v>
      </c>
      <c r="C907" t="s">
        <v>557</v>
      </c>
      <c r="D907" t="s">
        <v>1104</v>
      </c>
      <c r="E907" t="s">
        <v>190</v>
      </c>
      <c r="F907" t="s">
        <v>191</v>
      </c>
      <c r="G907" t="s">
        <v>19</v>
      </c>
      <c r="H907" t="s">
        <v>112</v>
      </c>
      <c r="I907">
        <v>8</v>
      </c>
      <c r="J907" s="3">
        <v>85000</v>
      </c>
      <c r="K907" s="3">
        <v>62000</v>
      </c>
      <c r="L907" t="s">
        <v>96</v>
      </c>
      <c r="M907" t="s">
        <v>51</v>
      </c>
      <c r="N907" t="s">
        <v>52</v>
      </c>
      <c r="O907" t="s">
        <v>91</v>
      </c>
    </row>
    <row r="908" spans="1:15" x14ac:dyDescent="0.35">
      <c r="A908" t="s">
        <v>1811</v>
      </c>
      <c r="B908" s="2">
        <v>46269</v>
      </c>
      <c r="C908" t="s">
        <v>1045</v>
      </c>
      <c r="D908" t="s">
        <v>1598</v>
      </c>
      <c r="E908" t="s">
        <v>77</v>
      </c>
      <c r="F908" t="s">
        <v>78</v>
      </c>
      <c r="G908" t="s">
        <v>19</v>
      </c>
      <c r="H908" t="s">
        <v>112</v>
      </c>
      <c r="I908">
        <v>10</v>
      </c>
      <c r="J908" s="3">
        <v>89200</v>
      </c>
      <c r="K908" s="3">
        <v>60100</v>
      </c>
      <c r="L908" t="s">
        <v>50</v>
      </c>
      <c r="M908" t="s">
        <v>31</v>
      </c>
      <c r="N908" t="s">
        <v>87</v>
      </c>
      <c r="O908" t="s">
        <v>91</v>
      </c>
    </row>
    <row r="909" spans="1:15" x14ac:dyDescent="0.35">
      <c r="A909" t="s">
        <v>1812</v>
      </c>
      <c r="B909" s="2">
        <v>46108</v>
      </c>
      <c r="C909" t="s">
        <v>1632</v>
      </c>
      <c r="D909" t="s">
        <v>487</v>
      </c>
      <c r="E909" t="s">
        <v>18</v>
      </c>
      <c r="F909" t="s">
        <v>18</v>
      </c>
      <c r="G909" t="s">
        <v>19</v>
      </c>
      <c r="H909" t="s">
        <v>61</v>
      </c>
      <c r="I909">
        <v>5</v>
      </c>
      <c r="J909" s="3">
        <v>220000</v>
      </c>
      <c r="K909" s="3">
        <v>160000</v>
      </c>
      <c r="L909" t="s">
        <v>73</v>
      </c>
      <c r="M909" t="s">
        <v>22</v>
      </c>
      <c r="N909" t="s">
        <v>23</v>
      </c>
      <c r="O909" t="s">
        <v>45</v>
      </c>
    </row>
    <row r="910" spans="1:15" x14ac:dyDescent="0.35">
      <c r="A910" t="s">
        <v>1813</v>
      </c>
      <c r="B910" s="2">
        <v>46122</v>
      </c>
      <c r="C910" t="s">
        <v>930</v>
      </c>
      <c r="D910" t="s">
        <v>619</v>
      </c>
      <c r="E910" t="s">
        <v>84</v>
      </c>
      <c r="F910" t="s">
        <v>85</v>
      </c>
      <c r="G910" t="s">
        <v>19</v>
      </c>
      <c r="H910" t="s">
        <v>166</v>
      </c>
      <c r="I910">
        <v>7</v>
      </c>
      <c r="J910" s="3">
        <v>140000</v>
      </c>
      <c r="K910" s="3">
        <v>97000</v>
      </c>
      <c r="L910" t="s">
        <v>30</v>
      </c>
      <c r="M910" t="s">
        <v>51</v>
      </c>
      <c r="N910" t="s">
        <v>23</v>
      </c>
      <c r="O910" t="s">
        <v>91</v>
      </c>
    </row>
    <row r="911" spans="1:15" x14ac:dyDescent="0.35">
      <c r="A911" t="s">
        <v>1814</v>
      </c>
      <c r="B911" s="2">
        <v>46096</v>
      </c>
      <c r="C911" t="s">
        <v>1815</v>
      </c>
      <c r="D911" t="s">
        <v>1246</v>
      </c>
      <c r="E911" t="s">
        <v>18</v>
      </c>
      <c r="F911" t="s">
        <v>18</v>
      </c>
      <c r="G911" t="s">
        <v>34</v>
      </c>
      <c r="H911" t="s">
        <v>158</v>
      </c>
      <c r="I911">
        <v>2</v>
      </c>
      <c r="J911" s="3">
        <v>95000</v>
      </c>
      <c r="K911" s="3">
        <v>72100</v>
      </c>
      <c r="L911" t="s">
        <v>96</v>
      </c>
      <c r="M911" t="s">
        <v>37</v>
      </c>
      <c r="N911" t="s">
        <v>23</v>
      </c>
      <c r="O911" t="s">
        <v>24</v>
      </c>
    </row>
    <row r="912" spans="1:15" x14ac:dyDescent="0.35">
      <c r="A912" t="s">
        <v>1816</v>
      </c>
      <c r="B912" s="2">
        <v>46132</v>
      </c>
      <c r="C912" t="s">
        <v>1817</v>
      </c>
      <c r="D912" t="s">
        <v>866</v>
      </c>
      <c r="E912" t="s">
        <v>18</v>
      </c>
      <c r="F912" t="s">
        <v>18</v>
      </c>
      <c r="G912" t="s">
        <v>28</v>
      </c>
      <c r="H912" t="s">
        <v>131</v>
      </c>
      <c r="I912">
        <v>5</v>
      </c>
      <c r="J912" s="3">
        <v>30000</v>
      </c>
      <c r="K912" s="3">
        <v>18400</v>
      </c>
      <c r="L912" t="s">
        <v>80</v>
      </c>
      <c r="M912" t="s">
        <v>51</v>
      </c>
      <c r="N912" t="s">
        <v>87</v>
      </c>
      <c r="O912" t="s">
        <v>45</v>
      </c>
    </row>
    <row r="913" spans="1:15" x14ac:dyDescent="0.35">
      <c r="A913" t="s">
        <v>1818</v>
      </c>
      <c r="B913" s="2">
        <v>46323</v>
      </c>
      <c r="C913" t="s">
        <v>1732</v>
      </c>
      <c r="D913" t="s">
        <v>1581</v>
      </c>
      <c r="E913" t="s">
        <v>18</v>
      </c>
      <c r="F913" t="s">
        <v>18</v>
      </c>
      <c r="G913" t="s">
        <v>34</v>
      </c>
      <c r="H913" t="s">
        <v>158</v>
      </c>
      <c r="I913">
        <v>6</v>
      </c>
      <c r="J913" s="3">
        <v>90200</v>
      </c>
      <c r="K913" s="3">
        <v>72100</v>
      </c>
      <c r="L913" t="s">
        <v>30</v>
      </c>
      <c r="M913" t="s">
        <v>37</v>
      </c>
      <c r="N913" t="s">
        <v>87</v>
      </c>
      <c r="O913" t="s">
        <v>24</v>
      </c>
    </row>
    <row r="914" spans="1:15" x14ac:dyDescent="0.35">
      <c r="A914" t="s">
        <v>1819</v>
      </c>
      <c r="B914" s="2">
        <v>46175</v>
      </c>
      <c r="C914" t="s">
        <v>269</v>
      </c>
      <c r="D914" t="s">
        <v>176</v>
      </c>
      <c r="E914" t="s">
        <v>190</v>
      </c>
      <c r="F914" t="s">
        <v>191</v>
      </c>
      <c r="G914" t="s">
        <v>19</v>
      </c>
      <c r="H914" t="s">
        <v>61</v>
      </c>
      <c r="I914">
        <v>5</v>
      </c>
      <c r="J914" s="3">
        <v>209000</v>
      </c>
      <c r="K914" s="3">
        <v>155200</v>
      </c>
      <c r="L914" t="s">
        <v>50</v>
      </c>
      <c r="M914" t="s">
        <v>37</v>
      </c>
      <c r="N914" t="s">
        <v>23</v>
      </c>
      <c r="O914" t="s">
        <v>91</v>
      </c>
    </row>
    <row r="915" spans="1:15" x14ac:dyDescent="0.35">
      <c r="A915" t="s">
        <v>1820</v>
      </c>
      <c r="B915" s="2">
        <v>46244</v>
      </c>
      <c r="C915" t="s">
        <v>925</v>
      </c>
      <c r="D915" t="s">
        <v>731</v>
      </c>
      <c r="E915" t="s">
        <v>190</v>
      </c>
      <c r="F915" t="s">
        <v>191</v>
      </c>
      <c r="G915" t="s">
        <v>28</v>
      </c>
      <c r="H915" t="s">
        <v>131</v>
      </c>
      <c r="I915">
        <v>2</v>
      </c>
      <c r="J915" s="3">
        <v>28500</v>
      </c>
      <c r="K915" s="3">
        <v>18400</v>
      </c>
      <c r="L915" t="s">
        <v>36</v>
      </c>
      <c r="M915" t="s">
        <v>37</v>
      </c>
      <c r="N915" t="s">
        <v>23</v>
      </c>
      <c r="O915" t="s">
        <v>24</v>
      </c>
    </row>
    <row r="916" spans="1:15" x14ac:dyDescent="0.35">
      <c r="A916" t="s">
        <v>1821</v>
      </c>
      <c r="B916" s="2">
        <v>46322</v>
      </c>
      <c r="C916" t="s">
        <v>1340</v>
      </c>
      <c r="D916" t="s">
        <v>1822</v>
      </c>
      <c r="E916" t="s">
        <v>156</v>
      </c>
      <c r="F916" t="s">
        <v>157</v>
      </c>
      <c r="G916" t="s">
        <v>19</v>
      </c>
      <c r="H916" t="s">
        <v>20</v>
      </c>
      <c r="I916">
        <v>6</v>
      </c>
      <c r="J916" s="3"/>
      <c r="K916" s="3">
        <v>43600</v>
      </c>
      <c r="L916" t="s">
        <v>36</v>
      </c>
      <c r="M916" t="s">
        <v>22</v>
      </c>
      <c r="N916" t="s">
        <v>23</v>
      </c>
      <c r="O916" t="s">
        <v>91</v>
      </c>
    </row>
    <row r="917" spans="1:15" x14ac:dyDescent="0.35">
      <c r="A917" t="s">
        <v>1823</v>
      </c>
      <c r="B917" s="2">
        <v>46207</v>
      </c>
      <c r="C917" t="s">
        <v>1033</v>
      </c>
      <c r="D917" t="s">
        <v>1824</v>
      </c>
      <c r="E917" t="s">
        <v>56</v>
      </c>
      <c r="F917" t="s">
        <v>57</v>
      </c>
      <c r="G917" t="s">
        <v>43</v>
      </c>
      <c r="H917" t="s">
        <v>79</v>
      </c>
      <c r="I917">
        <v>2</v>
      </c>
      <c r="J917" s="3">
        <v>5700</v>
      </c>
      <c r="K917" s="3">
        <v>4100</v>
      </c>
      <c r="L917" t="s">
        <v>30</v>
      </c>
      <c r="M917" t="s">
        <v>22</v>
      </c>
      <c r="N917" t="s">
        <v>52</v>
      </c>
      <c r="O917" t="s">
        <v>24</v>
      </c>
    </row>
    <row r="918" spans="1:15" x14ac:dyDescent="0.35">
      <c r="A918" t="s">
        <v>1825</v>
      </c>
      <c r="B918" s="2">
        <v>46230</v>
      </c>
      <c r="C918" t="s">
        <v>523</v>
      </c>
      <c r="D918" t="s">
        <v>388</v>
      </c>
      <c r="E918" t="s">
        <v>18</v>
      </c>
      <c r="F918" t="s">
        <v>18</v>
      </c>
      <c r="G918" t="s">
        <v>19</v>
      </c>
      <c r="H918" t="s">
        <v>112</v>
      </c>
      <c r="I918">
        <v>7</v>
      </c>
      <c r="J918" s="3">
        <v>85000</v>
      </c>
      <c r="K918" s="3">
        <v>62000</v>
      </c>
      <c r="L918" t="s">
        <v>96</v>
      </c>
      <c r="M918" t="s">
        <v>22</v>
      </c>
      <c r="N918" t="s">
        <v>52</v>
      </c>
      <c r="O918" t="s">
        <v>91</v>
      </c>
    </row>
    <row r="919" spans="1:15" x14ac:dyDescent="0.35">
      <c r="A919" t="s">
        <v>1826</v>
      </c>
      <c r="B919" s="2">
        <v>46215</v>
      </c>
      <c r="C919" t="s">
        <v>1827</v>
      </c>
      <c r="D919" t="s">
        <v>1048</v>
      </c>
      <c r="E919" t="s">
        <v>18</v>
      </c>
      <c r="F919" t="s">
        <v>18</v>
      </c>
      <c r="G919" t="s">
        <v>34</v>
      </c>
      <c r="H919" t="s">
        <v>95</v>
      </c>
      <c r="I919">
        <v>9</v>
      </c>
      <c r="J919" s="3">
        <v>450000</v>
      </c>
      <c r="K919" s="3">
        <v>381100</v>
      </c>
      <c r="L919" t="s">
        <v>96</v>
      </c>
      <c r="M919" t="s">
        <v>31</v>
      </c>
      <c r="N919" t="s">
        <v>52</v>
      </c>
      <c r="O919" t="s">
        <v>24</v>
      </c>
    </row>
    <row r="920" spans="1:15" x14ac:dyDescent="0.35">
      <c r="A920" t="s">
        <v>1828</v>
      </c>
      <c r="B920" s="2">
        <v>46189</v>
      </c>
      <c r="C920" t="s">
        <v>1010</v>
      </c>
      <c r="D920" t="s">
        <v>939</v>
      </c>
      <c r="E920" t="s">
        <v>84</v>
      </c>
      <c r="F920" t="s">
        <v>85</v>
      </c>
      <c r="G920" t="s">
        <v>28</v>
      </c>
      <c r="H920" t="s">
        <v>65</v>
      </c>
      <c r="I920">
        <v>6</v>
      </c>
      <c r="J920" s="3">
        <v>11400</v>
      </c>
      <c r="K920" s="3">
        <v>7700</v>
      </c>
      <c r="L920" t="s">
        <v>30</v>
      </c>
      <c r="M920" t="s">
        <v>51</v>
      </c>
      <c r="N920" t="s">
        <v>52</v>
      </c>
      <c r="O920" t="s">
        <v>24</v>
      </c>
    </row>
    <row r="921" spans="1:15" x14ac:dyDescent="0.35">
      <c r="A921" t="s">
        <v>1829</v>
      </c>
      <c r="B921" s="2">
        <v>46323</v>
      </c>
      <c r="C921" t="s">
        <v>965</v>
      </c>
      <c r="D921" t="s">
        <v>639</v>
      </c>
      <c r="E921" t="s">
        <v>18</v>
      </c>
      <c r="F921" t="s">
        <v>18</v>
      </c>
      <c r="G921" t="s">
        <v>19</v>
      </c>
      <c r="H921" t="s">
        <v>166</v>
      </c>
      <c r="I921">
        <v>8</v>
      </c>
      <c r="J921" s="3">
        <v>140000</v>
      </c>
      <c r="K921" s="3">
        <v>103000</v>
      </c>
      <c r="L921" t="s">
        <v>66</v>
      </c>
      <c r="M921" t="s">
        <v>51</v>
      </c>
      <c r="N921" t="s">
        <v>87</v>
      </c>
      <c r="O921" t="s">
        <v>24</v>
      </c>
    </row>
    <row r="922" spans="1:15" x14ac:dyDescent="0.35">
      <c r="A922" t="s">
        <v>1830</v>
      </c>
      <c r="B922" s="2">
        <v>46135</v>
      </c>
      <c r="C922" t="s">
        <v>1069</v>
      </c>
      <c r="D922" t="s">
        <v>789</v>
      </c>
      <c r="E922" t="s">
        <v>156</v>
      </c>
      <c r="F922" t="s">
        <v>170</v>
      </c>
      <c r="G922" t="s">
        <v>34</v>
      </c>
      <c r="H922" t="s">
        <v>35</v>
      </c>
      <c r="I922">
        <v>2</v>
      </c>
      <c r="J922" s="3">
        <v>52200</v>
      </c>
      <c r="K922" s="3">
        <v>39000</v>
      </c>
      <c r="L922" t="s">
        <v>80</v>
      </c>
      <c r="M922" t="s">
        <v>37</v>
      </c>
      <c r="N922" t="s">
        <v>52</v>
      </c>
      <c r="O922" t="s">
        <v>24</v>
      </c>
    </row>
    <row r="923" spans="1:15" x14ac:dyDescent="0.35">
      <c r="A923" t="s">
        <v>1831</v>
      </c>
      <c r="B923" s="2">
        <v>46225</v>
      </c>
      <c r="C923" t="s">
        <v>120</v>
      </c>
      <c r="D923" t="s">
        <v>306</v>
      </c>
      <c r="E923" t="s">
        <v>84</v>
      </c>
      <c r="F923" t="s">
        <v>85</v>
      </c>
      <c r="G923" t="s">
        <v>34</v>
      </c>
      <c r="H923" t="s">
        <v>141</v>
      </c>
      <c r="I923">
        <v>9</v>
      </c>
      <c r="J923" s="3">
        <v>168000</v>
      </c>
      <c r="K923" s="3">
        <v>123600</v>
      </c>
      <c r="L923" t="s">
        <v>21</v>
      </c>
      <c r="M923" t="s">
        <v>22</v>
      </c>
      <c r="N923" t="s">
        <v>52</v>
      </c>
      <c r="O923" t="s">
        <v>45</v>
      </c>
    </row>
    <row r="924" spans="1:15" x14ac:dyDescent="0.35">
      <c r="A924" t="s">
        <v>1832</v>
      </c>
      <c r="B924" s="2">
        <v>46326</v>
      </c>
      <c r="C924" t="s">
        <v>1356</v>
      </c>
      <c r="D924" t="s">
        <v>121</v>
      </c>
      <c r="E924" t="s">
        <v>84</v>
      </c>
      <c r="F924" t="s">
        <v>85</v>
      </c>
      <c r="G924" t="s">
        <v>34</v>
      </c>
      <c r="H924" t="s">
        <v>158</v>
      </c>
      <c r="I924">
        <v>8</v>
      </c>
      <c r="J924" s="3">
        <v>90200</v>
      </c>
      <c r="K924" s="3">
        <v>72100</v>
      </c>
      <c r="L924" t="s">
        <v>36</v>
      </c>
      <c r="M924" t="s">
        <v>31</v>
      </c>
      <c r="N924" t="s">
        <v>23</v>
      </c>
      <c r="O924" t="s">
        <v>24</v>
      </c>
    </row>
    <row r="925" spans="1:15" x14ac:dyDescent="0.35">
      <c r="A925" t="s">
        <v>1833</v>
      </c>
      <c r="B925" s="2">
        <v>46240</v>
      </c>
      <c r="C925" t="s">
        <v>1770</v>
      </c>
      <c r="D925" t="s">
        <v>627</v>
      </c>
      <c r="E925" t="s">
        <v>18</v>
      </c>
      <c r="F925" t="s">
        <v>18</v>
      </c>
      <c r="G925" t="s">
        <v>19</v>
      </c>
      <c r="H925" t="s">
        <v>166</v>
      </c>
      <c r="I925">
        <v>10</v>
      </c>
      <c r="J925" s="3">
        <v>140000</v>
      </c>
      <c r="K925" s="3">
        <v>97000</v>
      </c>
      <c r="L925" t="s">
        <v>36</v>
      </c>
      <c r="M925" t="s">
        <v>37</v>
      </c>
      <c r="N925" t="s">
        <v>52</v>
      </c>
      <c r="O925" t="s">
        <v>91</v>
      </c>
    </row>
    <row r="926" spans="1:15" x14ac:dyDescent="0.35">
      <c r="A926" t="s">
        <v>1834</v>
      </c>
      <c r="B926" s="2">
        <v>46258</v>
      </c>
      <c r="C926" t="s">
        <v>877</v>
      </c>
      <c r="D926" t="s">
        <v>779</v>
      </c>
      <c r="E926" t="s">
        <v>77</v>
      </c>
      <c r="F926" t="s">
        <v>78</v>
      </c>
      <c r="G926" t="s">
        <v>28</v>
      </c>
      <c r="H926" t="s">
        <v>131</v>
      </c>
      <c r="I926">
        <v>7</v>
      </c>
      <c r="J926" s="3">
        <v>31500</v>
      </c>
      <c r="K926" s="3">
        <v>19000</v>
      </c>
      <c r="L926" t="s">
        <v>30</v>
      </c>
      <c r="M926" t="s">
        <v>51</v>
      </c>
      <c r="N926" t="s">
        <v>52</v>
      </c>
      <c r="O926" t="s">
        <v>24</v>
      </c>
    </row>
    <row r="927" spans="1:15" x14ac:dyDescent="0.35">
      <c r="A927" t="s">
        <v>1835</v>
      </c>
      <c r="B927" s="2">
        <v>46026</v>
      </c>
      <c r="C927" t="s">
        <v>605</v>
      </c>
      <c r="D927" t="s">
        <v>1836</v>
      </c>
      <c r="E927" t="s">
        <v>56</v>
      </c>
      <c r="F927" t="s">
        <v>57</v>
      </c>
      <c r="G927" t="s">
        <v>34</v>
      </c>
      <c r="H927" t="s">
        <v>158</v>
      </c>
      <c r="I927">
        <v>3</v>
      </c>
      <c r="J927" s="3">
        <v>95000</v>
      </c>
      <c r="K927" s="3">
        <v>72100</v>
      </c>
      <c r="L927" t="s">
        <v>73</v>
      </c>
      <c r="M927" t="s">
        <v>22</v>
      </c>
      <c r="N927" t="s">
        <v>52</v>
      </c>
      <c r="O927" t="s">
        <v>24</v>
      </c>
    </row>
    <row r="928" spans="1:15" x14ac:dyDescent="0.35">
      <c r="A928" t="s">
        <v>1837</v>
      </c>
      <c r="B928" s="2">
        <v>46024</v>
      </c>
      <c r="C928" t="s">
        <v>1018</v>
      </c>
      <c r="D928" t="s">
        <v>184</v>
      </c>
      <c r="E928" t="s">
        <v>190</v>
      </c>
      <c r="F928" t="s">
        <v>191</v>
      </c>
      <c r="G928" t="s">
        <v>19</v>
      </c>
      <c r="H928" t="s">
        <v>112</v>
      </c>
      <c r="I928">
        <v>7</v>
      </c>
      <c r="J928" s="3">
        <v>85000</v>
      </c>
      <c r="K928" s="3">
        <v>60100</v>
      </c>
      <c r="L928" t="s">
        <v>80</v>
      </c>
      <c r="M928" t="s">
        <v>37</v>
      </c>
      <c r="N928" t="s">
        <v>87</v>
      </c>
      <c r="O928" t="s">
        <v>24</v>
      </c>
    </row>
    <row r="929" spans="1:15" x14ac:dyDescent="0.35">
      <c r="A929" t="s">
        <v>1838</v>
      </c>
      <c r="B929" s="2">
        <v>46068</v>
      </c>
      <c r="C929" t="s">
        <v>220</v>
      </c>
      <c r="D929" t="s">
        <v>1839</v>
      </c>
      <c r="E929" t="s">
        <v>18</v>
      </c>
      <c r="F929" t="s">
        <v>18</v>
      </c>
      <c r="G929" t="s">
        <v>34</v>
      </c>
      <c r="H929" t="s">
        <v>86</v>
      </c>
      <c r="I929">
        <v>1</v>
      </c>
      <c r="J929" s="3">
        <v>171000</v>
      </c>
      <c r="K929" s="3">
        <v>131000</v>
      </c>
      <c r="L929" t="s">
        <v>66</v>
      </c>
      <c r="M929" t="s">
        <v>37</v>
      </c>
      <c r="N929" t="s">
        <v>52</v>
      </c>
      <c r="O929" t="s">
        <v>45</v>
      </c>
    </row>
    <row r="930" spans="1:15" x14ac:dyDescent="0.35">
      <c r="A930" t="s">
        <v>1840</v>
      </c>
      <c r="B930" s="2">
        <v>46187</v>
      </c>
      <c r="C930" t="s">
        <v>1522</v>
      </c>
      <c r="D930" t="s">
        <v>1313</v>
      </c>
      <c r="E930" t="s">
        <v>84</v>
      </c>
      <c r="F930" t="s">
        <v>85</v>
      </c>
      <c r="G930" t="s">
        <v>43</v>
      </c>
      <c r="H930" t="s">
        <v>177</v>
      </c>
      <c r="I930">
        <v>8</v>
      </c>
      <c r="J930" s="3">
        <v>18000</v>
      </c>
      <c r="K930" s="3">
        <v>12100</v>
      </c>
      <c r="L930" t="s">
        <v>50</v>
      </c>
      <c r="M930" t="s">
        <v>31</v>
      </c>
      <c r="N930" t="s">
        <v>52</v>
      </c>
      <c r="O930" t="s">
        <v>24</v>
      </c>
    </row>
    <row r="931" spans="1:15" x14ac:dyDescent="0.35">
      <c r="A931" t="s">
        <v>1841</v>
      </c>
      <c r="B931" s="2">
        <v>46067</v>
      </c>
      <c r="C931" t="s">
        <v>1842</v>
      </c>
      <c r="D931" t="s">
        <v>1384</v>
      </c>
      <c r="E931" t="s">
        <v>41</v>
      </c>
      <c r="F931" t="s">
        <v>42</v>
      </c>
      <c r="G931" t="s">
        <v>28</v>
      </c>
      <c r="H931" t="s">
        <v>72</v>
      </c>
      <c r="I931">
        <v>4</v>
      </c>
      <c r="J931" s="3">
        <v>9500</v>
      </c>
      <c r="K931" s="3">
        <v>6200</v>
      </c>
      <c r="L931" t="s">
        <v>66</v>
      </c>
      <c r="M931" t="s">
        <v>22</v>
      </c>
      <c r="N931" t="s">
        <v>52</v>
      </c>
      <c r="O931" t="s">
        <v>24</v>
      </c>
    </row>
    <row r="932" spans="1:15" x14ac:dyDescent="0.35">
      <c r="A932" t="s">
        <v>1843</v>
      </c>
      <c r="B932" s="2">
        <v>46139</v>
      </c>
      <c r="C932" t="s">
        <v>379</v>
      </c>
      <c r="D932" t="s">
        <v>1405</v>
      </c>
      <c r="E932" t="s">
        <v>18</v>
      </c>
      <c r="F932" t="s">
        <v>18</v>
      </c>
      <c r="G932" t="s">
        <v>34</v>
      </c>
      <c r="H932" t="s">
        <v>35</v>
      </c>
      <c r="I932">
        <v>2</v>
      </c>
      <c r="J932" s="3">
        <v>57800</v>
      </c>
      <c r="K932" s="3">
        <v>40200</v>
      </c>
      <c r="L932" t="s">
        <v>66</v>
      </c>
      <c r="M932" t="s">
        <v>22</v>
      </c>
      <c r="N932" t="s">
        <v>87</v>
      </c>
      <c r="O932" t="s">
        <v>91</v>
      </c>
    </row>
    <row r="933" spans="1:15" x14ac:dyDescent="0.35">
      <c r="A933" t="s">
        <v>1844</v>
      </c>
      <c r="B933" s="2">
        <v>46217</v>
      </c>
      <c r="C933" t="s">
        <v>1732</v>
      </c>
      <c r="D933" t="s">
        <v>1845</v>
      </c>
      <c r="E933" t="s">
        <v>56</v>
      </c>
      <c r="F933" t="s">
        <v>57</v>
      </c>
      <c r="G933" t="s">
        <v>28</v>
      </c>
      <c r="H933" t="s">
        <v>65</v>
      </c>
      <c r="I933">
        <v>3</v>
      </c>
      <c r="J933" s="3">
        <v>11400</v>
      </c>
      <c r="K933" s="3">
        <v>7500</v>
      </c>
      <c r="L933" t="s">
        <v>21</v>
      </c>
      <c r="M933" t="s">
        <v>37</v>
      </c>
      <c r="N933" t="s">
        <v>52</v>
      </c>
      <c r="O933" t="s">
        <v>45</v>
      </c>
    </row>
    <row r="934" spans="1:15" x14ac:dyDescent="0.35">
      <c r="A934" t="s">
        <v>1846</v>
      </c>
      <c r="B934" s="2">
        <v>46230</v>
      </c>
      <c r="C934" t="s">
        <v>735</v>
      </c>
      <c r="D934" t="s">
        <v>720</v>
      </c>
      <c r="E934" t="s">
        <v>18</v>
      </c>
      <c r="F934" t="s">
        <v>18</v>
      </c>
      <c r="G934" t="s">
        <v>34</v>
      </c>
      <c r="H934" t="s">
        <v>158</v>
      </c>
      <c r="I934">
        <v>4</v>
      </c>
      <c r="J934" s="3">
        <v>95000</v>
      </c>
      <c r="K934" s="3">
        <v>70000</v>
      </c>
      <c r="L934" t="s">
        <v>50</v>
      </c>
      <c r="M934" t="s">
        <v>22</v>
      </c>
      <c r="N934" t="s">
        <v>87</v>
      </c>
      <c r="O934" t="s">
        <v>24</v>
      </c>
    </row>
    <row r="935" spans="1:15" x14ac:dyDescent="0.35">
      <c r="A935" t="s">
        <v>1847</v>
      </c>
      <c r="B935" s="2">
        <v>46068</v>
      </c>
      <c r="C935" t="s">
        <v>1371</v>
      </c>
      <c r="D935" t="s">
        <v>329</v>
      </c>
      <c r="E935" t="s">
        <v>56</v>
      </c>
      <c r="F935" t="s">
        <v>57</v>
      </c>
      <c r="G935" t="s">
        <v>34</v>
      </c>
      <c r="H935" t="s">
        <v>35</v>
      </c>
      <c r="I935">
        <v>6</v>
      </c>
      <c r="J935" s="3">
        <v>55000</v>
      </c>
      <c r="K935" s="3">
        <v>37800</v>
      </c>
      <c r="L935" t="s">
        <v>21</v>
      </c>
      <c r="M935" t="s">
        <v>51</v>
      </c>
      <c r="N935" t="s">
        <v>52</v>
      </c>
      <c r="O935" t="s">
        <v>24</v>
      </c>
    </row>
    <row r="936" spans="1:15" x14ac:dyDescent="0.35">
      <c r="A936" t="s">
        <v>1848</v>
      </c>
      <c r="B936" s="2">
        <v>46122</v>
      </c>
      <c r="C936" t="s">
        <v>323</v>
      </c>
      <c r="D936" t="s">
        <v>1408</v>
      </c>
      <c r="E936" t="s">
        <v>41</v>
      </c>
      <c r="F936" t="s">
        <v>42</v>
      </c>
      <c r="G936" t="s">
        <v>19</v>
      </c>
      <c r="H936" t="s">
        <v>166</v>
      </c>
      <c r="I936">
        <v>2</v>
      </c>
      <c r="J936" s="3">
        <v>133000</v>
      </c>
      <c r="K936" s="3">
        <v>103000</v>
      </c>
      <c r="L936" t="s">
        <v>50</v>
      </c>
      <c r="M936" t="s">
        <v>22</v>
      </c>
      <c r="N936" t="s">
        <v>23</v>
      </c>
      <c r="O936" t="s">
        <v>24</v>
      </c>
    </row>
    <row r="937" spans="1:15" x14ac:dyDescent="0.35">
      <c r="A937" t="s">
        <v>1849</v>
      </c>
      <c r="B937" s="2">
        <v>46308</v>
      </c>
      <c r="C937" t="s">
        <v>495</v>
      </c>
      <c r="D937" t="s">
        <v>144</v>
      </c>
      <c r="E937" t="s">
        <v>84</v>
      </c>
      <c r="F937" t="s">
        <v>85</v>
      </c>
      <c r="G937" t="s">
        <v>19</v>
      </c>
      <c r="H937" t="s">
        <v>166</v>
      </c>
      <c r="I937">
        <v>9</v>
      </c>
      <c r="J937" s="3">
        <v>133000</v>
      </c>
      <c r="K937" s="3">
        <v>103000</v>
      </c>
      <c r="L937" t="s">
        <v>36</v>
      </c>
      <c r="M937" t="s">
        <v>37</v>
      </c>
      <c r="N937" t="s">
        <v>87</v>
      </c>
      <c r="O937" t="s">
        <v>24</v>
      </c>
    </row>
    <row r="938" spans="1:15" x14ac:dyDescent="0.35">
      <c r="A938" t="s">
        <v>1850</v>
      </c>
      <c r="B938" s="2">
        <v>46087</v>
      </c>
      <c r="C938" t="s">
        <v>1851</v>
      </c>
      <c r="D938" t="s">
        <v>90</v>
      </c>
      <c r="E938" t="s">
        <v>77</v>
      </c>
      <c r="F938" t="s">
        <v>78</v>
      </c>
      <c r="G938" t="s">
        <v>43</v>
      </c>
      <c r="H938" t="s">
        <v>79</v>
      </c>
      <c r="I938">
        <v>7</v>
      </c>
      <c r="J938" s="3">
        <v>6300</v>
      </c>
      <c r="K938" s="3">
        <v>4100</v>
      </c>
      <c r="L938" t="s">
        <v>96</v>
      </c>
      <c r="M938" t="s">
        <v>37</v>
      </c>
      <c r="N938" t="s">
        <v>52</v>
      </c>
      <c r="O938" t="s">
        <v>45</v>
      </c>
    </row>
    <row r="939" spans="1:15" x14ac:dyDescent="0.35">
      <c r="A939" t="s">
        <v>1852</v>
      </c>
      <c r="B939" s="2">
        <v>46025</v>
      </c>
      <c r="C939" t="s">
        <v>1793</v>
      </c>
      <c r="D939" t="s">
        <v>988</v>
      </c>
      <c r="E939" t="s">
        <v>41</v>
      </c>
      <c r="F939" t="s">
        <v>42</v>
      </c>
      <c r="G939" t="s">
        <v>34</v>
      </c>
      <c r="H939" t="s">
        <v>35</v>
      </c>
      <c r="I939">
        <v>10</v>
      </c>
      <c r="J939" s="3">
        <v>57800</v>
      </c>
      <c r="K939" s="3">
        <v>39000</v>
      </c>
      <c r="L939" t="s">
        <v>21</v>
      </c>
      <c r="M939" t="s">
        <v>37</v>
      </c>
      <c r="N939" t="s">
        <v>23</v>
      </c>
      <c r="O939" t="s">
        <v>24</v>
      </c>
    </row>
    <row r="940" spans="1:15" x14ac:dyDescent="0.35">
      <c r="A940" t="s">
        <v>1853</v>
      </c>
      <c r="B940" s="2">
        <v>46023</v>
      </c>
      <c r="C940" t="s">
        <v>1609</v>
      </c>
      <c r="D940" t="s">
        <v>631</v>
      </c>
      <c r="E940" t="s">
        <v>156</v>
      </c>
      <c r="F940" t="s">
        <v>157</v>
      </c>
      <c r="G940" t="s">
        <v>34</v>
      </c>
      <c r="H940" t="s">
        <v>158</v>
      </c>
      <c r="I940">
        <v>6</v>
      </c>
      <c r="J940" s="3">
        <v>95000</v>
      </c>
      <c r="K940" s="3">
        <v>67900</v>
      </c>
      <c r="L940" t="s">
        <v>36</v>
      </c>
      <c r="M940" t="s">
        <v>37</v>
      </c>
      <c r="N940" t="s">
        <v>52</v>
      </c>
      <c r="O940" t="s">
        <v>24</v>
      </c>
    </row>
    <row r="941" spans="1:15" x14ac:dyDescent="0.35">
      <c r="A941" t="s">
        <v>1854</v>
      </c>
      <c r="B941" s="2">
        <v>46060</v>
      </c>
      <c r="C941" t="s">
        <v>168</v>
      </c>
      <c r="D941" t="s">
        <v>1471</v>
      </c>
      <c r="E941" t="s">
        <v>190</v>
      </c>
      <c r="F941" t="s">
        <v>191</v>
      </c>
      <c r="G941" t="s">
        <v>19</v>
      </c>
      <c r="H941" t="s">
        <v>112</v>
      </c>
      <c r="I941">
        <v>2</v>
      </c>
      <c r="J941" s="3">
        <v>89200</v>
      </c>
      <c r="K941" s="3">
        <v>60100</v>
      </c>
      <c r="L941" t="s">
        <v>50</v>
      </c>
      <c r="M941" t="s">
        <v>51</v>
      </c>
      <c r="N941" t="s">
        <v>23</v>
      </c>
      <c r="O941" t="s">
        <v>24</v>
      </c>
    </row>
    <row r="942" spans="1:15" x14ac:dyDescent="0.35">
      <c r="A942" t="s">
        <v>1855</v>
      </c>
      <c r="B942" s="2">
        <v>46152</v>
      </c>
      <c r="C942" t="s">
        <v>39</v>
      </c>
      <c r="D942" t="s">
        <v>1573</v>
      </c>
      <c r="E942" t="s">
        <v>41</v>
      </c>
      <c r="F942" t="s">
        <v>42</v>
      </c>
      <c r="G942" t="s">
        <v>34</v>
      </c>
      <c r="H942" t="s">
        <v>95</v>
      </c>
      <c r="I942">
        <v>6</v>
      </c>
      <c r="J942" s="3">
        <v>450000</v>
      </c>
      <c r="K942" s="3">
        <v>381100</v>
      </c>
      <c r="L942" t="s">
        <v>66</v>
      </c>
      <c r="M942" t="s">
        <v>22</v>
      </c>
      <c r="N942" t="s">
        <v>52</v>
      </c>
      <c r="O942" t="s">
        <v>24</v>
      </c>
    </row>
    <row r="943" spans="1:15" x14ac:dyDescent="0.35">
      <c r="A943" t="s">
        <v>1856</v>
      </c>
      <c r="B943" s="2">
        <v>46296</v>
      </c>
      <c r="C943" t="s">
        <v>1857</v>
      </c>
      <c r="D943" t="s">
        <v>741</v>
      </c>
      <c r="E943" t="s">
        <v>18</v>
      </c>
      <c r="F943" t="s">
        <v>18</v>
      </c>
      <c r="G943" t="s">
        <v>19</v>
      </c>
      <c r="H943" t="s">
        <v>61</v>
      </c>
      <c r="I943">
        <v>10</v>
      </c>
      <c r="J943" s="3">
        <v>220000</v>
      </c>
      <c r="K943" s="3">
        <v>160000</v>
      </c>
      <c r="L943" t="s">
        <v>50</v>
      </c>
      <c r="M943" t="s">
        <v>37</v>
      </c>
      <c r="N943" t="s">
        <v>23</v>
      </c>
      <c r="O943" t="s">
        <v>24</v>
      </c>
    </row>
    <row r="944" spans="1:15" x14ac:dyDescent="0.35">
      <c r="A944" t="s">
        <v>1858</v>
      </c>
      <c r="B944" s="2">
        <v>46307</v>
      </c>
      <c r="C944" t="s">
        <v>26</v>
      </c>
      <c r="D944" t="s">
        <v>1859</v>
      </c>
      <c r="E944" t="s">
        <v>18</v>
      </c>
      <c r="F944" t="s">
        <v>18</v>
      </c>
      <c r="G944" t="s">
        <v>28</v>
      </c>
      <c r="H944" t="s">
        <v>248</v>
      </c>
      <c r="I944">
        <v>8</v>
      </c>
      <c r="J944" s="3">
        <v>23800</v>
      </c>
      <c r="K944" s="3">
        <v>16500</v>
      </c>
      <c r="L944" t="s">
        <v>96</v>
      </c>
      <c r="M944" t="s">
        <v>37</v>
      </c>
      <c r="N944" t="s">
        <v>23</v>
      </c>
      <c r="O944" t="s">
        <v>24</v>
      </c>
    </row>
    <row r="945" spans="1:15" x14ac:dyDescent="0.35">
      <c r="A945" t="s">
        <v>1860</v>
      </c>
      <c r="B945" s="2">
        <v>46196</v>
      </c>
      <c r="C945" t="s">
        <v>1861</v>
      </c>
      <c r="D945" t="s">
        <v>1272</v>
      </c>
      <c r="E945" t="s">
        <v>41</v>
      </c>
      <c r="F945" t="s">
        <v>42</v>
      </c>
      <c r="G945" t="s">
        <v>43</v>
      </c>
      <c r="H945" t="s">
        <v>44</v>
      </c>
      <c r="I945">
        <v>5</v>
      </c>
      <c r="J945" s="3">
        <v>15000</v>
      </c>
      <c r="K945" s="3">
        <v>9800</v>
      </c>
      <c r="L945" t="s">
        <v>73</v>
      </c>
      <c r="M945" t="s">
        <v>37</v>
      </c>
      <c r="N945" t="s">
        <v>52</v>
      </c>
      <c r="O945" t="s">
        <v>24</v>
      </c>
    </row>
    <row r="946" spans="1:15" x14ac:dyDescent="0.35">
      <c r="A946" t="s">
        <v>1862</v>
      </c>
      <c r="B946" s="2">
        <v>46028</v>
      </c>
      <c r="C946" t="s">
        <v>981</v>
      </c>
      <c r="D946" t="s">
        <v>278</v>
      </c>
      <c r="E946" t="s">
        <v>156</v>
      </c>
      <c r="F946" t="s">
        <v>157</v>
      </c>
      <c r="G946" t="s">
        <v>34</v>
      </c>
      <c r="H946" t="s">
        <v>95</v>
      </c>
      <c r="I946">
        <v>7</v>
      </c>
      <c r="J946" s="3">
        <v>450000</v>
      </c>
      <c r="K946" s="3">
        <v>370000</v>
      </c>
      <c r="L946" t="s">
        <v>80</v>
      </c>
      <c r="M946" t="s">
        <v>37</v>
      </c>
      <c r="N946" t="s">
        <v>23</v>
      </c>
      <c r="O946" t="s">
        <v>45</v>
      </c>
    </row>
    <row r="947" spans="1:15" x14ac:dyDescent="0.35">
      <c r="A947" t="s">
        <v>1863</v>
      </c>
      <c r="B947" s="2">
        <v>46076</v>
      </c>
      <c r="C947" t="s">
        <v>649</v>
      </c>
      <c r="D947" t="s">
        <v>662</v>
      </c>
      <c r="E947" t="s">
        <v>18</v>
      </c>
      <c r="F947" t="s">
        <v>18</v>
      </c>
      <c r="G947" t="s">
        <v>43</v>
      </c>
      <c r="H947" t="s">
        <v>162</v>
      </c>
      <c r="I947">
        <v>2</v>
      </c>
      <c r="J947" s="3">
        <v>8400</v>
      </c>
      <c r="K947" s="3">
        <v>5200</v>
      </c>
      <c r="L947" t="s">
        <v>50</v>
      </c>
      <c r="M947" t="s">
        <v>51</v>
      </c>
      <c r="N947" t="s">
        <v>87</v>
      </c>
      <c r="O947" t="s">
        <v>45</v>
      </c>
    </row>
    <row r="948" spans="1:15" x14ac:dyDescent="0.35">
      <c r="A948" t="s">
        <v>1864</v>
      </c>
      <c r="B948" s="2">
        <v>46099</v>
      </c>
      <c r="C948" t="s">
        <v>1865</v>
      </c>
      <c r="D948" t="s">
        <v>165</v>
      </c>
      <c r="E948" t="s">
        <v>70</v>
      </c>
      <c r="F948" t="s">
        <v>71</v>
      </c>
      <c r="G948" t="s">
        <v>34</v>
      </c>
      <c r="H948" t="s">
        <v>141</v>
      </c>
      <c r="I948">
        <v>8</v>
      </c>
      <c r="J948" s="3">
        <v>160000</v>
      </c>
      <c r="K948" s="3">
        <v>116400</v>
      </c>
      <c r="L948" t="s">
        <v>36</v>
      </c>
      <c r="M948" t="s">
        <v>37</v>
      </c>
      <c r="N948" t="s">
        <v>52</v>
      </c>
      <c r="O948" t="s">
        <v>24</v>
      </c>
    </row>
    <row r="949" spans="1:15" x14ac:dyDescent="0.35">
      <c r="A949" t="s">
        <v>1866</v>
      </c>
      <c r="B949" s="2">
        <v>46226</v>
      </c>
      <c r="C949" t="s">
        <v>671</v>
      </c>
      <c r="D949" t="s">
        <v>1023</v>
      </c>
      <c r="E949" t="s">
        <v>41</v>
      </c>
      <c r="F949" t="s">
        <v>42</v>
      </c>
      <c r="G949" t="s">
        <v>43</v>
      </c>
      <c r="H949" t="s">
        <v>49</v>
      </c>
      <c r="I949">
        <v>2</v>
      </c>
      <c r="J949" s="3">
        <v>9000</v>
      </c>
      <c r="K949" s="3">
        <v>5800</v>
      </c>
      <c r="L949" t="s">
        <v>80</v>
      </c>
      <c r="M949" t="s">
        <v>37</v>
      </c>
      <c r="N949" t="s">
        <v>52</v>
      </c>
      <c r="O949" t="s">
        <v>91</v>
      </c>
    </row>
    <row r="950" spans="1:15" x14ac:dyDescent="0.35">
      <c r="A950" t="s">
        <v>1867</v>
      </c>
      <c r="B950" s="2">
        <v>46071</v>
      </c>
      <c r="C950" t="s">
        <v>874</v>
      </c>
      <c r="D950" t="s">
        <v>406</v>
      </c>
      <c r="E950" t="s">
        <v>156</v>
      </c>
      <c r="F950" t="s">
        <v>157</v>
      </c>
      <c r="G950" t="s">
        <v>34</v>
      </c>
      <c r="H950" t="s">
        <v>141</v>
      </c>
      <c r="I950">
        <v>4</v>
      </c>
      <c r="J950" s="3">
        <v>168000</v>
      </c>
      <c r="K950" s="3">
        <v>120000</v>
      </c>
      <c r="L950" t="s">
        <v>30</v>
      </c>
      <c r="M950" t="s">
        <v>37</v>
      </c>
      <c r="N950" t="s">
        <v>23</v>
      </c>
      <c r="O950" t="s">
        <v>24</v>
      </c>
    </row>
    <row r="951" spans="1:15" x14ac:dyDescent="0.35">
      <c r="A951" t="s">
        <v>1868</v>
      </c>
      <c r="B951" s="2">
        <v>46302</v>
      </c>
      <c r="C951" t="s">
        <v>1869</v>
      </c>
      <c r="D951" t="s">
        <v>1484</v>
      </c>
      <c r="E951" t="s">
        <v>18</v>
      </c>
      <c r="F951" t="s">
        <v>18</v>
      </c>
      <c r="G951" t="s">
        <v>34</v>
      </c>
      <c r="H951" t="s">
        <v>86</v>
      </c>
      <c r="I951">
        <v>1</v>
      </c>
      <c r="J951" s="3">
        <v>171000</v>
      </c>
      <c r="K951" s="3">
        <v>135000</v>
      </c>
      <c r="L951" t="s">
        <v>96</v>
      </c>
      <c r="M951" t="s">
        <v>51</v>
      </c>
      <c r="N951" t="s">
        <v>52</v>
      </c>
      <c r="O951" t="s">
        <v>24</v>
      </c>
    </row>
    <row r="952" spans="1:15" x14ac:dyDescent="0.35">
      <c r="A952" t="s">
        <v>1870</v>
      </c>
      <c r="B952" s="2">
        <v>46241</v>
      </c>
      <c r="C952" t="s">
        <v>746</v>
      </c>
      <c r="D952" t="s">
        <v>1871</v>
      </c>
      <c r="E952" t="s">
        <v>190</v>
      </c>
      <c r="F952" t="s">
        <v>191</v>
      </c>
      <c r="G952" t="s">
        <v>34</v>
      </c>
      <c r="H952" t="s">
        <v>95</v>
      </c>
      <c r="I952">
        <v>1</v>
      </c>
      <c r="J952" s="3">
        <v>427500</v>
      </c>
      <c r="K952" s="3">
        <v>370000</v>
      </c>
      <c r="L952" t="s">
        <v>96</v>
      </c>
      <c r="M952" t="s">
        <v>37</v>
      </c>
      <c r="N952" t="s">
        <v>52</v>
      </c>
      <c r="O952" t="s">
        <v>24</v>
      </c>
    </row>
    <row r="953" spans="1:15" x14ac:dyDescent="0.35">
      <c r="A953" t="s">
        <v>1872</v>
      </c>
      <c r="B953" s="2">
        <v>46344</v>
      </c>
      <c r="C953" t="s">
        <v>26</v>
      </c>
      <c r="D953" t="s">
        <v>374</v>
      </c>
      <c r="E953" t="s">
        <v>41</v>
      </c>
      <c r="F953" t="s">
        <v>42</v>
      </c>
      <c r="G953" t="s">
        <v>28</v>
      </c>
      <c r="H953" t="s">
        <v>131</v>
      </c>
      <c r="I953">
        <v>7</v>
      </c>
      <c r="J953" s="3">
        <v>28500</v>
      </c>
      <c r="K953" s="3">
        <v>19000</v>
      </c>
      <c r="L953" t="s">
        <v>21</v>
      </c>
      <c r="M953" t="s">
        <v>37</v>
      </c>
      <c r="N953" t="s">
        <v>23</v>
      </c>
      <c r="O953" t="s">
        <v>24</v>
      </c>
    </row>
    <row r="954" spans="1:15" x14ac:dyDescent="0.35">
      <c r="A954" t="s">
        <v>1873</v>
      </c>
      <c r="B954" s="2">
        <v>46170</v>
      </c>
      <c r="C954" t="s">
        <v>1642</v>
      </c>
      <c r="D954" t="s">
        <v>1126</v>
      </c>
      <c r="E954" t="s">
        <v>18</v>
      </c>
      <c r="F954" t="s">
        <v>18</v>
      </c>
      <c r="G954" t="s">
        <v>34</v>
      </c>
      <c r="H954" t="s">
        <v>141</v>
      </c>
      <c r="I954">
        <v>9</v>
      </c>
      <c r="J954" s="3">
        <v>160000</v>
      </c>
      <c r="K954" s="3">
        <v>116400</v>
      </c>
      <c r="L954" t="s">
        <v>21</v>
      </c>
      <c r="M954" t="s">
        <v>22</v>
      </c>
      <c r="N954" t="s">
        <v>52</v>
      </c>
      <c r="O954" t="s">
        <v>24</v>
      </c>
    </row>
    <row r="955" spans="1:15" x14ac:dyDescent="0.35">
      <c r="A955" t="s">
        <v>1874</v>
      </c>
      <c r="B955" s="2">
        <v>46092</v>
      </c>
      <c r="C955" t="s">
        <v>981</v>
      </c>
      <c r="D955" t="s">
        <v>1875</v>
      </c>
      <c r="E955" t="s">
        <v>18</v>
      </c>
      <c r="F955" t="s">
        <v>18</v>
      </c>
      <c r="G955" t="s">
        <v>43</v>
      </c>
      <c r="H955" t="s">
        <v>177</v>
      </c>
      <c r="I955">
        <v>7</v>
      </c>
      <c r="J955" s="3">
        <v>17100</v>
      </c>
      <c r="K955" s="3">
        <v>12900</v>
      </c>
      <c r="L955" t="s">
        <v>30</v>
      </c>
      <c r="M955" t="s">
        <v>31</v>
      </c>
      <c r="N955" t="s">
        <v>23</v>
      </c>
      <c r="O955" t="s">
        <v>24</v>
      </c>
    </row>
    <row r="956" spans="1:15" x14ac:dyDescent="0.35">
      <c r="A956" t="s">
        <v>1876</v>
      </c>
      <c r="B956" s="2">
        <v>46288</v>
      </c>
      <c r="C956" t="s">
        <v>818</v>
      </c>
      <c r="D956" t="s">
        <v>764</v>
      </c>
      <c r="E956" t="s">
        <v>84</v>
      </c>
      <c r="F956" t="s">
        <v>85</v>
      </c>
      <c r="G956" t="s">
        <v>19</v>
      </c>
      <c r="H956" t="s">
        <v>166</v>
      </c>
      <c r="I956">
        <v>2</v>
      </c>
      <c r="J956" s="3">
        <v>140000</v>
      </c>
      <c r="K956" s="3">
        <v>103000</v>
      </c>
      <c r="L956" t="s">
        <v>36</v>
      </c>
      <c r="M956" t="s">
        <v>37</v>
      </c>
      <c r="N956" t="s">
        <v>23</v>
      </c>
      <c r="O956" t="s">
        <v>45</v>
      </c>
    </row>
    <row r="957" spans="1:15" x14ac:dyDescent="0.35">
      <c r="A957" t="s">
        <v>1877</v>
      </c>
      <c r="B957" s="2">
        <v>46112</v>
      </c>
      <c r="C957" t="s">
        <v>585</v>
      </c>
      <c r="D957" t="s">
        <v>796</v>
      </c>
      <c r="E957" t="s">
        <v>18</v>
      </c>
      <c r="F957" t="s">
        <v>18</v>
      </c>
      <c r="G957" t="s">
        <v>43</v>
      </c>
      <c r="H957" t="s">
        <v>79</v>
      </c>
      <c r="I957">
        <v>1</v>
      </c>
      <c r="J957" s="3">
        <v>6000</v>
      </c>
      <c r="K957" s="3">
        <v>4100</v>
      </c>
      <c r="L957" t="s">
        <v>50</v>
      </c>
      <c r="M957" t="s">
        <v>22</v>
      </c>
      <c r="N957" t="s">
        <v>23</v>
      </c>
      <c r="O957" t="s">
        <v>45</v>
      </c>
    </row>
    <row r="958" spans="1:15" x14ac:dyDescent="0.35">
      <c r="A958" t="s">
        <v>1878</v>
      </c>
      <c r="B958" s="2">
        <v>46026</v>
      </c>
      <c r="C958" t="s">
        <v>1879</v>
      </c>
      <c r="D958" t="s">
        <v>1322</v>
      </c>
      <c r="E958" t="s">
        <v>18</v>
      </c>
      <c r="F958" t="s">
        <v>18</v>
      </c>
      <c r="G958" t="s">
        <v>43</v>
      </c>
      <c r="H958" t="s">
        <v>79</v>
      </c>
      <c r="I958">
        <v>3</v>
      </c>
      <c r="J958" s="3">
        <v>6000</v>
      </c>
      <c r="K958" s="3">
        <v>4300</v>
      </c>
      <c r="L958" t="s">
        <v>73</v>
      </c>
      <c r="M958" t="s">
        <v>22</v>
      </c>
      <c r="N958" t="s">
        <v>23</v>
      </c>
      <c r="O958" t="s">
        <v>24</v>
      </c>
    </row>
    <row r="959" spans="1:15" x14ac:dyDescent="0.35">
      <c r="A959" t="s">
        <v>1880</v>
      </c>
      <c r="B959" s="2">
        <v>46253</v>
      </c>
      <c r="C959" t="s">
        <v>1632</v>
      </c>
      <c r="D959" t="s">
        <v>27</v>
      </c>
      <c r="E959" t="s">
        <v>56</v>
      </c>
      <c r="F959" t="s">
        <v>57</v>
      </c>
      <c r="G959" t="s">
        <v>34</v>
      </c>
      <c r="H959" t="s">
        <v>95</v>
      </c>
      <c r="I959">
        <v>2</v>
      </c>
      <c r="J959" s="3">
        <v>472500</v>
      </c>
      <c r="K959" s="3">
        <v>358900</v>
      </c>
      <c r="L959" t="s">
        <v>30</v>
      </c>
      <c r="M959" t="s">
        <v>31</v>
      </c>
      <c r="N959" t="s">
        <v>23</v>
      </c>
      <c r="O959" t="s">
        <v>24</v>
      </c>
    </row>
    <row r="960" spans="1:15" x14ac:dyDescent="0.35">
      <c r="A960" t="s">
        <v>1881</v>
      </c>
      <c r="B960" s="2">
        <v>46317</v>
      </c>
      <c r="C960" t="s">
        <v>1882</v>
      </c>
      <c r="D960" t="s">
        <v>1132</v>
      </c>
      <c r="E960" t="s">
        <v>18</v>
      </c>
      <c r="F960" t="s">
        <v>18</v>
      </c>
      <c r="G960" t="s">
        <v>34</v>
      </c>
      <c r="H960" t="s">
        <v>95</v>
      </c>
      <c r="I960">
        <v>5</v>
      </c>
      <c r="J960" s="3">
        <v>450000</v>
      </c>
      <c r="K960" s="3">
        <v>381100</v>
      </c>
      <c r="L960" t="s">
        <v>36</v>
      </c>
      <c r="M960" t="s">
        <v>31</v>
      </c>
      <c r="N960" t="s">
        <v>52</v>
      </c>
      <c r="O960" t="s">
        <v>24</v>
      </c>
    </row>
    <row r="961" spans="1:15" x14ac:dyDescent="0.35">
      <c r="A961" t="s">
        <v>1883</v>
      </c>
      <c r="B961" s="2">
        <v>46360</v>
      </c>
      <c r="C961" t="s">
        <v>323</v>
      </c>
      <c r="D961" t="s">
        <v>674</v>
      </c>
      <c r="E961" t="s">
        <v>18</v>
      </c>
      <c r="F961" t="s">
        <v>18</v>
      </c>
      <c r="G961" t="s">
        <v>34</v>
      </c>
      <c r="H961" t="s">
        <v>35</v>
      </c>
      <c r="I961">
        <v>1</v>
      </c>
      <c r="J961" s="3">
        <v>55000</v>
      </c>
      <c r="K961" s="3">
        <v>37800</v>
      </c>
      <c r="L961" t="s">
        <v>96</v>
      </c>
      <c r="M961" t="s">
        <v>51</v>
      </c>
      <c r="N961" t="s">
        <v>52</v>
      </c>
      <c r="O961" t="s">
        <v>24</v>
      </c>
    </row>
    <row r="962" spans="1:15" x14ac:dyDescent="0.35">
      <c r="A962" t="s">
        <v>1884</v>
      </c>
      <c r="B962" s="2">
        <v>46221</v>
      </c>
      <c r="C962" t="s">
        <v>117</v>
      </c>
      <c r="D962" t="s">
        <v>134</v>
      </c>
      <c r="E962" t="s">
        <v>56</v>
      </c>
      <c r="F962" t="s">
        <v>57</v>
      </c>
      <c r="G962" t="s">
        <v>43</v>
      </c>
      <c r="H962" t="s">
        <v>162</v>
      </c>
      <c r="I962">
        <v>7</v>
      </c>
      <c r="J962" s="3">
        <v>8400</v>
      </c>
      <c r="K962" s="3">
        <v>5000</v>
      </c>
      <c r="L962" t="s">
        <v>30</v>
      </c>
      <c r="M962" t="s">
        <v>31</v>
      </c>
      <c r="N962" t="s">
        <v>52</v>
      </c>
      <c r="O962" t="s">
        <v>24</v>
      </c>
    </row>
    <row r="963" spans="1:15" x14ac:dyDescent="0.35">
      <c r="A963" t="s">
        <v>1885</v>
      </c>
      <c r="B963" s="2">
        <v>46080</v>
      </c>
      <c r="C963" t="s">
        <v>1216</v>
      </c>
      <c r="D963" t="s">
        <v>507</v>
      </c>
      <c r="E963" t="s">
        <v>56</v>
      </c>
      <c r="F963" t="s">
        <v>57</v>
      </c>
      <c r="G963" t="s">
        <v>28</v>
      </c>
      <c r="H963" t="s">
        <v>131</v>
      </c>
      <c r="I963">
        <v>4</v>
      </c>
      <c r="J963" s="3">
        <v>31500</v>
      </c>
      <c r="K963" s="3">
        <v>19000</v>
      </c>
      <c r="L963" t="s">
        <v>36</v>
      </c>
      <c r="M963" t="s">
        <v>51</v>
      </c>
      <c r="N963" t="s">
        <v>23</v>
      </c>
      <c r="O963" t="s">
        <v>24</v>
      </c>
    </row>
    <row r="964" spans="1:15" x14ac:dyDescent="0.35">
      <c r="A964" t="s">
        <v>1886</v>
      </c>
      <c r="B964" s="2">
        <v>46234</v>
      </c>
      <c r="C964" t="s">
        <v>1887</v>
      </c>
      <c r="D964" t="s">
        <v>960</v>
      </c>
      <c r="E964" t="s">
        <v>18</v>
      </c>
      <c r="F964" t="s">
        <v>18</v>
      </c>
      <c r="G964" t="s">
        <v>43</v>
      </c>
      <c r="H964" t="s">
        <v>79</v>
      </c>
      <c r="I964">
        <v>9</v>
      </c>
      <c r="J964" s="3">
        <v>5700</v>
      </c>
      <c r="K964" s="3">
        <v>4200</v>
      </c>
      <c r="L964" t="s">
        <v>30</v>
      </c>
      <c r="M964" t="s">
        <v>37</v>
      </c>
      <c r="N964" t="s">
        <v>23</v>
      </c>
      <c r="O964" t="s">
        <v>91</v>
      </c>
    </row>
    <row r="965" spans="1:15" x14ac:dyDescent="0.35">
      <c r="A965" t="s">
        <v>1888</v>
      </c>
      <c r="B965" s="2">
        <v>46054</v>
      </c>
      <c r="C965" t="s">
        <v>472</v>
      </c>
      <c r="D965" t="s">
        <v>1760</v>
      </c>
      <c r="E965" t="s">
        <v>156</v>
      </c>
      <c r="F965" t="s">
        <v>157</v>
      </c>
      <c r="G965" t="s">
        <v>19</v>
      </c>
      <c r="H965" t="s">
        <v>112</v>
      </c>
      <c r="I965">
        <v>5</v>
      </c>
      <c r="J965" s="3">
        <v>80800</v>
      </c>
      <c r="K965" s="3">
        <v>60100</v>
      </c>
      <c r="L965" t="s">
        <v>73</v>
      </c>
      <c r="M965" t="s">
        <v>37</v>
      </c>
      <c r="N965" t="s">
        <v>87</v>
      </c>
      <c r="O965" t="s">
        <v>24</v>
      </c>
    </row>
    <row r="966" spans="1:15" x14ac:dyDescent="0.35">
      <c r="A966" t="s">
        <v>1889</v>
      </c>
      <c r="B966" s="2">
        <v>46379</v>
      </c>
      <c r="C966" t="s">
        <v>1890</v>
      </c>
      <c r="D966" t="s">
        <v>750</v>
      </c>
      <c r="E966" t="s">
        <v>84</v>
      </c>
      <c r="F966" t="s">
        <v>85</v>
      </c>
      <c r="G966" t="s">
        <v>19</v>
      </c>
      <c r="H966" t="s">
        <v>166</v>
      </c>
      <c r="I966">
        <v>5</v>
      </c>
      <c r="J966" s="3">
        <v>140000</v>
      </c>
      <c r="K966" s="3">
        <v>97000</v>
      </c>
      <c r="L966" t="s">
        <v>50</v>
      </c>
      <c r="M966" t="s">
        <v>31</v>
      </c>
      <c r="N966" t="s">
        <v>52</v>
      </c>
      <c r="O966" t="s">
        <v>91</v>
      </c>
    </row>
    <row r="967" spans="1:15" x14ac:dyDescent="0.35">
      <c r="A967" t="s">
        <v>1891</v>
      </c>
      <c r="B967" s="2">
        <v>46291</v>
      </c>
      <c r="C967" t="s">
        <v>59</v>
      </c>
      <c r="D967" t="s">
        <v>1380</v>
      </c>
      <c r="E967" t="s">
        <v>77</v>
      </c>
      <c r="F967" t="s">
        <v>78</v>
      </c>
      <c r="G967" t="s">
        <v>34</v>
      </c>
      <c r="H967" t="s">
        <v>141</v>
      </c>
      <c r="I967">
        <v>6</v>
      </c>
      <c r="J967" s="3">
        <v>160000</v>
      </c>
      <c r="K967" s="3">
        <v>116400</v>
      </c>
      <c r="L967" t="s">
        <v>73</v>
      </c>
      <c r="M967" t="s">
        <v>22</v>
      </c>
      <c r="N967" t="s">
        <v>23</v>
      </c>
      <c r="O967" t="s">
        <v>24</v>
      </c>
    </row>
    <row r="968" spans="1:15" x14ac:dyDescent="0.35">
      <c r="A968" t="s">
        <v>1892</v>
      </c>
      <c r="B968" s="2">
        <v>46151</v>
      </c>
      <c r="C968" t="s">
        <v>671</v>
      </c>
      <c r="D968" t="s">
        <v>287</v>
      </c>
      <c r="E968" t="s">
        <v>18</v>
      </c>
      <c r="F968" t="s">
        <v>18</v>
      </c>
      <c r="G968" t="s">
        <v>19</v>
      </c>
      <c r="H968" t="s">
        <v>166</v>
      </c>
      <c r="I968">
        <v>7</v>
      </c>
      <c r="J968" s="3">
        <v>140000</v>
      </c>
      <c r="K968" s="3">
        <v>103000</v>
      </c>
      <c r="L968" t="s">
        <v>50</v>
      </c>
      <c r="M968" t="s">
        <v>22</v>
      </c>
      <c r="N968" t="s">
        <v>23</v>
      </c>
      <c r="O968" t="s">
        <v>91</v>
      </c>
    </row>
    <row r="969" spans="1:15" x14ac:dyDescent="0.35">
      <c r="A969" t="s">
        <v>1893</v>
      </c>
      <c r="B969" s="2">
        <v>46059</v>
      </c>
      <c r="C969" t="s">
        <v>1894</v>
      </c>
      <c r="D969" t="s">
        <v>380</v>
      </c>
      <c r="E969" t="s">
        <v>41</v>
      </c>
      <c r="F969" t="s">
        <v>42</v>
      </c>
      <c r="G969" t="s">
        <v>28</v>
      </c>
      <c r="H969" t="s">
        <v>248</v>
      </c>
      <c r="I969">
        <v>2</v>
      </c>
      <c r="J969" s="3">
        <v>23800</v>
      </c>
      <c r="K969" s="3">
        <v>16000</v>
      </c>
      <c r="L969" t="s">
        <v>96</v>
      </c>
      <c r="M969" t="s">
        <v>51</v>
      </c>
      <c r="N969" t="s">
        <v>52</v>
      </c>
      <c r="O969" t="s">
        <v>24</v>
      </c>
    </row>
    <row r="970" spans="1:15" x14ac:dyDescent="0.35">
      <c r="A970" t="s">
        <v>1895</v>
      </c>
      <c r="B970" s="2">
        <v>46312</v>
      </c>
      <c r="C970" t="s">
        <v>1743</v>
      </c>
      <c r="D970" t="s">
        <v>348</v>
      </c>
      <c r="E970" t="s">
        <v>18</v>
      </c>
      <c r="F970" t="s">
        <v>18</v>
      </c>
      <c r="G970" t="s">
        <v>19</v>
      </c>
      <c r="H970" t="s">
        <v>61</v>
      </c>
      <c r="I970">
        <v>4</v>
      </c>
      <c r="J970" s="3">
        <v>209000</v>
      </c>
      <c r="K970" s="3">
        <v>164800</v>
      </c>
      <c r="L970" t="s">
        <v>21</v>
      </c>
      <c r="M970" t="s">
        <v>37</v>
      </c>
      <c r="N970" t="s">
        <v>52</v>
      </c>
      <c r="O970" t="s">
        <v>24</v>
      </c>
    </row>
    <row r="971" spans="1:15" x14ac:dyDescent="0.35">
      <c r="A971" t="s">
        <v>1896</v>
      </c>
      <c r="B971" s="2">
        <v>46173</v>
      </c>
      <c r="C971" t="s">
        <v>1894</v>
      </c>
      <c r="D971" t="s">
        <v>276</v>
      </c>
      <c r="E971" t="s">
        <v>84</v>
      </c>
      <c r="F971" t="s">
        <v>85</v>
      </c>
      <c r="G971" t="s">
        <v>28</v>
      </c>
      <c r="H971" t="s">
        <v>72</v>
      </c>
      <c r="I971">
        <v>1</v>
      </c>
      <c r="J971" s="3">
        <v>10000</v>
      </c>
      <c r="K971" s="3">
        <v>6000</v>
      </c>
      <c r="L971" t="s">
        <v>21</v>
      </c>
      <c r="M971" t="s">
        <v>37</v>
      </c>
      <c r="N971" t="s">
        <v>23</v>
      </c>
      <c r="O971" t="s">
        <v>24</v>
      </c>
    </row>
    <row r="972" spans="1:15" x14ac:dyDescent="0.35">
      <c r="A972" t="s">
        <v>1897</v>
      </c>
      <c r="B972" s="2">
        <v>46106</v>
      </c>
      <c r="C972" t="s">
        <v>702</v>
      </c>
      <c r="D972" t="s">
        <v>812</v>
      </c>
      <c r="E972" t="s">
        <v>190</v>
      </c>
      <c r="F972" t="s">
        <v>191</v>
      </c>
      <c r="G972" t="s">
        <v>34</v>
      </c>
      <c r="H972" t="s">
        <v>95</v>
      </c>
      <c r="I972">
        <v>6</v>
      </c>
      <c r="J972" s="3">
        <v>450000</v>
      </c>
      <c r="K972" s="3">
        <v>370000</v>
      </c>
      <c r="L972" t="s">
        <v>21</v>
      </c>
      <c r="M972" t="s">
        <v>51</v>
      </c>
      <c r="N972" t="s">
        <v>87</v>
      </c>
      <c r="O972" t="s">
        <v>91</v>
      </c>
    </row>
    <row r="973" spans="1:15" x14ac:dyDescent="0.35">
      <c r="A973" t="s">
        <v>1898</v>
      </c>
      <c r="B973" s="2">
        <v>46348</v>
      </c>
      <c r="C973" t="s">
        <v>231</v>
      </c>
      <c r="D973" t="s">
        <v>276</v>
      </c>
      <c r="E973" t="s">
        <v>18</v>
      </c>
      <c r="F973" t="s">
        <v>18</v>
      </c>
      <c r="G973" t="s">
        <v>43</v>
      </c>
      <c r="H973" t="s">
        <v>162</v>
      </c>
      <c r="I973">
        <v>1</v>
      </c>
      <c r="J973" s="3">
        <v>8000</v>
      </c>
      <c r="K973" s="3">
        <v>5000</v>
      </c>
      <c r="L973" t="s">
        <v>80</v>
      </c>
      <c r="M973" t="s">
        <v>31</v>
      </c>
      <c r="N973" t="s">
        <v>23</v>
      </c>
      <c r="O973" t="s">
        <v>24</v>
      </c>
    </row>
    <row r="974" spans="1:15" x14ac:dyDescent="0.35">
      <c r="A974" t="s">
        <v>1899</v>
      </c>
      <c r="B974" s="2">
        <v>46029</v>
      </c>
      <c r="C974" t="s">
        <v>1327</v>
      </c>
      <c r="D974" t="s">
        <v>747</v>
      </c>
      <c r="E974" t="s">
        <v>70</v>
      </c>
      <c r="F974" t="s">
        <v>71</v>
      </c>
      <c r="G974" t="s">
        <v>19</v>
      </c>
      <c r="H974" t="s">
        <v>166</v>
      </c>
      <c r="I974">
        <v>2</v>
      </c>
      <c r="J974" s="3">
        <v>133000</v>
      </c>
      <c r="K974" s="3">
        <v>97000</v>
      </c>
      <c r="L974" t="s">
        <v>30</v>
      </c>
      <c r="M974" t="s">
        <v>51</v>
      </c>
      <c r="N974" t="s">
        <v>52</v>
      </c>
      <c r="O974" t="s">
        <v>24</v>
      </c>
    </row>
    <row r="975" spans="1:15" x14ac:dyDescent="0.35">
      <c r="A975" t="s">
        <v>1900</v>
      </c>
      <c r="B975" s="2">
        <v>46242</v>
      </c>
      <c r="C975" t="s">
        <v>901</v>
      </c>
      <c r="D975" t="s">
        <v>155</v>
      </c>
      <c r="E975" t="s">
        <v>18</v>
      </c>
      <c r="F975" t="s">
        <v>18</v>
      </c>
      <c r="G975" t="s">
        <v>34</v>
      </c>
      <c r="H975" t="s">
        <v>158</v>
      </c>
      <c r="I975">
        <v>6</v>
      </c>
      <c r="J975" s="3">
        <v>90200</v>
      </c>
      <c r="K975" s="3">
        <v>72100</v>
      </c>
      <c r="L975" t="s">
        <v>36</v>
      </c>
      <c r="M975" t="s">
        <v>51</v>
      </c>
      <c r="N975" t="s">
        <v>87</v>
      </c>
      <c r="O975" t="s">
        <v>24</v>
      </c>
    </row>
    <row r="976" spans="1:15" x14ac:dyDescent="0.35">
      <c r="A976" t="s">
        <v>1901</v>
      </c>
      <c r="B976" s="2">
        <v>46136</v>
      </c>
      <c r="C976" t="s">
        <v>1665</v>
      </c>
      <c r="D976" t="s">
        <v>1551</v>
      </c>
      <c r="E976" t="s">
        <v>56</v>
      </c>
      <c r="F976" t="s">
        <v>57</v>
      </c>
      <c r="G976" t="s">
        <v>43</v>
      </c>
      <c r="H976" t="s">
        <v>44</v>
      </c>
      <c r="I976">
        <v>1</v>
      </c>
      <c r="J976" s="3">
        <v>15000</v>
      </c>
      <c r="K976" s="3">
        <v>9200</v>
      </c>
      <c r="L976" t="s">
        <v>50</v>
      </c>
      <c r="M976" t="s">
        <v>37</v>
      </c>
      <c r="N976" t="s">
        <v>52</v>
      </c>
      <c r="O976" t="s">
        <v>24</v>
      </c>
    </row>
    <row r="977" spans="1:15" x14ac:dyDescent="0.35">
      <c r="A977" t="s">
        <v>1902</v>
      </c>
      <c r="B977" s="2">
        <v>46026</v>
      </c>
      <c r="C977" t="s">
        <v>396</v>
      </c>
      <c r="D977" t="s">
        <v>102</v>
      </c>
      <c r="E977" t="s">
        <v>41</v>
      </c>
      <c r="F977" t="s">
        <v>42</v>
      </c>
      <c r="G977" t="s">
        <v>34</v>
      </c>
      <c r="H977" t="s">
        <v>141</v>
      </c>
      <c r="I977">
        <v>9</v>
      </c>
      <c r="J977" s="3">
        <v>152000</v>
      </c>
      <c r="K977" s="3">
        <v>116400</v>
      </c>
      <c r="L977" t="s">
        <v>50</v>
      </c>
      <c r="M977" t="s">
        <v>37</v>
      </c>
      <c r="N977" t="s">
        <v>87</v>
      </c>
      <c r="O977" t="s">
        <v>91</v>
      </c>
    </row>
    <row r="978" spans="1:15" x14ac:dyDescent="0.35">
      <c r="A978" t="s">
        <v>1903</v>
      </c>
      <c r="B978" s="2">
        <v>46250</v>
      </c>
      <c r="C978" t="s">
        <v>1148</v>
      </c>
      <c r="D978" t="s">
        <v>1904</v>
      </c>
      <c r="E978" t="s">
        <v>70</v>
      </c>
      <c r="F978" t="s">
        <v>71</v>
      </c>
      <c r="G978" t="s">
        <v>34</v>
      </c>
      <c r="H978" t="s">
        <v>141</v>
      </c>
      <c r="I978">
        <v>1</v>
      </c>
      <c r="J978" s="3">
        <v>168000</v>
      </c>
      <c r="K978" s="3">
        <v>120000</v>
      </c>
      <c r="L978" t="s">
        <v>80</v>
      </c>
      <c r="M978" t="s">
        <v>37</v>
      </c>
      <c r="N978" t="s">
        <v>23</v>
      </c>
      <c r="O978" t="s">
        <v>24</v>
      </c>
    </row>
    <row r="979" spans="1:15" x14ac:dyDescent="0.35">
      <c r="A979" t="s">
        <v>1905</v>
      </c>
      <c r="B979" s="2">
        <v>46310</v>
      </c>
      <c r="C979" t="s">
        <v>500</v>
      </c>
      <c r="D979" t="s">
        <v>1906</v>
      </c>
      <c r="E979" t="s">
        <v>77</v>
      </c>
      <c r="F979" t="s">
        <v>78</v>
      </c>
      <c r="G979" t="s">
        <v>43</v>
      </c>
      <c r="H979" t="s">
        <v>44</v>
      </c>
      <c r="I979">
        <v>5</v>
      </c>
      <c r="J979" s="3">
        <v>15000</v>
      </c>
      <c r="K979" s="3">
        <v>9500</v>
      </c>
      <c r="L979" t="s">
        <v>80</v>
      </c>
      <c r="M979" t="s">
        <v>22</v>
      </c>
      <c r="N979" t="s">
        <v>23</v>
      </c>
      <c r="O979" t="s">
        <v>24</v>
      </c>
    </row>
    <row r="980" spans="1:15" x14ac:dyDescent="0.35">
      <c r="A980" t="s">
        <v>1907</v>
      </c>
      <c r="B980" s="2">
        <v>46322</v>
      </c>
      <c r="C980" t="s">
        <v>554</v>
      </c>
      <c r="D980" t="s">
        <v>1908</v>
      </c>
      <c r="E980" t="s">
        <v>77</v>
      </c>
      <c r="F980" t="s">
        <v>78</v>
      </c>
      <c r="G980" t="s">
        <v>19</v>
      </c>
      <c r="H980" t="s">
        <v>166</v>
      </c>
      <c r="I980">
        <v>9</v>
      </c>
      <c r="J980" s="3">
        <v>133000</v>
      </c>
      <c r="K980" s="3">
        <v>97000</v>
      </c>
      <c r="L980" t="s">
        <v>36</v>
      </c>
      <c r="M980" t="s">
        <v>31</v>
      </c>
      <c r="N980" t="s">
        <v>52</v>
      </c>
      <c r="O980" t="s">
        <v>91</v>
      </c>
    </row>
    <row r="981" spans="1:15" x14ac:dyDescent="0.35">
      <c r="A981" t="s">
        <v>1909</v>
      </c>
      <c r="B981" s="2">
        <v>46302</v>
      </c>
      <c r="C981" t="s">
        <v>1894</v>
      </c>
      <c r="D981" t="s">
        <v>342</v>
      </c>
      <c r="E981" t="s">
        <v>18</v>
      </c>
      <c r="F981" t="s">
        <v>18</v>
      </c>
      <c r="G981" t="s">
        <v>34</v>
      </c>
      <c r="H981" t="s">
        <v>35</v>
      </c>
      <c r="I981">
        <v>3</v>
      </c>
      <c r="J981" s="3">
        <v>52200</v>
      </c>
      <c r="K981" s="3">
        <v>39000</v>
      </c>
      <c r="L981" t="s">
        <v>50</v>
      </c>
      <c r="M981" t="s">
        <v>22</v>
      </c>
      <c r="N981" t="s">
        <v>87</v>
      </c>
      <c r="O981" t="s">
        <v>91</v>
      </c>
    </row>
    <row r="982" spans="1:15" x14ac:dyDescent="0.35">
      <c r="A982" t="s">
        <v>1910</v>
      </c>
      <c r="B982" s="2">
        <v>46282</v>
      </c>
      <c r="C982" t="s">
        <v>446</v>
      </c>
      <c r="D982" t="s">
        <v>127</v>
      </c>
      <c r="E982" t="s">
        <v>18</v>
      </c>
      <c r="F982" t="s">
        <v>18</v>
      </c>
      <c r="G982" t="s">
        <v>34</v>
      </c>
      <c r="H982" t="s">
        <v>95</v>
      </c>
      <c r="I982">
        <v>8</v>
      </c>
      <c r="J982" s="3">
        <v>427500</v>
      </c>
      <c r="K982" s="3">
        <v>370000</v>
      </c>
      <c r="L982" t="s">
        <v>73</v>
      </c>
      <c r="M982" t="s">
        <v>51</v>
      </c>
      <c r="N982" t="s">
        <v>52</v>
      </c>
      <c r="O982" t="s">
        <v>45</v>
      </c>
    </row>
    <row r="983" spans="1:15" x14ac:dyDescent="0.35">
      <c r="A983" t="s">
        <v>1911</v>
      </c>
      <c r="B983" s="2">
        <v>46258</v>
      </c>
      <c r="C983" t="s">
        <v>945</v>
      </c>
      <c r="D983" t="s">
        <v>1691</v>
      </c>
      <c r="E983" t="s">
        <v>18</v>
      </c>
      <c r="F983" t="s">
        <v>18</v>
      </c>
      <c r="G983" t="s">
        <v>34</v>
      </c>
      <c r="H983" t="s">
        <v>95</v>
      </c>
      <c r="I983">
        <v>4</v>
      </c>
      <c r="J983" s="3">
        <v>450000</v>
      </c>
      <c r="K983" s="3">
        <v>370000</v>
      </c>
      <c r="L983" t="s">
        <v>80</v>
      </c>
      <c r="M983" t="s">
        <v>51</v>
      </c>
      <c r="N983" t="s">
        <v>87</v>
      </c>
      <c r="O983" t="s">
        <v>24</v>
      </c>
    </row>
    <row r="984" spans="1:15" x14ac:dyDescent="0.35">
      <c r="A984" t="s">
        <v>1912</v>
      </c>
      <c r="B984" s="2">
        <v>46265</v>
      </c>
      <c r="C984" t="s">
        <v>1693</v>
      </c>
      <c r="D984" t="s">
        <v>1913</v>
      </c>
      <c r="E984" t="s">
        <v>56</v>
      </c>
      <c r="F984" t="s">
        <v>57</v>
      </c>
      <c r="G984" t="s">
        <v>43</v>
      </c>
      <c r="H984" t="s">
        <v>44</v>
      </c>
      <c r="I984">
        <v>10</v>
      </c>
      <c r="J984" s="3">
        <v>15800</v>
      </c>
      <c r="K984" s="3">
        <v>9800</v>
      </c>
      <c r="L984" t="s">
        <v>73</v>
      </c>
      <c r="M984" t="s">
        <v>37</v>
      </c>
      <c r="N984" t="s">
        <v>23</v>
      </c>
      <c r="O984" t="s">
        <v>24</v>
      </c>
    </row>
    <row r="985" spans="1:15" x14ac:dyDescent="0.35">
      <c r="A985" t="s">
        <v>1914</v>
      </c>
      <c r="B985" s="2">
        <v>46100</v>
      </c>
      <c r="C985" t="s">
        <v>1565</v>
      </c>
      <c r="D985" t="s">
        <v>200</v>
      </c>
      <c r="E985" t="s">
        <v>84</v>
      </c>
      <c r="F985" t="s">
        <v>85</v>
      </c>
      <c r="G985" t="s">
        <v>19</v>
      </c>
      <c r="H985" t="s">
        <v>61</v>
      </c>
      <c r="I985">
        <v>5</v>
      </c>
      <c r="J985" s="3">
        <v>220000</v>
      </c>
      <c r="K985" s="3">
        <v>155200</v>
      </c>
      <c r="L985" t="s">
        <v>30</v>
      </c>
      <c r="M985" t="s">
        <v>51</v>
      </c>
      <c r="N985" t="s">
        <v>52</v>
      </c>
      <c r="O985" t="s">
        <v>24</v>
      </c>
    </row>
    <row r="986" spans="1:15" x14ac:dyDescent="0.35">
      <c r="A986" t="s">
        <v>1915</v>
      </c>
      <c r="B986" s="2">
        <v>46124</v>
      </c>
      <c r="C986" t="s">
        <v>308</v>
      </c>
      <c r="D986" t="s">
        <v>1288</v>
      </c>
      <c r="E986" t="s">
        <v>156</v>
      </c>
      <c r="F986" t="s">
        <v>157</v>
      </c>
      <c r="G986" t="s">
        <v>34</v>
      </c>
      <c r="H986" t="s">
        <v>95</v>
      </c>
      <c r="I986">
        <v>8</v>
      </c>
      <c r="J986" s="3">
        <v>450000</v>
      </c>
      <c r="K986" s="3">
        <v>381100</v>
      </c>
      <c r="L986" t="s">
        <v>30</v>
      </c>
      <c r="M986" t="s">
        <v>37</v>
      </c>
      <c r="N986" t="s">
        <v>23</v>
      </c>
      <c r="O986" t="s">
        <v>24</v>
      </c>
    </row>
    <row r="987" spans="1:15" x14ac:dyDescent="0.35">
      <c r="A987" t="s">
        <v>1916</v>
      </c>
      <c r="B987" s="2">
        <v>46058</v>
      </c>
      <c r="C987" t="s">
        <v>175</v>
      </c>
      <c r="D987" t="s">
        <v>1635</v>
      </c>
      <c r="E987" t="s">
        <v>156</v>
      </c>
      <c r="F987" t="s">
        <v>157</v>
      </c>
      <c r="G987" t="s">
        <v>34</v>
      </c>
      <c r="H987" t="s">
        <v>86</v>
      </c>
      <c r="I987">
        <v>9</v>
      </c>
      <c r="J987" s="3">
        <v>180000</v>
      </c>
      <c r="K987" s="3">
        <v>131000</v>
      </c>
      <c r="L987" t="s">
        <v>66</v>
      </c>
      <c r="M987" t="s">
        <v>37</v>
      </c>
      <c r="N987" t="s">
        <v>23</v>
      </c>
      <c r="O987" t="s">
        <v>24</v>
      </c>
    </row>
    <row r="988" spans="1:15" x14ac:dyDescent="0.35">
      <c r="A988" t="s">
        <v>1917</v>
      </c>
      <c r="B988" s="2">
        <v>46382</v>
      </c>
      <c r="C988" t="s">
        <v>1097</v>
      </c>
      <c r="D988" t="s">
        <v>1717</v>
      </c>
      <c r="E988" t="s">
        <v>190</v>
      </c>
      <c r="F988" t="s">
        <v>191</v>
      </c>
      <c r="G988" t="s">
        <v>19</v>
      </c>
      <c r="H988" t="s">
        <v>166</v>
      </c>
      <c r="I988">
        <v>4</v>
      </c>
      <c r="J988" s="3">
        <v>147000</v>
      </c>
      <c r="K988" s="3">
        <v>97000</v>
      </c>
      <c r="L988" t="s">
        <v>80</v>
      </c>
      <c r="M988" t="s">
        <v>37</v>
      </c>
      <c r="N988" t="s">
        <v>23</v>
      </c>
      <c r="O988" t="s">
        <v>24</v>
      </c>
    </row>
    <row r="989" spans="1:15" x14ac:dyDescent="0.35">
      <c r="A989" t="s">
        <v>1918</v>
      </c>
      <c r="B989" s="2">
        <v>46188</v>
      </c>
      <c r="C989" t="s">
        <v>478</v>
      </c>
      <c r="D989" t="s">
        <v>878</v>
      </c>
      <c r="E989" t="s">
        <v>41</v>
      </c>
      <c r="F989" t="s">
        <v>42</v>
      </c>
      <c r="G989" t="s">
        <v>34</v>
      </c>
      <c r="H989" t="s">
        <v>35</v>
      </c>
      <c r="I989">
        <v>3</v>
      </c>
      <c r="J989" s="3">
        <v>52200</v>
      </c>
      <c r="K989" s="3">
        <v>39000</v>
      </c>
      <c r="L989" t="s">
        <v>36</v>
      </c>
      <c r="M989" t="s">
        <v>31</v>
      </c>
      <c r="N989" t="s">
        <v>23</v>
      </c>
      <c r="O989" t="s">
        <v>91</v>
      </c>
    </row>
    <row r="990" spans="1:15" x14ac:dyDescent="0.35">
      <c r="A990" t="s">
        <v>1919</v>
      </c>
      <c r="B990" s="2">
        <v>46176</v>
      </c>
      <c r="C990" t="s">
        <v>600</v>
      </c>
      <c r="D990" t="s">
        <v>672</v>
      </c>
      <c r="E990" t="s">
        <v>190</v>
      </c>
      <c r="F990" t="s">
        <v>191</v>
      </c>
      <c r="G990" t="s">
        <v>34</v>
      </c>
      <c r="H990" t="s">
        <v>158</v>
      </c>
      <c r="I990">
        <v>2</v>
      </c>
      <c r="J990" s="3">
        <v>95000</v>
      </c>
      <c r="K990" s="3">
        <v>67900</v>
      </c>
      <c r="L990" t="s">
        <v>30</v>
      </c>
      <c r="M990" t="s">
        <v>22</v>
      </c>
      <c r="N990" t="s">
        <v>23</v>
      </c>
      <c r="O990" t="s">
        <v>45</v>
      </c>
    </row>
    <row r="991" spans="1:15" x14ac:dyDescent="0.35">
      <c r="A991" t="s">
        <v>1920</v>
      </c>
      <c r="B991" s="2">
        <v>46298</v>
      </c>
      <c r="C991" t="s">
        <v>240</v>
      </c>
      <c r="D991" t="s">
        <v>1921</v>
      </c>
      <c r="E991" t="s">
        <v>18</v>
      </c>
      <c r="F991" t="s">
        <v>18</v>
      </c>
      <c r="G991" t="s">
        <v>28</v>
      </c>
      <c r="H991" t="s">
        <v>65</v>
      </c>
      <c r="I991">
        <v>1</v>
      </c>
      <c r="J991" s="3">
        <v>12600</v>
      </c>
      <c r="K991" s="3">
        <v>7300</v>
      </c>
      <c r="L991" t="s">
        <v>80</v>
      </c>
      <c r="M991" t="s">
        <v>37</v>
      </c>
      <c r="N991" t="s">
        <v>87</v>
      </c>
      <c r="O991" t="s">
        <v>91</v>
      </c>
    </row>
    <row r="992" spans="1:15" x14ac:dyDescent="0.35">
      <c r="A992" t="s">
        <v>1922</v>
      </c>
      <c r="B992" s="2">
        <v>46306</v>
      </c>
      <c r="C992" t="s">
        <v>222</v>
      </c>
      <c r="D992" t="s">
        <v>1923</v>
      </c>
      <c r="E992" t="s">
        <v>41</v>
      </c>
      <c r="F992" t="s">
        <v>42</v>
      </c>
      <c r="G992" t="s">
        <v>28</v>
      </c>
      <c r="H992" t="s">
        <v>248</v>
      </c>
      <c r="I992">
        <v>4</v>
      </c>
      <c r="J992" s="3">
        <v>23800</v>
      </c>
      <c r="K992" s="3">
        <v>16500</v>
      </c>
      <c r="L992" t="s">
        <v>96</v>
      </c>
      <c r="M992" t="s">
        <v>37</v>
      </c>
      <c r="N992" t="s">
        <v>52</v>
      </c>
      <c r="O992" t="s">
        <v>24</v>
      </c>
    </row>
    <row r="993" spans="1:15" x14ac:dyDescent="0.35">
      <c r="A993" t="s">
        <v>1924</v>
      </c>
      <c r="B993" s="2">
        <v>46355</v>
      </c>
      <c r="C993" t="s">
        <v>1170</v>
      </c>
      <c r="D993" t="s">
        <v>238</v>
      </c>
      <c r="E993" t="s">
        <v>70</v>
      </c>
      <c r="F993" t="s">
        <v>71</v>
      </c>
      <c r="G993" t="s">
        <v>19</v>
      </c>
      <c r="H993" t="s">
        <v>20</v>
      </c>
      <c r="I993">
        <v>3</v>
      </c>
      <c r="J993" s="3">
        <v>65000</v>
      </c>
      <c r="K993" s="3">
        <v>46400</v>
      </c>
      <c r="L993" t="s">
        <v>73</v>
      </c>
      <c r="M993" t="s">
        <v>37</v>
      </c>
      <c r="N993" t="s">
        <v>23</v>
      </c>
      <c r="O993" t="s">
        <v>24</v>
      </c>
    </row>
    <row r="994" spans="1:15" x14ac:dyDescent="0.35">
      <c r="A994" t="s">
        <v>1925</v>
      </c>
      <c r="B994" s="2">
        <v>46299</v>
      </c>
      <c r="C994" t="s">
        <v>1926</v>
      </c>
      <c r="D994" t="s">
        <v>1927</v>
      </c>
      <c r="E994" t="s">
        <v>77</v>
      </c>
      <c r="F994" t="s">
        <v>78</v>
      </c>
      <c r="G994" t="s">
        <v>34</v>
      </c>
      <c r="H994" t="s">
        <v>95</v>
      </c>
      <c r="I994">
        <v>8</v>
      </c>
      <c r="J994" s="3">
        <v>450000</v>
      </c>
      <c r="K994" s="3">
        <v>381100</v>
      </c>
      <c r="L994" t="s">
        <v>80</v>
      </c>
      <c r="M994" t="s">
        <v>51</v>
      </c>
      <c r="N994" t="s">
        <v>23</v>
      </c>
      <c r="O994" t="s">
        <v>24</v>
      </c>
    </row>
    <row r="995" spans="1:15" x14ac:dyDescent="0.35">
      <c r="A995" t="s">
        <v>1928</v>
      </c>
      <c r="B995" s="2">
        <v>46098</v>
      </c>
      <c r="C995" t="s">
        <v>54</v>
      </c>
      <c r="D995" t="s">
        <v>1412</v>
      </c>
      <c r="E995" t="s">
        <v>18</v>
      </c>
      <c r="F995" t="s">
        <v>18</v>
      </c>
      <c r="G995" t="s">
        <v>34</v>
      </c>
      <c r="H995" t="s">
        <v>141</v>
      </c>
      <c r="I995">
        <v>6</v>
      </c>
      <c r="J995" s="3">
        <v>168000</v>
      </c>
      <c r="K995" s="3">
        <v>120000</v>
      </c>
      <c r="L995" t="s">
        <v>21</v>
      </c>
      <c r="M995" t="s">
        <v>22</v>
      </c>
      <c r="N995" t="s">
        <v>52</v>
      </c>
      <c r="O995" t="s">
        <v>91</v>
      </c>
    </row>
    <row r="996" spans="1:15" x14ac:dyDescent="0.35">
      <c r="A996" t="s">
        <v>1929</v>
      </c>
      <c r="B996" s="2">
        <v>46364</v>
      </c>
      <c r="C996" t="s">
        <v>1501</v>
      </c>
      <c r="D996" t="s">
        <v>516</v>
      </c>
      <c r="E996" t="s">
        <v>18</v>
      </c>
      <c r="F996" t="s">
        <v>18</v>
      </c>
      <c r="G996" t="s">
        <v>43</v>
      </c>
      <c r="H996" t="s">
        <v>44</v>
      </c>
      <c r="I996">
        <v>7</v>
      </c>
      <c r="J996" s="3">
        <v>15000</v>
      </c>
      <c r="K996" s="3">
        <v>9200</v>
      </c>
      <c r="L996" t="s">
        <v>30</v>
      </c>
      <c r="M996" t="s">
        <v>22</v>
      </c>
      <c r="N996" t="s">
        <v>23</v>
      </c>
      <c r="O996" t="s">
        <v>24</v>
      </c>
    </row>
    <row r="997" spans="1:15" x14ac:dyDescent="0.35">
      <c r="A997" t="s">
        <v>1930</v>
      </c>
      <c r="B997" s="2">
        <v>46175</v>
      </c>
      <c r="C997" t="s">
        <v>892</v>
      </c>
      <c r="D997" t="s">
        <v>403</v>
      </c>
      <c r="E997" t="s">
        <v>190</v>
      </c>
      <c r="F997" t="s">
        <v>191</v>
      </c>
      <c r="G997" t="s">
        <v>28</v>
      </c>
      <c r="H997" t="s">
        <v>248</v>
      </c>
      <c r="I997">
        <v>8</v>
      </c>
      <c r="J997" s="3">
        <v>26200</v>
      </c>
      <c r="K997" s="3">
        <v>16000</v>
      </c>
      <c r="L997" t="s">
        <v>96</v>
      </c>
      <c r="M997" t="s">
        <v>37</v>
      </c>
      <c r="N997" t="s">
        <v>23</v>
      </c>
      <c r="O997" t="s">
        <v>24</v>
      </c>
    </row>
    <row r="998" spans="1:15" x14ac:dyDescent="0.35">
      <c r="A998" t="s">
        <v>1931</v>
      </c>
      <c r="B998" s="2">
        <v>46284</v>
      </c>
      <c r="C998" t="s">
        <v>1932</v>
      </c>
      <c r="D998" t="s">
        <v>984</v>
      </c>
      <c r="E998" t="s">
        <v>18</v>
      </c>
      <c r="F998" t="s">
        <v>18</v>
      </c>
      <c r="G998" t="s">
        <v>34</v>
      </c>
      <c r="H998" t="s">
        <v>95</v>
      </c>
      <c r="I998">
        <v>4</v>
      </c>
      <c r="J998" s="3">
        <v>450000</v>
      </c>
      <c r="K998" s="3">
        <v>381100</v>
      </c>
      <c r="L998" t="s">
        <v>66</v>
      </c>
      <c r="M998" t="s">
        <v>51</v>
      </c>
      <c r="N998" t="s">
        <v>23</v>
      </c>
      <c r="O998" t="s">
        <v>24</v>
      </c>
    </row>
    <row r="999" spans="1:15" x14ac:dyDescent="0.35">
      <c r="A999" t="s">
        <v>1933</v>
      </c>
      <c r="B999" s="2">
        <v>46370</v>
      </c>
      <c r="C999" t="s">
        <v>316</v>
      </c>
      <c r="D999" t="s">
        <v>294</v>
      </c>
      <c r="E999" t="s">
        <v>156</v>
      </c>
      <c r="F999" t="s">
        <v>157</v>
      </c>
      <c r="G999" t="s">
        <v>34</v>
      </c>
      <c r="H999" t="s">
        <v>95</v>
      </c>
      <c r="I999">
        <v>3</v>
      </c>
      <c r="J999" s="3">
        <v>450000</v>
      </c>
      <c r="K999" s="3">
        <v>381100</v>
      </c>
      <c r="L999" t="s">
        <v>80</v>
      </c>
      <c r="M999" t="s">
        <v>31</v>
      </c>
      <c r="N999" t="s">
        <v>52</v>
      </c>
      <c r="O999" t="s">
        <v>24</v>
      </c>
    </row>
    <row r="1000" spans="1:15" x14ac:dyDescent="0.35">
      <c r="A1000" t="s">
        <v>1934</v>
      </c>
      <c r="B1000" s="2">
        <v>46256</v>
      </c>
      <c r="C1000" t="s">
        <v>323</v>
      </c>
      <c r="D1000" t="s">
        <v>546</v>
      </c>
      <c r="E1000" t="s">
        <v>84</v>
      </c>
      <c r="F1000" t="s">
        <v>85</v>
      </c>
      <c r="G1000" t="s">
        <v>19</v>
      </c>
      <c r="H1000" t="s">
        <v>166</v>
      </c>
      <c r="I1000">
        <v>1</v>
      </c>
      <c r="J1000" s="3">
        <v>147000</v>
      </c>
      <c r="K1000" s="3">
        <v>103000</v>
      </c>
      <c r="L1000" t="s">
        <v>73</v>
      </c>
      <c r="M1000" t="s">
        <v>31</v>
      </c>
      <c r="N1000" t="s">
        <v>23</v>
      </c>
      <c r="O1000" t="s">
        <v>24</v>
      </c>
    </row>
    <row r="1001" spans="1:15" x14ac:dyDescent="0.35">
      <c r="A1001" t="s">
        <v>1935</v>
      </c>
      <c r="B1001" s="2">
        <v>46371</v>
      </c>
      <c r="C1001" t="s">
        <v>1081</v>
      </c>
      <c r="D1001" t="s">
        <v>1936</v>
      </c>
      <c r="E1001" t="s">
        <v>18</v>
      </c>
      <c r="F1001" t="s">
        <v>18</v>
      </c>
      <c r="G1001" t="s">
        <v>34</v>
      </c>
      <c r="H1001" t="s">
        <v>35</v>
      </c>
      <c r="I1001">
        <v>7</v>
      </c>
      <c r="J1001" s="3">
        <v>55000</v>
      </c>
      <c r="K1001" s="3">
        <v>40200</v>
      </c>
      <c r="L1001" t="s">
        <v>21</v>
      </c>
      <c r="M1001" t="s">
        <v>22</v>
      </c>
      <c r="N1001" t="s">
        <v>23</v>
      </c>
      <c r="O1001" t="s">
        <v>24</v>
      </c>
    </row>
    <row r="1002" spans="1:15" x14ac:dyDescent="0.35">
      <c r="A1002" t="s">
        <v>1937</v>
      </c>
      <c r="B1002" s="2">
        <v>46143</v>
      </c>
      <c r="C1002" t="s">
        <v>1572</v>
      </c>
      <c r="D1002" t="s">
        <v>115</v>
      </c>
      <c r="E1002" t="s">
        <v>18</v>
      </c>
      <c r="F1002" t="s">
        <v>18</v>
      </c>
      <c r="G1002" t="s">
        <v>34</v>
      </c>
      <c r="H1002" t="s">
        <v>95</v>
      </c>
      <c r="I1002">
        <v>7</v>
      </c>
      <c r="J1002" s="3">
        <v>427500</v>
      </c>
      <c r="K1002" s="3">
        <v>381100</v>
      </c>
      <c r="L1002" t="s">
        <v>50</v>
      </c>
      <c r="M1002" t="s">
        <v>37</v>
      </c>
      <c r="N1002" t="s">
        <v>23</v>
      </c>
      <c r="O1002" t="s">
        <v>24</v>
      </c>
    </row>
    <row r="1003" spans="1:15" x14ac:dyDescent="0.35">
      <c r="A1003" t="s">
        <v>1938</v>
      </c>
      <c r="B1003" s="2">
        <v>46125</v>
      </c>
      <c r="C1003" t="s">
        <v>370</v>
      </c>
      <c r="D1003" t="s">
        <v>572</v>
      </c>
      <c r="E1003" t="s">
        <v>84</v>
      </c>
      <c r="F1003" t="s">
        <v>85</v>
      </c>
      <c r="G1003" t="s">
        <v>43</v>
      </c>
      <c r="H1003" t="s">
        <v>162</v>
      </c>
      <c r="I1003">
        <v>2</v>
      </c>
      <c r="J1003" s="3">
        <v>8000</v>
      </c>
      <c r="K1003" s="3">
        <v>4800</v>
      </c>
      <c r="L1003" t="s">
        <v>21</v>
      </c>
      <c r="M1003" t="s">
        <v>37</v>
      </c>
      <c r="N1003" t="s">
        <v>87</v>
      </c>
      <c r="O1003" t="s">
        <v>24</v>
      </c>
    </row>
    <row r="1004" spans="1:15" x14ac:dyDescent="0.35">
      <c r="A1004" t="s">
        <v>1939</v>
      </c>
      <c r="B1004" s="2">
        <v>46240</v>
      </c>
      <c r="C1004" t="s">
        <v>532</v>
      </c>
      <c r="D1004" t="s">
        <v>493</v>
      </c>
      <c r="E1004" t="s">
        <v>18</v>
      </c>
      <c r="F1004" t="s">
        <v>18</v>
      </c>
      <c r="G1004" t="s">
        <v>43</v>
      </c>
      <c r="H1004" t="s">
        <v>162</v>
      </c>
      <c r="I1004">
        <v>6</v>
      </c>
      <c r="J1004" s="3">
        <v>8000</v>
      </c>
      <c r="K1004" s="3">
        <v>5000</v>
      </c>
      <c r="L1004" t="s">
        <v>21</v>
      </c>
      <c r="M1004" t="s">
        <v>51</v>
      </c>
      <c r="N1004" t="s">
        <v>23</v>
      </c>
      <c r="O1004" t="s">
        <v>91</v>
      </c>
    </row>
    <row r="1005" spans="1:15" x14ac:dyDescent="0.35">
      <c r="A1005" t="s">
        <v>1940</v>
      </c>
      <c r="B1005" s="2">
        <v>46194</v>
      </c>
      <c r="C1005" t="s">
        <v>685</v>
      </c>
      <c r="D1005" t="s">
        <v>184</v>
      </c>
      <c r="E1005" t="s">
        <v>41</v>
      </c>
      <c r="F1005" t="s">
        <v>42</v>
      </c>
      <c r="G1005" t="s">
        <v>43</v>
      </c>
      <c r="H1005" t="s">
        <v>177</v>
      </c>
      <c r="I1005">
        <v>4</v>
      </c>
      <c r="J1005" s="3">
        <v>18000</v>
      </c>
      <c r="K1005" s="3">
        <v>12500</v>
      </c>
      <c r="L1005" t="s">
        <v>30</v>
      </c>
      <c r="M1005" t="s">
        <v>31</v>
      </c>
      <c r="N1005" t="s">
        <v>52</v>
      </c>
      <c r="O1005" t="s">
        <v>24</v>
      </c>
    </row>
    <row r="1006" spans="1:15" x14ac:dyDescent="0.35">
      <c r="A1006" t="s">
        <v>1941</v>
      </c>
      <c r="B1006" s="2">
        <v>46367</v>
      </c>
      <c r="C1006" t="s">
        <v>886</v>
      </c>
      <c r="D1006" t="s">
        <v>1942</v>
      </c>
      <c r="E1006" t="s">
        <v>156</v>
      </c>
      <c r="F1006" t="s">
        <v>157</v>
      </c>
      <c r="G1006" t="s">
        <v>43</v>
      </c>
      <c r="H1006" t="s">
        <v>44</v>
      </c>
      <c r="I1006">
        <v>8</v>
      </c>
      <c r="J1006" s="3">
        <v>14200</v>
      </c>
      <c r="K1006" s="3">
        <v>9800</v>
      </c>
      <c r="L1006" t="s">
        <v>66</v>
      </c>
      <c r="M1006" t="s">
        <v>31</v>
      </c>
      <c r="N1006" t="s">
        <v>23</v>
      </c>
      <c r="O1006" t="s">
        <v>24</v>
      </c>
    </row>
    <row r="1007" spans="1:15" x14ac:dyDescent="0.35">
      <c r="A1007" t="s">
        <v>1943</v>
      </c>
      <c r="B1007" s="2">
        <v>46366</v>
      </c>
      <c r="C1007" t="s">
        <v>1112</v>
      </c>
      <c r="D1007" t="s">
        <v>1202</v>
      </c>
      <c r="E1007" t="s">
        <v>77</v>
      </c>
      <c r="F1007" t="s">
        <v>78</v>
      </c>
      <c r="G1007" t="s">
        <v>19</v>
      </c>
      <c r="H1007" t="s">
        <v>61</v>
      </c>
      <c r="I1007">
        <v>5</v>
      </c>
      <c r="J1007" s="3">
        <v>231000</v>
      </c>
      <c r="K1007" s="3">
        <v>164800</v>
      </c>
      <c r="L1007" t="s">
        <v>80</v>
      </c>
      <c r="M1007" t="s">
        <v>37</v>
      </c>
      <c r="N1007" t="s">
        <v>52</v>
      </c>
      <c r="O1007" t="s">
        <v>24</v>
      </c>
    </row>
    <row r="1008" spans="1:15" x14ac:dyDescent="0.35">
      <c r="A1008" t="s">
        <v>1944</v>
      </c>
      <c r="B1008" s="2">
        <v>46219</v>
      </c>
      <c r="C1008" t="s">
        <v>1342</v>
      </c>
      <c r="D1008" t="s">
        <v>906</v>
      </c>
      <c r="E1008" t="s">
        <v>156</v>
      </c>
      <c r="F1008" t="s">
        <v>170</v>
      </c>
      <c r="G1008" t="s">
        <v>43</v>
      </c>
      <c r="H1008" t="s">
        <v>44</v>
      </c>
      <c r="I1008">
        <v>1</v>
      </c>
      <c r="J1008" s="3">
        <v>15800</v>
      </c>
      <c r="K1008" s="3">
        <v>9500</v>
      </c>
      <c r="L1008" t="s">
        <v>36</v>
      </c>
      <c r="M1008" t="s">
        <v>37</v>
      </c>
      <c r="N1008" t="s">
        <v>52</v>
      </c>
      <c r="O1008" t="s">
        <v>45</v>
      </c>
    </row>
    <row r="1009" spans="1:15" x14ac:dyDescent="0.35">
      <c r="A1009" t="s">
        <v>1945</v>
      </c>
      <c r="B1009" s="2">
        <v>46124</v>
      </c>
      <c r="C1009" t="s">
        <v>615</v>
      </c>
      <c r="D1009" t="s">
        <v>1087</v>
      </c>
      <c r="E1009" t="s">
        <v>18</v>
      </c>
      <c r="F1009" t="s">
        <v>18</v>
      </c>
      <c r="G1009" t="s">
        <v>34</v>
      </c>
      <c r="H1009" t="s">
        <v>141</v>
      </c>
      <c r="I1009">
        <v>1</v>
      </c>
      <c r="J1009" s="3">
        <v>152000</v>
      </c>
      <c r="K1009" s="3">
        <v>123600</v>
      </c>
      <c r="L1009" t="s">
        <v>21</v>
      </c>
      <c r="M1009" t="s">
        <v>22</v>
      </c>
      <c r="N1009" t="s">
        <v>52</v>
      </c>
      <c r="O1009" t="s">
        <v>45</v>
      </c>
    </row>
    <row r="1010" spans="1:15" x14ac:dyDescent="0.35">
      <c r="A1010" t="s">
        <v>1946</v>
      </c>
      <c r="B1010" s="2">
        <v>46062</v>
      </c>
      <c r="C1010" t="s">
        <v>871</v>
      </c>
      <c r="D1010" t="s">
        <v>1947</v>
      </c>
      <c r="E1010" t="s">
        <v>18</v>
      </c>
      <c r="F1010" t="s">
        <v>18</v>
      </c>
      <c r="G1010" t="s">
        <v>43</v>
      </c>
      <c r="H1010" t="s">
        <v>79</v>
      </c>
      <c r="I1010">
        <v>3</v>
      </c>
      <c r="J1010" s="3">
        <v>6000</v>
      </c>
      <c r="K1010" s="3">
        <v>4200</v>
      </c>
      <c r="L1010" t="s">
        <v>66</v>
      </c>
      <c r="M1010" t="s">
        <v>37</v>
      </c>
      <c r="N1010" t="s">
        <v>52</v>
      </c>
      <c r="O1010" t="s">
        <v>24</v>
      </c>
    </row>
    <row r="1011" spans="1:15" x14ac:dyDescent="0.35">
      <c r="A1011" t="s">
        <v>1948</v>
      </c>
      <c r="B1011" s="2">
        <v>46157</v>
      </c>
      <c r="C1011" t="s">
        <v>431</v>
      </c>
      <c r="D1011" t="s">
        <v>482</v>
      </c>
      <c r="E1011" t="s">
        <v>56</v>
      </c>
      <c r="F1011" t="s">
        <v>57</v>
      </c>
      <c r="G1011" t="s">
        <v>43</v>
      </c>
      <c r="H1011" t="s">
        <v>44</v>
      </c>
      <c r="I1011">
        <v>10</v>
      </c>
      <c r="J1011" s="3">
        <v>15000</v>
      </c>
      <c r="K1011" s="3">
        <v>9800</v>
      </c>
      <c r="L1011" t="s">
        <v>80</v>
      </c>
      <c r="M1011" t="s">
        <v>37</v>
      </c>
      <c r="N1011" t="s">
        <v>23</v>
      </c>
      <c r="O1011" t="s">
        <v>24</v>
      </c>
    </row>
    <row r="1012" spans="1:15" x14ac:dyDescent="0.35">
      <c r="A1012" t="s">
        <v>1949</v>
      </c>
      <c r="B1012" s="2">
        <v>46292</v>
      </c>
      <c r="C1012" t="s">
        <v>1207</v>
      </c>
      <c r="D1012" t="s">
        <v>859</v>
      </c>
      <c r="E1012" t="s">
        <v>18</v>
      </c>
      <c r="F1012" t="s">
        <v>18</v>
      </c>
      <c r="G1012" t="s">
        <v>34</v>
      </c>
      <c r="H1012" t="s">
        <v>141</v>
      </c>
      <c r="I1012">
        <v>6</v>
      </c>
      <c r="J1012" s="3">
        <v>152000</v>
      </c>
      <c r="K1012" s="3">
        <v>123600</v>
      </c>
      <c r="L1012" t="s">
        <v>21</v>
      </c>
      <c r="M1012" t="s">
        <v>22</v>
      </c>
      <c r="N1012" t="s">
        <v>23</v>
      </c>
      <c r="O1012" t="s">
        <v>24</v>
      </c>
    </row>
    <row r="1013" spans="1:15" x14ac:dyDescent="0.35">
      <c r="A1013" t="s">
        <v>1950</v>
      </c>
      <c r="B1013" s="2">
        <v>46071</v>
      </c>
      <c r="C1013" t="s">
        <v>626</v>
      </c>
      <c r="D1013" t="s">
        <v>1109</v>
      </c>
      <c r="E1013" t="s">
        <v>18</v>
      </c>
      <c r="F1013" t="s">
        <v>18</v>
      </c>
      <c r="G1013" t="s">
        <v>34</v>
      </c>
      <c r="H1013" t="s">
        <v>141</v>
      </c>
      <c r="I1013">
        <v>6</v>
      </c>
      <c r="J1013" s="3">
        <v>168000</v>
      </c>
      <c r="K1013" s="3">
        <v>116400</v>
      </c>
      <c r="L1013" t="s">
        <v>73</v>
      </c>
      <c r="M1013" t="s">
        <v>51</v>
      </c>
      <c r="N1013" t="s">
        <v>52</v>
      </c>
      <c r="O1013" t="s">
        <v>91</v>
      </c>
    </row>
    <row r="1014" spans="1:15" x14ac:dyDescent="0.35">
      <c r="A1014" t="s">
        <v>1951</v>
      </c>
      <c r="B1014" s="2">
        <v>46238</v>
      </c>
      <c r="C1014" t="s">
        <v>1632</v>
      </c>
      <c r="D1014" t="s">
        <v>711</v>
      </c>
      <c r="E1014" t="s">
        <v>18</v>
      </c>
      <c r="F1014" t="s">
        <v>18</v>
      </c>
      <c r="G1014" t="s">
        <v>34</v>
      </c>
      <c r="H1014" t="s">
        <v>141</v>
      </c>
      <c r="I1014">
        <v>8</v>
      </c>
      <c r="J1014" s="3">
        <v>160000</v>
      </c>
      <c r="K1014" s="3">
        <v>123600</v>
      </c>
      <c r="L1014" t="s">
        <v>66</v>
      </c>
      <c r="M1014" t="s">
        <v>22</v>
      </c>
      <c r="N1014" t="s">
        <v>23</v>
      </c>
      <c r="O1014" t="s">
        <v>24</v>
      </c>
    </row>
    <row r="1015" spans="1:15" x14ac:dyDescent="0.35">
      <c r="A1015" t="s">
        <v>1952</v>
      </c>
      <c r="B1015" s="2">
        <v>46248</v>
      </c>
      <c r="C1015" t="s">
        <v>126</v>
      </c>
      <c r="D1015" t="s">
        <v>462</v>
      </c>
      <c r="E1015" t="s">
        <v>70</v>
      </c>
      <c r="F1015" t="s">
        <v>71</v>
      </c>
      <c r="G1015" t="s">
        <v>34</v>
      </c>
      <c r="H1015" t="s">
        <v>35</v>
      </c>
      <c r="I1015">
        <v>8</v>
      </c>
      <c r="J1015" s="3">
        <v>57800</v>
      </c>
      <c r="K1015" s="3">
        <v>40200</v>
      </c>
      <c r="L1015" t="s">
        <v>36</v>
      </c>
      <c r="M1015" t="s">
        <v>51</v>
      </c>
      <c r="N1015" t="s">
        <v>52</v>
      </c>
      <c r="O1015" t="s">
        <v>24</v>
      </c>
    </row>
    <row r="1016" spans="1:15" x14ac:dyDescent="0.35">
      <c r="A1016" t="s">
        <v>1953</v>
      </c>
      <c r="B1016" s="2">
        <v>46339</v>
      </c>
      <c r="C1016" t="s">
        <v>133</v>
      </c>
      <c r="D1016" t="s">
        <v>1954</v>
      </c>
      <c r="E1016" t="s">
        <v>18</v>
      </c>
      <c r="F1016" t="s">
        <v>18</v>
      </c>
      <c r="G1016" t="s">
        <v>34</v>
      </c>
      <c r="H1016" t="s">
        <v>158</v>
      </c>
      <c r="I1016">
        <v>5</v>
      </c>
      <c r="J1016" s="3">
        <v>95000</v>
      </c>
      <c r="K1016" s="3">
        <v>70000</v>
      </c>
      <c r="L1016" t="s">
        <v>66</v>
      </c>
      <c r="M1016" t="s">
        <v>37</v>
      </c>
      <c r="N1016" t="s">
        <v>52</v>
      </c>
      <c r="O1016" t="s">
        <v>24</v>
      </c>
    </row>
    <row r="1017" spans="1:15" x14ac:dyDescent="0.35">
      <c r="A1017" t="s">
        <v>1955</v>
      </c>
      <c r="B1017" s="2">
        <v>46141</v>
      </c>
      <c r="C1017" t="s">
        <v>506</v>
      </c>
      <c r="D1017" t="s">
        <v>1956</v>
      </c>
      <c r="E1017" t="s">
        <v>70</v>
      </c>
      <c r="F1017" t="s">
        <v>71</v>
      </c>
      <c r="G1017" t="s">
        <v>34</v>
      </c>
      <c r="H1017" t="s">
        <v>141</v>
      </c>
      <c r="I1017">
        <v>9</v>
      </c>
      <c r="J1017" s="3">
        <v>168000</v>
      </c>
      <c r="K1017" s="3">
        <v>123600</v>
      </c>
      <c r="L1017" t="s">
        <v>66</v>
      </c>
      <c r="M1017" t="s">
        <v>37</v>
      </c>
      <c r="N1017" t="s">
        <v>52</v>
      </c>
      <c r="O1017" t="s">
        <v>24</v>
      </c>
    </row>
    <row r="1018" spans="1:15" x14ac:dyDescent="0.35">
      <c r="A1018" t="s">
        <v>1957</v>
      </c>
      <c r="B1018" s="2">
        <v>46141</v>
      </c>
      <c r="C1018" t="s">
        <v>1869</v>
      </c>
      <c r="D1018" t="s">
        <v>281</v>
      </c>
      <c r="E1018" t="s">
        <v>18</v>
      </c>
      <c r="F1018" t="s">
        <v>18</v>
      </c>
      <c r="G1018" t="s">
        <v>28</v>
      </c>
      <c r="H1018" t="s">
        <v>65</v>
      </c>
      <c r="I1018">
        <v>4</v>
      </c>
      <c r="J1018" s="3">
        <v>12600</v>
      </c>
      <c r="K1018" s="3">
        <v>7300</v>
      </c>
      <c r="L1018" t="s">
        <v>80</v>
      </c>
      <c r="M1018" t="s">
        <v>31</v>
      </c>
      <c r="N1018" t="s">
        <v>52</v>
      </c>
      <c r="O1018" t="s">
        <v>24</v>
      </c>
    </row>
    <row r="1019" spans="1:15" x14ac:dyDescent="0.35">
      <c r="A1019" t="s">
        <v>1958</v>
      </c>
      <c r="B1019" s="2">
        <v>46072</v>
      </c>
      <c r="C1019" t="s">
        <v>903</v>
      </c>
      <c r="D1019" t="s">
        <v>1241</v>
      </c>
      <c r="E1019" t="s">
        <v>18</v>
      </c>
      <c r="F1019" t="s">
        <v>18</v>
      </c>
      <c r="G1019" t="s">
        <v>34</v>
      </c>
      <c r="H1019" t="s">
        <v>158</v>
      </c>
      <c r="I1019">
        <v>6</v>
      </c>
      <c r="J1019" s="3">
        <v>90200</v>
      </c>
      <c r="K1019" s="3">
        <v>67900</v>
      </c>
      <c r="L1019" t="s">
        <v>96</v>
      </c>
      <c r="M1019" t="s">
        <v>22</v>
      </c>
      <c r="N1019" t="s">
        <v>52</v>
      </c>
      <c r="O1019" t="s">
        <v>24</v>
      </c>
    </row>
    <row r="1020" spans="1:15" x14ac:dyDescent="0.35">
      <c r="A1020" t="s">
        <v>1959</v>
      </c>
      <c r="B1020" s="2">
        <v>46328</v>
      </c>
      <c r="C1020" t="s">
        <v>120</v>
      </c>
      <c r="D1020" t="s">
        <v>1126</v>
      </c>
      <c r="E1020" t="s">
        <v>41</v>
      </c>
      <c r="F1020" t="s">
        <v>42</v>
      </c>
      <c r="G1020" t="s">
        <v>34</v>
      </c>
      <c r="H1020" t="s">
        <v>35</v>
      </c>
      <c r="I1020">
        <v>3</v>
      </c>
      <c r="J1020" s="3">
        <v>55000</v>
      </c>
      <c r="K1020" s="3">
        <v>39000</v>
      </c>
      <c r="L1020" t="s">
        <v>36</v>
      </c>
      <c r="M1020" t="s">
        <v>22</v>
      </c>
      <c r="N1020" t="s">
        <v>52</v>
      </c>
      <c r="O1020" t="s">
        <v>91</v>
      </c>
    </row>
    <row r="1021" spans="1:15" x14ac:dyDescent="0.35">
      <c r="A1021" t="s">
        <v>1960</v>
      </c>
      <c r="B1021" s="2">
        <v>46179</v>
      </c>
      <c r="C1021" t="s">
        <v>1390</v>
      </c>
      <c r="D1021" t="s">
        <v>1241</v>
      </c>
      <c r="E1021" t="s">
        <v>84</v>
      </c>
      <c r="F1021" t="s">
        <v>85</v>
      </c>
      <c r="G1021" t="s">
        <v>34</v>
      </c>
      <c r="H1021" t="s">
        <v>35</v>
      </c>
      <c r="I1021">
        <v>6</v>
      </c>
      <c r="J1021" s="3">
        <v>55000</v>
      </c>
      <c r="K1021" s="3">
        <v>40200</v>
      </c>
      <c r="L1021" t="s">
        <v>21</v>
      </c>
      <c r="M1021" t="s">
        <v>31</v>
      </c>
      <c r="N1021" t="s">
        <v>23</v>
      </c>
      <c r="O1021" t="s">
        <v>24</v>
      </c>
    </row>
    <row r="1022" spans="1:15" x14ac:dyDescent="0.35">
      <c r="A1022" t="s">
        <v>1961</v>
      </c>
      <c r="B1022" s="2">
        <v>46282</v>
      </c>
      <c r="C1022" t="s">
        <v>1788</v>
      </c>
      <c r="D1022" t="s">
        <v>1486</v>
      </c>
      <c r="E1022" t="s">
        <v>84</v>
      </c>
      <c r="F1022" t="s">
        <v>85</v>
      </c>
      <c r="G1022" t="s">
        <v>28</v>
      </c>
      <c r="H1022" t="s">
        <v>131</v>
      </c>
      <c r="I1022">
        <v>10</v>
      </c>
      <c r="J1022" s="3">
        <v>30000</v>
      </c>
      <c r="K1022" s="3">
        <v>19000</v>
      </c>
      <c r="L1022" t="s">
        <v>50</v>
      </c>
      <c r="M1022" t="s">
        <v>22</v>
      </c>
      <c r="N1022" t="s">
        <v>23</v>
      </c>
      <c r="O1022" t="s">
        <v>24</v>
      </c>
    </row>
    <row r="1023" spans="1:15" x14ac:dyDescent="0.35">
      <c r="A1023" t="s">
        <v>1962</v>
      </c>
      <c r="B1023" s="2">
        <v>46287</v>
      </c>
      <c r="C1023" t="s">
        <v>671</v>
      </c>
      <c r="D1023" t="s">
        <v>846</v>
      </c>
      <c r="E1023" t="s">
        <v>77</v>
      </c>
      <c r="F1023" t="s">
        <v>78</v>
      </c>
      <c r="G1023" t="s">
        <v>34</v>
      </c>
      <c r="H1023" t="s">
        <v>141</v>
      </c>
      <c r="I1023">
        <v>1</v>
      </c>
      <c r="J1023" s="3">
        <v>168000</v>
      </c>
      <c r="K1023" s="3">
        <v>116400</v>
      </c>
      <c r="L1023" t="s">
        <v>96</v>
      </c>
      <c r="M1023" t="s">
        <v>37</v>
      </c>
      <c r="N1023" t="s">
        <v>52</v>
      </c>
      <c r="O1023" t="s">
        <v>24</v>
      </c>
    </row>
    <row r="1024" spans="1:15" x14ac:dyDescent="0.35">
      <c r="A1024" t="s">
        <v>1963</v>
      </c>
      <c r="B1024" s="2">
        <v>46351</v>
      </c>
      <c r="C1024" t="s">
        <v>645</v>
      </c>
      <c r="D1024" t="s">
        <v>391</v>
      </c>
      <c r="E1024" t="s">
        <v>84</v>
      </c>
      <c r="F1024" t="s">
        <v>85</v>
      </c>
      <c r="G1024" t="s">
        <v>34</v>
      </c>
      <c r="H1024" t="s">
        <v>86</v>
      </c>
      <c r="I1024">
        <v>7</v>
      </c>
      <c r="J1024" s="3">
        <v>171000</v>
      </c>
      <c r="K1024" s="3">
        <v>131000</v>
      </c>
      <c r="L1024" t="s">
        <v>80</v>
      </c>
      <c r="M1024" t="s">
        <v>51</v>
      </c>
      <c r="N1024" t="s">
        <v>87</v>
      </c>
      <c r="O1024" t="s">
        <v>24</v>
      </c>
    </row>
    <row r="1025" spans="1:15" x14ac:dyDescent="0.35">
      <c r="A1025" t="s">
        <v>1964</v>
      </c>
      <c r="B1025" s="2">
        <v>46063</v>
      </c>
      <c r="C1025" t="s">
        <v>358</v>
      </c>
      <c r="D1025" t="s">
        <v>417</v>
      </c>
      <c r="E1025" t="s">
        <v>41</v>
      </c>
      <c r="F1025" t="s">
        <v>42</v>
      </c>
      <c r="G1025" t="s">
        <v>43</v>
      </c>
      <c r="H1025" t="s">
        <v>49</v>
      </c>
      <c r="I1025">
        <v>9</v>
      </c>
      <c r="J1025" s="3">
        <v>9400</v>
      </c>
      <c r="K1025" s="3">
        <v>6000</v>
      </c>
      <c r="L1025" t="s">
        <v>66</v>
      </c>
      <c r="M1025" t="s">
        <v>22</v>
      </c>
      <c r="N1025" t="s">
        <v>23</v>
      </c>
      <c r="O1025" t="s">
        <v>91</v>
      </c>
    </row>
    <row r="1026" spans="1:15" x14ac:dyDescent="0.35">
      <c r="A1026" t="s">
        <v>1965</v>
      </c>
      <c r="B1026" s="2">
        <v>46224</v>
      </c>
      <c r="C1026" t="s">
        <v>962</v>
      </c>
      <c r="D1026" t="s">
        <v>476</v>
      </c>
      <c r="E1026" t="s">
        <v>84</v>
      </c>
      <c r="F1026" t="s">
        <v>85</v>
      </c>
      <c r="G1026" t="s">
        <v>34</v>
      </c>
      <c r="H1026" t="s">
        <v>35</v>
      </c>
      <c r="I1026">
        <v>2</v>
      </c>
      <c r="J1026" s="3">
        <v>55000</v>
      </c>
      <c r="K1026" s="3">
        <v>37800</v>
      </c>
      <c r="L1026" t="s">
        <v>21</v>
      </c>
      <c r="M1026" t="s">
        <v>51</v>
      </c>
      <c r="N1026" t="s">
        <v>23</v>
      </c>
      <c r="O1026" t="s">
        <v>24</v>
      </c>
    </row>
    <row r="1027" spans="1:15" x14ac:dyDescent="0.35">
      <c r="A1027" t="s">
        <v>1966</v>
      </c>
      <c r="B1027" s="2">
        <v>46284</v>
      </c>
      <c r="C1027" t="s">
        <v>759</v>
      </c>
      <c r="D1027" t="s">
        <v>650</v>
      </c>
      <c r="E1027" t="s">
        <v>18</v>
      </c>
      <c r="F1027" t="s">
        <v>18</v>
      </c>
      <c r="G1027" t="s">
        <v>28</v>
      </c>
      <c r="H1027" t="s">
        <v>248</v>
      </c>
      <c r="I1027">
        <v>2</v>
      </c>
      <c r="J1027" s="3">
        <v>26200</v>
      </c>
      <c r="K1027" s="3">
        <v>16000</v>
      </c>
      <c r="L1027" t="s">
        <v>50</v>
      </c>
      <c r="M1027" t="s">
        <v>37</v>
      </c>
      <c r="N1027" t="s">
        <v>52</v>
      </c>
      <c r="O1027" t="s">
        <v>24</v>
      </c>
    </row>
    <row r="1028" spans="1:15" x14ac:dyDescent="0.35">
      <c r="A1028" t="s">
        <v>1967</v>
      </c>
      <c r="B1028" s="2">
        <v>46027</v>
      </c>
      <c r="C1028" t="s">
        <v>1968</v>
      </c>
      <c r="D1028" t="s">
        <v>1384</v>
      </c>
      <c r="E1028" t="s">
        <v>18</v>
      </c>
      <c r="F1028" t="s">
        <v>18</v>
      </c>
      <c r="G1028" t="s">
        <v>43</v>
      </c>
      <c r="H1028" t="s">
        <v>79</v>
      </c>
      <c r="I1028">
        <v>2</v>
      </c>
      <c r="J1028" s="3">
        <v>6000</v>
      </c>
      <c r="K1028" s="3">
        <v>4100</v>
      </c>
      <c r="L1028" t="s">
        <v>73</v>
      </c>
      <c r="M1028" t="s">
        <v>37</v>
      </c>
      <c r="N1028" t="s">
        <v>52</v>
      </c>
      <c r="O1028" t="s">
        <v>24</v>
      </c>
    </row>
    <row r="1029" spans="1:15" x14ac:dyDescent="0.35">
      <c r="A1029" t="s">
        <v>1969</v>
      </c>
      <c r="B1029" s="2">
        <v>46052</v>
      </c>
      <c r="C1029" t="s">
        <v>1207</v>
      </c>
      <c r="D1029" t="s">
        <v>662</v>
      </c>
      <c r="E1029" t="s">
        <v>41</v>
      </c>
      <c r="F1029" t="s">
        <v>42</v>
      </c>
      <c r="G1029" t="s">
        <v>34</v>
      </c>
      <c r="H1029" t="s">
        <v>86</v>
      </c>
      <c r="I1029">
        <v>10</v>
      </c>
      <c r="J1029" s="3">
        <v>180000</v>
      </c>
      <c r="K1029" s="3">
        <v>131000</v>
      </c>
      <c r="L1029" t="s">
        <v>73</v>
      </c>
      <c r="M1029" t="s">
        <v>51</v>
      </c>
      <c r="N1029" t="s">
        <v>23</v>
      </c>
      <c r="O1029" t="s">
        <v>24</v>
      </c>
    </row>
    <row r="1030" spans="1:15" x14ac:dyDescent="0.35">
      <c r="A1030" t="s">
        <v>1970</v>
      </c>
      <c r="B1030" s="2">
        <v>46365</v>
      </c>
      <c r="C1030" t="s">
        <v>1490</v>
      </c>
      <c r="D1030" t="s">
        <v>1405</v>
      </c>
      <c r="E1030" t="s">
        <v>190</v>
      </c>
      <c r="F1030" t="s">
        <v>191</v>
      </c>
      <c r="G1030" t="s">
        <v>43</v>
      </c>
      <c r="H1030" t="s">
        <v>44</v>
      </c>
      <c r="I1030">
        <v>3</v>
      </c>
      <c r="J1030" s="3">
        <v>15000</v>
      </c>
      <c r="K1030" s="3">
        <v>9800</v>
      </c>
      <c r="L1030" t="s">
        <v>80</v>
      </c>
      <c r="M1030" t="s">
        <v>51</v>
      </c>
      <c r="N1030" t="s">
        <v>52</v>
      </c>
      <c r="O1030" t="s">
        <v>24</v>
      </c>
    </row>
    <row r="1031" spans="1:15" x14ac:dyDescent="0.35">
      <c r="A1031" t="s">
        <v>1971</v>
      </c>
      <c r="B1031" s="2">
        <v>46056</v>
      </c>
      <c r="C1031" t="s">
        <v>1759</v>
      </c>
      <c r="D1031" t="s">
        <v>549</v>
      </c>
      <c r="E1031" t="s">
        <v>18</v>
      </c>
      <c r="F1031" t="s">
        <v>18</v>
      </c>
      <c r="G1031" t="s">
        <v>43</v>
      </c>
      <c r="H1031" t="s">
        <v>44</v>
      </c>
      <c r="I1031">
        <v>5</v>
      </c>
      <c r="J1031" s="3">
        <v>15000</v>
      </c>
      <c r="K1031" s="3">
        <v>9800</v>
      </c>
      <c r="L1031" t="s">
        <v>66</v>
      </c>
      <c r="M1031" t="s">
        <v>51</v>
      </c>
      <c r="N1031" t="s">
        <v>23</v>
      </c>
      <c r="O1031" t="s">
        <v>24</v>
      </c>
    </row>
    <row r="1032" spans="1:15" x14ac:dyDescent="0.35">
      <c r="A1032" t="s">
        <v>1972</v>
      </c>
      <c r="B1032" s="2">
        <v>46231</v>
      </c>
      <c r="C1032" t="s">
        <v>598</v>
      </c>
      <c r="D1032" t="s">
        <v>348</v>
      </c>
      <c r="E1032" t="s">
        <v>190</v>
      </c>
      <c r="F1032" t="s">
        <v>191</v>
      </c>
      <c r="G1032" t="s">
        <v>34</v>
      </c>
      <c r="H1032" t="s">
        <v>141</v>
      </c>
      <c r="I1032">
        <v>6</v>
      </c>
      <c r="J1032" s="3">
        <v>160000</v>
      </c>
      <c r="K1032" s="3">
        <v>120000</v>
      </c>
      <c r="L1032" t="s">
        <v>96</v>
      </c>
      <c r="M1032" t="s">
        <v>31</v>
      </c>
      <c r="N1032" t="s">
        <v>52</v>
      </c>
      <c r="O1032" t="s">
        <v>24</v>
      </c>
    </row>
    <row r="1033" spans="1:15" x14ac:dyDescent="0.35">
      <c r="A1033" t="s">
        <v>1973</v>
      </c>
      <c r="B1033" s="2">
        <v>46142</v>
      </c>
      <c r="C1033" t="s">
        <v>175</v>
      </c>
      <c r="D1033" t="s">
        <v>327</v>
      </c>
      <c r="E1033" t="s">
        <v>84</v>
      </c>
      <c r="F1033" t="s">
        <v>85</v>
      </c>
      <c r="G1033" t="s">
        <v>43</v>
      </c>
      <c r="H1033" t="s">
        <v>49</v>
      </c>
      <c r="I1033">
        <v>4</v>
      </c>
      <c r="J1033" s="3">
        <v>9400</v>
      </c>
      <c r="K1033" s="3">
        <v>5600</v>
      </c>
      <c r="L1033" t="s">
        <v>66</v>
      </c>
      <c r="M1033" t="s">
        <v>22</v>
      </c>
      <c r="N1033" t="s">
        <v>23</v>
      </c>
      <c r="O1033" t="s">
        <v>24</v>
      </c>
    </row>
    <row r="1034" spans="1:15" x14ac:dyDescent="0.35">
      <c r="A1034" t="s">
        <v>1974</v>
      </c>
      <c r="B1034" s="2">
        <v>46152</v>
      </c>
      <c r="C1034" t="s">
        <v>1693</v>
      </c>
      <c r="D1034" t="s">
        <v>636</v>
      </c>
      <c r="E1034" t="s">
        <v>156</v>
      </c>
      <c r="F1034" t="s">
        <v>170</v>
      </c>
      <c r="G1034" t="s">
        <v>34</v>
      </c>
      <c r="H1034" t="s">
        <v>141</v>
      </c>
      <c r="I1034">
        <v>10</v>
      </c>
      <c r="J1034" s="3">
        <v>160000</v>
      </c>
      <c r="K1034" s="3">
        <v>116400</v>
      </c>
      <c r="L1034" t="s">
        <v>96</v>
      </c>
      <c r="M1034" t="s">
        <v>31</v>
      </c>
      <c r="N1034" t="s">
        <v>52</v>
      </c>
      <c r="O1034" t="s">
        <v>24</v>
      </c>
    </row>
    <row r="1035" spans="1:15" x14ac:dyDescent="0.35">
      <c r="A1035" t="s">
        <v>1975</v>
      </c>
      <c r="B1035" s="2">
        <v>46296</v>
      </c>
      <c r="C1035" t="s">
        <v>733</v>
      </c>
      <c r="D1035" t="s">
        <v>764</v>
      </c>
      <c r="E1035" t="s">
        <v>190</v>
      </c>
      <c r="F1035" t="s">
        <v>191</v>
      </c>
      <c r="G1035" t="s">
        <v>34</v>
      </c>
      <c r="H1035" t="s">
        <v>158</v>
      </c>
      <c r="I1035">
        <v>4</v>
      </c>
      <c r="J1035" s="3">
        <v>95000</v>
      </c>
      <c r="K1035" s="3">
        <v>70000</v>
      </c>
      <c r="L1035" t="s">
        <v>66</v>
      </c>
      <c r="M1035" t="s">
        <v>51</v>
      </c>
      <c r="N1035" t="s">
        <v>23</v>
      </c>
      <c r="O1035" t="s">
        <v>45</v>
      </c>
    </row>
    <row r="1036" spans="1:15" x14ac:dyDescent="0.35">
      <c r="A1036" t="s">
        <v>1976</v>
      </c>
      <c r="B1036" s="2">
        <v>46334</v>
      </c>
      <c r="C1036" t="s">
        <v>1661</v>
      </c>
      <c r="D1036" t="s">
        <v>889</v>
      </c>
      <c r="E1036" t="s">
        <v>18</v>
      </c>
      <c r="F1036" t="s">
        <v>18</v>
      </c>
      <c r="G1036" t="s">
        <v>19</v>
      </c>
      <c r="H1036" t="s">
        <v>112</v>
      </c>
      <c r="I1036">
        <v>8</v>
      </c>
      <c r="J1036" s="3">
        <v>85000</v>
      </c>
      <c r="K1036" s="3">
        <v>60100</v>
      </c>
      <c r="L1036" t="s">
        <v>21</v>
      </c>
      <c r="M1036" t="s">
        <v>31</v>
      </c>
      <c r="N1036" t="s">
        <v>52</v>
      </c>
      <c r="O1036" t="s">
        <v>24</v>
      </c>
    </row>
    <row r="1037" spans="1:15" x14ac:dyDescent="0.35">
      <c r="A1037" t="s">
        <v>1977</v>
      </c>
      <c r="B1037" s="2">
        <v>46107</v>
      </c>
      <c r="C1037" t="s">
        <v>1131</v>
      </c>
      <c r="D1037" t="s">
        <v>953</v>
      </c>
      <c r="E1037" t="s">
        <v>70</v>
      </c>
      <c r="F1037" t="s">
        <v>71</v>
      </c>
      <c r="G1037" t="s">
        <v>19</v>
      </c>
      <c r="H1037" t="s">
        <v>112</v>
      </c>
      <c r="I1037">
        <v>1</v>
      </c>
      <c r="J1037" s="3">
        <v>80800</v>
      </c>
      <c r="K1037" s="3">
        <v>60100</v>
      </c>
      <c r="L1037" t="s">
        <v>73</v>
      </c>
      <c r="M1037" t="s">
        <v>37</v>
      </c>
      <c r="N1037" t="s">
        <v>23</v>
      </c>
      <c r="O1037" t="s">
        <v>24</v>
      </c>
    </row>
    <row r="1038" spans="1:15" x14ac:dyDescent="0.35">
      <c r="A1038" t="s">
        <v>1978</v>
      </c>
      <c r="B1038" s="2">
        <v>46172</v>
      </c>
      <c r="C1038" t="s">
        <v>735</v>
      </c>
      <c r="D1038" t="s">
        <v>779</v>
      </c>
      <c r="E1038" t="s">
        <v>56</v>
      </c>
      <c r="F1038" t="s">
        <v>57</v>
      </c>
      <c r="G1038" t="s">
        <v>43</v>
      </c>
      <c r="H1038" t="s">
        <v>177</v>
      </c>
      <c r="I1038">
        <v>5</v>
      </c>
      <c r="J1038" s="3">
        <v>17100</v>
      </c>
      <c r="K1038" s="3">
        <v>12900</v>
      </c>
      <c r="L1038" t="s">
        <v>50</v>
      </c>
      <c r="M1038" t="s">
        <v>31</v>
      </c>
      <c r="N1038" t="s">
        <v>87</v>
      </c>
      <c r="O1038" t="s">
        <v>24</v>
      </c>
    </row>
    <row r="1039" spans="1:15" x14ac:dyDescent="0.35">
      <c r="A1039" t="s">
        <v>1979</v>
      </c>
      <c r="B1039" s="2">
        <v>46068</v>
      </c>
      <c r="C1039" t="s">
        <v>683</v>
      </c>
      <c r="D1039" t="s">
        <v>241</v>
      </c>
      <c r="E1039" t="s">
        <v>77</v>
      </c>
      <c r="F1039" t="s">
        <v>78</v>
      </c>
      <c r="G1039" t="s">
        <v>34</v>
      </c>
      <c r="H1039" t="s">
        <v>35</v>
      </c>
      <c r="I1039">
        <v>6</v>
      </c>
      <c r="J1039" s="3">
        <v>52200</v>
      </c>
      <c r="K1039" s="3">
        <v>39000</v>
      </c>
      <c r="L1039" t="s">
        <v>21</v>
      </c>
      <c r="M1039" t="s">
        <v>37</v>
      </c>
      <c r="N1039" t="s">
        <v>52</v>
      </c>
      <c r="O1039" t="s">
        <v>24</v>
      </c>
    </row>
    <row r="1040" spans="1:15" x14ac:dyDescent="0.35">
      <c r="A1040" t="s">
        <v>1980</v>
      </c>
      <c r="B1040" s="2">
        <v>46110</v>
      </c>
      <c r="C1040" t="s">
        <v>559</v>
      </c>
      <c r="D1040" t="s">
        <v>705</v>
      </c>
      <c r="E1040" t="s">
        <v>41</v>
      </c>
      <c r="F1040" t="s">
        <v>42</v>
      </c>
      <c r="G1040" t="s">
        <v>43</v>
      </c>
      <c r="H1040" t="s">
        <v>162</v>
      </c>
      <c r="I1040">
        <v>9</v>
      </c>
      <c r="J1040" s="3">
        <v>8400</v>
      </c>
      <c r="K1040" s="3">
        <v>4800</v>
      </c>
      <c r="L1040" t="s">
        <v>73</v>
      </c>
      <c r="M1040" t="s">
        <v>37</v>
      </c>
      <c r="N1040" t="s">
        <v>23</v>
      </c>
      <c r="O1040" t="s">
        <v>24</v>
      </c>
    </row>
    <row r="1041" spans="1:15" x14ac:dyDescent="0.35">
      <c r="A1041" t="s">
        <v>1981</v>
      </c>
      <c r="B1041" s="2">
        <v>46183</v>
      </c>
      <c r="C1041" t="s">
        <v>1138</v>
      </c>
      <c r="D1041" t="s">
        <v>1982</v>
      </c>
      <c r="E1041" t="s">
        <v>18</v>
      </c>
      <c r="F1041" t="s">
        <v>18</v>
      </c>
      <c r="G1041" t="s">
        <v>43</v>
      </c>
      <c r="H1041" t="s">
        <v>162</v>
      </c>
      <c r="I1041">
        <v>9</v>
      </c>
      <c r="J1041" s="3">
        <v>7600</v>
      </c>
      <c r="K1041" s="3">
        <v>4800</v>
      </c>
      <c r="L1041" t="s">
        <v>96</v>
      </c>
      <c r="M1041" t="s">
        <v>31</v>
      </c>
      <c r="N1041" t="s">
        <v>52</v>
      </c>
      <c r="O1041" t="s">
        <v>24</v>
      </c>
    </row>
    <row r="1042" spans="1:15" x14ac:dyDescent="0.35">
      <c r="A1042" t="s">
        <v>1983</v>
      </c>
      <c r="B1042" s="2">
        <v>46248</v>
      </c>
      <c r="C1042" t="s">
        <v>1442</v>
      </c>
      <c r="D1042" t="s">
        <v>1412</v>
      </c>
      <c r="E1042" t="s">
        <v>56</v>
      </c>
      <c r="F1042" t="s">
        <v>57</v>
      </c>
      <c r="G1042" t="s">
        <v>34</v>
      </c>
      <c r="H1042" t="s">
        <v>86</v>
      </c>
      <c r="I1042">
        <v>9</v>
      </c>
      <c r="J1042" s="3">
        <v>180000</v>
      </c>
      <c r="K1042" s="3">
        <v>131000</v>
      </c>
      <c r="L1042" t="s">
        <v>96</v>
      </c>
      <c r="M1042" t="s">
        <v>51</v>
      </c>
      <c r="N1042" t="s">
        <v>23</v>
      </c>
      <c r="O1042" t="s">
        <v>24</v>
      </c>
    </row>
    <row r="1043" spans="1:15" x14ac:dyDescent="0.35">
      <c r="A1043" t="s">
        <v>1984</v>
      </c>
      <c r="B1043" s="2">
        <v>46041</v>
      </c>
      <c r="C1043" t="s">
        <v>1793</v>
      </c>
      <c r="D1043" t="s">
        <v>351</v>
      </c>
      <c r="E1043" t="s">
        <v>190</v>
      </c>
      <c r="F1043" t="s">
        <v>191</v>
      </c>
      <c r="G1043" t="s">
        <v>43</v>
      </c>
      <c r="H1043" t="s">
        <v>49</v>
      </c>
      <c r="I1043">
        <v>1</v>
      </c>
      <c r="J1043" s="3">
        <v>9000</v>
      </c>
      <c r="K1043" s="3">
        <v>5800</v>
      </c>
      <c r="L1043" t="s">
        <v>30</v>
      </c>
      <c r="M1043" t="s">
        <v>51</v>
      </c>
      <c r="N1043" t="s">
        <v>23</v>
      </c>
      <c r="O1043" t="s">
        <v>24</v>
      </c>
    </row>
    <row r="1044" spans="1:15" x14ac:dyDescent="0.35">
      <c r="A1044" t="s">
        <v>1985</v>
      </c>
      <c r="B1044" s="2">
        <v>46132</v>
      </c>
      <c r="C1044" t="s">
        <v>114</v>
      </c>
      <c r="D1044" t="s">
        <v>1128</v>
      </c>
      <c r="E1044" t="s">
        <v>18</v>
      </c>
      <c r="F1044" t="s">
        <v>18</v>
      </c>
      <c r="G1044" t="s">
        <v>34</v>
      </c>
      <c r="H1044" t="s">
        <v>86</v>
      </c>
      <c r="I1044">
        <v>7</v>
      </c>
      <c r="J1044" s="3">
        <v>180000</v>
      </c>
      <c r="K1044" s="3">
        <v>135000</v>
      </c>
      <c r="L1044" t="s">
        <v>66</v>
      </c>
      <c r="M1044" t="s">
        <v>37</v>
      </c>
      <c r="N1044" t="s">
        <v>87</v>
      </c>
      <c r="O1044" t="s">
        <v>91</v>
      </c>
    </row>
    <row r="1045" spans="1:15" x14ac:dyDescent="0.35">
      <c r="A1045" t="s">
        <v>1986</v>
      </c>
      <c r="B1045" s="2">
        <v>46060</v>
      </c>
      <c r="C1045" t="s">
        <v>1987</v>
      </c>
      <c r="D1045" t="s">
        <v>922</v>
      </c>
      <c r="E1045" t="s">
        <v>84</v>
      </c>
      <c r="F1045" t="s">
        <v>85</v>
      </c>
      <c r="G1045" t="s">
        <v>19</v>
      </c>
      <c r="H1045" t="s">
        <v>61</v>
      </c>
      <c r="I1045">
        <v>7</v>
      </c>
      <c r="J1045" s="3">
        <v>220000</v>
      </c>
      <c r="K1045" s="3">
        <v>164800</v>
      </c>
      <c r="L1045" t="s">
        <v>21</v>
      </c>
      <c r="M1045" t="s">
        <v>51</v>
      </c>
      <c r="N1045" t="s">
        <v>52</v>
      </c>
      <c r="O1045" t="s">
        <v>45</v>
      </c>
    </row>
    <row r="1046" spans="1:15" x14ac:dyDescent="0.35">
      <c r="A1046" t="s">
        <v>1988</v>
      </c>
      <c r="B1046" s="2">
        <v>46104</v>
      </c>
      <c r="C1046" t="s">
        <v>1479</v>
      </c>
      <c r="D1046" t="s">
        <v>1439</v>
      </c>
      <c r="E1046" t="s">
        <v>84</v>
      </c>
      <c r="F1046" t="s">
        <v>85</v>
      </c>
      <c r="G1046" t="s">
        <v>34</v>
      </c>
      <c r="H1046" t="s">
        <v>158</v>
      </c>
      <c r="I1046">
        <v>9</v>
      </c>
      <c r="J1046" s="3">
        <v>99800</v>
      </c>
      <c r="K1046" s="3">
        <v>67900</v>
      </c>
      <c r="L1046" t="s">
        <v>80</v>
      </c>
      <c r="M1046" t="s">
        <v>31</v>
      </c>
      <c r="N1046" t="s">
        <v>52</v>
      </c>
      <c r="O1046" t="s">
        <v>24</v>
      </c>
    </row>
    <row r="1047" spans="1:15" x14ac:dyDescent="0.35">
      <c r="A1047" t="s">
        <v>1989</v>
      </c>
      <c r="B1047" s="2">
        <v>46031</v>
      </c>
      <c r="C1047" t="s">
        <v>774</v>
      </c>
      <c r="D1047" t="s">
        <v>1396</v>
      </c>
      <c r="E1047" t="s">
        <v>190</v>
      </c>
      <c r="F1047" t="s">
        <v>191</v>
      </c>
      <c r="G1047" t="s">
        <v>34</v>
      </c>
      <c r="H1047" t="s">
        <v>95</v>
      </c>
      <c r="I1047">
        <v>9</v>
      </c>
      <c r="J1047" s="3">
        <v>450000</v>
      </c>
      <c r="K1047" s="3">
        <v>381100</v>
      </c>
      <c r="L1047" t="s">
        <v>66</v>
      </c>
      <c r="M1047" t="s">
        <v>22</v>
      </c>
      <c r="N1047" t="s">
        <v>52</v>
      </c>
      <c r="O1047" t="s">
        <v>24</v>
      </c>
    </row>
    <row r="1048" spans="1:15" x14ac:dyDescent="0.35">
      <c r="A1048" t="s">
        <v>1990</v>
      </c>
      <c r="B1048" s="2">
        <v>46322</v>
      </c>
      <c r="C1048" t="s">
        <v>133</v>
      </c>
      <c r="D1048" t="s">
        <v>465</v>
      </c>
      <c r="E1048" t="s">
        <v>56</v>
      </c>
      <c r="F1048" t="s">
        <v>57</v>
      </c>
      <c r="G1048" t="s">
        <v>34</v>
      </c>
      <c r="H1048" t="s">
        <v>86</v>
      </c>
      <c r="I1048">
        <v>4</v>
      </c>
      <c r="J1048" s="3">
        <v>180000</v>
      </c>
      <c r="K1048" s="3">
        <v>131000</v>
      </c>
      <c r="L1048" t="s">
        <v>66</v>
      </c>
      <c r="M1048" t="s">
        <v>37</v>
      </c>
      <c r="N1048" t="s">
        <v>52</v>
      </c>
      <c r="O1048" t="s">
        <v>91</v>
      </c>
    </row>
    <row r="1049" spans="1:15" x14ac:dyDescent="0.35">
      <c r="A1049" t="s">
        <v>1991</v>
      </c>
      <c r="B1049" s="2">
        <v>46111</v>
      </c>
      <c r="C1049" t="s">
        <v>659</v>
      </c>
      <c r="D1049" t="s">
        <v>356</v>
      </c>
      <c r="E1049" t="s">
        <v>18</v>
      </c>
      <c r="F1049" t="s">
        <v>18</v>
      </c>
      <c r="G1049" t="s">
        <v>43</v>
      </c>
      <c r="H1049" t="s">
        <v>162</v>
      </c>
      <c r="I1049">
        <v>5</v>
      </c>
      <c r="J1049" s="3">
        <v>8000</v>
      </c>
      <c r="K1049" s="3">
        <v>5000</v>
      </c>
      <c r="L1049" t="s">
        <v>80</v>
      </c>
      <c r="M1049" t="s">
        <v>51</v>
      </c>
      <c r="N1049" t="s">
        <v>23</v>
      </c>
      <c r="O1049" t="s">
        <v>24</v>
      </c>
    </row>
    <row r="1050" spans="1:15" x14ac:dyDescent="0.35">
      <c r="A1050" t="s">
        <v>1992</v>
      </c>
      <c r="B1050" s="2">
        <v>46155</v>
      </c>
      <c r="C1050" t="s">
        <v>671</v>
      </c>
      <c r="D1050" t="s">
        <v>570</v>
      </c>
      <c r="E1050" t="s">
        <v>156</v>
      </c>
      <c r="F1050" t="s">
        <v>170</v>
      </c>
      <c r="G1050" t="s">
        <v>19</v>
      </c>
      <c r="H1050" t="s">
        <v>166</v>
      </c>
      <c r="I1050">
        <v>2</v>
      </c>
      <c r="J1050" s="3">
        <v>147000</v>
      </c>
      <c r="K1050" s="3">
        <v>97000</v>
      </c>
      <c r="L1050" t="s">
        <v>21</v>
      </c>
      <c r="M1050" t="s">
        <v>31</v>
      </c>
      <c r="N1050" t="s">
        <v>52</v>
      </c>
      <c r="O1050" t="s">
        <v>24</v>
      </c>
    </row>
    <row r="1051" spans="1:15" x14ac:dyDescent="0.35">
      <c r="A1051" t="s">
        <v>1993</v>
      </c>
      <c r="B1051" s="2">
        <v>46097</v>
      </c>
      <c r="C1051" t="s">
        <v>1597</v>
      </c>
      <c r="D1051" t="s">
        <v>450</v>
      </c>
      <c r="E1051" t="s">
        <v>18</v>
      </c>
      <c r="F1051" t="s">
        <v>18</v>
      </c>
      <c r="G1051" t="s">
        <v>28</v>
      </c>
      <c r="H1051" t="s">
        <v>248</v>
      </c>
      <c r="I1051">
        <v>10</v>
      </c>
      <c r="J1051" s="3">
        <v>23800</v>
      </c>
      <c r="K1051" s="3">
        <v>16000</v>
      </c>
      <c r="L1051" t="s">
        <v>21</v>
      </c>
      <c r="M1051" t="s">
        <v>37</v>
      </c>
      <c r="N1051" t="s">
        <v>52</v>
      </c>
      <c r="O1051" t="s">
        <v>24</v>
      </c>
    </row>
    <row r="1052" spans="1:15" x14ac:dyDescent="0.35">
      <c r="A1052" t="s">
        <v>1994</v>
      </c>
      <c r="B1052" s="2">
        <v>46208</v>
      </c>
      <c r="C1052" t="s">
        <v>588</v>
      </c>
      <c r="D1052" t="s">
        <v>1361</v>
      </c>
      <c r="E1052" t="s">
        <v>41</v>
      </c>
      <c r="F1052" t="s">
        <v>42</v>
      </c>
      <c r="G1052" t="s">
        <v>28</v>
      </c>
      <c r="H1052" t="s">
        <v>29</v>
      </c>
      <c r="I1052">
        <v>3</v>
      </c>
      <c r="J1052" s="3">
        <v>7000</v>
      </c>
      <c r="K1052" s="3">
        <v>4000</v>
      </c>
      <c r="L1052" t="s">
        <v>30</v>
      </c>
      <c r="M1052" t="s">
        <v>22</v>
      </c>
      <c r="N1052" t="s">
        <v>23</v>
      </c>
      <c r="O1052" t="s">
        <v>24</v>
      </c>
    </row>
    <row r="1053" spans="1:15" x14ac:dyDescent="0.35">
      <c r="A1053" t="s">
        <v>1995</v>
      </c>
      <c r="B1053" s="2">
        <v>46122</v>
      </c>
      <c r="C1053" t="s">
        <v>635</v>
      </c>
      <c r="D1053" t="s">
        <v>1000</v>
      </c>
      <c r="E1053" t="s">
        <v>18</v>
      </c>
      <c r="F1053" t="s">
        <v>18</v>
      </c>
      <c r="G1053" t="s">
        <v>43</v>
      </c>
      <c r="H1053" t="s">
        <v>162</v>
      </c>
      <c r="I1053">
        <v>7</v>
      </c>
      <c r="J1053" s="3">
        <v>7600</v>
      </c>
      <c r="K1053" s="3">
        <v>5200</v>
      </c>
      <c r="L1053" t="s">
        <v>50</v>
      </c>
      <c r="M1053" t="s">
        <v>37</v>
      </c>
      <c r="N1053" t="s">
        <v>52</v>
      </c>
      <c r="O1053" t="s">
        <v>24</v>
      </c>
    </row>
    <row r="1054" spans="1:15" x14ac:dyDescent="0.35">
      <c r="A1054" t="s">
        <v>1996</v>
      </c>
      <c r="B1054" s="2">
        <v>46130</v>
      </c>
      <c r="C1054" t="s">
        <v>621</v>
      </c>
      <c r="D1054" t="s">
        <v>1997</v>
      </c>
      <c r="E1054" t="s">
        <v>84</v>
      </c>
      <c r="F1054" t="s">
        <v>85</v>
      </c>
      <c r="G1054" t="s">
        <v>19</v>
      </c>
      <c r="H1054" t="s">
        <v>166</v>
      </c>
      <c r="I1054">
        <v>5</v>
      </c>
      <c r="J1054" s="3">
        <v>147000</v>
      </c>
      <c r="K1054" s="3">
        <v>100000</v>
      </c>
      <c r="L1054" t="s">
        <v>36</v>
      </c>
      <c r="M1054" t="s">
        <v>22</v>
      </c>
      <c r="N1054" t="s">
        <v>52</v>
      </c>
      <c r="O1054" t="s">
        <v>24</v>
      </c>
    </row>
    <row r="1055" spans="1:15" x14ac:dyDescent="0.35">
      <c r="A1055" t="s">
        <v>1998</v>
      </c>
      <c r="B1055" s="2">
        <v>46142</v>
      </c>
      <c r="C1055" t="s">
        <v>419</v>
      </c>
      <c r="D1055" t="s">
        <v>713</v>
      </c>
      <c r="E1055" t="s">
        <v>84</v>
      </c>
      <c r="F1055" t="s">
        <v>85</v>
      </c>
      <c r="G1055" t="s">
        <v>43</v>
      </c>
      <c r="H1055" t="s">
        <v>44</v>
      </c>
      <c r="I1055">
        <v>9</v>
      </c>
      <c r="J1055" s="3">
        <v>15000</v>
      </c>
      <c r="K1055" s="3">
        <v>9800</v>
      </c>
      <c r="L1055" t="s">
        <v>80</v>
      </c>
      <c r="M1055" t="s">
        <v>37</v>
      </c>
      <c r="N1055" t="s">
        <v>87</v>
      </c>
      <c r="O1055" t="s">
        <v>45</v>
      </c>
    </row>
    <row r="1056" spans="1:15" x14ac:dyDescent="0.35">
      <c r="A1056" t="s">
        <v>1999</v>
      </c>
      <c r="B1056" s="2">
        <v>46032</v>
      </c>
      <c r="C1056" t="s">
        <v>659</v>
      </c>
      <c r="D1056" t="s">
        <v>1189</v>
      </c>
      <c r="E1056" t="s">
        <v>190</v>
      </c>
      <c r="F1056" t="s">
        <v>191</v>
      </c>
      <c r="G1056" t="s">
        <v>34</v>
      </c>
      <c r="H1056" t="s">
        <v>158</v>
      </c>
      <c r="I1056">
        <v>2</v>
      </c>
      <c r="J1056" s="3">
        <v>99800</v>
      </c>
      <c r="K1056" s="3">
        <v>72100</v>
      </c>
      <c r="L1056" t="s">
        <v>21</v>
      </c>
      <c r="M1056" t="s">
        <v>51</v>
      </c>
      <c r="N1056" t="s">
        <v>52</v>
      </c>
      <c r="O1056" t="s">
        <v>91</v>
      </c>
    </row>
    <row r="1057" spans="1:15" x14ac:dyDescent="0.35">
      <c r="A1057" t="s">
        <v>2000</v>
      </c>
      <c r="B1057" s="2">
        <v>46352</v>
      </c>
      <c r="C1057" t="s">
        <v>868</v>
      </c>
      <c r="D1057" t="s">
        <v>1028</v>
      </c>
      <c r="E1057" t="s">
        <v>190</v>
      </c>
      <c r="F1057" t="s">
        <v>191</v>
      </c>
      <c r="G1057" t="s">
        <v>43</v>
      </c>
      <c r="H1057" t="s">
        <v>162</v>
      </c>
      <c r="I1057">
        <v>10</v>
      </c>
      <c r="J1057" s="3">
        <v>8000</v>
      </c>
      <c r="K1057" s="3">
        <v>5000</v>
      </c>
      <c r="L1057" t="s">
        <v>80</v>
      </c>
      <c r="M1057" t="s">
        <v>37</v>
      </c>
      <c r="N1057" t="s">
        <v>23</v>
      </c>
      <c r="O1057" t="s">
        <v>24</v>
      </c>
    </row>
    <row r="1058" spans="1:15" x14ac:dyDescent="0.35">
      <c r="A1058" t="s">
        <v>2001</v>
      </c>
      <c r="B1058" s="2">
        <v>46150</v>
      </c>
      <c r="C1058" t="s">
        <v>1653</v>
      </c>
      <c r="D1058" t="s">
        <v>889</v>
      </c>
      <c r="E1058" t="s">
        <v>18</v>
      </c>
      <c r="F1058" t="s">
        <v>18</v>
      </c>
      <c r="G1058" t="s">
        <v>43</v>
      </c>
      <c r="H1058" t="s">
        <v>177</v>
      </c>
      <c r="I1058">
        <v>9</v>
      </c>
      <c r="J1058" s="3">
        <v>18000</v>
      </c>
      <c r="K1058" s="3">
        <v>12100</v>
      </c>
      <c r="L1058" t="s">
        <v>30</v>
      </c>
      <c r="M1058" t="s">
        <v>51</v>
      </c>
      <c r="N1058" t="s">
        <v>23</v>
      </c>
      <c r="O1058" t="s">
        <v>45</v>
      </c>
    </row>
    <row r="1059" spans="1:15" x14ac:dyDescent="0.35">
      <c r="A1059" t="s">
        <v>2002</v>
      </c>
      <c r="B1059" s="2">
        <v>46085</v>
      </c>
      <c r="C1059" t="s">
        <v>913</v>
      </c>
      <c r="D1059" t="s">
        <v>1181</v>
      </c>
      <c r="E1059" t="s">
        <v>156</v>
      </c>
      <c r="F1059" t="s">
        <v>157</v>
      </c>
      <c r="G1059" t="s">
        <v>34</v>
      </c>
      <c r="H1059" t="s">
        <v>35</v>
      </c>
      <c r="I1059">
        <v>8</v>
      </c>
      <c r="J1059" s="3">
        <v>55000</v>
      </c>
      <c r="K1059" s="3">
        <v>37800</v>
      </c>
      <c r="L1059" t="s">
        <v>36</v>
      </c>
      <c r="M1059" t="s">
        <v>37</v>
      </c>
      <c r="N1059" t="s">
        <v>52</v>
      </c>
      <c r="O1059" t="s">
        <v>45</v>
      </c>
    </row>
    <row r="1060" spans="1:15" x14ac:dyDescent="0.35">
      <c r="A1060" t="s">
        <v>2003</v>
      </c>
      <c r="B1060" s="2">
        <v>46040</v>
      </c>
      <c r="C1060" t="s">
        <v>1140</v>
      </c>
      <c r="D1060" t="s">
        <v>809</v>
      </c>
      <c r="E1060" t="s">
        <v>18</v>
      </c>
      <c r="F1060" t="s">
        <v>18</v>
      </c>
      <c r="G1060" t="s">
        <v>19</v>
      </c>
      <c r="H1060" t="s">
        <v>166</v>
      </c>
      <c r="I1060">
        <v>5</v>
      </c>
      <c r="J1060" s="3">
        <v>140000</v>
      </c>
      <c r="K1060" s="3">
        <v>100000</v>
      </c>
      <c r="L1060" t="s">
        <v>96</v>
      </c>
      <c r="M1060" t="s">
        <v>22</v>
      </c>
      <c r="N1060" t="s">
        <v>52</v>
      </c>
      <c r="O1060" t="s">
        <v>24</v>
      </c>
    </row>
    <row r="1061" spans="1:15" x14ac:dyDescent="0.35">
      <c r="A1061" t="s">
        <v>2004</v>
      </c>
      <c r="B1061" s="2">
        <v>46276</v>
      </c>
      <c r="C1061" t="s">
        <v>114</v>
      </c>
      <c r="D1061" t="s">
        <v>146</v>
      </c>
      <c r="E1061" t="s">
        <v>56</v>
      </c>
      <c r="F1061" t="s">
        <v>57</v>
      </c>
      <c r="G1061" t="s">
        <v>34</v>
      </c>
      <c r="H1061" t="s">
        <v>86</v>
      </c>
      <c r="I1061">
        <v>7</v>
      </c>
      <c r="J1061" s="3">
        <v>171000</v>
      </c>
      <c r="K1061" s="3">
        <v>135000</v>
      </c>
      <c r="L1061" t="s">
        <v>21</v>
      </c>
      <c r="M1061" t="s">
        <v>22</v>
      </c>
      <c r="N1061" t="s">
        <v>52</v>
      </c>
      <c r="O1061" t="s">
        <v>45</v>
      </c>
    </row>
    <row r="1062" spans="1:15" x14ac:dyDescent="0.35">
      <c r="A1062" t="s">
        <v>2005</v>
      </c>
      <c r="B1062" s="2">
        <v>46124</v>
      </c>
      <c r="C1062" t="s">
        <v>645</v>
      </c>
      <c r="D1062" t="s">
        <v>586</v>
      </c>
      <c r="E1062" t="s">
        <v>18</v>
      </c>
      <c r="F1062" t="s">
        <v>18</v>
      </c>
      <c r="G1062" t="s">
        <v>34</v>
      </c>
      <c r="H1062" t="s">
        <v>95</v>
      </c>
      <c r="I1062">
        <v>5</v>
      </c>
      <c r="J1062" s="3">
        <v>450000</v>
      </c>
      <c r="K1062" s="3">
        <v>370000</v>
      </c>
      <c r="L1062" t="s">
        <v>80</v>
      </c>
      <c r="M1062" t="s">
        <v>37</v>
      </c>
      <c r="N1062" t="s">
        <v>23</v>
      </c>
      <c r="O1062" t="s">
        <v>24</v>
      </c>
    </row>
    <row r="1063" spans="1:15" x14ac:dyDescent="0.35">
      <c r="A1063" t="s">
        <v>2006</v>
      </c>
      <c r="B1063" s="2">
        <v>46072</v>
      </c>
      <c r="C1063" t="s">
        <v>1340</v>
      </c>
      <c r="D1063" t="s">
        <v>767</v>
      </c>
      <c r="E1063" t="s">
        <v>41</v>
      </c>
      <c r="F1063" t="s">
        <v>42</v>
      </c>
      <c r="G1063" t="s">
        <v>19</v>
      </c>
      <c r="H1063" t="s">
        <v>166</v>
      </c>
      <c r="I1063">
        <v>3</v>
      </c>
      <c r="J1063" s="3">
        <v>140000</v>
      </c>
      <c r="K1063" s="3">
        <v>97000</v>
      </c>
      <c r="L1063" t="s">
        <v>21</v>
      </c>
      <c r="M1063" t="s">
        <v>37</v>
      </c>
      <c r="N1063" t="s">
        <v>52</v>
      </c>
      <c r="O1063" t="s">
        <v>24</v>
      </c>
    </row>
    <row r="1064" spans="1:15" x14ac:dyDescent="0.35">
      <c r="A1064" t="s">
        <v>2007</v>
      </c>
      <c r="B1064" s="2">
        <v>46300</v>
      </c>
      <c r="C1064" t="s">
        <v>580</v>
      </c>
      <c r="D1064" t="s">
        <v>2008</v>
      </c>
      <c r="E1064" t="s">
        <v>41</v>
      </c>
      <c r="F1064" t="s">
        <v>42</v>
      </c>
      <c r="G1064" t="s">
        <v>34</v>
      </c>
      <c r="H1064" t="s">
        <v>35</v>
      </c>
      <c r="I1064">
        <v>10</v>
      </c>
      <c r="J1064" s="3">
        <v>52200</v>
      </c>
      <c r="K1064" s="3">
        <v>40200</v>
      </c>
      <c r="L1064" t="s">
        <v>73</v>
      </c>
      <c r="M1064" t="s">
        <v>51</v>
      </c>
      <c r="N1064" t="s">
        <v>23</v>
      </c>
      <c r="O1064" t="s">
        <v>24</v>
      </c>
    </row>
    <row r="1065" spans="1:15" x14ac:dyDescent="0.35">
      <c r="A1065" t="s">
        <v>2009</v>
      </c>
      <c r="B1065" s="2">
        <v>46133</v>
      </c>
      <c r="C1065" t="s">
        <v>853</v>
      </c>
      <c r="D1065" t="s">
        <v>990</v>
      </c>
      <c r="E1065" t="s">
        <v>18</v>
      </c>
      <c r="F1065" t="s">
        <v>18</v>
      </c>
      <c r="G1065" t="s">
        <v>34</v>
      </c>
      <c r="H1065" t="s">
        <v>86</v>
      </c>
      <c r="I1065">
        <v>2</v>
      </c>
      <c r="J1065" s="3">
        <v>171000</v>
      </c>
      <c r="K1065" s="3">
        <v>131000</v>
      </c>
      <c r="L1065" t="s">
        <v>21</v>
      </c>
      <c r="M1065" t="s">
        <v>37</v>
      </c>
      <c r="N1065" t="s">
        <v>23</v>
      </c>
      <c r="O1065" t="s">
        <v>45</v>
      </c>
    </row>
    <row r="1066" spans="1:15" x14ac:dyDescent="0.35">
      <c r="A1066" t="s">
        <v>2010</v>
      </c>
      <c r="B1066" s="2">
        <v>46360</v>
      </c>
      <c r="C1066" t="s">
        <v>2011</v>
      </c>
      <c r="D1066" t="s">
        <v>2012</v>
      </c>
      <c r="E1066" t="s">
        <v>156</v>
      </c>
      <c r="F1066" t="s">
        <v>170</v>
      </c>
      <c r="G1066" t="s">
        <v>19</v>
      </c>
      <c r="H1066" t="s">
        <v>20</v>
      </c>
      <c r="I1066">
        <v>3</v>
      </c>
      <c r="J1066" s="3">
        <v>65000</v>
      </c>
      <c r="K1066" s="3">
        <v>45000</v>
      </c>
      <c r="L1066" t="s">
        <v>30</v>
      </c>
      <c r="M1066" t="s">
        <v>51</v>
      </c>
      <c r="N1066" t="s">
        <v>87</v>
      </c>
      <c r="O1066" t="s">
        <v>24</v>
      </c>
    </row>
    <row r="1067" spans="1:15" x14ac:dyDescent="0.35">
      <c r="A1067" t="s">
        <v>2013</v>
      </c>
      <c r="B1067" s="2">
        <v>46317</v>
      </c>
      <c r="C1067" t="s">
        <v>1481</v>
      </c>
      <c r="D1067" t="s">
        <v>127</v>
      </c>
      <c r="E1067" t="s">
        <v>18</v>
      </c>
      <c r="F1067" t="s">
        <v>18</v>
      </c>
      <c r="G1067" t="s">
        <v>34</v>
      </c>
      <c r="H1067" t="s">
        <v>95</v>
      </c>
      <c r="I1067">
        <v>1</v>
      </c>
      <c r="J1067" s="3">
        <v>472500</v>
      </c>
      <c r="K1067" s="3">
        <v>370000</v>
      </c>
      <c r="L1067" t="s">
        <v>50</v>
      </c>
      <c r="M1067" t="s">
        <v>37</v>
      </c>
      <c r="N1067" t="s">
        <v>87</v>
      </c>
      <c r="O1067" t="s">
        <v>45</v>
      </c>
    </row>
    <row r="1068" spans="1:15" x14ac:dyDescent="0.35">
      <c r="A1068" t="s">
        <v>2014</v>
      </c>
      <c r="B1068" s="2">
        <v>46103</v>
      </c>
      <c r="C1068" t="s">
        <v>413</v>
      </c>
      <c r="D1068" t="s">
        <v>1403</v>
      </c>
      <c r="E1068" t="s">
        <v>18</v>
      </c>
      <c r="F1068" t="s">
        <v>18</v>
      </c>
      <c r="G1068" t="s">
        <v>19</v>
      </c>
      <c r="H1068" t="s">
        <v>112</v>
      </c>
      <c r="I1068">
        <v>9</v>
      </c>
      <c r="J1068" s="3">
        <v>85000</v>
      </c>
      <c r="K1068" s="3">
        <v>62000</v>
      </c>
      <c r="L1068" t="s">
        <v>30</v>
      </c>
      <c r="M1068" t="s">
        <v>22</v>
      </c>
      <c r="N1068" t="s">
        <v>87</v>
      </c>
      <c r="O1068" t="s">
        <v>24</v>
      </c>
    </row>
    <row r="1069" spans="1:15" x14ac:dyDescent="0.35">
      <c r="A1069" t="s">
        <v>2015</v>
      </c>
      <c r="B1069" s="2">
        <v>46220</v>
      </c>
      <c r="C1069" t="s">
        <v>532</v>
      </c>
      <c r="D1069" t="s">
        <v>2016</v>
      </c>
      <c r="E1069" t="s">
        <v>156</v>
      </c>
      <c r="F1069" t="s">
        <v>170</v>
      </c>
      <c r="G1069" t="s">
        <v>34</v>
      </c>
      <c r="H1069" t="s">
        <v>95</v>
      </c>
      <c r="I1069">
        <v>2</v>
      </c>
      <c r="J1069" s="3">
        <v>450000</v>
      </c>
      <c r="K1069" s="3">
        <v>370000</v>
      </c>
      <c r="L1069" t="s">
        <v>66</v>
      </c>
      <c r="M1069" t="s">
        <v>22</v>
      </c>
      <c r="N1069" t="s">
        <v>52</v>
      </c>
      <c r="O1069" t="s">
        <v>45</v>
      </c>
    </row>
    <row r="1070" spans="1:15" x14ac:dyDescent="0.35">
      <c r="A1070" t="s">
        <v>2017</v>
      </c>
      <c r="B1070" s="2">
        <v>46244</v>
      </c>
      <c r="C1070" t="s">
        <v>183</v>
      </c>
      <c r="D1070" t="s">
        <v>450</v>
      </c>
      <c r="E1070" t="s">
        <v>41</v>
      </c>
      <c r="F1070" t="s">
        <v>42</v>
      </c>
      <c r="G1070" t="s">
        <v>28</v>
      </c>
      <c r="H1070" t="s">
        <v>65</v>
      </c>
      <c r="I1070">
        <v>10</v>
      </c>
      <c r="J1070" s="3">
        <v>12600</v>
      </c>
      <c r="K1070" s="3">
        <v>7700</v>
      </c>
      <c r="L1070" t="s">
        <v>96</v>
      </c>
      <c r="M1070" t="s">
        <v>37</v>
      </c>
      <c r="N1070" t="s">
        <v>52</v>
      </c>
      <c r="O1070" t="s">
        <v>24</v>
      </c>
    </row>
    <row r="1071" spans="1:15" x14ac:dyDescent="0.35">
      <c r="A1071" t="s">
        <v>2018</v>
      </c>
      <c r="B1071" s="2">
        <v>46385</v>
      </c>
      <c r="C1071" t="s">
        <v>449</v>
      </c>
      <c r="D1071" t="s">
        <v>565</v>
      </c>
      <c r="E1071" t="s">
        <v>41</v>
      </c>
      <c r="F1071" t="s">
        <v>42</v>
      </c>
      <c r="G1071" t="s">
        <v>43</v>
      </c>
      <c r="H1071" t="s">
        <v>162</v>
      </c>
      <c r="I1071">
        <v>10</v>
      </c>
      <c r="J1071" s="3">
        <v>7600</v>
      </c>
      <c r="K1071" s="3">
        <v>5000</v>
      </c>
      <c r="L1071" t="s">
        <v>36</v>
      </c>
      <c r="M1071" t="s">
        <v>37</v>
      </c>
      <c r="N1071" t="s">
        <v>52</v>
      </c>
      <c r="O1071" t="s">
        <v>91</v>
      </c>
    </row>
    <row r="1072" spans="1:15" x14ac:dyDescent="0.35">
      <c r="A1072" t="s">
        <v>2019</v>
      </c>
      <c r="B1072" s="2">
        <v>46044</v>
      </c>
      <c r="C1072" t="s">
        <v>1069</v>
      </c>
      <c r="D1072" t="s">
        <v>1591</v>
      </c>
      <c r="E1072" t="s">
        <v>56</v>
      </c>
      <c r="F1072" t="s">
        <v>57</v>
      </c>
      <c r="G1072" t="s">
        <v>34</v>
      </c>
      <c r="H1072" t="s">
        <v>141</v>
      </c>
      <c r="I1072">
        <v>8</v>
      </c>
      <c r="J1072" s="3">
        <v>160000</v>
      </c>
      <c r="K1072" s="3">
        <v>116400</v>
      </c>
      <c r="L1072" t="s">
        <v>96</v>
      </c>
      <c r="M1072" t="s">
        <v>37</v>
      </c>
      <c r="N1072" t="s">
        <v>23</v>
      </c>
      <c r="O1072" t="s">
        <v>24</v>
      </c>
    </row>
    <row r="1073" spans="1:15" x14ac:dyDescent="0.35">
      <c r="A1073" t="s">
        <v>2020</v>
      </c>
      <c r="B1073" s="2">
        <v>46128</v>
      </c>
      <c r="C1073" t="s">
        <v>2021</v>
      </c>
      <c r="D1073" t="s">
        <v>555</v>
      </c>
      <c r="E1073" t="s">
        <v>77</v>
      </c>
      <c r="G1073" t="s">
        <v>43</v>
      </c>
      <c r="H1073" t="s">
        <v>162</v>
      </c>
      <c r="I1073">
        <v>5</v>
      </c>
      <c r="J1073" s="3">
        <v>8000</v>
      </c>
      <c r="K1073" s="3">
        <v>5200</v>
      </c>
      <c r="L1073" t="s">
        <v>80</v>
      </c>
      <c r="M1073" t="s">
        <v>37</v>
      </c>
      <c r="N1073" t="s">
        <v>23</v>
      </c>
      <c r="O1073" t="s">
        <v>24</v>
      </c>
    </row>
    <row r="1074" spans="1:15" x14ac:dyDescent="0.35">
      <c r="A1074" t="s">
        <v>2022</v>
      </c>
      <c r="B1074" s="2">
        <v>46377</v>
      </c>
      <c r="C1074" t="s">
        <v>331</v>
      </c>
      <c r="D1074" t="s">
        <v>1038</v>
      </c>
      <c r="E1074" t="s">
        <v>41</v>
      </c>
      <c r="F1074" t="s">
        <v>42</v>
      </c>
      <c r="G1074" t="s">
        <v>43</v>
      </c>
      <c r="H1074" t="s">
        <v>162</v>
      </c>
      <c r="I1074">
        <v>10</v>
      </c>
      <c r="J1074" s="3">
        <v>7600</v>
      </c>
      <c r="K1074" s="3">
        <v>5200</v>
      </c>
      <c r="L1074" t="s">
        <v>30</v>
      </c>
      <c r="M1074" t="s">
        <v>37</v>
      </c>
      <c r="N1074" t="s">
        <v>23</v>
      </c>
      <c r="O1074" t="s">
        <v>24</v>
      </c>
    </row>
    <row r="1075" spans="1:15" x14ac:dyDescent="0.35">
      <c r="A1075" t="s">
        <v>2023</v>
      </c>
      <c r="B1075" s="2">
        <v>46181</v>
      </c>
      <c r="C1075" t="s">
        <v>2024</v>
      </c>
      <c r="D1075" t="s">
        <v>490</v>
      </c>
      <c r="E1075" t="s">
        <v>18</v>
      </c>
      <c r="F1075" t="s">
        <v>18</v>
      </c>
      <c r="G1075" t="s">
        <v>43</v>
      </c>
      <c r="H1075" t="s">
        <v>162</v>
      </c>
      <c r="I1075">
        <v>3</v>
      </c>
      <c r="J1075" s="3">
        <v>8000</v>
      </c>
      <c r="K1075" s="3">
        <v>4800</v>
      </c>
      <c r="L1075" t="s">
        <v>36</v>
      </c>
      <c r="M1075" t="s">
        <v>51</v>
      </c>
      <c r="N1075" t="s">
        <v>23</v>
      </c>
      <c r="O1075" t="s">
        <v>24</v>
      </c>
    </row>
    <row r="1076" spans="1:15" x14ac:dyDescent="0.35">
      <c r="A1076" t="s">
        <v>2025</v>
      </c>
      <c r="B1076" s="2">
        <v>46338</v>
      </c>
      <c r="C1076" t="s">
        <v>1509</v>
      </c>
      <c r="D1076" t="s">
        <v>1794</v>
      </c>
      <c r="E1076" t="s">
        <v>84</v>
      </c>
      <c r="F1076" t="s">
        <v>85</v>
      </c>
      <c r="G1076" t="s">
        <v>34</v>
      </c>
      <c r="H1076" t="s">
        <v>35</v>
      </c>
      <c r="I1076">
        <v>9</v>
      </c>
      <c r="J1076" s="3">
        <v>55000</v>
      </c>
      <c r="K1076" s="3">
        <v>40200</v>
      </c>
      <c r="L1076" t="s">
        <v>50</v>
      </c>
      <c r="M1076" t="s">
        <v>51</v>
      </c>
      <c r="N1076" t="s">
        <v>52</v>
      </c>
      <c r="O1076" t="s">
        <v>24</v>
      </c>
    </row>
    <row r="1077" spans="1:15" x14ac:dyDescent="0.35">
      <c r="A1077" t="s">
        <v>2026</v>
      </c>
      <c r="B1077" s="2">
        <v>46141</v>
      </c>
      <c r="C1077" t="s">
        <v>526</v>
      </c>
      <c r="D1077" t="s">
        <v>784</v>
      </c>
      <c r="E1077" t="s">
        <v>190</v>
      </c>
      <c r="F1077" t="s">
        <v>191</v>
      </c>
      <c r="G1077" t="s">
        <v>43</v>
      </c>
      <c r="H1077" t="s">
        <v>162</v>
      </c>
      <c r="I1077">
        <v>7</v>
      </c>
      <c r="J1077" s="3">
        <v>7600</v>
      </c>
      <c r="K1077" s="3">
        <v>5000</v>
      </c>
      <c r="L1077" t="s">
        <v>80</v>
      </c>
      <c r="M1077" t="s">
        <v>37</v>
      </c>
      <c r="N1077" t="s">
        <v>52</v>
      </c>
      <c r="O1077" t="s">
        <v>91</v>
      </c>
    </row>
    <row r="1078" spans="1:15" x14ac:dyDescent="0.35">
      <c r="A1078" t="s">
        <v>2027</v>
      </c>
      <c r="B1078" s="2">
        <v>46040</v>
      </c>
      <c r="C1078" t="s">
        <v>1076</v>
      </c>
      <c r="D1078" t="s">
        <v>356</v>
      </c>
      <c r="E1078" t="s">
        <v>18</v>
      </c>
      <c r="F1078" t="s">
        <v>18</v>
      </c>
      <c r="G1078" t="s">
        <v>28</v>
      </c>
      <c r="H1078" t="s">
        <v>248</v>
      </c>
      <c r="I1078">
        <v>8</v>
      </c>
      <c r="J1078" s="3">
        <v>23800</v>
      </c>
      <c r="K1078" s="3">
        <v>16500</v>
      </c>
      <c r="L1078" t="s">
        <v>36</v>
      </c>
      <c r="M1078" t="s">
        <v>31</v>
      </c>
      <c r="N1078" t="s">
        <v>87</v>
      </c>
      <c r="O1078" t="s">
        <v>45</v>
      </c>
    </row>
    <row r="1079" spans="1:15" x14ac:dyDescent="0.35">
      <c r="A1079" t="s">
        <v>2028</v>
      </c>
      <c r="B1079" s="2">
        <v>46360</v>
      </c>
      <c r="C1079" t="s">
        <v>444</v>
      </c>
      <c r="D1079" t="s">
        <v>345</v>
      </c>
      <c r="E1079" t="s">
        <v>77</v>
      </c>
      <c r="F1079" t="s">
        <v>78</v>
      </c>
      <c r="G1079" t="s">
        <v>34</v>
      </c>
      <c r="H1079" t="s">
        <v>158</v>
      </c>
      <c r="I1079">
        <v>7</v>
      </c>
      <c r="J1079" s="3">
        <v>95000</v>
      </c>
      <c r="K1079" s="3">
        <v>67900</v>
      </c>
      <c r="L1079" t="s">
        <v>50</v>
      </c>
      <c r="M1079" t="s">
        <v>37</v>
      </c>
      <c r="N1079" t="s">
        <v>52</v>
      </c>
      <c r="O1079" t="s">
        <v>91</v>
      </c>
    </row>
    <row r="1080" spans="1:15" x14ac:dyDescent="0.35">
      <c r="A1080" t="s">
        <v>2029</v>
      </c>
      <c r="B1080" s="2">
        <v>46203</v>
      </c>
      <c r="C1080" t="s">
        <v>820</v>
      </c>
      <c r="D1080" t="s">
        <v>846</v>
      </c>
      <c r="E1080" t="s">
        <v>156</v>
      </c>
      <c r="F1080" t="s">
        <v>170</v>
      </c>
      <c r="G1080" t="s">
        <v>34</v>
      </c>
      <c r="H1080" t="s">
        <v>86</v>
      </c>
      <c r="I1080">
        <v>3</v>
      </c>
      <c r="J1080" s="3">
        <v>171000</v>
      </c>
      <c r="K1080" s="3">
        <v>139000</v>
      </c>
      <c r="L1080" t="s">
        <v>80</v>
      </c>
      <c r="M1080" t="s">
        <v>37</v>
      </c>
      <c r="N1080" t="s">
        <v>23</v>
      </c>
      <c r="O1080" t="s">
        <v>24</v>
      </c>
    </row>
    <row r="1081" spans="1:15" x14ac:dyDescent="0.35">
      <c r="A1081" t="s">
        <v>2030</v>
      </c>
      <c r="B1081" s="2">
        <v>46204</v>
      </c>
      <c r="C1081" t="s">
        <v>2031</v>
      </c>
      <c r="D1081" t="s">
        <v>140</v>
      </c>
      <c r="E1081" t="s">
        <v>41</v>
      </c>
      <c r="F1081" t="s">
        <v>42</v>
      </c>
      <c r="G1081" t="s">
        <v>34</v>
      </c>
      <c r="H1081" t="s">
        <v>141</v>
      </c>
      <c r="I1081">
        <v>10</v>
      </c>
      <c r="J1081" s="3">
        <v>152000</v>
      </c>
      <c r="K1081" s="3">
        <v>116400</v>
      </c>
      <c r="L1081" t="s">
        <v>30</v>
      </c>
      <c r="M1081" t="s">
        <v>51</v>
      </c>
      <c r="N1081" t="s">
        <v>52</v>
      </c>
      <c r="O1081" t="s">
        <v>24</v>
      </c>
    </row>
    <row r="1082" spans="1:15" x14ac:dyDescent="0.35">
      <c r="A1082" t="s">
        <v>2032</v>
      </c>
      <c r="B1082" s="2">
        <v>46317</v>
      </c>
      <c r="C1082" t="s">
        <v>1851</v>
      </c>
      <c r="D1082" t="s">
        <v>118</v>
      </c>
      <c r="E1082" t="s">
        <v>84</v>
      </c>
      <c r="F1082" t="s">
        <v>85</v>
      </c>
      <c r="G1082" t="s">
        <v>19</v>
      </c>
      <c r="H1082" t="s">
        <v>112</v>
      </c>
      <c r="I1082">
        <v>1</v>
      </c>
      <c r="J1082" s="3">
        <v>89200</v>
      </c>
      <c r="K1082" s="3">
        <v>63900</v>
      </c>
      <c r="L1082" t="s">
        <v>21</v>
      </c>
      <c r="M1082" t="s">
        <v>31</v>
      </c>
      <c r="N1082" t="s">
        <v>52</v>
      </c>
      <c r="O1082" t="s">
        <v>24</v>
      </c>
    </row>
    <row r="1083" spans="1:15" x14ac:dyDescent="0.35">
      <c r="A1083" t="s">
        <v>2033</v>
      </c>
      <c r="B1083" s="2">
        <v>46134</v>
      </c>
      <c r="C1083" t="s">
        <v>2034</v>
      </c>
      <c r="D1083" t="s">
        <v>1343</v>
      </c>
      <c r="E1083" t="s">
        <v>156</v>
      </c>
      <c r="F1083" t="s">
        <v>157</v>
      </c>
      <c r="G1083" t="s">
        <v>19</v>
      </c>
      <c r="H1083" t="s">
        <v>20</v>
      </c>
      <c r="I1083">
        <v>10</v>
      </c>
      <c r="J1083" s="3">
        <v>65000</v>
      </c>
      <c r="K1083" s="3">
        <v>46400</v>
      </c>
      <c r="L1083" t="s">
        <v>80</v>
      </c>
      <c r="M1083" t="s">
        <v>37</v>
      </c>
      <c r="N1083" t="s">
        <v>52</v>
      </c>
      <c r="O1083" t="s">
        <v>45</v>
      </c>
    </row>
    <row r="1084" spans="1:15" x14ac:dyDescent="0.35">
      <c r="A1084" t="s">
        <v>2035</v>
      </c>
      <c r="B1084" s="2">
        <v>46086</v>
      </c>
      <c r="C1084" t="s">
        <v>258</v>
      </c>
      <c r="D1084" t="s">
        <v>99</v>
      </c>
      <c r="E1084" t="s">
        <v>18</v>
      </c>
      <c r="F1084" t="s">
        <v>18</v>
      </c>
      <c r="G1084" t="s">
        <v>34</v>
      </c>
      <c r="H1084" t="s">
        <v>141</v>
      </c>
      <c r="I1084">
        <v>5</v>
      </c>
      <c r="J1084" s="3">
        <v>160000</v>
      </c>
      <c r="K1084" s="3">
        <v>123600</v>
      </c>
      <c r="L1084" t="s">
        <v>96</v>
      </c>
      <c r="M1084" t="s">
        <v>22</v>
      </c>
      <c r="N1084" t="s">
        <v>23</v>
      </c>
      <c r="O1084" t="s">
        <v>24</v>
      </c>
    </row>
    <row r="1085" spans="1:15" x14ac:dyDescent="0.35">
      <c r="A1085" t="s">
        <v>2036</v>
      </c>
      <c r="B1085" s="2">
        <v>46307</v>
      </c>
      <c r="C1085" t="s">
        <v>1815</v>
      </c>
      <c r="D1085" t="s">
        <v>130</v>
      </c>
      <c r="E1085" t="s">
        <v>56</v>
      </c>
      <c r="F1085" t="s">
        <v>57</v>
      </c>
      <c r="G1085" t="s">
        <v>28</v>
      </c>
      <c r="H1085" t="s">
        <v>65</v>
      </c>
      <c r="I1085">
        <v>7</v>
      </c>
      <c r="J1085" s="3">
        <v>11400</v>
      </c>
      <c r="K1085" s="3">
        <v>7300</v>
      </c>
      <c r="L1085" t="s">
        <v>50</v>
      </c>
      <c r="M1085" t="s">
        <v>51</v>
      </c>
      <c r="N1085" t="s">
        <v>52</v>
      </c>
      <c r="O1085" t="s">
        <v>91</v>
      </c>
    </row>
    <row r="1086" spans="1:15" x14ac:dyDescent="0.35">
      <c r="A1086" t="s">
        <v>2037</v>
      </c>
      <c r="B1086" s="2">
        <v>46353</v>
      </c>
      <c r="C1086" t="s">
        <v>1005</v>
      </c>
      <c r="D1086" t="s">
        <v>1997</v>
      </c>
      <c r="E1086" t="s">
        <v>84</v>
      </c>
      <c r="F1086" t="s">
        <v>85</v>
      </c>
      <c r="G1086" t="s">
        <v>34</v>
      </c>
      <c r="H1086" t="s">
        <v>86</v>
      </c>
      <c r="I1086">
        <v>3</v>
      </c>
      <c r="J1086" s="3">
        <v>171000</v>
      </c>
      <c r="K1086" s="3">
        <v>135000</v>
      </c>
      <c r="L1086" t="s">
        <v>30</v>
      </c>
      <c r="M1086" t="s">
        <v>37</v>
      </c>
      <c r="N1086" t="s">
        <v>23</v>
      </c>
      <c r="O1086" t="s">
        <v>24</v>
      </c>
    </row>
    <row r="1087" spans="1:15" x14ac:dyDescent="0.35">
      <c r="A1087" t="s">
        <v>2038</v>
      </c>
      <c r="B1087" s="2">
        <v>46075</v>
      </c>
      <c r="C1087" t="s">
        <v>240</v>
      </c>
      <c r="D1087" t="s">
        <v>278</v>
      </c>
      <c r="E1087" t="s">
        <v>18</v>
      </c>
      <c r="F1087" t="s">
        <v>18</v>
      </c>
      <c r="G1087" t="s">
        <v>28</v>
      </c>
      <c r="H1087" t="s">
        <v>65</v>
      </c>
      <c r="I1087">
        <v>1</v>
      </c>
      <c r="J1087" s="3">
        <v>12000</v>
      </c>
      <c r="K1087" s="3">
        <v>7300</v>
      </c>
      <c r="L1087" t="s">
        <v>30</v>
      </c>
      <c r="M1087" t="s">
        <v>22</v>
      </c>
      <c r="N1087" t="s">
        <v>52</v>
      </c>
      <c r="O1087" t="s">
        <v>24</v>
      </c>
    </row>
    <row r="1088" spans="1:15" x14ac:dyDescent="0.35">
      <c r="A1088" t="s">
        <v>2039</v>
      </c>
      <c r="B1088" s="2">
        <v>46344</v>
      </c>
      <c r="C1088" t="s">
        <v>1226</v>
      </c>
      <c r="D1088" t="s">
        <v>1412</v>
      </c>
      <c r="E1088" t="s">
        <v>18</v>
      </c>
      <c r="F1088" t="s">
        <v>18</v>
      </c>
      <c r="G1088" t="s">
        <v>19</v>
      </c>
      <c r="H1088" t="s">
        <v>166</v>
      </c>
      <c r="I1088">
        <v>2</v>
      </c>
      <c r="J1088" s="3">
        <v>140000</v>
      </c>
      <c r="K1088" s="3">
        <v>100000</v>
      </c>
      <c r="L1088" t="s">
        <v>21</v>
      </c>
      <c r="M1088" t="s">
        <v>51</v>
      </c>
      <c r="N1088" t="s">
        <v>23</v>
      </c>
      <c r="O1088" t="s">
        <v>24</v>
      </c>
    </row>
    <row r="1089" spans="1:15" x14ac:dyDescent="0.35">
      <c r="A1089" t="s">
        <v>2040</v>
      </c>
      <c r="B1089" s="2">
        <v>46144</v>
      </c>
      <c r="C1089" t="s">
        <v>1658</v>
      </c>
      <c r="D1089" t="s">
        <v>963</v>
      </c>
      <c r="E1089" t="s">
        <v>56</v>
      </c>
      <c r="F1089" t="s">
        <v>57</v>
      </c>
      <c r="G1089" t="s">
        <v>34</v>
      </c>
      <c r="H1089" t="s">
        <v>158</v>
      </c>
      <c r="I1089">
        <v>10</v>
      </c>
      <c r="J1089" s="3">
        <v>95000</v>
      </c>
      <c r="K1089" s="3">
        <v>72100</v>
      </c>
      <c r="L1089" t="s">
        <v>30</v>
      </c>
      <c r="M1089" t="s">
        <v>51</v>
      </c>
      <c r="N1089" t="s">
        <v>52</v>
      </c>
      <c r="O1089" t="s">
        <v>45</v>
      </c>
    </row>
    <row r="1090" spans="1:15" x14ac:dyDescent="0.35">
      <c r="A1090" t="s">
        <v>2041</v>
      </c>
      <c r="B1090" s="2">
        <v>46321</v>
      </c>
      <c r="C1090" t="s">
        <v>1379</v>
      </c>
      <c r="D1090" t="s">
        <v>1204</v>
      </c>
      <c r="E1090" t="s">
        <v>84</v>
      </c>
      <c r="F1090" t="s">
        <v>85</v>
      </c>
      <c r="G1090" t="s">
        <v>19</v>
      </c>
      <c r="H1090" t="s">
        <v>61</v>
      </c>
      <c r="I1090">
        <v>4</v>
      </c>
      <c r="J1090" s="3">
        <v>220000</v>
      </c>
      <c r="K1090" s="3">
        <v>160000</v>
      </c>
      <c r="L1090" t="s">
        <v>21</v>
      </c>
      <c r="M1090" t="s">
        <v>51</v>
      </c>
      <c r="N1090" t="s">
        <v>23</v>
      </c>
      <c r="O1090" t="s">
        <v>24</v>
      </c>
    </row>
    <row r="1091" spans="1:15" x14ac:dyDescent="0.35">
      <c r="A1091" t="s">
        <v>2042</v>
      </c>
      <c r="B1091" s="2">
        <v>46312</v>
      </c>
      <c r="C1091" t="s">
        <v>1302</v>
      </c>
      <c r="D1091" t="s">
        <v>914</v>
      </c>
      <c r="E1091" t="s">
        <v>156</v>
      </c>
      <c r="F1091" t="s">
        <v>170</v>
      </c>
      <c r="G1091" t="s">
        <v>28</v>
      </c>
      <c r="H1091" t="s">
        <v>72</v>
      </c>
      <c r="I1091">
        <v>7</v>
      </c>
      <c r="J1091" s="3">
        <v>10000</v>
      </c>
      <c r="K1091" s="3">
        <v>6400</v>
      </c>
      <c r="L1091" t="s">
        <v>36</v>
      </c>
      <c r="M1091" t="s">
        <v>31</v>
      </c>
      <c r="N1091" t="s">
        <v>87</v>
      </c>
      <c r="O1091" t="s">
        <v>91</v>
      </c>
    </row>
    <row r="1092" spans="1:15" x14ac:dyDescent="0.35">
      <c r="A1092" t="s">
        <v>2043</v>
      </c>
      <c r="B1092" s="2">
        <v>46162</v>
      </c>
      <c r="C1092" t="s">
        <v>217</v>
      </c>
      <c r="D1092" t="s">
        <v>1361</v>
      </c>
      <c r="E1092" t="s">
        <v>41</v>
      </c>
      <c r="F1092" t="s">
        <v>42</v>
      </c>
      <c r="G1092" t="s">
        <v>28</v>
      </c>
      <c r="H1092" t="s">
        <v>29</v>
      </c>
      <c r="I1092">
        <v>10</v>
      </c>
      <c r="J1092" s="3">
        <v>7400</v>
      </c>
      <c r="K1092" s="3">
        <v>4000</v>
      </c>
      <c r="L1092" t="s">
        <v>21</v>
      </c>
      <c r="M1092" t="s">
        <v>37</v>
      </c>
      <c r="N1092" t="s">
        <v>23</v>
      </c>
      <c r="O1092" t="s">
        <v>24</v>
      </c>
    </row>
    <row r="1093" spans="1:15" x14ac:dyDescent="0.35">
      <c r="A1093" t="s">
        <v>2044</v>
      </c>
      <c r="B1093" s="2">
        <v>46382</v>
      </c>
      <c r="C1093" t="s">
        <v>848</v>
      </c>
      <c r="D1093" t="s">
        <v>676</v>
      </c>
      <c r="E1093" t="s">
        <v>156</v>
      </c>
      <c r="F1093" t="s">
        <v>170</v>
      </c>
      <c r="G1093" t="s">
        <v>28</v>
      </c>
      <c r="H1093" t="s">
        <v>65</v>
      </c>
      <c r="I1093">
        <v>5</v>
      </c>
      <c r="J1093" s="3">
        <v>11400</v>
      </c>
      <c r="K1093" s="3">
        <v>7500</v>
      </c>
      <c r="L1093" t="s">
        <v>50</v>
      </c>
      <c r="M1093" t="s">
        <v>37</v>
      </c>
      <c r="N1093" t="s">
        <v>52</v>
      </c>
      <c r="O1093" t="s">
        <v>45</v>
      </c>
    </row>
    <row r="1094" spans="1:15" x14ac:dyDescent="0.35">
      <c r="A1094" t="s">
        <v>2045</v>
      </c>
      <c r="B1094" s="2">
        <v>46055</v>
      </c>
      <c r="C1094" t="s">
        <v>1185</v>
      </c>
      <c r="D1094" t="s">
        <v>2046</v>
      </c>
      <c r="E1094" t="s">
        <v>156</v>
      </c>
      <c r="F1094" t="s">
        <v>157</v>
      </c>
      <c r="G1094" t="s">
        <v>34</v>
      </c>
      <c r="H1094" t="s">
        <v>86</v>
      </c>
      <c r="I1094">
        <v>8</v>
      </c>
      <c r="J1094" s="3">
        <v>171000</v>
      </c>
      <c r="K1094" s="3">
        <v>131000</v>
      </c>
      <c r="L1094" t="s">
        <v>80</v>
      </c>
      <c r="M1094" t="s">
        <v>51</v>
      </c>
      <c r="N1094" t="s">
        <v>23</v>
      </c>
      <c r="O1094" t="s">
        <v>24</v>
      </c>
    </row>
    <row r="1095" spans="1:15" x14ac:dyDescent="0.35">
      <c r="A1095" t="s">
        <v>2047</v>
      </c>
      <c r="B1095" s="2">
        <v>46224</v>
      </c>
      <c r="C1095" t="s">
        <v>799</v>
      </c>
      <c r="D1095" t="s">
        <v>1043</v>
      </c>
      <c r="E1095" t="s">
        <v>70</v>
      </c>
      <c r="F1095" t="s">
        <v>71</v>
      </c>
      <c r="G1095" t="s">
        <v>43</v>
      </c>
      <c r="H1095" t="s">
        <v>44</v>
      </c>
      <c r="I1095">
        <v>10</v>
      </c>
      <c r="J1095" s="3">
        <v>15000</v>
      </c>
      <c r="K1095" s="3">
        <v>9500</v>
      </c>
      <c r="L1095" t="s">
        <v>36</v>
      </c>
      <c r="M1095" t="s">
        <v>37</v>
      </c>
      <c r="N1095" t="s">
        <v>52</v>
      </c>
      <c r="O1095" t="s">
        <v>45</v>
      </c>
    </row>
    <row r="1096" spans="1:15" x14ac:dyDescent="0.35">
      <c r="A1096" t="s">
        <v>2048</v>
      </c>
      <c r="B1096" s="2">
        <v>46316</v>
      </c>
      <c r="C1096" t="s">
        <v>588</v>
      </c>
      <c r="D1096" t="s">
        <v>208</v>
      </c>
      <c r="E1096" t="s">
        <v>41</v>
      </c>
      <c r="F1096" t="s">
        <v>42</v>
      </c>
      <c r="G1096" t="s">
        <v>28</v>
      </c>
      <c r="H1096" t="s">
        <v>131</v>
      </c>
      <c r="I1096">
        <v>2</v>
      </c>
      <c r="J1096" s="3">
        <v>30000</v>
      </c>
      <c r="K1096" s="3">
        <v>18400</v>
      </c>
      <c r="L1096" t="s">
        <v>36</v>
      </c>
      <c r="M1096" t="s">
        <v>37</v>
      </c>
      <c r="N1096" t="s">
        <v>87</v>
      </c>
      <c r="O1096" t="s">
        <v>91</v>
      </c>
    </row>
    <row r="1097" spans="1:15" x14ac:dyDescent="0.35">
      <c r="A1097" t="s">
        <v>2049</v>
      </c>
      <c r="B1097" s="2">
        <v>46162</v>
      </c>
      <c r="C1097" t="s">
        <v>707</v>
      </c>
      <c r="D1097" t="s">
        <v>859</v>
      </c>
      <c r="E1097" t="s">
        <v>77</v>
      </c>
      <c r="F1097" t="s">
        <v>78</v>
      </c>
      <c r="G1097" t="s">
        <v>19</v>
      </c>
      <c r="H1097" t="s">
        <v>112</v>
      </c>
      <c r="I1097">
        <v>5</v>
      </c>
      <c r="J1097" s="3">
        <v>89200</v>
      </c>
      <c r="K1097" s="3">
        <v>60100</v>
      </c>
      <c r="L1097" t="s">
        <v>73</v>
      </c>
      <c r="M1097" t="s">
        <v>37</v>
      </c>
      <c r="N1097" t="s">
        <v>23</v>
      </c>
      <c r="O1097" t="s">
        <v>24</v>
      </c>
    </row>
    <row r="1098" spans="1:15" x14ac:dyDescent="0.35">
      <c r="A1098" t="s">
        <v>2050</v>
      </c>
      <c r="B1098" s="2">
        <v>46252</v>
      </c>
      <c r="C1098" t="s">
        <v>424</v>
      </c>
      <c r="D1098" t="s">
        <v>348</v>
      </c>
      <c r="E1098" t="s">
        <v>41</v>
      </c>
      <c r="F1098" t="s">
        <v>42</v>
      </c>
      <c r="G1098" t="s">
        <v>43</v>
      </c>
      <c r="H1098" t="s">
        <v>49</v>
      </c>
      <c r="I1098">
        <v>5</v>
      </c>
      <c r="J1098" s="3">
        <v>9400</v>
      </c>
      <c r="K1098" s="3">
        <v>5800</v>
      </c>
      <c r="L1098" t="s">
        <v>66</v>
      </c>
      <c r="M1098" t="s">
        <v>31</v>
      </c>
      <c r="N1098" t="s">
        <v>23</v>
      </c>
      <c r="O1098" t="s">
        <v>24</v>
      </c>
    </row>
    <row r="1099" spans="1:15" x14ac:dyDescent="0.35">
      <c r="A1099" t="s">
        <v>2051</v>
      </c>
      <c r="B1099" s="2">
        <v>46106</v>
      </c>
      <c r="C1099" t="s">
        <v>1386</v>
      </c>
      <c r="D1099" t="s">
        <v>1122</v>
      </c>
      <c r="E1099" t="s">
        <v>18</v>
      </c>
      <c r="F1099" t="s">
        <v>18</v>
      </c>
      <c r="G1099" t="s">
        <v>34</v>
      </c>
      <c r="H1099" t="s">
        <v>158</v>
      </c>
      <c r="I1099">
        <v>3</v>
      </c>
      <c r="J1099" s="3">
        <v>99800</v>
      </c>
      <c r="K1099" s="3">
        <v>70000</v>
      </c>
      <c r="L1099" t="s">
        <v>96</v>
      </c>
      <c r="M1099" t="s">
        <v>51</v>
      </c>
      <c r="N1099" t="s">
        <v>23</v>
      </c>
      <c r="O1099" t="s">
        <v>24</v>
      </c>
    </row>
    <row r="1100" spans="1:15" x14ac:dyDescent="0.35">
      <c r="A1100" t="s">
        <v>2052</v>
      </c>
      <c r="B1100" s="2">
        <v>46158</v>
      </c>
      <c r="C1100" t="s">
        <v>266</v>
      </c>
      <c r="D1100" t="s">
        <v>1224</v>
      </c>
      <c r="E1100" t="s">
        <v>56</v>
      </c>
      <c r="F1100" t="s">
        <v>57</v>
      </c>
      <c r="G1100" t="s">
        <v>28</v>
      </c>
      <c r="H1100" t="s">
        <v>131</v>
      </c>
      <c r="I1100">
        <v>9</v>
      </c>
      <c r="J1100" s="3">
        <v>30000</v>
      </c>
      <c r="K1100" s="3">
        <v>19600</v>
      </c>
      <c r="L1100" t="s">
        <v>80</v>
      </c>
      <c r="M1100" t="s">
        <v>22</v>
      </c>
      <c r="N1100" t="s">
        <v>23</v>
      </c>
      <c r="O1100" t="s">
        <v>45</v>
      </c>
    </row>
    <row r="1101" spans="1:15" x14ac:dyDescent="0.35">
      <c r="A1101" t="s">
        <v>2053</v>
      </c>
      <c r="B1101" s="2">
        <v>46065</v>
      </c>
      <c r="C1101" t="s">
        <v>1827</v>
      </c>
      <c r="D1101" t="s">
        <v>823</v>
      </c>
      <c r="E1101" t="s">
        <v>190</v>
      </c>
      <c r="F1101" t="s">
        <v>191</v>
      </c>
      <c r="G1101" t="s">
        <v>34</v>
      </c>
      <c r="H1101" t="s">
        <v>95</v>
      </c>
      <c r="I1101">
        <v>6</v>
      </c>
      <c r="J1101" s="3">
        <v>450000</v>
      </c>
      <c r="K1101" s="3">
        <v>381100</v>
      </c>
      <c r="L1101" t="s">
        <v>73</v>
      </c>
      <c r="M1101" t="s">
        <v>51</v>
      </c>
      <c r="N1101" t="s">
        <v>52</v>
      </c>
      <c r="O1101" t="s">
        <v>24</v>
      </c>
    </row>
    <row r="1102" spans="1:15" x14ac:dyDescent="0.35">
      <c r="A1102" t="s">
        <v>2054</v>
      </c>
      <c r="B1102" s="2">
        <v>46374</v>
      </c>
      <c r="C1102" t="s">
        <v>607</v>
      </c>
      <c r="D1102" t="s">
        <v>893</v>
      </c>
      <c r="E1102" t="s">
        <v>84</v>
      </c>
      <c r="F1102" t="s">
        <v>85</v>
      </c>
      <c r="G1102" t="s">
        <v>43</v>
      </c>
      <c r="H1102" t="s">
        <v>49</v>
      </c>
      <c r="I1102">
        <v>3</v>
      </c>
      <c r="J1102" s="3"/>
      <c r="K1102" s="3">
        <v>6000</v>
      </c>
      <c r="L1102" t="s">
        <v>30</v>
      </c>
      <c r="M1102" t="s">
        <v>51</v>
      </c>
      <c r="N1102" t="s">
        <v>23</v>
      </c>
      <c r="O1102" t="s">
        <v>24</v>
      </c>
    </row>
    <row r="1103" spans="1:15" x14ac:dyDescent="0.35">
      <c r="A1103" t="s">
        <v>2055</v>
      </c>
      <c r="B1103" s="2">
        <v>46303</v>
      </c>
      <c r="C1103" t="s">
        <v>1506</v>
      </c>
      <c r="D1103" t="s">
        <v>2056</v>
      </c>
      <c r="E1103" t="s">
        <v>156</v>
      </c>
      <c r="F1103" t="s">
        <v>157</v>
      </c>
      <c r="G1103" t="s">
        <v>34</v>
      </c>
      <c r="H1103" t="s">
        <v>35</v>
      </c>
      <c r="I1103">
        <v>8</v>
      </c>
      <c r="J1103" s="3">
        <v>52200</v>
      </c>
      <c r="K1103" s="3">
        <v>39000</v>
      </c>
      <c r="L1103" t="s">
        <v>80</v>
      </c>
      <c r="M1103" t="s">
        <v>37</v>
      </c>
      <c r="N1103" t="s">
        <v>87</v>
      </c>
      <c r="O1103" t="s">
        <v>91</v>
      </c>
    </row>
    <row r="1104" spans="1:15" x14ac:dyDescent="0.35">
      <c r="A1104" t="s">
        <v>2057</v>
      </c>
      <c r="B1104" s="2">
        <v>46371</v>
      </c>
      <c r="C1104" t="s">
        <v>497</v>
      </c>
      <c r="D1104" t="s">
        <v>844</v>
      </c>
      <c r="E1104" t="s">
        <v>56</v>
      </c>
      <c r="F1104" t="s">
        <v>57</v>
      </c>
      <c r="G1104" t="s">
        <v>34</v>
      </c>
      <c r="H1104" t="s">
        <v>158</v>
      </c>
      <c r="I1104">
        <v>7</v>
      </c>
      <c r="J1104" s="3">
        <v>95000</v>
      </c>
      <c r="K1104" s="3">
        <v>67900</v>
      </c>
      <c r="L1104" t="s">
        <v>96</v>
      </c>
      <c r="M1104" t="s">
        <v>31</v>
      </c>
      <c r="N1104" t="s">
        <v>23</v>
      </c>
      <c r="O1104" t="s">
        <v>91</v>
      </c>
    </row>
    <row r="1105" spans="1:15" x14ac:dyDescent="0.35">
      <c r="A1105" t="s">
        <v>2058</v>
      </c>
      <c r="B1105" s="2">
        <v>46105</v>
      </c>
      <c r="C1105" t="s">
        <v>997</v>
      </c>
      <c r="D1105" t="s">
        <v>750</v>
      </c>
      <c r="E1105" t="s">
        <v>18</v>
      </c>
      <c r="F1105" t="s">
        <v>18</v>
      </c>
      <c r="G1105" t="s">
        <v>34</v>
      </c>
      <c r="H1105" t="s">
        <v>141</v>
      </c>
      <c r="I1105">
        <v>9</v>
      </c>
      <c r="J1105" s="3">
        <v>168000</v>
      </c>
      <c r="K1105" s="3">
        <v>123600</v>
      </c>
      <c r="L1105" t="s">
        <v>30</v>
      </c>
      <c r="M1105" t="s">
        <v>51</v>
      </c>
      <c r="N1105" t="s">
        <v>87</v>
      </c>
      <c r="O1105" t="s">
        <v>91</v>
      </c>
    </row>
    <row r="1106" spans="1:15" x14ac:dyDescent="0.35">
      <c r="A1106" t="s">
        <v>2059</v>
      </c>
      <c r="B1106" s="2">
        <v>46063</v>
      </c>
      <c r="C1106" t="s">
        <v>1106</v>
      </c>
      <c r="D1106" t="s">
        <v>335</v>
      </c>
      <c r="E1106" t="s">
        <v>56</v>
      </c>
      <c r="F1106" t="s">
        <v>57</v>
      </c>
      <c r="G1106" t="s">
        <v>19</v>
      </c>
      <c r="H1106" t="s">
        <v>112</v>
      </c>
      <c r="I1106">
        <v>7</v>
      </c>
      <c r="J1106" s="3">
        <v>89200</v>
      </c>
      <c r="K1106" s="3">
        <v>62000</v>
      </c>
      <c r="L1106" t="s">
        <v>96</v>
      </c>
      <c r="M1106" t="s">
        <v>37</v>
      </c>
      <c r="N1106" t="s">
        <v>87</v>
      </c>
      <c r="O1106" t="s">
        <v>24</v>
      </c>
    </row>
    <row r="1107" spans="1:15" x14ac:dyDescent="0.35">
      <c r="A1107" t="s">
        <v>2060</v>
      </c>
      <c r="B1107" s="2">
        <v>46307</v>
      </c>
      <c r="C1107" t="s">
        <v>853</v>
      </c>
      <c r="D1107" t="s">
        <v>1258</v>
      </c>
      <c r="E1107" t="s">
        <v>84</v>
      </c>
      <c r="G1107" t="s">
        <v>19</v>
      </c>
      <c r="H1107" t="s">
        <v>166</v>
      </c>
      <c r="I1107">
        <v>8</v>
      </c>
      <c r="J1107" s="3">
        <v>147000</v>
      </c>
      <c r="K1107" s="3">
        <v>103000</v>
      </c>
      <c r="L1107" t="s">
        <v>21</v>
      </c>
      <c r="M1107" t="s">
        <v>37</v>
      </c>
      <c r="N1107" t="s">
        <v>87</v>
      </c>
      <c r="O1107" t="s">
        <v>24</v>
      </c>
    </row>
    <row r="1108" spans="1:15" x14ac:dyDescent="0.35">
      <c r="A1108" t="s">
        <v>2061</v>
      </c>
      <c r="B1108" s="2">
        <v>46316</v>
      </c>
      <c r="C1108" t="s">
        <v>649</v>
      </c>
      <c r="D1108" t="s">
        <v>1104</v>
      </c>
      <c r="E1108" t="s">
        <v>18</v>
      </c>
      <c r="F1108" t="s">
        <v>18</v>
      </c>
      <c r="G1108" t="s">
        <v>34</v>
      </c>
      <c r="H1108" t="s">
        <v>95</v>
      </c>
      <c r="I1108">
        <v>8</v>
      </c>
      <c r="J1108" s="3">
        <v>427500</v>
      </c>
      <c r="K1108" s="3">
        <v>358900</v>
      </c>
      <c r="L1108" t="s">
        <v>96</v>
      </c>
      <c r="M1108" t="s">
        <v>37</v>
      </c>
      <c r="N1108" t="s">
        <v>23</v>
      </c>
      <c r="O1108" t="s">
        <v>24</v>
      </c>
    </row>
    <row r="1109" spans="1:15" x14ac:dyDescent="0.35">
      <c r="A1109" t="s">
        <v>2062</v>
      </c>
      <c r="B1109" s="2">
        <v>46035</v>
      </c>
      <c r="C1109" t="s">
        <v>868</v>
      </c>
      <c r="D1109" t="s">
        <v>1122</v>
      </c>
      <c r="E1109" t="s">
        <v>18</v>
      </c>
      <c r="F1109" t="s">
        <v>18</v>
      </c>
      <c r="G1109" t="s">
        <v>19</v>
      </c>
      <c r="H1109" t="s">
        <v>20</v>
      </c>
      <c r="I1109">
        <v>2</v>
      </c>
      <c r="J1109" s="3">
        <v>68200</v>
      </c>
      <c r="K1109" s="3">
        <v>45000</v>
      </c>
      <c r="L1109" t="s">
        <v>80</v>
      </c>
      <c r="M1109" t="s">
        <v>37</v>
      </c>
      <c r="N1109" t="s">
        <v>23</v>
      </c>
      <c r="O1109" t="s">
        <v>24</v>
      </c>
    </row>
    <row r="1110" spans="1:15" x14ac:dyDescent="0.35">
      <c r="A1110" t="s">
        <v>2063</v>
      </c>
      <c r="B1110" s="2">
        <v>46227</v>
      </c>
      <c r="C1110" t="s">
        <v>588</v>
      </c>
      <c r="D1110" t="s">
        <v>406</v>
      </c>
      <c r="E1110" t="s">
        <v>84</v>
      </c>
      <c r="F1110" t="s">
        <v>85</v>
      </c>
      <c r="G1110" t="s">
        <v>19</v>
      </c>
      <c r="H1110" t="s">
        <v>61</v>
      </c>
      <c r="I1110">
        <v>10</v>
      </c>
      <c r="J1110" s="3">
        <v>220000</v>
      </c>
      <c r="K1110" s="3">
        <v>155200</v>
      </c>
      <c r="L1110" t="s">
        <v>36</v>
      </c>
      <c r="M1110" t="s">
        <v>37</v>
      </c>
      <c r="N1110" t="s">
        <v>23</v>
      </c>
      <c r="O1110" t="s">
        <v>45</v>
      </c>
    </row>
    <row r="1111" spans="1:15" x14ac:dyDescent="0.35">
      <c r="A1111" t="s">
        <v>2064</v>
      </c>
      <c r="B1111" s="2">
        <v>46075</v>
      </c>
      <c r="C1111" t="s">
        <v>2065</v>
      </c>
      <c r="D1111" t="s">
        <v>1221</v>
      </c>
      <c r="E1111" t="s">
        <v>190</v>
      </c>
      <c r="F1111" t="s">
        <v>191</v>
      </c>
      <c r="G1111" t="s">
        <v>34</v>
      </c>
      <c r="H1111" t="s">
        <v>158</v>
      </c>
      <c r="I1111">
        <v>2</v>
      </c>
      <c r="J1111" s="3">
        <v>99800</v>
      </c>
      <c r="K1111" s="3">
        <v>67900</v>
      </c>
      <c r="L1111" t="s">
        <v>73</v>
      </c>
      <c r="M1111" t="s">
        <v>31</v>
      </c>
      <c r="N1111" t="s">
        <v>52</v>
      </c>
      <c r="O1111" t="s">
        <v>24</v>
      </c>
    </row>
    <row r="1112" spans="1:15" x14ac:dyDescent="0.35">
      <c r="A1112" t="s">
        <v>2066</v>
      </c>
      <c r="B1112" s="2">
        <v>46316</v>
      </c>
      <c r="C1112" t="s">
        <v>1164</v>
      </c>
      <c r="D1112" t="s">
        <v>1638</v>
      </c>
      <c r="E1112" t="s">
        <v>18</v>
      </c>
      <c r="F1112" t="s">
        <v>18</v>
      </c>
      <c r="G1112" t="s">
        <v>34</v>
      </c>
      <c r="H1112" t="s">
        <v>158</v>
      </c>
      <c r="I1112">
        <v>7</v>
      </c>
      <c r="J1112" s="3">
        <v>99800</v>
      </c>
      <c r="K1112" s="3">
        <v>67900</v>
      </c>
      <c r="L1112" t="s">
        <v>50</v>
      </c>
      <c r="M1112" t="s">
        <v>51</v>
      </c>
      <c r="N1112" t="s">
        <v>52</v>
      </c>
      <c r="O1112" t="s">
        <v>24</v>
      </c>
    </row>
    <row r="1113" spans="1:15" x14ac:dyDescent="0.35">
      <c r="A1113" t="s">
        <v>2067</v>
      </c>
      <c r="B1113" s="2">
        <v>46213</v>
      </c>
      <c r="C1113" t="s">
        <v>947</v>
      </c>
      <c r="D1113" t="s">
        <v>809</v>
      </c>
      <c r="E1113" t="s">
        <v>18</v>
      </c>
      <c r="F1113" t="s">
        <v>18</v>
      </c>
      <c r="G1113" t="s">
        <v>34</v>
      </c>
      <c r="H1113" t="s">
        <v>35</v>
      </c>
      <c r="I1113">
        <v>10</v>
      </c>
      <c r="J1113" s="3">
        <v>52200</v>
      </c>
      <c r="K1113" s="3">
        <v>40200</v>
      </c>
      <c r="L1113" t="s">
        <v>73</v>
      </c>
      <c r="M1113" t="s">
        <v>31</v>
      </c>
      <c r="N1113" t="s">
        <v>23</v>
      </c>
      <c r="O1113" t="s">
        <v>91</v>
      </c>
    </row>
    <row r="1114" spans="1:15" x14ac:dyDescent="0.35">
      <c r="A1114" t="s">
        <v>2068</v>
      </c>
      <c r="B1114" s="2">
        <v>46278</v>
      </c>
      <c r="C1114" t="s">
        <v>2069</v>
      </c>
      <c r="D1114" t="s">
        <v>1382</v>
      </c>
      <c r="E1114" t="s">
        <v>18</v>
      </c>
      <c r="F1114" t="s">
        <v>18</v>
      </c>
      <c r="G1114" t="s">
        <v>28</v>
      </c>
      <c r="H1114" t="s">
        <v>29</v>
      </c>
      <c r="I1114">
        <v>6</v>
      </c>
      <c r="J1114" s="3">
        <v>7000</v>
      </c>
      <c r="K1114" s="3">
        <v>4100</v>
      </c>
      <c r="L1114" t="s">
        <v>80</v>
      </c>
      <c r="M1114" t="s">
        <v>37</v>
      </c>
      <c r="N1114" t="s">
        <v>2070</v>
      </c>
      <c r="O1114" t="s">
        <v>24</v>
      </c>
    </row>
    <row r="1115" spans="1:15" x14ac:dyDescent="0.35">
      <c r="A1115" t="s">
        <v>2071</v>
      </c>
      <c r="B1115" s="2">
        <v>46196</v>
      </c>
      <c r="C1115" t="s">
        <v>68</v>
      </c>
      <c r="D1115" t="s">
        <v>1016</v>
      </c>
      <c r="E1115" t="s">
        <v>156</v>
      </c>
      <c r="F1115" t="s">
        <v>170</v>
      </c>
      <c r="G1115" t="s">
        <v>34</v>
      </c>
      <c r="H1115" t="s">
        <v>158</v>
      </c>
      <c r="I1115">
        <v>6</v>
      </c>
      <c r="J1115" s="3">
        <v>90200</v>
      </c>
      <c r="K1115" s="3">
        <v>72100</v>
      </c>
      <c r="L1115" t="s">
        <v>96</v>
      </c>
      <c r="M1115" t="s">
        <v>37</v>
      </c>
      <c r="N1115" t="s">
        <v>52</v>
      </c>
      <c r="O1115" t="s">
        <v>24</v>
      </c>
    </row>
    <row r="1116" spans="1:15" x14ac:dyDescent="0.35">
      <c r="A1116" t="s">
        <v>2072</v>
      </c>
      <c r="B1116" s="2">
        <v>46273</v>
      </c>
      <c r="C1116" t="s">
        <v>827</v>
      </c>
      <c r="D1116" t="s">
        <v>64</v>
      </c>
      <c r="E1116" t="s">
        <v>70</v>
      </c>
      <c r="F1116" t="s">
        <v>71</v>
      </c>
      <c r="G1116" t="s">
        <v>34</v>
      </c>
      <c r="H1116" t="s">
        <v>86</v>
      </c>
      <c r="I1116">
        <v>3</v>
      </c>
      <c r="J1116" s="3">
        <v>180000</v>
      </c>
      <c r="K1116" s="3">
        <v>135000</v>
      </c>
      <c r="L1116" t="s">
        <v>66</v>
      </c>
      <c r="M1116" t="s">
        <v>51</v>
      </c>
      <c r="N1116" t="s">
        <v>52</v>
      </c>
      <c r="O1116" t="s">
        <v>24</v>
      </c>
    </row>
    <row r="1117" spans="1:15" x14ac:dyDescent="0.35">
      <c r="A1117" t="s">
        <v>2073</v>
      </c>
      <c r="B1117" s="2">
        <v>46072</v>
      </c>
      <c r="C1117" t="s">
        <v>2074</v>
      </c>
      <c r="D1117" t="s">
        <v>738</v>
      </c>
      <c r="E1117" t="s">
        <v>41</v>
      </c>
      <c r="F1117" t="s">
        <v>42</v>
      </c>
      <c r="G1117" t="s">
        <v>43</v>
      </c>
      <c r="H1117" t="s">
        <v>79</v>
      </c>
      <c r="I1117">
        <v>8</v>
      </c>
      <c r="J1117" s="3">
        <v>6000</v>
      </c>
      <c r="K1117" s="3">
        <v>4300</v>
      </c>
      <c r="L1117" t="s">
        <v>36</v>
      </c>
      <c r="M1117" t="s">
        <v>37</v>
      </c>
      <c r="N1117" t="s">
        <v>23</v>
      </c>
      <c r="O1117" t="s">
        <v>45</v>
      </c>
    </row>
    <row r="1118" spans="1:15" x14ac:dyDescent="0.35">
      <c r="A1118" t="s">
        <v>2075</v>
      </c>
      <c r="B1118" s="2">
        <v>46185</v>
      </c>
      <c r="C1118" t="s">
        <v>687</v>
      </c>
      <c r="D1118" t="s">
        <v>137</v>
      </c>
      <c r="E1118" t="s">
        <v>56</v>
      </c>
      <c r="F1118" t="s">
        <v>57</v>
      </c>
      <c r="G1118" t="s">
        <v>19</v>
      </c>
      <c r="H1118" t="s">
        <v>166</v>
      </c>
      <c r="I1118">
        <v>6</v>
      </c>
      <c r="J1118" s="3">
        <v>147000</v>
      </c>
      <c r="K1118" s="3">
        <v>100000</v>
      </c>
      <c r="L1118" t="s">
        <v>80</v>
      </c>
      <c r="M1118" t="s">
        <v>37</v>
      </c>
      <c r="N1118" t="s">
        <v>52</v>
      </c>
      <c r="O1118" t="s">
        <v>24</v>
      </c>
    </row>
    <row r="1119" spans="1:15" x14ac:dyDescent="0.35">
      <c r="A1119" t="s">
        <v>2076</v>
      </c>
      <c r="B1119" s="2">
        <v>46379</v>
      </c>
      <c r="C1119" t="s">
        <v>1020</v>
      </c>
      <c r="D1119" t="s">
        <v>270</v>
      </c>
      <c r="E1119" t="s">
        <v>190</v>
      </c>
      <c r="F1119" t="s">
        <v>191</v>
      </c>
      <c r="G1119" t="s">
        <v>34</v>
      </c>
      <c r="H1119" t="s">
        <v>86</v>
      </c>
      <c r="I1119">
        <v>6</v>
      </c>
      <c r="J1119" s="3">
        <v>180000</v>
      </c>
      <c r="K1119" s="3">
        <v>135000</v>
      </c>
      <c r="L1119" t="s">
        <v>30</v>
      </c>
      <c r="M1119" t="s">
        <v>37</v>
      </c>
      <c r="N1119" t="s">
        <v>23</v>
      </c>
      <c r="O1119" t="s">
        <v>24</v>
      </c>
    </row>
    <row r="1120" spans="1:15" x14ac:dyDescent="0.35">
      <c r="A1120" t="s">
        <v>2077</v>
      </c>
      <c r="B1120" s="2">
        <v>46300</v>
      </c>
      <c r="C1120" t="s">
        <v>489</v>
      </c>
      <c r="D1120" t="s">
        <v>507</v>
      </c>
      <c r="E1120" t="s">
        <v>18</v>
      </c>
      <c r="F1120" t="s">
        <v>18</v>
      </c>
      <c r="G1120" t="s">
        <v>34</v>
      </c>
      <c r="H1120" t="s">
        <v>86</v>
      </c>
      <c r="I1120">
        <v>5</v>
      </c>
      <c r="J1120" s="3">
        <v>180000</v>
      </c>
      <c r="K1120" s="3">
        <v>139000</v>
      </c>
      <c r="L1120" t="s">
        <v>66</v>
      </c>
      <c r="M1120" t="s">
        <v>51</v>
      </c>
      <c r="N1120" t="s">
        <v>23</v>
      </c>
      <c r="O1120" t="s">
        <v>45</v>
      </c>
    </row>
    <row r="1121" spans="1:15" x14ac:dyDescent="0.35">
      <c r="A1121" t="s">
        <v>2078</v>
      </c>
      <c r="B1121" s="2">
        <v>46169</v>
      </c>
      <c r="C1121" t="s">
        <v>59</v>
      </c>
      <c r="D1121" t="s">
        <v>1741</v>
      </c>
      <c r="E1121" t="s">
        <v>70</v>
      </c>
      <c r="F1121" t="s">
        <v>71</v>
      </c>
      <c r="G1121" t="s">
        <v>34</v>
      </c>
      <c r="H1121" t="s">
        <v>86</v>
      </c>
      <c r="I1121">
        <v>1</v>
      </c>
      <c r="J1121" s="3">
        <v>180000</v>
      </c>
      <c r="K1121" s="3">
        <v>131000</v>
      </c>
      <c r="L1121" t="s">
        <v>66</v>
      </c>
      <c r="M1121" t="s">
        <v>51</v>
      </c>
      <c r="N1121" t="s">
        <v>23</v>
      </c>
      <c r="O1121" t="s">
        <v>24</v>
      </c>
    </row>
    <row r="1122" spans="1:15" x14ac:dyDescent="0.35">
      <c r="A1122" t="s">
        <v>2079</v>
      </c>
      <c r="B1122" s="2">
        <v>46135</v>
      </c>
      <c r="C1122" t="s">
        <v>1340</v>
      </c>
      <c r="D1122" t="s">
        <v>324</v>
      </c>
      <c r="E1122" t="s">
        <v>18</v>
      </c>
      <c r="F1122" t="s">
        <v>18</v>
      </c>
      <c r="G1122" t="s">
        <v>19</v>
      </c>
      <c r="H1122" t="s">
        <v>61</v>
      </c>
      <c r="I1122">
        <v>4</v>
      </c>
      <c r="J1122" s="3">
        <v>220000</v>
      </c>
      <c r="K1122" s="3">
        <v>155200</v>
      </c>
      <c r="L1122" t="s">
        <v>96</v>
      </c>
      <c r="M1122" t="s">
        <v>51</v>
      </c>
      <c r="N1122" t="s">
        <v>23</v>
      </c>
      <c r="O1122" t="s">
        <v>24</v>
      </c>
    </row>
    <row r="1123" spans="1:15" x14ac:dyDescent="0.35">
      <c r="A1123" t="s">
        <v>2080</v>
      </c>
      <c r="B1123" s="2">
        <v>46046</v>
      </c>
      <c r="C1123" t="s">
        <v>1160</v>
      </c>
      <c r="D1123" t="s">
        <v>1954</v>
      </c>
      <c r="E1123" t="s">
        <v>41</v>
      </c>
      <c r="F1123" t="s">
        <v>42</v>
      </c>
      <c r="G1123" t="s">
        <v>34</v>
      </c>
      <c r="H1123" t="s">
        <v>158</v>
      </c>
      <c r="I1123">
        <v>7</v>
      </c>
      <c r="J1123" s="3">
        <v>95000</v>
      </c>
      <c r="K1123" s="3">
        <v>67900</v>
      </c>
      <c r="L1123" t="s">
        <v>80</v>
      </c>
      <c r="M1123" t="s">
        <v>37</v>
      </c>
      <c r="N1123" t="s">
        <v>23</v>
      </c>
      <c r="O1123" t="s">
        <v>24</v>
      </c>
    </row>
    <row r="1124" spans="1:15" x14ac:dyDescent="0.35">
      <c r="A1124" t="s">
        <v>2081</v>
      </c>
      <c r="B1124" s="2">
        <v>46087</v>
      </c>
      <c r="C1124" t="s">
        <v>2082</v>
      </c>
      <c r="D1124" t="s">
        <v>403</v>
      </c>
      <c r="E1124" t="s">
        <v>18</v>
      </c>
      <c r="F1124" t="s">
        <v>18</v>
      </c>
      <c r="G1124" t="s">
        <v>19</v>
      </c>
      <c r="H1124" t="s">
        <v>166</v>
      </c>
      <c r="I1124">
        <v>1</v>
      </c>
      <c r="J1124" s="3">
        <v>140000</v>
      </c>
      <c r="K1124" s="3">
        <v>103000</v>
      </c>
      <c r="L1124" t="s">
        <v>66</v>
      </c>
      <c r="M1124" t="s">
        <v>51</v>
      </c>
      <c r="N1124" t="s">
        <v>23</v>
      </c>
      <c r="O1124" t="s">
        <v>24</v>
      </c>
    </row>
    <row r="1125" spans="1:15" x14ac:dyDescent="0.35">
      <c r="A1125" t="s">
        <v>2083</v>
      </c>
      <c r="B1125" s="2">
        <v>46364</v>
      </c>
      <c r="C1125" t="s">
        <v>2084</v>
      </c>
      <c r="D1125" t="s">
        <v>342</v>
      </c>
      <c r="E1125" t="s">
        <v>56</v>
      </c>
      <c r="F1125" t="s">
        <v>57</v>
      </c>
      <c r="G1125" t="s">
        <v>28</v>
      </c>
      <c r="H1125" t="s">
        <v>29</v>
      </c>
      <c r="I1125">
        <v>3</v>
      </c>
      <c r="J1125" s="3">
        <v>7400</v>
      </c>
      <c r="K1125" s="3">
        <v>3900</v>
      </c>
      <c r="L1125" t="s">
        <v>50</v>
      </c>
      <c r="M1125" t="s">
        <v>51</v>
      </c>
      <c r="N1125" t="s">
        <v>23</v>
      </c>
      <c r="O1125" t="s">
        <v>24</v>
      </c>
    </row>
    <row r="1126" spans="1:15" x14ac:dyDescent="0.35">
      <c r="A1126" t="s">
        <v>2085</v>
      </c>
      <c r="B1126" s="2">
        <v>46055</v>
      </c>
      <c r="C1126" t="s">
        <v>774</v>
      </c>
      <c r="D1126" t="s">
        <v>1295</v>
      </c>
      <c r="E1126" t="s">
        <v>156</v>
      </c>
      <c r="F1126" t="s">
        <v>170</v>
      </c>
      <c r="G1126" t="s">
        <v>34</v>
      </c>
      <c r="H1126" t="s">
        <v>95</v>
      </c>
      <c r="I1126">
        <v>1</v>
      </c>
      <c r="J1126" s="3">
        <v>450000</v>
      </c>
      <c r="K1126" s="3">
        <v>381100</v>
      </c>
      <c r="L1126" t="s">
        <v>21</v>
      </c>
      <c r="M1126" t="s">
        <v>37</v>
      </c>
      <c r="N1126" t="s">
        <v>23</v>
      </c>
      <c r="O1126" t="s">
        <v>91</v>
      </c>
    </row>
    <row r="1127" spans="1:15" x14ac:dyDescent="0.35">
      <c r="A1127" t="s">
        <v>2086</v>
      </c>
      <c r="B1127" s="2">
        <v>46313</v>
      </c>
      <c r="C1127" t="s">
        <v>1245</v>
      </c>
      <c r="D1127" t="s">
        <v>2087</v>
      </c>
      <c r="E1127" t="s">
        <v>41</v>
      </c>
      <c r="F1127" t="s">
        <v>42</v>
      </c>
      <c r="G1127" t="s">
        <v>34</v>
      </c>
      <c r="H1127" t="s">
        <v>141</v>
      </c>
      <c r="I1127">
        <v>5</v>
      </c>
      <c r="J1127" s="3">
        <v>160000</v>
      </c>
      <c r="K1127" s="3">
        <v>120000</v>
      </c>
      <c r="L1127" t="s">
        <v>36</v>
      </c>
      <c r="M1127" t="s">
        <v>51</v>
      </c>
      <c r="N1127" t="s">
        <v>87</v>
      </c>
      <c r="O1127" t="s">
        <v>24</v>
      </c>
    </row>
    <row r="1128" spans="1:15" x14ac:dyDescent="0.35">
      <c r="A1128" t="s">
        <v>2088</v>
      </c>
      <c r="B1128" s="2">
        <v>46288</v>
      </c>
      <c r="C1128" t="s">
        <v>258</v>
      </c>
      <c r="D1128" t="s">
        <v>149</v>
      </c>
      <c r="E1128" t="s">
        <v>18</v>
      </c>
      <c r="F1128" t="s">
        <v>18</v>
      </c>
      <c r="G1128" t="s">
        <v>43</v>
      </c>
      <c r="H1128" t="s">
        <v>49</v>
      </c>
      <c r="I1128">
        <v>9</v>
      </c>
      <c r="J1128" s="3">
        <v>8600</v>
      </c>
      <c r="K1128" s="3">
        <v>5800</v>
      </c>
      <c r="L1128" t="s">
        <v>21</v>
      </c>
      <c r="M1128" t="s">
        <v>37</v>
      </c>
      <c r="N1128" t="s">
        <v>23</v>
      </c>
      <c r="O1128" t="s">
        <v>24</v>
      </c>
    </row>
    <row r="1129" spans="1:15" x14ac:dyDescent="0.35">
      <c r="A1129" t="s">
        <v>2089</v>
      </c>
      <c r="B1129" s="2">
        <v>46130</v>
      </c>
      <c r="C1129" t="s">
        <v>186</v>
      </c>
      <c r="D1129" t="s">
        <v>40</v>
      </c>
      <c r="E1129" t="s">
        <v>77</v>
      </c>
      <c r="F1129" t="s">
        <v>78</v>
      </c>
      <c r="G1129" t="s">
        <v>34</v>
      </c>
      <c r="H1129" t="s">
        <v>86</v>
      </c>
      <c r="I1129">
        <v>10</v>
      </c>
      <c r="J1129" s="3">
        <v>171000</v>
      </c>
      <c r="K1129" s="3">
        <v>139000</v>
      </c>
      <c r="L1129" t="s">
        <v>50</v>
      </c>
      <c r="M1129" t="s">
        <v>51</v>
      </c>
      <c r="N1129" t="s">
        <v>52</v>
      </c>
      <c r="O1129" t="s">
        <v>24</v>
      </c>
    </row>
    <row r="1130" spans="1:15" x14ac:dyDescent="0.35">
      <c r="A1130" t="s">
        <v>2090</v>
      </c>
      <c r="B1130" s="2">
        <v>46282</v>
      </c>
      <c r="C1130" t="s">
        <v>1026</v>
      </c>
      <c r="D1130" t="s">
        <v>397</v>
      </c>
      <c r="E1130" t="s">
        <v>18</v>
      </c>
      <c r="F1130" t="s">
        <v>18</v>
      </c>
      <c r="G1130" t="s">
        <v>34</v>
      </c>
      <c r="H1130" t="s">
        <v>35</v>
      </c>
      <c r="I1130">
        <v>7</v>
      </c>
      <c r="J1130" s="3">
        <v>52200</v>
      </c>
      <c r="K1130" s="3">
        <v>39000</v>
      </c>
      <c r="L1130" t="s">
        <v>50</v>
      </c>
      <c r="M1130" t="s">
        <v>37</v>
      </c>
      <c r="N1130" t="s">
        <v>52</v>
      </c>
      <c r="O1130" t="s">
        <v>24</v>
      </c>
    </row>
    <row r="1131" spans="1:15" x14ac:dyDescent="0.35">
      <c r="A1131" t="s">
        <v>2091</v>
      </c>
      <c r="B1131" s="2">
        <v>46287</v>
      </c>
      <c r="C1131" t="s">
        <v>311</v>
      </c>
      <c r="D1131" t="s">
        <v>1654</v>
      </c>
      <c r="E1131" t="s">
        <v>41</v>
      </c>
      <c r="F1131" t="s">
        <v>42</v>
      </c>
      <c r="G1131" t="s">
        <v>43</v>
      </c>
      <c r="H1131" t="s">
        <v>177</v>
      </c>
      <c r="I1131">
        <v>6</v>
      </c>
      <c r="J1131" s="3">
        <v>18000</v>
      </c>
      <c r="K1131" s="3">
        <v>12900</v>
      </c>
      <c r="L1131" t="s">
        <v>73</v>
      </c>
      <c r="M1131" t="s">
        <v>22</v>
      </c>
      <c r="N1131" t="s">
        <v>87</v>
      </c>
      <c r="O1131" t="s">
        <v>24</v>
      </c>
    </row>
    <row r="1132" spans="1:15" x14ac:dyDescent="0.35">
      <c r="A1132" t="s">
        <v>2092</v>
      </c>
      <c r="B1132" s="2">
        <v>46085</v>
      </c>
      <c r="C1132" t="s">
        <v>1097</v>
      </c>
      <c r="D1132" t="s">
        <v>1251</v>
      </c>
      <c r="E1132" t="s">
        <v>70</v>
      </c>
      <c r="F1132" t="s">
        <v>71</v>
      </c>
      <c r="G1132" t="s">
        <v>43</v>
      </c>
      <c r="H1132" t="s">
        <v>162</v>
      </c>
      <c r="I1132">
        <v>6</v>
      </c>
      <c r="J1132" s="3">
        <v>7600</v>
      </c>
      <c r="K1132" s="3">
        <v>5000</v>
      </c>
      <c r="L1132" t="s">
        <v>36</v>
      </c>
      <c r="M1132" t="s">
        <v>51</v>
      </c>
      <c r="N1132" t="s">
        <v>23</v>
      </c>
      <c r="O1132" t="s">
        <v>24</v>
      </c>
    </row>
    <row r="1133" spans="1:15" x14ac:dyDescent="0.35">
      <c r="A1133" t="s">
        <v>2093</v>
      </c>
      <c r="B1133" s="2">
        <v>46178</v>
      </c>
      <c r="C1133" t="s">
        <v>1307</v>
      </c>
      <c r="D1133" t="s">
        <v>796</v>
      </c>
      <c r="E1133" t="s">
        <v>190</v>
      </c>
      <c r="F1133" t="s">
        <v>191</v>
      </c>
      <c r="G1133" t="s">
        <v>19</v>
      </c>
      <c r="H1133" t="s">
        <v>61</v>
      </c>
      <c r="I1133">
        <v>9</v>
      </c>
      <c r="J1133" s="3">
        <v>209000</v>
      </c>
      <c r="K1133" s="3">
        <v>160000</v>
      </c>
      <c r="L1133" t="s">
        <v>36</v>
      </c>
      <c r="M1133" t="s">
        <v>22</v>
      </c>
      <c r="N1133" t="s">
        <v>52</v>
      </c>
      <c r="O1133" t="s">
        <v>24</v>
      </c>
    </row>
    <row r="1134" spans="1:15" x14ac:dyDescent="0.35">
      <c r="A1134" t="s">
        <v>2094</v>
      </c>
      <c r="B1134" s="2">
        <v>46228</v>
      </c>
      <c r="C1134" t="s">
        <v>1164</v>
      </c>
      <c r="D1134" t="s">
        <v>911</v>
      </c>
      <c r="E1134" t="s">
        <v>56</v>
      </c>
      <c r="F1134" t="s">
        <v>57</v>
      </c>
      <c r="G1134" t="s">
        <v>43</v>
      </c>
      <c r="H1134" t="s">
        <v>177</v>
      </c>
      <c r="I1134">
        <v>10</v>
      </c>
      <c r="J1134" s="3">
        <v>18900</v>
      </c>
      <c r="K1134" s="3">
        <v>12900</v>
      </c>
      <c r="L1134" t="s">
        <v>30</v>
      </c>
      <c r="M1134" t="s">
        <v>37</v>
      </c>
      <c r="N1134" t="s">
        <v>23</v>
      </c>
      <c r="O1134" t="s">
        <v>24</v>
      </c>
    </row>
    <row r="1135" spans="1:15" x14ac:dyDescent="0.35">
      <c r="A1135" t="s">
        <v>2095</v>
      </c>
      <c r="B1135" s="2">
        <v>46040</v>
      </c>
      <c r="C1135" t="s">
        <v>1780</v>
      </c>
      <c r="D1135" t="s">
        <v>1453</v>
      </c>
      <c r="E1135" t="s">
        <v>18</v>
      </c>
      <c r="F1135" t="s">
        <v>18</v>
      </c>
      <c r="G1135" t="s">
        <v>28</v>
      </c>
      <c r="H1135" t="s">
        <v>131</v>
      </c>
      <c r="I1135">
        <v>5</v>
      </c>
      <c r="J1135" s="3">
        <v>31500</v>
      </c>
      <c r="K1135" s="3">
        <v>19600</v>
      </c>
      <c r="L1135" t="s">
        <v>50</v>
      </c>
      <c r="M1135" t="s">
        <v>37</v>
      </c>
      <c r="N1135" t="s">
        <v>52</v>
      </c>
      <c r="O1135" t="s">
        <v>91</v>
      </c>
    </row>
    <row r="1136" spans="1:15" x14ac:dyDescent="0.35">
      <c r="A1136" t="s">
        <v>2096</v>
      </c>
      <c r="B1136" s="2">
        <v>46271</v>
      </c>
      <c r="C1136" t="s">
        <v>1051</v>
      </c>
      <c r="D1136" t="s">
        <v>1554</v>
      </c>
      <c r="E1136" t="s">
        <v>41</v>
      </c>
      <c r="F1136" t="s">
        <v>42</v>
      </c>
      <c r="G1136" t="s">
        <v>28</v>
      </c>
      <c r="H1136" t="s">
        <v>72</v>
      </c>
      <c r="I1136">
        <v>4</v>
      </c>
      <c r="J1136" s="3">
        <v>10500</v>
      </c>
      <c r="K1136" s="3">
        <v>6400</v>
      </c>
      <c r="L1136" t="s">
        <v>73</v>
      </c>
      <c r="M1136" t="s">
        <v>37</v>
      </c>
      <c r="N1136" t="s">
        <v>23</v>
      </c>
      <c r="O1136" t="s">
        <v>24</v>
      </c>
    </row>
    <row r="1137" spans="1:15" x14ac:dyDescent="0.35">
      <c r="A1137" t="s">
        <v>2097</v>
      </c>
      <c r="B1137" s="2">
        <v>46252</v>
      </c>
      <c r="C1137" t="s">
        <v>1294</v>
      </c>
      <c r="D1137" t="s">
        <v>2098</v>
      </c>
      <c r="E1137" t="s">
        <v>84</v>
      </c>
      <c r="F1137" t="s">
        <v>85</v>
      </c>
      <c r="G1137" t="s">
        <v>34</v>
      </c>
      <c r="H1137" t="s">
        <v>35</v>
      </c>
      <c r="I1137">
        <v>6</v>
      </c>
      <c r="J1137" s="3">
        <v>55000</v>
      </c>
      <c r="K1137" s="3">
        <v>37800</v>
      </c>
      <c r="L1137" t="s">
        <v>96</v>
      </c>
      <c r="M1137" t="s">
        <v>31</v>
      </c>
      <c r="N1137" t="s">
        <v>52</v>
      </c>
      <c r="O1137" t="s">
        <v>24</v>
      </c>
    </row>
    <row r="1138" spans="1:15" x14ac:dyDescent="0.35">
      <c r="A1138" t="s">
        <v>2099</v>
      </c>
      <c r="B1138" s="2">
        <v>46117</v>
      </c>
      <c r="C1138" t="s">
        <v>475</v>
      </c>
      <c r="D1138" t="s">
        <v>1542</v>
      </c>
      <c r="E1138" t="s">
        <v>77</v>
      </c>
      <c r="F1138" t="s">
        <v>78</v>
      </c>
      <c r="G1138" t="s">
        <v>28</v>
      </c>
      <c r="H1138" t="s">
        <v>131</v>
      </c>
      <c r="I1138">
        <v>8</v>
      </c>
      <c r="J1138" s="3">
        <v>30000</v>
      </c>
      <c r="K1138" s="3">
        <v>19600</v>
      </c>
      <c r="L1138" t="s">
        <v>50</v>
      </c>
      <c r="M1138" t="s">
        <v>51</v>
      </c>
      <c r="N1138" t="s">
        <v>52</v>
      </c>
      <c r="O1138" t="s">
        <v>24</v>
      </c>
    </row>
    <row r="1139" spans="1:15" x14ac:dyDescent="0.35">
      <c r="A1139" t="s">
        <v>2100</v>
      </c>
      <c r="B1139" s="2">
        <v>46115</v>
      </c>
      <c r="C1139" t="s">
        <v>615</v>
      </c>
      <c r="D1139" t="s">
        <v>977</v>
      </c>
      <c r="E1139" t="s">
        <v>84</v>
      </c>
      <c r="F1139" t="s">
        <v>85</v>
      </c>
      <c r="G1139" t="s">
        <v>34</v>
      </c>
      <c r="H1139" t="s">
        <v>95</v>
      </c>
      <c r="I1139">
        <v>5</v>
      </c>
      <c r="J1139" s="3">
        <v>427500</v>
      </c>
      <c r="K1139" s="3">
        <v>358900</v>
      </c>
      <c r="L1139" t="s">
        <v>73</v>
      </c>
      <c r="M1139" t="s">
        <v>31</v>
      </c>
      <c r="N1139" t="s">
        <v>52</v>
      </c>
      <c r="O1139" t="s">
        <v>24</v>
      </c>
    </row>
    <row r="1140" spans="1:15" x14ac:dyDescent="0.35">
      <c r="A1140" t="s">
        <v>2101</v>
      </c>
      <c r="B1140" s="2">
        <v>46186</v>
      </c>
      <c r="C1140" t="s">
        <v>258</v>
      </c>
      <c r="D1140" t="s">
        <v>218</v>
      </c>
      <c r="E1140" t="s">
        <v>70</v>
      </c>
      <c r="F1140" t="s">
        <v>71</v>
      </c>
      <c r="G1140" t="s">
        <v>43</v>
      </c>
      <c r="H1140" t="s">
        <v>177</v>
      </c>
      <c r="I1140">
        <v>10</v>
      </c>
      <c r="J1140" s="3">
        <v>18900</v>
      </c>
      <c r="K1140" s="3">
        <v>12900</v>
      </c>
      <c r="L1140" t="s">
        <v>21</v>
      </c>
      <c r="M1140" t="s">
        <v>37</v>
      </c>
      <c r="N1140" t="s">
        <v>23</v>
      </c>
      <c r="O1140" t="s">
        <v>24</v>
      </c>
    </row>
    <row r="1141" spans="1:15" x14ac:dyDescent="0.35">
      <c r="A1141" t="s">
        <v>2102</v>
      </c>
      <c r="B1141" s="2">
        <v>46256</v>
      </c>
      <c r="C1141" t="s">
        <v>1882</v>
      </c>
      <c r="D1141" t="s">
        <v>2103</v>
      </c>
      <c r="E1141" t="s">
        <v>18</v>
      </c>
      <c r="F1141" t="s">
        <v>18</v>
      </c>
      <c r="G1141" t="s">
        <v>43</v>
      </c>
      <c r="H1141" t="s">
        <v>79</v>
      </c>
      <c r="I1141">
        <v>6</v>
      </c>
      <c r="J1141" s="3">
        <v>5700</v>
      </c>
      <c r="K1141" s="3">
        <v>4300</v>
      </c>
      <c r="L1141" t="s">
        <v>50</v>
      </c>
      <c r="M1141" t="s">
        <v>31</v>
      </c>
      <c r="N1141" t="s">
        <v>52</v>
      </c>
      <c r="O1141" t="s">
        <v>24</v>
      </c>
    </row>
    <row r="1142" spans="1:15" x14ac:dyDescent="0.35">
      <c r="A1142" t="s">
        <v>2104</v>
      </c>
      <c r="B1142" s="2">
        <v>46342</v>
      </c>
      <c r="C1142" t="s">
        <v>1162</v>
      </c>
      <c r="D1142" t="s">
        <v>1982</v>
      </c>
      <c r="E1142" t="s">
        <v>77</v>
      </c>
      <c r="F1142" t="s">
        <v>78</v>
      </c>
      <c r="G1142" t="s">
        <v>43</v>
      </c>
      <c r="H1142" t="s">
        <v>79</v>
      </c>
      <c r="I1142">
        <v>5</v>
      </c>
      <c r="J1142" s="3">
        <v>6300</v>
      </c>
      <c r="K1142" s="3">
        <v>4200</v>
      </c>
      <c r="L1142" t="s">
        <v>80</v>
      </c>
      <c r="M1142" t="s">
        <v>31</v>
      </c>
      <c r="N1142" t="s">
        <v>52</v>
      </c>
      <c r="O1142" t="s">
        <v>45</v>
      </c>
    </row>
    <row r="1143" spans="1:15" x14ac:dyDescent="0.35">
      <c r="A1143" t="s">
        <v>2105</v>
      </c>
      <c r="B1143" s="2">
        <v>46248</v>
      </c>
      <c r="C1143" t="s">
        <v>449</v>
      </c>
      <c r="D1143" t="s">
        <v>2016</v>
      </c>
      <c r="E1143" t="s">
        <v>190</v>
      </c>
      <c r="F1143" t="s">
        <v>191</v>
      </c>
      <c r="G1143" t="s">
        <v>19</v>
      </c>
      <c r="H1143" t="s">
        <v>20</v>
      </c>
      <c r="I1143">
        <v>8</v>
      </c>
      <c r="J1143" s="3">
        <v>61800</v>
      </c>
      <c r="K1143" s="3">
        <v>45000</v>
      </c>
      <c r="L1143" t="s">
        <v>73</v>
      </c>
      <c r="M1143" t="s">
        <v>22</v>
      </c>
      <c r="N1143" t="s">
        <v>23</v>
      </c>
      <c r="O1143" t="s">
        <v>24</v>
      </c>
    </row>
    <row r="1144" spans="1:15" x14ac:dyDescent="0.35">
      <c r="A1144" t="s">
        <v>2106</v>
      </c>
      <c r="B1144" s="2">
        <v>46029</v>
      </c>
      <c r="C1144" t="s">
        <v>2107</v>
      </c>
      <c r="D1144" t="s">
        <v>247</v>
      </c>
      <c r="E1144" t="s">
        <v>41</v>
      </c>
      <c r="F1144" t="s">
        <v>42</v>
      </c>
      <c r="G1144" t="s">
        <v>43</v>
      </c>
      <c r="H1144" t="s">
        <v>162</v>
      </c>
      <c r="I1144">
        <v>8</v>
      </c>
      <c r="J1144" s="3">
        <v>7600</v>
      </c>
      <c r="K1144" s="3">
        <v>5200</v>
      </c>
      <c r="L1144" t="s">
        <v>21</v>
      </c>
      <c r="M1144" t="s">
        <v>51</v>
      </c>
      <c r="N1144" t="s">
        <v>23</v>
      </c>
      <c r="O1144" t="s">
        <v>24</v>
      </c>
    </row>
    <row r="1145" spans="1:15" x14ac:dyDescent="0.35">
      <c r="A1145" t="s">
        <v>2108</v>
      </c>
      <c r="B1145" s="2">
        <v>46313</v>
      </c>
      <c r="C1145" t="s">
        <v>513</v>
      </c>
      <c r="D1145" t="s">
        <v>118</v>
      </c>
      <c r="E1145" t="s">
        <v>77</v>
      </c>
      <c r="F1145" t="s">
        <v>78</v>
      </c>
      <c r="G1145" t="s">
        <v>43</v>
      </c>
      <c r="H1145" t="s">
        <v>44</v>
      </c>
      <c r="I1145">
        <v>4</v>
      </c>
      <c r="J1145" s="3">
        <v>15800</v>
      </c>
      <c r="K1145" s="3">
        <v>9200</v>
      </c>
      <c r="L1145" t="s">
        <v>96</v>
      </c>
      <c r="M1145" t="s">
        <v>22</v>
      </c>
      <c r="N1145" t="s">
        <v>87</v>
      </c>
      <c r="O1145" t="s">
        <v>24</v>
      </c>
    </row>
    <row r="1146" spans="1:15" x14ac:dyDescent="0.35">
      <c r="A1146" t="s">
        <v>2109</v>
      </c>
      <c r="B1146" s="2">
        <v>46201</v>
      </c>
      <c r="C1146" t="s">
        <v>207</v>
      </c>
      <c r="D1146" t="s">
        <v>2110</v>
      </c>
      <c r="E1146" t="s">
        <v>56</v>
      </c>
      <c r="F1146" t="s">
        <v>57</v>
      </c>
      <c r="G1146" t="s">
        <v>34</v>
      </c>
      <c r="H1146" t="s">
        <v>95</v>
      </c>
      <c r="I1146">
        <v>8</v>
      </c>
      <c r="J1146" s="3">
        <v>450000</v>
      </c>
      <c r="K1146" s="3">
        <v>358900</v>
      </c>
      <c r="L1146" t="s">
        <v>36</v>
      </c>
      <c r="M1146" t="s">
        <v>37</v>
      </c>
      <c r="N1146" t="s">
        <v>52</v>
      </c>
      <c r="O1146" t="s">
        <v>24</v>
      </c>
    </row>
    <row r="1147" spans="1:15" x14ac:dyDescent="0.35">
      <c r="A1147" t="s">
        <v>2111</v>
      </c>
      <c r="B1147" s="2">
        <v>46027</v>
      </c>
      <c r="C1147" t="s">
        <v>545</v>
      </c>
      <c r="D1147" t="s">
        <v>397</v>
      </c>
      <c r="E1147" t="s">
        <v>18</v>
      </c>
      <c r="F1147" t="s">
        <v>18</v>
      </c>
      <c r="G1147" t="s">
        <v>28</v>
      </c>
      <c r="H1147" t="s">
        <v>65</v>
      </c>
      <c r="I1147">
        <v>4</v>
      </c>
      <c r="J1147" s="3">
        <v>12600</v>
      </c>
      <c r="K1147" s="3">
        <v>7500</v>
      </c>
      <c r="L1147" t="s">
        <v>73</v>
      </c>
      <c r="M1147" t="s">
        <v>22</v>
      </c>
      <c r="N1147" t="s">
        <v>52</v>
      </c>
      <c r="O1147" t="s">
        <v>45</v>
      </c>
    </row>
    <row r="1148" spans="1:15" x14ac:dyDescent="0.35">
      <c r="A1148" t="s">
        <v>2112</v>
      </c>
      <c r="B1148" s="2">
        <v>46204</v>
      </c>
      <c r="C1148" t="s">
        <v>1575</v>
      </c>
      <c r="D1148" t="s">
        <v>1824</v>
      </c>
      <c r="E1148" t="s">
        <v>18</v>
      </c>
      <c r="F1148" t="s">
        <v>18</v>
      </c>
      <c r="G1148" t="s">
        <v>19</v>
      </c>
      <c r="H1148" t="s">
        <v>166</v>
      </c>
      <c r="I1148">
        <v>6</v>
      </c>
      <c r="J1148" s="3">
        <v>140000</v>
      </c>
      <c r="K1148" s="3">
        <v>103000</v>
      </c>
      <c r="L1148" t="s">
        <v>50</v>
      </c>
      <c r="M1148" t="s">
        <v>37</v>
      </c>
      <c r="N1148" t="s">
        <v>52</v>
      </c>
      <c r="O1148" t="s">
        <v>24</v>
      </c>
    </row>
    <row r="1149" spans="1:15" x14ac:dyDescent="0.35">
      <c r="A1149" t="s">
        <v>2113</v>
      </c>
      <c r="B1149" s="2">
        <v>46243</v>
      </c>
      <c r="C1149" t="s">
        <v>1245</v>
      </c>
      <c r="D1149" t="s">
        <v>1154</v>
      </c>
      <c r="E1149" t="s">
        <v>41</v>
      </c>
      <c r="F1149" t="s">
        <v>42</v>
      </c>
      <c r="G1149" t="s">
        <v>19</v>
      </c>
      <c r="H1149" t="s">
        <v>166</v>
      </c>
      <c r="I1149">
        <v>7</v>
      </c>
      <c r="J1149" s="3">
        <v>133000</v>
      </c>
      <c r="K1149" s="3">
        <v>103000</v>
      </c>
      <c r="L1149" t="s">
        <v>66</v>
      </c>
      <c r="M1149" t="s">
        <v>51</v>
      </c>
      <c r="N1149" t="s">
        <v>52</v>
      </c>
      <c r="O1149" t="s">
        <v>45</v>
      </c>
    </row>
    <row r="1150" spans="1:15" x14ac:dyDescent="0.35">
      <c r="A1150" t="s">
        <v>2114</v>
      </c>
      <c r="B1150" s="2">
        <v>46197</v>
      </c>
      <c r="C1150" t="s">
        <v>2115</v>
      </c>
      <c r="D1150" t="s">
        <v>2116</v>
      </c>
      <c r="E1150" t="s">
        <v>156</v>
      </c>
      <c r="F1150" t="s">
        <v>170</v>
      </c>
      <c r="G1150" t="s">
        <v>19</v>
      </c>
      <c r="H1150" t="s">
        <v>61</v>
      </c>
      <c r="I1150">
        <v>4</v>
      </c>
      <c r="J1150" s="3">
        <v>220000</v>
      </c>
      <c r="K1150" s="3">
        <v>164800</v>
      </c>
      <c r="L1150" t="s">
        <v>50</v>
      </c>
      <c r="M1150" t="s">
        <v>37</v>
      </c>
      <c r="N1150" t="s">
        <v>23</v>
      </c>
      <c r="O1150" t="s">
        <v>45</v>
      </c>
    </row>
    <row r="1151" spans="1:15" x14ac:dyDescent="0.35">
      <c r="A1151" t="s">
        <v>2117</v>
      </c>
      <c r="B1151" s="2">
        <v>46157</v>
      </c>
      <c r="C1151" t="s">
        <v>2118</v>
      </c>
      <c r="D1151" t="s">
        <v>1292</v>
      </c>
      <c r="E1151" t="s">
        <v>84</v>
      </c>
      <c r="F1151" t="s">
        <v>85</v>
      </c>
      <c r="G1151" t="s">
        <v>34</v>
      </c>
      <c r="H1151" t="s">
        <v>86</v>
      </c>
      <c r="I1151">
        <v>6</v>
      </c>
      <c r="J1151" s="3">
        <v>180000</v>
      </c>
      <c r="K1151" s="3">
        <v>135000</v>
      </c>
      <c r="L1151" t="s">
        <v>50</v>
      </c>
      <c r="M1151" t="s">
        <v>22</v>
      </c>
      <c r="N1151" t="s">
        <v>23</v>
      </c>
      <c r="O1151" t="s">
        <v>91</v>
      </c>
    </row>
    <row r="1152" spans="1:15" x14ac:dyDescent="0.35">
      <c r="A1152" t="s">
        <v>2119</v>
      </c>
      <c r="B1152" s="2">
        <v>46249</v>
      </c>
      <c r="C1152" t="s">
        <v>2074</v>
      </c>
      <c r="D1152" t="s">
        <v>1062</v>
      </c>
      <c r="E1152" t="s">
        <v>18</v>
      </c>
      <c r="F1152" t="s">
        <v>18</v>
      </c>
      <c r="G1152" t="s">
        <v>28</v>
      </c>
      <c r="H1152" t="s">
        <v>131</v>
      </c>
      <c r="I1152">
        <v>2</v>
      </c>
      <c r="J1152" s="3">
        <v>31500</v>
      </c>
      <c r="K1152" s="3">
        <v>19000</v>
      </c>
      <c r="L1152" t="s">
        <v>66</v>
      </c>
      <c r="M1152" t="s">
        <v>37</v>
      </c>
      <c r="N1152" t="s">
        <v>87</v>
      </c>
      <c r="O1152" t="s">
        <v>45</v>
      </c>
    </row>
    <row r="1153" spans="1:15" x14ac:dyDescent="0.35">
      <c r="A1153" t="s">
        <v>2120</v>
      </c>
      <c r="B1153" s="2">
        <v>46267</v>
      </c>
      <c r="C1153" t="s">
        <v>1932</v>
      </c>
      <c r="D1153" t="s">
        <v>180</v>
      </c>
      <c r="E1153" t="s">
        <v>190</v>
      </c>
      <c r="F1153" t="s">
        <v>191</v>
      </c>
      <c r="G1153" t="s">
        <v>34</v>
      </c>
      <c r="H1153" t="s">
        <v>158</v>
      </c>
      <c r="I1153">
        <v>8</v>
      </c>
      <c r="J1153" s="3">
        <v>99800</v>
      </c>
      <c r="K1153" s="3">
        <v>70000</v>
      </c>
      <c r="L1153" t="s">
        <v>50</v>
      </c>
      <c r="M1153" t="s">
        <v>37</v>
      </c>
      <c r="N1153" t="s">
        <v>23</v>
      </c>
      <c r="O1153" t="s">
        <v>24</v>
      </c>
    </row>
    <row r="1154" spans="1:15" x14ac:dyDescent="0.35">
      <c r="A1154" t="s">
        <v>2121</v>
      </c>
      <c r="B1154" s="2">
        <v>46058</v>
      </c>
      <c r="C1154" t="s">
        <v>654</v>
      </c>
      <c r="D1154" t="s">
        <v>703</v>
      </c>
      <c r="E1154" t="s">
        <v>70</v>
      </c>
      <c r="F1154" t="s">
        <v>71</v>
      </c>
      <c r="G1154" t="s">
        <v>34</v>
      </c>
      <c r="H1154" t="s">
        <v>86</v>
      </c>
      <c r="I1154">
        <v>9</v>
      </c>
      <c r="J1154" s="3">
        <v>171000</v>
      </c>
      <c r="K1154" s="3">
        <v>139000</v>
      </c>
      <c r="L1154" t="s">
        <v>30</v>
      </c>
      <c r="M1154" t="s">
        <v>22</v>
      </c>
      <c r="N1154" t="s">
        <v>52</v>
      </c>
      <c r="O1154" t="s">
        <v>91</v>
      </c>
    </row>
    <row r="1155" spans="1:15" x14ac:dyDescent="0.35">
      <c r="A1155" t="s">
        <v>2122</v>
      </c>
      <c r="B1155" s="2">
        <v>46373</v>
      </c>
      <c r="C1155" t="s">
        <v>858</v>
      </c>
      <c r="D1155" t="s">
        <v>278</v>
      </c>
      <c r="E1155" t="s">
        <v>41</v>
      </c>
      <c r="F1155" t="s">
        <v>42</v>
      </c>
      <c r="G1155" t="s">
        <v>34</v>
      </c>
      <c r="H1155" t="s">
        <v>95</v>
      </c>
      <c r="I1155">
        <v>1</v>
      </c>
      <c r="J1155" s="3">
        <v>450000</v>
      </c>
      <c r="K1155" s="3">
        <v>370000</v>
      </c>
      <c r="L1155" t="s">
        <v>66</v>
      </c>
      <c r="M1155" t="s">
        <v>37</v>
      </c>
      <c r="N1155" t="s">
        <v>87</v>
      </c>
      <c r="O1155" t="s">
        <v>91</v>
      </c>
    </row>
    <row r="1156" spans="1:15" x14ac:dyDescent="0.35">
      <c r="A1156" t="s">
        <v>2123</v>
      </c>
      <c r="B1156" s="2">
        <v>46090</v>
      </c>
      <c r="C1156" t="s">
        <v>2124</v>
      </c>
      <c r="D1156" t="s">
        <v>403</v>
      </c>
      <c r="E1156" t="s">
        <v>190</v>
      </c>
      <c r="F1156" t="s">
        <v>191</v>
      </c>
      <c r="G1156" t="s">
        <v>19</v>
      </c>
      <c r="H1156" t="s">
        <v>61</v>
      </c>
      <c r="I1156">
        <v>9</v>
      </c>
      <c r="J1156" s="3">
        <v>220000</v>
      </c>
      <c r="K1156" s="3">
        <v>155200</v>
      </c>
      <c r="L1156" t="s">
        <v>30</v>
      </c>
      <c r="M1156" t="s">
        <v>51</v>
      </c>
      <c r="N1156" t="s">
        <v>23</v>
      </c>
      <c r="O1156" t="s">
        <v>24</v>
      </c>
    </row>
    <row r="1157" spans="1:15" x14ac:dyDescent="0.35">
      <c r="A1157" t="s">
        <v>2125</v>
      </c>
      <c r="B1157" s="2">
        <v>46153</v>
      </c>
      <c r="C1157" t="s">
        <v>1653</v>
      </c>
      <c r="D1157" t="s">
        <v>1174</v>
      </c>
      <c r="E1157" t="s">
        <v>77</v>
      </c>
      <c r="F1157" t="s">
        <v>78</v>
      </c>
      <c r="G1157" t="s">
        <v>43</v>
      </c>
      <c r="H1157" t="s">
        <v>79</v>
      </c>
      <c r="I1157">
        <v>4</v>
      </c>
      <c r="J1157" s="3">
        <v>6000</v>
      </c>
      <c r="K1157" s="3">
        <v>4300</v>
      </c>
      <c r="L1157" t="s">
        <v>30</v>
      </c>
      <c r="M1157" t="s">
        <v>37</v>
      </c>
      <c r="N1157" t="s">
        <v>52</v>
      </c>
      <c r="O1157" t="s">
        <v>91</v>
      </c>
    </row>
    <row r="1158" spans="1:15" x14ac:dyDescent="0.35">
      <c r="A1158" t="s">
        <v>2126</v>
      </c>
      <c r="B1158" s="2">
        <v>46241</v>
      </c>
      <c r="C1158" t="s">
        <v>1509</v>
      </c>
      <c r="D1158" t="s">
        <v>462</v>
      </c>
      <c r="E1158" t="s">
        <v>156</v>
      </c>
      <c r="F1158" t="s">
        <v>157</v>
      </c>
      <c r="G1158" t="s">
        <v>43</v>
      </c>
      <c r="H1158" t="s">
        <v>49</v>
      </c>
      <c r="I1158">
        <v>2</v>
      </c>
      <c r="J1158" s="3">
        <v>9400</v>
      </c>
      <c r="K1158" s="3">
        <v>5800</v>
      </c>
      <c r="L1158" t="s">
        <v>96</v>
      </c>
      <c r="M1158" t="s">
        <v>51</v>
      </c>
      <c r="N1158" t="s">
        <v>52</v>
      </c>
      <c r="O1158" t="s">
        <v>24</v>
      </c>
    </row>
    <row r="1159" spans="1:15" x14ac:dyDescent="0.35">
      <c r="A1159" t="s">
        <v>2127</v>
      </c>
      <c r="B1159" s="2">
        <v>46112</v>
      </c>
      <c r="C1159" t="s">
        <v>1518</v>
      </c>
      <c r="D1159" t="s">
        <v>1384</v>
      </c>
      <c r="E1159" t="s">
        <v>41</v>
      </c>
      <c r="F1159" t="s">
        <v>42</v>
      </c>
      <c r="G1159" t="s">
        <v>28</v>
      </c>
      <c r="H1159" t="s">
        <v>29</v>
      </c>
      <c r="I1159">
        <v>5</v>
      </c>
      <c r="J1159" s="3">
        <v>7400</v>
      </c>
      <c r="K1159" s="3">
        <v>3900</v>
      </c>
      <c r="L1159" t="s">
        <v>66</v>
      </c>
      <c r="M1159" t="s">
        <v>51</v>
      </c>
      <c r="N1159" t="s">
        <v>52</v>
      </c>
      <c r="O1159" t="s">
        <v>24</v>
      </c>
    </row>
    <row r="1160" spans="1:15" x14ac:dyDescent="0.35">
      <c r="A1160" t="s">
        <v>2128</v>
      </c>
      <c r="B1160" s="2">
        <v>46116</v>
      </c>
      <c r="C1160" t="s">
        <v>1490</v>
      </c>
      <c r="D1160" t="s">
        <v>203</v>
      </c>
      <c r="E1160" t="s">
        <v>190</v>
      </c>
      <c r="F1160" t="s">
        <v>191</v>
      </c>
      <c r="G1160" t="s">
        <v>19</v>
      </c>
      <c r="H1160" t="s">
        <v>61</v>
      </c>
      <c r="I1160">
        <v>3</v>
      </c>
      <c r="J1160" s="3">
        <v>231000</v>
      </c>
      <c r="K1160" s="3">
        <v>164800</v>
      </c>
      <c r="L1160" t="s">
        <v>66</v>
      </c>
      <c r="M1160" t="s">
        <v>51</v>
      </c>
      <c r="N1160" t="s">
        <v>52</v>
      </c>
      <c r="O1160" t="s">
        <v>45</v>
      </c>
    </row>
    <row r="1161" spans="1:15" x14ac:dyDescent="0.35">
      <c r="A1161" t="s">
        <v>2129</v>
      </c>
      <c r="B1161" s="2">
        <v>46073</v>
      </c>
      <c r="C1161" t="s">
        <v>1020</v>
      </c>
      <c r="D1161" t="s">
        <v>1221</v>
      </c>
      <c r="E1161" t="s">
        <v>70</v>
      </c>
      <c r="F1161" t="s">
        <v>71</v>
      </c>
      <c r="G1161" t="s">
        <v>19</v>
      </c>
      <c r="H1161" t="s">
        <v>112</v>
      </c>
      <c r="I1161">
        <v>3</v>
      </c>
      <c r="J1161" s="3">
        <v>85000</v>
      </c>
      <c r="K1161" s="3">
        <v>60100</v>
      </c>
      <c r="L1161" t="s">
        <v>21</v>
      </c>
      <c r="M1161" t="s">
        <v>37</v>
      </c>
      <c r="N1161" t="s">
        <v>87</v>
      </c>
      <c r="O1161" t="s">
        <v>24</v>
      </c>
    </row>
    <row r="1162" spans="1:15" x14ac:dyDescent="0.35">
      <c r="A1162" t="s">
        <v>2130</v>
      </c>
      <c r="B1162" s="2">
        <v>46048</v>
      </c>
      <c r="C1162" t="s">
        <v>1932</v>
      </c>
      <c r="D1162" t="s">
        <v>2131</v>
      </c>
      <c r="E1162" t="s">
        <v>18</v>
      </c>
      <c r="F1162" t="s">
        <v>18</v>
      </c>
      <c r="G1162" t="s">
        <v>28</v>
      </c>
      <c r="H1162" t="s">
        <v>72</v>
      </c>
      <c r="I1162">
        <v>3</v>
      </c>
      <c r="J1162" s="3">
        <v>10000</v>
      </c>
      <c r="K1162" s="3">
        <v>6000</v>
      </c>
      <c r="L1162" t="s">
        <v>36</v>
      </c>
      <c r="M1162" t="s">
        <v>31</v>
      </c>
      <c r="N1162" t="s">
        <v>52</v>
      </c>
      <c r="O1162" t="s">
        <v>45</v>
      </c>
    </row>
    <row r="1163" spans="1:15" x14ac:dyDescent="0.35">
      <c r="A1163" t="s">
        <v>2132</v>
      </c>
      <c r="B1163" s="2">
        <v>46339</v>
      </c>
      <c r="C1163" t="s">
        <v>537</v>
      </c>
      <c r="D1163" t="s">
        <v>2133</v>
      </c>
      <c r="E1163" t="s">
        <v>18</v>
      </c>
      <c r="F1163" t="s">
        <v>18</v>
      </c>
      <c r="G1163" t="s">
        <v>43</v>
      </c>
      <c r="H1163" t="s">
        <v>79</v>
      </c>
      <c r="I1163">
        <v>3</v>
      </c>
      <c r="J1163" s="3">
        <v>6000</v>
      </c>
      <c r="K1163" s="3">
        <v>4200</v>
      </c>
      <c r="L1163" t="s">
        <v>80</v>
      </c>
      <c r="M1163" t="s">
        <v>37</v>
      </c>
      <c r="N1163" t="s">
        <v>23</v>
      </c>
      <c r="O1163" t="s">
        <v>91</v>
      </c>
    </row>
    <row r="1164" spans="1:15" x14ac:dyDescent="0.35">
      <c r="A1164" t="s">
        <v>2134</v>
      </c>
      <c r="B1164" s="2">
        <v>46355</v>
      </c>
      <c r="C1164" t="s">
        <v>104</v>
      </c>
      <c r="D1164" t="s">
        <v>1179</v>
      </c>
      <c r="E1164" t="s">
        <v>70</v>
      </c>
      <c r="F1164" t="s">
        <v>71</v>
      </c>
      <c r="G1164" t="s">
        <v>28</v>
      </c>
      <c r="H1164" t="s">
        <v>65</v>
      </c>
      <c r="I1164">
        <v>3</v>
      </c>
      <c r="J1164" s="3">
        <v>11400</v>
      </c>
      <c r="K1164" s="3">
        <v>7500</v>
      </c>
      <c r="L1164" t="s">
        <v>96</v>
      </c>
      <c r="M1164" t="s">
        <v>37</v>
      </c>
      <c r="N1164" t="s">
        <v>52</v>
      </c>
      <c r="O1164" t="s">
        <v>24</v>
      </c>
    </row>
    <row r="1165" spans="1:15" x14ac:dyDescent="0.35">
      <c r="A1165" t="s">
        <v>2135</v>
      </c>
      <c r="B1165" s="2">
        <v>46114</v>
      </c>
      <c r="C1165" t="s">
        <v>323</v>
      </c>
      <c r="D1165" t="s">
        <v>576</v>
      </c>
      <c r="E1165" t="s">
        <v>41</v>
      </c>
      <c r="F1165" t="s">
        <v>42</v>
      </c>
      <c r="G1165" t="s">
        <v>43</v>
      </c>
      <c r="H1165" t="s">
        <v>49</v>
      </c>
      <c r="I1165">
        <v>4</v>
      </c>
      <c r="J1165" s="3">
        <v>9000</v>
      </c>
      <c r="K1165" s="3">
        <v>5800</v>
      </c>
      <c r="L1165" t="s">
        <v>96</v>
      </c>
      <c r="M1165" t="s">
        <v>37</v>
      </c>
      <c r="N1165" t="s">
        <v>23</v>
      </c>
      <c r="O1165" t="s">
        <v>45</v>
      </c>
    </row>
    <row r="1166" spans="1:15" x14ac:dyDescent="0.35">
      <c r="A1166" t="s">
        <v>2136</v>
      </c>
      <c r="B1166" s="2">
        <v>46323</v>
      </c>
      <c r="C1166" t="s">
        <v>2137</v>
      </c>
      <c r="D1166" t="s">
        <v>1234</v>
      </c>
      <c r="E1166" t="s">
        <v>156</v>
      </c>
      <c r="F1166" t="s">
        <v>170</v>
      </c>
      <c r="G1166" t="s">
        <v>28</v>
      </c>
      <c r="H1166" t="s">
        <v>65</v>
      </c>
      <c r="I1166">
        <v>5</v>
      </c>
      <c r="J1166" s="3">
        <v>12000</v>
      </c>
      <c r="K1166" s="3">
        <v>7300</v>
      </c>
      <c r="L1166" t="s">
        <v>21</v>
      </c>
      <c r="M1166" t="s">
        <v>37</v>
      </c>
      <c r="N1166" t="s">
        <v>87</v>
      </c>
      <c r="O1166" t="s">
        <v>24</v>
      </c>
    </row>
    <row r="1167" spans="1:15" x14ac:dyDescent="0.35">
      <c r="A1167" t="s">
        <v>2138</v>
      </c>
      <c r="B1167" s="2">
        <v>46161</v>
      </c>
      <c r="C1167" t="s">
        <v>1160</v>
      </c>
      <c r="D1167" t="s">
        <v>2098</v>
      </c>
      <c r="E1167" t="s">
        <v>18</v>
      </c>
      <c r="F1167" t="s">
        <v>18</v>
      </c>
      <c r="G1167" t="s">
        <v>28</v>
      </c>
      <c r="H1167" t="s">
        <v>29</v>
      </c>
      <c r="I1167">
        <v>7</v>
      </c>
      <c r="J1167" s="3">
        <v>7000</v>
      </c>
      <c r="K1167" s="3">
        <v>4100</v>
      </c>
      <c r="L1167" t="s">
        <v>80</v>
      </c>
      <c r="M1167" t="s">
        <v>37</v>
      </c>
      <c r="N1167" t="s">
        <v>23</v>
      </c>
      <c r="O1167" t="s">
        <v>45</v>
      </c>
    </row>
    <row r="1168" spans="1:15" x14ac:dyDescent="0.35">
      <c r="A1168" t="s">
        <v>2139</v>
      </c>
      <c r="B1168" s="2">
        <v>46182</v>
      </c>
      <c r="C1168" t="s">
        <v>1757</v>
      </c>
      <c r="D1168" t="s">
        <v>335</v>
      </c>
      <c r="E1168" t="s">
        <v>18</v>
      </c>
      <c r="F1168" t="s">
        <v>18</v>
      </c>
      <c r="G1168" t="s">
        <v>28</v>
      </c>
      <c r="H1168" t="s">
        <v>131</v>
      </c>
      <c r="I1168">
        <v>2</v>
      </c>
      <c r="J1168" s="3">
        <v>30000</v>
      </c>
      <c r="K1168" s="3">
        <v>18400</v>
      </c>
      <c r="L1168" t="s">
        <v>21</v>
      </c>
      <c r="M1168" t="s">
        <v>22</v>
      </c>
      <c r="N1168" t="s">
        <v>52</v>
      </c>
      <c r="O1168" t="s">
        <v>24</v>
      </c>
    </row>
    <row r="1169" spans="1:15" x14ac:dyDescent="0.35">
      <c r="A1169" t="s">
        <v>2140</v>
      </c>
      <c r="B1169" s="2">
        <v>46167</v>
      </c>
      <c r="C1169" t="s">
        <v>607</v>
      </c>
      <c r="D1169" t="s">
        <v>394</v>
      </c>
      <c r="E1169" t="s">
        <v>84</v>
      </c>
      <c r="F1169" t="s">
        <v>85</v>
      </c>
      <c r="G1169" t="s">
        <v>19</v>
      </c>
      <c r="H1169" t="s">
        <v>20</v>
      </c>
      <c r="I1169">
        <v>7</v>
      </c>
      <c r="J1169" s="3">
        <v>65000</v>
      </c>
      <c r="K1169" s="3">
        <v>43600</v>
      </c>
      <c r="L1169" t="s">
        <v>96</v>
      </c>
      <c r="M1169" t="s">
        <v>51</v>
      </c>
      <c r="N1169" t="s">
        <v>23</v>
      </c>
      <c r="O1169" t="s">
        <v>24</v>
      </c>
    </row>
    <row r="1170" spans="1:15" x14ac:dyDescent="0.35">
      <c r="A1170" t="s">
        <v>2141</v>
      </c>
      <c r="B1170" s="2">
        <v>46039</v>
      </c>
      <c r="C1170" t="s">
        <v>1661</v>
      </c>
      <c r="D1170" t="s">
        <v>1396</v>
      </c>
      <c r="E1170" t="s">
        <v>84</v>
      </c>
      <c r="F1170" t="s">
        <v>85</v>
      </c>
      <c r="G1170" t="s">
        <v>34</v>
      </c>
      <c r="H1170" t="s">
        <v>35</v>
      </c>
      <c r="I1170">
        <v>4</v>
      </c>
      <c r="J1170" s="3">
        <v>52200</v>
      </c>
      <c r="K1170" s="3">
        <v>40200</v>
      </c>
      <c r="L1170" t="s">
        <v>36</v>
      </c>
      <c r="M1170" t="s">
        <v>22</v>
      </c>
      <c r="N1170" t="s">
        <v>52</v>
      </c>
      <c r="O1170" t="s">
        <v>24</v>
      </c>
    </row>
    <row r="1171" spans="1:15" x14ac:dyDescent="0.35">
      <c r="A1171" t="s">
        <v>2142</v>
      </c>
      <c r="B1171" s="2">
        <v>46194</v>
      </c>
      <c r="C1171" t="s">
        <v>562</v>
      </c>
      <c r="D1171" t="s">
        <v>48</v>
      </c>
      <c r="E1171" t="s">
        <v>70</v>
      </c>
      <c r="F1171" t="s">
        <v>71</v>
      </c>
      <c r="G1171" t="s">
        <v>34</v>
      </c>
      <c r="H1171" t="s">
        <v>86</v>
      </c>
      <c r="I1171">
        <v>1</v>
      </c>
      <c r="J1171" s="3">
        <v>189000</v>
      </c>
      <c r="K1171" s="3">
        <v>135000</v>
      </c>
      <c r="L1171" t="s">
        <v>21</v>
      </c>
      <c r="M1171" t="s">
        <v>37</v>
      </c>
      <c r="N1171" t="s">
        <v>23</v>
      </c>
      <c r="O1171" t="s">
        <v>24</v>
      </c>
    </row>
    <row r="1172" spans="1:15" x14ac:dyDescent="0.35">
      <c r="A1172" t="s">
        <v>2143</v>
      </c>
      <c r="B1172" s="2">
        <v>46367</v>
      </c>
      <c r="C1172" t="s">
        <v>2144</v>
      </c>
      <c r="D1172" t="s">
        <v>1359</v>
      </c>
      <c r="E1172" t="s">
        <v>41</v>
      </c>
      <c r="F1172" t="s">
        <v>42</v>
      </c>
      <c r="G1172" t="s">
        <v>43</v>
      </c>
      <c r="H1172" t="s">
        <v>162</v>
      </c>
      <c r="I1172">
        <v>9</v>
      </c>
      <c r="J1172" s="3">
        <v>7600</v>
      </c>
      <c r="K1172" s="3">
        <v>5200</v>
      </c>
      <c r="L1172" t="s">
        <v>80</v>
      </c>
      <c r="M1172" t="s">
        <v>37</v>
      </c>
      <c r="N1172" t="s">
        <v>23</v>
      </c>
      <c r="O1172" t="s">
        <v>45</v>
      </c>
    </row>
    <row r="1173" spans="1:15" x14ac:dyDescent="0.35">
      <c r="A1173" t="s">
        <v>2145</v>
      </c>
      <c r="B1173" s="2">
        <v>46381</v>
      </c>
      <c r="C1173" t="s">
        <v>1223</v>
      </c>
      <c r="D1173" t="s">
        <v>711</v>
      </c>
      <c r="E1173" t="s">
        <v>18</v>
      </c>
      <c r="F1173" t="s">
        <v>18</v>
      </c>
      <c r="G1173" t="s">
        <v>43</v>
      </c>
      <c r="H1173" t="s">
        <v>49</v>
      </c>
      <c r="I1173">
        <v>4</v>
      </c>
      <c r="J1173" s="3">
        <v>9000</v>
      </c>
      <c r="K1173" s="3">
        <v>6000</v>
      </c>
      <c r="L1173" t="s">
        <v>21</v>
      </c>
      <c r="M1173" t="s">
        <v>22</v>
      </c>
      <c r="N1173" t="s">
        <v>23</v>
      </c>
      <c r="O1173" t="s">
        <v>24</v>
      </c>
    </row>
    <row r="1174" spans="1:15" x14ac:dyDescent="0.35">
      <c r="A1174" t="s">
        <v>2146</v>
      </c>
      <c r="B1174" s="2">
        <v>46027</v>
      </c>
      <c r="C1174" t="s">
        <v>759</v>
      </c>
      <c r="D1174" t="s">
        <v>152</v>
      </c>
      <c r="E1174" t="s">
        <v>18</v>
      </c>
      <c r="F1174" t="s">
        <v>18</v>
      </c>
      <c r="G1174" t="s">
        <v>28</v>
      </c>
      <c r="H1174" t="s">
        <v>72</v>
      </c>
      <c r="I1174">
        <v>2</v>
      </c>
      <c r="J1174" s="3">
        <v>10000</v>
      </c>
      <c r="K1174" s="3">
        <v>6000</v>
      </c>
      <c r="L1174" t="s">
        <v>73</v>
      </c>
      <c r="M1174" t="s">
        <v>31</v>
      </c>
      <c r="N1174" t="s">
        <v>52</v>
      </c>
      <c r="O1174" t="s">
        <v>24</v>
      </c>
    </row>
    <row r="1175" spans="1:15" x14ac:dyDescent="0.35">
      <c r="A1175" t="s">
        <v>2147</v>
      </c>
      <c r="B1175" s="2">
        <v>46258</v>
      </c>
      <c r="C1175" t="s">
        <v>2148</v>
      </c>
      <c r="D1175" t="s">
        <v>627</v>
      </c>
      <c r="E1175" t="s">
        <v>156</v>
      </c>
      <c r="F1175" t="s">
        <v>170</v>
      </c>
      <c r="G1175" t="s">
        <v>43</v>
      </c>
      <c r="H1175" t="s">
        <v>49</v>
      </c>
      <c r="I1175">
        <v>1</v>
      </c>
      <c r="J1175" s="3">
        <v>8600</v>
      </c>
      <c r="K1175" s="3">
        <v>6000</v>
      </c>
      <c r="L1175" t="s">
        <v>30</v>
      </c>
      <c r="M1175" t="s">
        <v>51</v>
      </c>
      <c r="N1175" t="s">
        <v>87</v>
      </c>
      <c r="O1175" t="s">
        <v>24</v>
      </c>
    </row>
    <row r="1176" spans="1:15" x14ac:dyDescent="0.35">
      <c r="A1176" t="s">
        <v>2149</v>
      </c>
      <c r="B1176" s="2">
        <v>46179</v>
      </c>
      <c r="C1176" t="s">
        <v>1661</v>
      </c>
      <c r="D1176" t="s">
        <v>130</v>
      </c>
      <c r="E1176" t="s">
        <v>41</v>
      </c>
      <c r="F1176" t="s">
        <v>42</v>
      </c>
      <c r="G1176" t="s">
        <v>34</v>
      </c>
      <c r="H1176" t="s">
        <v>95</v>
      </c>
      <c r="I1176">
        <v>4</v>
      </c>
      <c r="J1176" s="3">
        <v>450000</v>
      </c>
      <c r="K1176" s="3">
        <v>370000</v>
      </c>
      <c r="L1176" t="s">
        <v>36</v>
      </c>
      <c r="M1176" t="s">
        <v>22</v>
      </c>
      <c r="N1176" t="s">
        <v>23</v>
      </c>
      <c r="O1176" t="s">
        <v>24</v>
      </c>
    </row>
    <row r="1177" spans="1:15" x14ac:dyDescent="0.35">
      <c r="A1177" t="s">
        <v>2150</v>
      </c>
      <c r="B1177" s="2">
        <v>46175</v>
      </c>
      <c r="C1177" t="s">
        <v>437</v>
      </c>
      <c r="D1177" t="s">
        <v>1563</v>
      </c>
      <c r="E1177" t="s">
        <v>77</v>
      </c>
      <c r="F1177" t="s">
        <v>78</v>
      </c>
      <c r="G1177" t="s">
        <v>19</v>
      </c>
      <c r="H1177" t="s">
        <v>166</v>
      </c>
      <c r="I1177">
        <v>6</v>
      </c>
      <c r="J1177" s="3">
        <v>147000</v>
      </c>
      <c r="K1177" s="3">
        <v>100000</v>
      </c>
      <c r="L1177" t="s">
        <v>80</v>
      </c>
      <c r="M1177" t="s">
        <v>22</v>
      </c>
      <c r="N1177" t="s">
        <v>52</v>
      </c>
      <c r="O1177" t="s">
        <v>24</v>
      </c>
    </row>
    <row r="1178" spans="1:15" x14ac:dyDescent="0.35">
      <c r="A1178" t="s">
        <v>2151</v>
      </c>
      <c r="B1178" s="2">
        <v>46029</v>
      </c>
      <c r="C1178" t="s">
        <v>1804</v>
      </c>
      <c r="D1178" t="s">
        <v>2152</v>
      </c>
      <c r="E1178" t="s">
        <v>18</v>
      </c>
      <c r="F1178" t="s">
        <v>18</v>
      </c>
      <c r="G1178" t="s">
        <v>28</v>
      </c>
      <c r="H1178" t="s">
        <v>72</v>
      </c>
      <c r="I1178">
        <v>6</v>
      </c>
      <c r="J1178" s="3">
        <v>10500</v>
      </c>
      <c r="K1178" s="3">
        <v>6400</v>
      </c>
      <c r="L1178" t="s">
        <v>50</v>
      </c>
      <c r="M1178" t="s">
        <v>51</v>
      </c>
      <c r="N1178" t="s">
        <v>23</v>
      </c>
      <c r="O1178" t="s">
        <v>91</v>
      </c>
    </row>
    <row r="1179" spans="1:15" x14ac:dyDescent="0.35">
      <c r="A1179" t="s">
        <v>2153</v>
      </c>
      <c r="B1179" s="2">
        <v>46369</v>
      </c>
      <c r="C1179" t="s">
        <v>495</v>
      </c>
      <c r="D1179" t="s">
        <v>911</v>
      </c>
      <c r="E1179" t="s">
        <v>18</v>
      </c>
      <c r="F1179" t="s">
        <v>18</v>
      </c>
      <c r="G1179" t="s">
        <v>43</v>
      </c>
      <c r="H1179" t="s">
        <v>162</v>
      </c>
      <c r="I1179">
        <v>5</v>
      </c>
      <c r="J1179" s="3">
        <v>8000</v>
      </c>
      <c r="K1179" s="3">
        <v>5200</v>
      </c>
      <c r="L1179" t="s">
        <v>50</v>
      </c>
      <c r="M1179" t="s">
        <v>51</v>
      </c>
      <c r="N1179" t="s">
        <v>52</v>
      </c>
      <c r="O1179" t="s">
        <v>24</v>
      </c>
    </row>
    <row r="1180" spans="1:15" x14ac:dyDescent="0.35">
      <c r="A1180" t="s">
        <v>2154</v>
      </c>
      <c r="B1180" s="2">
        <v>46128</v>
      </c>
      <c r="C1180" t="s">
        <v>2118</v>
      </c>
      <c r="D1180" t="s">
        <v>784</v>
      </c>
      <c r="E1180" t="s">
        <v>18</v>
      </c>
      <c r="F1180" t="s">
        <v>18</v>
      </c>
      <c r="G1180" t="s">
        <v>34</v>
      </c>
      <c r="H1180" t="s">
        <v>95</v>
      </c>
      <c r="I1180">
        <v>10</v>
      </c>
      <c r="J1180" s="3">
        <v>450000</v>
      </c>
      <c r="K1180" s="3">
        <v>381100</v>
      </c>
      <c r="L1180" t="s">
        <v>80</v>
      </c>
      <c r="M1180" t="s">
        <v>37</v>
      </c>
      <c r="N1180" t="s">
        <v>52</v>
      </c>
      <c r="O1180" t="s">
        <v>24</v>
      </c>
    </row>
    <row r="1181" spans="1:15" x14ac:dyDescent="0.35">
      <c r="A1181" t="s">
        <v>2155</v>
      </c>
      <c r="B1181" s="2">
        <v>46242</v>
      </c>
      <c r="C1181" t="s">
        <v>941</v>
      </c>
      <c r="D1181" t="s">
        <v>1686</v>
      </c>
      <c r="E1181" t="s">
        <v>84</v>
      </c>
      <c r="F1181" t="s">
        <v>85</v>
      </c>
      <c r="G1181" t="s">
        <v>34</v>
      </c>
      <c r="H1181" t="s">
        <v>158</v>
      </c>
      <c r="I1181">
        <v>4</v>
      </c>
      <c r="J1181" s="3">
        <v>99800</v>
      </c>
      <c r="K1181" s="3">
        <v>72100</v>
      </c>
      <c r="L1181" t="s">
        <v>73</v>
      </c>
      <c r="M1181" t="s">
        <v>31</v>
      </c>
      <c r="N1181" t="s">
        <v>52</v>
      </c>
      <c r="O1181" t="s">
        <v>24</v>
      </c>
    </row>
    <row r="1182" spans="1:15" x14ac:dyDescent="0.35">
      <c r="A1182" t="s">
        <v>2156</v>
      </c>
      <c r="B1182" s="2">
        <v>46241</v>
      </c>
      <c r="C1182" t="s">
        <v>707</v>
      </c>
      <c r="D1182" t="s">
        <v>2131</v>
      </c>
      <c r="E1182" t="s">
        <v>156</v>
      </c>
      <c r="F1182" t="s">
        <v>170</v>
      </c>
      <c r="G1182" t="s">
        <v>28</v>
      </c>
      <c r="H1182" t="s">
        <v>248</v>
      </c>
      <c r="I1182">
        <v>9</v>
      </c>
      <c r="J1182" s="3">
        <v>25000</v>
      </c>
      <c r="K1182" s="3">
        <v>15500</v>
      </c>
      <c r="L1182" t="s">
        <v>73</v>
      </c>
      <c r="M1182" t="s">
        <v>37</v>
      </c>
      <c r="N1182" t="s">
        <v>87</v>
      </c>
      <c r="O1182" t="s">
        <v>91</v>
      </c>
    </row>
    <row r="1183" spans="1:15" x14ac:dyDescent="0.35">
      <c r="A1183" t="s">
        <v>2157</v>
      </c>
      <c r="B1183" s="2">
        <v>46164</v>
      </c>
      <c r="C1183" t="s">
        <v>1968</v>
      </c>
      <c r="D1183" t="s">
        <v>667</v>
      </c>
      <c r="E1183" t="s">
        <v>18</v>
      </c>
      <c r="F1183" t="s">
        <v>18</v>
      </c>
      <c r="G1183" t="s">
        <v>34</v>
      </c>
      <c r="H1183" t="s">
        <v>95</v>
      </c>
      <c r="I1183">
        <v>5</v>
      </c>
      <c r="J1183" s="3">
        <v>450000</v>
      </c>
      <c r="K1183" s="3">
        <v>370000</v>
      </c>
      <c r="L1183" t="s">
        <v>30</v>
      </c>
      <c r="M1183" t="s">
        <v>37</v>
      </c>
      <c r="N1183" t="s">
        <v>87</v>
      </c>
      <c r="O1183" t="s">
        <v>24</v>
      </c>
    </row>
    <row r="1184" spans="1:15" x14ac:dyDescent="0.35">
      <c r="A1184" t="s">
        <v>2158</v>
      </c>
      <c r="B1184" s="2">
        <v>46298</v>
      </c>
      <c r="C1184" t="s">
        <v>659</v>
      </c>
      <c r="D1184" t="s">
        <v>1311</v>
      </c>
      <c r="E1184" t="s">
        <v>18</v>
      </c>
      <c r="F1184" t="s">
        <v>18</v>
      </c>
      <c r="G1184" t="s">
        <v>28</v>
      </c>
      <c r="H1184" t="s">
        <v>131</v>
      </c>
      <c r="I1184">
        <v>9</v>
      </c>
      <c r="J1184" s="3">
        <v>30000</v>
      </c>
      <c r="K1184" s="3">
        <v>19600</v>
      </c>
      <c r="L1184" t="s">
        <v>30</v>
      </c>
      <c r="M1184" t="s">
        <v>51</v>
      </c>
      <c r="N1184" t="s">
        <v>87</v>
      </c>
      <c r="O1184" t="s">
        <v>24</v>
      </c>
    </row>
    <row r="1185" spans="1:15" x14ac:dyDescent="0.35">
      <c r="A1185" t="s">
        <v>2159</v>
      </c>
      <c r="B1185" s="2">
        <v>46213</v>
      </c>
      <c r="C1185" t="s">
        <v>523</v>
      </c>
      <c r="D1185" t="s">
        <v>631</v>
      </c>
      <c r="E1185" t="s">
        <v>84</v>
      </c>
      <c r="F1185" t="s">
        <v>85</v>
      </c>
      <c r="G1185" t="s">
        <v>43</v>
      </c>
      <c r="H1185" t="s">
        <v>44</v>
      </c>
      <c r="I1185">
        <v>6</v>
      </c>
      <c r="J1185" s="3">
        <v>15000</v>
      </c>
      <c r="K1185" s="3">
        <v>9800</v>
      </c>
      <c r="L1185" t="s">
        <v>73</v>
      </c>
      <c r="M1185" t="s">
        <v>37</v>
      </c>
      <c r="N1185" t="s">
        <v>52</v>
      </c>
      <c r="O1185" t="s">
        <v>24</v>
      </c>
    </row>
    <row r="1186" spans="1:15" x14ac:dyDescent="0.35">
      <c r="A1186" t="s">
        <v>2160</v>
      </c>
      <c r="B1186" s="2">
        <v>46296</v>
      </c>
      <c r="C1186" t="s">
        <v>2161</v>
      </c>
      <c r="D1186" t="s">
        <v>697</v>
      </c>
      <c r="E1186" t="s">
        <v>18</v>
      </c>
      <c r="F1186" t="s">
        <v>18</v>
      </c>
      <c r="G1186" t="s">
        <v>28</v>
      </c>
      <c r="H1186" t="s">
        <v>248</v>
      </c>
      <c r="I1186">
        <v>6</v>
      </c>
      <c r="J1186" s="3">
        <v>25000</v>
      </c>
      <c r="K1186" s="3">
        <v>16000</v>
      </c>
      <c r="L1186" t="s">
        <v>80</v>
      </c>
      <c r="M1186" t="s">
        <v>37</v>
      </c>
      <c r="N1186" t="s">
        <v>52</v>
      </c>
      <c r="O1186" t="s">
        <v>24</v>
      </c>
    </row>
    <row r="1187" spans="1:15" x14ac:dyDescent="0.35">
      <c r="A1187" t="s">
        <v>2162</v>
      </c>
      <c r="B1187" s="2">
        <v>46147</v>
      </c>
      <c r="C1187" t="s">
        <v>1501</v>
      </c>
      <c r="D1187" t="s">
        <v>1359</v>
      </c>
      <c r="E1187" t="s">
        <v>190</v>
      </c>
      <c r="F1187" t="s">
        <v>191</v>
      </c>
      <c r="G1187" t="s">
        <v>34</v>
      </c>
      <c r="H1187" t="s">
        <v>141</v>
      </c>
      <c r="I1187">
        <v>5</v>
      </c>
      <c r="J1187" s="3">
        <v>160000</v>
      </c>
      <c r="K1187" s="3">
        <v>123600</v>
      </c>
      <c r="L1187" t="s">
        <v>96</v>
      </c>
      <c r="M1187" t="s">
        <v>51</v>
      </c>
      <c r="N1187" t="s">
        <v>23</v>
      </c>
      <c r="O1187" t="s">
        <v>45</v>
      </c>
    </row>
    <row r="1188" spans="1:15" x14ac:dyDescent="0.35">
      <c r="A1188" t="s">
        <v>2163</v>
      </c>
      <c r="B1188" s="2">
        <v>46195</v>
      </c>
      <c r="C1188" t="s">
        <v>1140</v>
      </c>
      <c r="D1188" t="s">
        <v>1643</v>
      </c>
      <c r="E1188" t="s">
        <v>41</v>
      </c>
      <c r="F1188" t="s">
        <v>42</v>
      </c>
      <c r="G1188" t="s">
        <v>34</v>
      </c>
      <c r="H1188" t="s">
        <v>141</v>
      </c>
      <c r="I1188">
        <v>1</v>
      </c>
      <c r="J1188" s="3">
        <v>152000</v>
      </c>
      <c r="K1188" s="3">
        <v>120000</v>
      </c>
      <c r="L1188" t="s">
        <v>80</v>
      </c>
      <c r="M1188" t="s">
        <v>31</v>
      </c>
      <c r="N1188" t="s">
        <v>87</v>
      </c>
      <c r="O1188" t="s">
        <v>91</v>
      </c>
    </row>
    <row r="1189" spans="1:15" x14ac:dyDescent="0.35">
      <c r="A1189" t="s">
        <v>2164</v>
      </c>
      <c r="B1189" s="2">
        <v>46215</v>
      </c>
      <c r="C1189" t="s">
        <v>344</v>
      </c>
      <c r="D1189" t="s">
        <v>332</v>
      </c>
      <c r="E1189" t="s">
        <v>41</v>
      </c>
      <c r="F1189" t="s">
        <v>42</v>
      </c>
      <c r="G1189" t="s">
        <v>43</v>
      </c>
      <c r="H1189" t="s">
        <v>162</v>
      </c>
      <c r="I1189">
        <v>8</v>
      </c>
      <c r="J1189" s="3">
        <v>8000</v>
      </c>
      <c r="K1189" s="3">
        <v>4800</v>
      </c>
      <c r="L1189" t="s">
        <v>96</v>
      </c>
      <c r="M1189" t="s">
        <v>37</v>
      </c>
      <c r="N1189" t="s">
        <v>23</v>
      </c>
      <c r="O1189" t="s">
        <v>24</v>
      </c>
    </row>
    <row r="1190" spans="1:15" x14ac:dyDescent="0.35">
      <c r="A1190" t="s">
        <v>2165</v>
      </c>
      <c r="B1190" s="2">
        <v>46045</v>
      </c>
      <c r="C1190" t="s">
        <v>733</v>
      </c>
      <c r="D1190" t="s">
        <v>1048</v>
      </c>
      <c r="E1190" t="s">
        <v>18</v>
      </c>
      <c r="F1190" t="s">
        <v>18</v>
      </c>
      <c r="G1190" t="s">
        <v>19</v>
      </c>
      <c r="H1190" t="s">
        <v>20</v>
      </c>
      <c r="I1190">
        <v>5</v>
      </c>
      <c r="J1190" s="3">
        <v>65000</v>
      </c>
      <c r="K1190" s="3">
        <v>45000</v>
      </c>
      <c r="L1190" t="s">
        <v>96</v>
      </c>
      <c r="M1190" t="s">
        <v>37</v>
      </c>
      <c r="N1190" t="s">
        <v>87</v>
      </c>
      <c r="O1190" t="s">
        <v>45</v>
      </c>
    </row>
    <row r="1191" spans="1:15" x14ac:dyDescent="0.35">
      <c r="A1191" t="s">
        <v>2166</v>
      </c>
      <c r="B1191" s="2">
        <v>46140</v>
      </c>
      <c r="C1191" t="s">
        <v>554</v>
      </c>
      <c r="D1191" t="s">
        <v>247</v>
      </c>
      <c r="E1191" t="s">
        <v>18</v>
      </c>
      <c r="F1191" t="s">
        <v>18</v>
      </c>
      <c r="G1191" t="s">
        <v>19</v>
      </c>
      <c r="H1191" t="s">
        <v>20</v>
      </c>
      <c r="I1191">
        <v>3</v>
      </c>
      <c r="J1191" s="3">
        <v>61800</v>
      </c>
      <c r="K1191" s="3">
        <v>43600</v>
      </c>
      <c r="L1191" t="s">
        <v>96</v>
      </c>
      <c r="M1191" t="s">
        <v>31</v>
      </c>
      <c r="N1191" t="s">
        <v>23</v>
      </c>
      <c r="O1191" t="s">
        <v>24</v>
      </c>
    </row>
    <row r="1192" spans="1:15" x14ac:dyDescent="0.35">
      <c r="A1192" t="s">
        <v>2167</v>
      </c>
      <c r="B1192" s="2">
        <v>46148</v>
      </c>
      <c r="C1192" t="s">
        <v>506</v>
      </c>
      <c r="D1192" t="s">
        <v>911</v>
      </c>
      <c r="E1192" t="s">
        <v>190</v>
      </c>
      <c r="F1192" t="s">
        <v>191</v>
      </c>
      <c r="G1192" t="s">
        <v>43</v>
      </c>
      <c r="H1192" t="s">
        <v>44</v>
      </c>
      <c r="I1192">
        <v>4</v>
      </c>
      <c r="J1192" s="3">
        <v>14200</v>
      </c>
      <c r="K1192" s="3">
        <v>9200</v>
      </c>
      <c r="L1192" t="s">
        <v>21</v>
      </c>
      <c r="M1192" t="s">
        <v>37</v>
      </c>
      <c r="N1192" t="s">
        <v>52</v>
      </c>
      <c r="O1192" t="s">
        <v>24</v>
      </c>
    </row>
    <row r="1193" spans="1:15" x14ac:dyDescent="0.35">
      <c r="A1193" t="s">
        <v>2168</v>
      </c>
      <c r="B1193" s="2">
        <v>46059</v>
      </c>
      <c r="C1193" t="s">
        <v>1166</v>
      </c>
      <c r="D1193" t="s">
        <v>1104</v>
      </c>
      <c r="E1193" t="s">
        <v>156</v>
      </c>
      <c r="F1193" t="s">
        <v>157</v>
      </c>
      <c r="G1193" t="s">
        <v>43</v>
      </c>
      <c r="H1193" t="s">
        <v>44</v>
      </c>
      <c r="I1193">
        <v>6</v>
      </c>
      <c r="J1193" s="3">
        <v>14200</v>
      </c>
      <c r="K1193" s="3">
        <v>9800</v>
      </c>
      <c r="L1193" t="s">
        <v>36</v>
      </c>
      <c r="M1193" t="s">
        <v>51</v>
      </c>
      <c r="N1193" t="s">
        <v>52</v>
      </c>
      <c r="O1193" t="s">
        <v>24</v>
      </c>
    </row>
    <row r="1194" spans="1:15" x14ac:dyDescent="0.35">
      <c r="A1194" t="s">
        <v>2169</v>
      </c>
      <c r="B1194" s="2">
        <v>46295</v>
      </c>
      <c r="C1194" t="s">
        <v>2024</v>
      </c>
      <c r="D1194" t="s">
        <v>297</v>
      </c>
      <c r="E1194" t="s">
        <v>18</v>
      </c>
      <c r="F1194" t="s">
        <v>18</v>
      </c>
      <c r="G1194" t="s">
        <v>19</v>
      </c>
      <c r="H1194" t="s">
        <v>20</v>
      </c>
      <c r="I1194">
        <v>10</v>
      </c>
      <c r="J1194" s="3">
        <v>65000</v>
      </c>
      <c r="K1194" s="3">
        <v>46400</v>
      </c>
      <c r="L1194" t="s">
        <v>73</v>
      </c>
      <c r="M1194" t="s">
        <v>51</v>
      </c>
      <c r="N1194" t="s">
        <v>87</v>
      </c>
      <c r="O1194" t="s">
        <v>24</v>
      </c>
    </row>
    <row r="1195" spans="1:15" x14ac:dyDescent="0.35">
      <c r="A1195" t="s">
        <v>2170</v>
      </c>
      <c r="B1195" s="2">
        <v>46340</v>
      </c>
      <c r="C1195" t="s">
        <v>727</v>
      </c>
      <c r="D1195" t="s">
        <v>1267</v>
      </c>
      <c r="E1195" t="s">
        <v>18</v>
      </c>
      <c r="F1195" t="s">
        <v>18</v>
      </c>
      <c r="G1195" t="s">
        <v>43</v>
      </c>
      <c r="H1195" t="s">
        <v>79</v>
      </c>
      <c r="I1195">
        <v>8</v>
      </c>
      <c r="J1195" s="3">
        <v>6000</v>
      </c>
      <c r="K1195" s="3">
        <v>4100</v>
      </c>
      <c r="L1195" t="s">
        <v>73</v>
      </c>
      <c r="M1195" t="s">
        <v>51</v>
      </c>
      <c r="N1195" t="s">
        <v>52</v>
      </c>
      <c r="O1195" t="s">
        <v>24</v>
      </c>
    </row>
    <row r="1196" spans="1:15" x14ac:dyDescent="0.35">
      <c r="A1196" t="s">
        <v>2171</v>
      </c>
      <c r="B1196" s="2">
        <v>46368</v>
      </c>
      <c r="C1196" t="s">
        <v>949</v>
      </c>
      <c r="D1196" t="s">
        <v>247</v>
      </c>
      <c r="E1196" t="s">
        <v>84</v>
      </c>
      <c r="F1196" t="s">
        <v>85</v>
      </c>
      <c r="G1196" t="s">
        <v>34</v>
      </c>
      <c r="H1196" t="s">
        <v>158</v>
      </c>
      <c r="I1196">
        <v>10</v>
      </c>
      <c r="J1196" s="3">
        <v>95000</v>
      </c>
      <c r="K1196" s="3">
        <v>72100</v>
      </c>
      <c r="L1196" t="s">
        <v>73</v>
      </c>
      <c r="M1196" t="s">
        <v>31</v>
      </c>
      <c r="N1196" t="s">
        <v>52</v>
      </c>
      <c r="O1196" t="s">
        <v>24</v>
      </c>
    </row>
    <row r="1197" spans="1:15" x14ac:dyDescent="0.35">
      <c r="A1197" t="s">
        <v>2172</v>
      </c>
      <c r="B1197" s="2">
        <v>46036</v>
      </c>
      <c r="C1197" t="s">
        <v>1665</v>
      </c>
      <c r="D1197" t="s">
        <v>613</v>
      </c>
      <c r="E1197" t="s">
        <v>18</v>
      </c>
      <c r="F1197" t="s">
        <v>18</v>
      </c>
      <c r="G1197" t="s">
        <v>43</v>
      </c>
      <c r="H1197" t="s">
        <v>44</v>
      </c>
      <c r="I1197">
        <v>5</v>
      </c>
      <c r="J1197" s="3">
        <v>15800</v>
      </c>
      <c r="K1197" s="3">
        <v>9200</v>
      </c>
      <c r="L1197" t="s">
        <v>80</v>
      </c>
      <c r="M1197" t="s">
        <v>51</v>
      </c>
      <c r="N1197" t="s">
        <v>23</v>
      </c>
      <c r="O1197" t="s">
        <v>24</v>
      </c>
    </row>
    <row r="1198" spans="1:15" x14ac:dyDescent="0.35">
      <c r="A1198" t="s">
        <v>2173</v>
      </c>
      <c r="B1198" s="2">
        <v>46060</v>
      </c>
      <c r="C1198" t="s">
        <v>444</v>
      </c>
      <c r="D1198" t="s">
        <v>2174</v>
      </c>
      <c r="E1198" t="s">
        <v>18</v>
      </c>
      <c r="F1198" t="s">
        <v>18</v>
      </c>
      <c r="G1198" t="s">
        <v>34</v>
      </c>
      <c r="H1198" t="s">
        <v>141</v>
      </c>
      <c r="I1198">
        <v>4</v>
      </c>
      <c r="J1198" s="3">
        <v>152000</v>
      </c>
      <c r="K1198" s="3">
        <v>120000</v>
      </c>
      <c r="L1198" t="s">
        <v>36</v>
      </c>
      <c r="M1198" t="s">
        <v>51</v>
      </c>
      <c r="N1198" t="s">
        <v>52</v>
      </c>
      <c r="O1198" t="s">
        <v>24</v>
      </c>
    </row>
    <row r="1199" spans="1:15" x14ac:dyDescent="0.35">
      <c r="A1199" t="s">
        <v>2175</v>
      </c>
      <c r="B1199" s="2">
        <v>46211</v>
      </c>
      <c r="C1199" t="s">
        <v>952</v>
      </c>
      <c r="D1199" t="s">
        <v>1497</v>
      </c>
      <c r="E1199" t="s">
        <v>156</v>
      </c>
      <c r="F1199" t="s">
        <v>170</v>
      </c>
      <c r="G1199" t="s">
        <v>28</v>
      </c>
      <c r="H1199" t="s">
        <v>29</v>
      </c>
      <c r="I1199">
        <v>9</v>
      </c>
      <c r="J1199" s="3">
        <v>7000</v>
      </c>
      <c r="K1199" s="3">
        <v>4100</v>
      </c>
      <c r="L1199" t="s">
        <v>96</v>
      </c>
      <c r="M1199" t="s">
        <v>51</v>
      </c>
      <c r="N1199" t="s">
        <v>87</v>
      </c>
      <c r="O1199" t="s">
        <v>45</v>
      </c>
    </row>
    <row r="1200" spans="1:15" x14ac:dyDescent="0.35">
      <c r="A1200" t="s">
        <v>2176</v>
      </c>
      <c r="B1200" s="2">
        <v>46356</v>
      </c>
      <c r="C1200" t="s">
        <v>2177</v>
      </c>
      <c r="D1200" t="s">
        <v>291</v>
      </c>
      <c r="E1200" t="s">
        <v>56</v>
      </c>
      <c r="F1200" t="s">
        <v>57</v>
      </c>
      <c r="G1200" t="s">
        <v>43</v>
      </c>
      <c r="H1200" t="s">
        <v>162</v>
      </c>
      <c r="I1200">
        <v>8</v>
      </c>
      <c r="J1200" s="3">
        <v>8400</v>
      </c>
      <c r="K1200" s="3">
        <v>4800</v>
      </c>
      <c r="L1200" t="s">
        <v>66</v>
      </c>
      <c r="M1200" t="s">
        <v>51</v>
      </c>
      <c r="N1200" t="s">
        <v>23</v>
      </c>
      <c r="O1200" t="s">
        <v>45</v>
      </c>
    </row>
    <row r="1201" spans="1:15" x14ac:dyDescent="0.35">
      <c r="A1201" t="s">
        <v>2178</v>
      </c>
      <c r="B1201" s="2">
        <v>46274</v>
      </c>
      <c r="C1201" t="s">
        <v>240</v>
      </c>
      <c r="D1201" t="s">
        <v>1434</v>
      </c>
      <c r="E1201" t="s">
        <v>18</v>
      </c>
      <c r="F1201" t="s">
        <v>18</v>
      </c>
      <c r="G1201" t="s">
        <v>28</v>
      </c>
      <c r="H1201" t="s">
        <v>248</v>
      </c>
      <c r="I1201">
        <v>1</v>
      </c>
      <c r="J1201" s="3">
        <v>25000</v>
      </c>
      <c r="K1201" s="3">
        <v>16500</v>
      </c>
      <c r="L1201" t="s">
        <v>96</v>
      </c>
      <c r="M1201" t="s">
        <v>37</v>
      </c>
      <c r="N1201" t="s">
        <v>52</v>
      </c>
      <c r="O1201" t="s">
        <v>24</v>
      </c>
    </row>
    <row r="1202" spans="1:15" x14ac:dyDescent="0.35">
      <c r="A1202" t="s">
        <v>2179</v>
      </c>
      <c r="B1202" s="2">
        <v>46253</v>
      </c>
      <c r="C1202" t="s">
        <v>766</v>
      </c>
      <c r="D1202" t="s">
        <v>422</v>
      </c>
      <c r="E1202" t="s">
        <v>84</v>
      </c>
      <c r="F1202" t="s">
        <v>85</v>
      </c>
      <c r="G1202" t="s">
        <v>28</v>
      </c>
      <c r="H1202" t="s">
        <v>65</v>
      </c>
      <c r="I1202">
        <v>9</v>
      </c>
      <c r="J1202" s="3">
        <v>12000</v>
      </c>
      <c r="K1202" s="3">
        <v>7300</v>
      </c>
      <c r="L1202" t="s">
        <v>96</v>
      </c>
      <c r="M1202" t="s">
        <v>37</v>
      </c>
      <c r="N1202" t="s">
        <v>52</v>
      </c>
      <c r="O1202" t="s">
        <v>24</v>
      </c>
    </row>
    <row r="1203" spans="1:15" x14ac:dyDescent="0.35">
      <c r="A1203" t="s">
        <v>2180</v>
      </c>
      <c r="B1203" s="2">
        <v>46370</v>
      </c>
      <c r="C1203" t="s">
        <v>580</v>
      </c>
      <c r="D1203" t="s">
        <v>391</v>
      </c>
      <c r="E1203" t="s">
        <v>18</v>
      </c>
      <c r="F1203" t="s">
        <v>18</v>
      </c>
      <c r="G1203" t="s">
        <v>34</v>
      </c>
      <c r="H1203" t="s">
        <v>35</v>
      </c>
      <c r="I1203">
        <v>5</v>
      </c>
      <c r="J1203" s="3">
        <v>55000</v>
      </c>
      <c r="K1203" s="3">
        <v>37800</v>
      </c>
      <c r="L1203" t="s">
        <v>21</v>
      </c>
      <c r="M1203" t="s">
        <v>37</v>
      </c>
      <c r="N1203" t="s">
        <v>52</v>
      </c>
      <c r="O1203" t="s">
        <v>24</v>
      </c>
    </row>
    <row r="1204" spans="1:15" x14ac:dyDescent="0.35">
      <c r="A1204" t="s">
        <v>2181</v>
      </c>
      <c r="B1204" s="2">
        <v>46134</v>
      </c>
      <c r="C1204" t="s">
        <v>405</v>
      </c>
      <c r="D1204" t="s">
        <v>572</v>
      </c>
      <c r="E1204" t="s">
        <v>56</v>
      </c>
      <c r="F1204" t="s">
        <v>57</v>
      </c>
      <c r="G1204" t="s">
        <v>19</v>
      </c>
      <c r="H1204" t="s">
        <v>166</v>
      </c>
      <c r="I1204">
        <v>3</v>
      </c>
      <c r="J1204" s="3">
        <v>133000</v>
      </c>
      <c r="K1204" s="3">
        <v>100000</v>
      </c>
      <c r="L1204" t="s">
        <v>80</v>
      </c>
      <c r="M1204" t="s">
        <v>37</v>
      </c>
      <c r="N1204" t="s">
        <v>23</v>
      </c>
      <c r="O1204" t="s">
        <v>24</v>
      </c>
    </row>
    <row r="1205" spans="1:15" x14ac:dyDescent="0.35">
      <c r="A1205" t="s">
        <v>2182</v>
      </c>
      <c r="B1205" s="2">
        <v>46121</v>
      </c>
      <c r="C1205" t="s">
        <v>557</v>
      </c>
      <c r="D1205" t="s">
        <v>297</v>
      </c>
      <c r="E1205" t="s">
        <v>156</v>
      </c>
      <c r="F1205" t="s">
        <v>170</v>
      </c>
      <c r="G1205" t="s">
        <v>19</v>
      </c>
      <c r="H1205" t="s">
        <v>61</v>
      </c>
      <c r="I1205">
        <v>9</v>
      </c>
      <c r="J1205" s="3">
        <v>231000</v>
      </c>
      <c r="K1205" s="3">
        <v>164800</v>
      </c>
      <c r="L1205" t="s">
        <v>30</v>
      </c>
      <c r="M1205" t="s">
        <v>37</v>
      </c>
      <c r="N1205" t="s">
        <v>23</v>
      </c>
      <c r="O1205" t="s">
        <v>24</v>
      </c>
    </row>
    <row r="1206" spans="1:15" x14ac:dyDescent="0.35">
      <c r="A1206" t="s">
        <v>2183</v>
      </c>
      <c r="B1206" s="2">
        <v>46051</v>
      </c>
      <c r="C1206" t="s">
        <v>947</v>
      </c>
      <c r="D1206" t="s">
        <v>2184</v>
      </c>
      <c r="E1206" t="s">
        <v>156</v>
      </c>
      <c r="F1206" t="s">
        <v>157</v>
      </c>
      <c r="G1206" t="s">
        <v>43</v>
      </c>
      <c r="H1206" t="s">
        <v>44</v>
      </c>
      <c r="I1206">
        <v>5</v>
      </c>
      <c r="J1206" s="3">
        <v>15800</v>
      </c>
      <c r="K1206" s="3">
        <v>9500</v>
      </c>
      <c r="L1206" t="s">
        <v>73</v>
      </c>
      <c r="M1206" t="s">
        <v>22</v>
      </c>
      <c r="N1206" t="s">
        <v>23</v>
      </c>
      <c r="O1206" t="s">
        <v>24</v>
      </c>
    </row>
    <row r="1207" spans="1:15" x14ac:dyDescent="0.35">
      <c r="A1207" t="s">
        <v>2185</v>
      </c>
      <c r="B1207" s="2">
        <v>46085</v>
      </c>
      <c r="C1207" t="s">
        <v>136</v>
      </c>
      <c r="D1207" t="s">
        <v>294</v>
      </c>
      <c r="E1207" t="s">
        <v>41</v>
      </c>
      <c r="F1207" t="s">
        <v>42</v>
      </c>
      <c r="G1207" t="s">
        <v>34</v>
      </c>
      <c r="H1207" t="s">
        <v>95</v>
      </c>
      <c r="I1207">
        <v>4</v>
      </c>
      <c r="J1207" s="3">
        <v>450000</v>
      </c>
      <c r="K1207" s="3">
        <v>358900</v>
      </c>
      <c r="L1207" t="s">
        <v>66</v>
      </c>
      <c r="M1207" t="s">
        <v>37</v>
      </c>
      <c r="N1207" t="s">
        <v>23</v>
      </c>
      <c r="O1207" t="s">
        <v>45</v>
      </c>
    </row>
    <row r="1208" spans="1:15" x14ac:dyDescent="0.35">
      <c r="A1208" t="s">
        <v>2186</v>
      </c>
      <c r="B1208" s="2">
        <v>46181</v>
      </c>
      <c r="C1208" t="s">
        <v>1653</v>
      </c>
      <c r="D1208" t="s">
        <v>636</v>
      </c>
      <c r="E1208" t="s">
        <v>84</v>
      </c>
      <c r="F1208" t="s">
        <v>85</v>
      </c>
      <c r="G1208" t="s">
        <v>43</v>
      </c>
      <c r="H1208" t="s">
        <v>49</v>
      </c>
      <c r="I1208">
        <v>6</v>
      </c>
      <c r="J1208" s="3">
        <v>9000</v>
      </c>
      <c r="K1208" s="3">
        <v>5800</v>
      </c>
      <c r="L1208" t="s">
        <v>80</v>
      </c>
      <c r="M1208" t="s">
        <v>51</v>
      </c>
      <c r="N1208" t="s">
        <v>23</v>
      </c>
      <c r="O1208" t="s">
        <v>24</v>
      </c>
    </row>
    <row r="1209" spans="1:15" x14ac:dyDescent="0.35">
      <c r="A1209" t="s">
        <v>2187</v>
      </c>
      <c r="B1209" s="2">
        <v>46081</v>
      </c>
      <c r="C1209" t="s">
        <v>562</v>
      </c>
      <c r="D1209" t="s">
        <v>1412</v>
      </c>
      <c r="E1209" t="s">
        <v>18</v>
      </c>
      <c r="F1209" t="s">
        <v>18</v>
      </c>
      <c r="G1209" t="s">
        <v>34</v>
      </c>
      <c r="H1209" t="s">
        <v>86</v>
      </c>
      <c r="I1209">
        <v>3</v>
      </c>
      <c r="J1209" s="3">
        <v>189000</v>
      </c>
      <c r="K1209" s="3">
        <v>131000</v>
      </c>
      <c r="L1209" t="s">
        <v>96</v>
      </c>
      <c r="M1209" t="s">
        <v>22</v>
      </c>
      <c r="N1209" t="s">
        <v>87</v>
      </c>
      <c r="O1209" t="s">
        <v>24</v>
      </c>
    </row>
    <row r="1210" spans="1:15" x14ac:dyDescent="0.35">
      <c r="A1210" t="s">
        <v>2188</v>
      </c>
      <c r="B1210" s="2">
        <v>46054</v>
      </c>
      <c r="C1210" t="s">
        <v>427</v>
      </c>
      <c r="D1210" t="s">
        <v>1315</v>
      </c>
      <c r="E1210" t="s">
        <v>56</v>
      </c>
      <c r="F1210" t="s">
        <v>57</v>
      </c>
      <c r="G1210" t="s">
        <v>34</v>
      </c>
      <c r="H1210" t="s">
        <v>141</v>
      </c>
      <c r="I1210">
        <v>4</v>
      </c>
      <c r="J1210" s="3">
        <v>160000</v>
      </c>
      <c r="K1210" s="3">
        <v>123600</v>
      </c>
      <c r="L1210" t="s">
        <v>66</v>
      </c>
      <c r="M1210" t="s">
        <v>37</v>
      </c>
      <c r="N1210" t="s">
        <v>52</v>
      </c>
      <c r="O1210" t="s">
        <v>24</v>
      </c>
    </row>
    <row r="1211" spans="1:15" x14ac:dyDescent="0.35">
      <c r="A1211" t="s">
        <v>2189</v>
      </c>
      <c r="B1211" s="2">
        <v>46218</v>
      </c>
      <c r="C1211" t="s">
        <v>1532</v>
      </c>
      <c r="D1211" t="s">
        <v>64</v>
      </c>
      <c r="E1211" t="s">
        <v>18</v>
      </c>
      <c r="F1211" t="s">
        <v>18</v>
      </c>
      <c r="G1211" t="s">
        <v>34</v>
      </c>
      <c r="H1211" t="s">
        <v>158</v>
      </c>
      <c r="I1211">
        <v>4</v>
      </c>
      <c r="J1211" s="3">
        <v>99800</v>
      </c>
      <c r="K1211" s="3">
        <v>70000</v>
      </c>
      <c r="L1211" t="s">
        <v>80</v>
      </c>
      <c r="M1211" t="s">
        <v>37</v>
      </c>
      <c r="N1211" t="s">
        <v>23</v>
      </c>
      <c r="O1211" t="s">
        <v>24</v>
      </c>
    </row>
    <row r="1212" spans="1:15" x14ac:dyDescent="0.35">
      <c r="A1212" t="s">
        <v>2190</v>
      </c>
      <c r="B1212" s="2">
        <v>46279</v>
      </c>
      <c r="C1212" t="s">
        <v>1780</v>
      </c>
      <c r="D1212" t="s">
        <v>893</v>
      </c>
      <c r="E1212" t="s">
        <v>18</v>
      </c>
      <c r="F1212" t="s">
        <v>18</v>
      </c>
      <c r="G1212" t="s">
        <v>34</v>
      </c>
      <c r="H1212" t="s">
        <v>95</v>
      </c>
      <c r="I1212">
        <v>5</v>
      </c>
      <c r="J1212" s="3">
        <v>472500</v>
      </c>
      <c r="K1212" s="3">
        <v>370000</v>
      </c>
      <c r="L1212" t="s">
        <v>96</v>
      </c>
      <c r="M1212" t="s">
        <v>37</v>
      </c>
      <c r="N1212" t="s">
        <v>23</v>
      </c>
      <c r="O1212" t="s">
        <v>24</v>
      </c>
    </row>
    <row r="1213" spans="1:15" x14ac:dyDescent="0.35">
      <c r="A1213" t="s">
        <v>2191</v>
      </c>
      <c r="B1213" s="2">
        <v>46123</v>
      </c>
      <c r="C1213" t="s">
        <v>569</v>
      </c>
      <c r="D1213" t="s">
        <v>1012</v>
      </c>
      <c r="E1213" t="s">
        <v>70</v>
      </c>
      <c r="F1213" t="s">
        <v>71</v>
      </c>
      <c r="G1213" t="s">
        <v>19</v>
      </c>
      <c r="H1213" t="s">
        <v>112</v>
      </c>
      <c r="I1213">
        <v>9</v>
      </c>
      <c r="J1213" s="3">
        <v>85000</v>
      </c>
      <c r="K1213" s="3">
        <v>62000</v>
      </c>
      <c r="L1213" t="s">
        <v>66</v>
      </c>
      <c r="M1213" t="s">
        <v>37</v>
      </c>
      <c r="N1213" t="s">
        <v>87</v>
      </c>
      <c r="O1213" t="s">
        <v>24</v>
      </c>
    </row>
    <row r="1214" spans="1:15" x14ac:dyDescent="0.35">
      <c r="A1214" t="s">
        <v>2192</v>
      </c>
      <c r="B1214" s="2">
        <v>46381</v>
      </c>
      <c r="C1214" t="s">
        <v>1040</v>
      </c>
      <c r="D1214" t="s">
        <v>1195</v>
      </c>
      <c r="E1214" t="s">
        <v>70</v>
      </c>
      <c r="F1214" t="s">
        <v>71</v>
      </c>
      <c r="G1214" t="s">
        <v>34</v>
      </c>
      <c r="H1214" t="s">
        <v>141</v>
      </c>
      <c r="I1214">
        <v>9</v>
      </c>
      <c r="J1214" s="3">
        <v>168000</v>
      </c>
      <c r="K1214" s="3">
        <v>116400</v>
      </c>
      <c r="L1214" t="s">
        <v>96</v>
      </c>
      <c r="M1214" t="s">
        <v>31</v>
      </c>
      <c r="N1214" t="s">
        <v>52</v>
      </c>
      <c r="O1214" t="s">
        <v>24</v>
      </c>
    </row>
    <row r="1215" spans="1:15" x14ac:dyDescent="0.35">
      <c r="A1215" t="s">
        <v>2193</v>
      </c>
      <c r="B1215" s="2">
        <v>46077</v>
      </c>
      <c r="C1215" t="s">
        <v>1780</v>
      </c>
      <c r="D1215" t="s">
        <v>1738</v>
      </c>
      <c r="E1215" t="s">
        <v>190</v>
      </c>
      <c r="F1215" t="s">
        <v>191</v>
      </c>
      <c r="G1215" t="s">
        <v>19</v>
      </c>
      <c r="H1215" t="s">
        <v>112</v>
      </c>
      <c r="I1215">
        <v>1</v>
      </c>
      <c r="J1215" s="3">
        <v>80800</v>
      </c>
      <c r="K1215" s="3">
        <v>60100</v>
      </c>
      <c r="L1215" t="s">
        <v>66</v>
      </c>
      <c r="M1215" t="s">
        <v>37</v>
      </c>
      <c r="N1215" t="s">
        <v>23</v>
      </c>
      <c r="O1215" t="s">
        <v>24</v>
      </c>
    </row>
    <row r="1216" spans="1:15" x14ac:dyDescent="0.35">
      <c r="A1216" t="s">
        <v>2194</v>
      </c>
      <c r="B1216" s="2">
        <v>46299</v>
      </c>
      <c r="C1216" t="s">
        <v>481</v>
      </c>
      <c r="D1216" t="s">
        <v>814</v>
      </c>
      <c r="E1216" t="s">
        <v>70</v>
      </c>
      <c r="F1216" t="s">
        <v>71</v>
      </c>
      <c r="G1216" t="s">
        <v>43</v>
      </c>
      <c r="H1216" t="s">
        <v>79</v>
      </c>
      <c r="I1216">
        <v>3</v>
      </c>
      <c r="J1216" s="3">
        <v>6000</v>
      </c>
      <c r="K1216" s="3">
        <v>4300</v>
      </c>
      <c r="L1216" t="s">
        <v>30</v>
      </c>
      <c r="M1216" t="s">
        <v>51</v>
      </c>
      <c r="N1216" t="s">
        <v>52</v>
      </c>
      <c r="O1216" t="s">
        <v>91</v>
      </c>
    </row>
    <row r="1217" spans="1:15" x14ac:dyDescent="0.35">
      <c r="A1217" t="s">
        <v>2195</v>
      </c>
      <c r="B1217" s="2">
        <v>46179</v>
      </c>
      <c r="C1217" t="s">
        <v>683</v>
      </c>
      <c r="D1217" t="s">
        <v>422</v>
      </c>
      <c r="E1217" t="s">
        <v>156</v>
      </c>
      <c r="F1217" t="s">
        <v>170</v>
      </c>
      <c r="G1217" t="s">
        <v>43</v>
      </c>
      <c r="H1217" t="s">
        <v>79</v>
      </c>
      <c r="I1217">
        <v>2</v>
      </c>
      <c r="J1217" s="3">
        <v>5700</v>
      </c>
      <c r="K1217" s="3">
        <v>4300</v>
      </c>
      <c r="L1217" t="s">
        <v>66</v>
      </c>
      <c r="M1217" t="s">
        <v>31</v>
      </c>
      <c r="N1217" t="s">
        <v>23</v>
      </c>
      <c r="O1217" t="s">
        <v>24</v>
      </c>
    </row>
    <row r="1218" spans="1:15" x14ac:dyDescent="0.35">
      <c r="A1218" t="s">
        <v>2196</v>
      </c>
      <c r="B1218" s="2">
        <v>46124</v>
      </c>
      <c r="C1218" t="s">
        <v>1414</v>
      </c>
      <c r="D1218" t="s">
        <v>498</v>
      </c>
      <c r="E1218" t="s">
        <v>18</v>
      </c>
      <c r="F1218" t="s">
        <v>18</v>
      </c>
      <c r="G1218" t="s">
        <v>28</v>
      </c>
      <c r="H1218" t="s">
        <v>248</v>
      </c>
      <c r="I1218">
        <v>4</v>
      </c>
      <c r="J1218" s="3">
        <v>23800</v>
      </c>
      <c r="K1218" s="3">
        <v>16500</v>
      </c>
      <c r="L1218" t="s">
        <v>73</v>
      </c>
      <c r="M1218" t="s">
        <v>22</v>
      </c>
      <c r="N1218" t="s">
        <v>52</v>
      </c>
      <c r="O1218" t="s">
        <v>24</v>
      </c>
    </row>
    <row r="1219" spans="1:15" x14ac:dyDescent="0.35">
      <c r="A1219" t="s">
        <v>2197</v>
      </c>
      <c r="B1219" s="2">
        <v>46281</v>
      </c>
      <c r="C1219" t="s">
        <v>1715</v>
      </c>
      <c r="D1219" t="s">
        <v>321</v>
      </c>
      <c r="E1219" t="s">
        <v>77</v>
      </c>
      <c r="F1219" t="s">
        <v>78</v>
      </c>
      <c r="G1219" t="s">
        <v>34</v>
      </c>
      <c r="H1219" t="s">
        <v>141</v>
      </c>
      <c r="I1219">
        <v>4</v>
      </c>
      <c r="J1219" s="3">
        <v>160000</v>
      </c>
      <c r="K1219" s="3">
        <v>116400</v>
      </c>
      <c r="L1219" t="s">
        <v>96</v>
      </c>
      <c r="M1219" t="s">
        <v>37</v>
      </c>
      <c r="N1219" t="s">
        <v>52</v>
      </c>
      <c r="O1219" t="s">
        <v>24</v>
      </c>
    </row>
    <row r="1220" spans="1:15" x14ac:dyDescent="0.35">
      <c r="A1220" t="s">
        <v>2198</v>
      </c>
      <c r="B1220" s="2">
        <v>46098</v>
      </c>
      <c r="C1220" t="s">
        <v>943</v>
      </c>
      <c r="D1220" t="s">
        <v>1686</v>
      </c>
      <c r="E1220" t="s">
        <v>18</v>
      </c>
      <c r="F1220" t="s">
        <v>18</v>
      </c>
      <c r="G1220" t="s">
        <v>28</v>
      </c>
      <c r="H1220" t="s">
        <v>131</v>
      </c>
      <c r="I1220">
        <v>5</v>
      </c>
      <c r="J1220" s="3">
        <v>28500</v>
      </c>
      <c r="K1220" s="3">
        <v>18400</v>
      </c>
      <c r="L1220" t="s">
        <v>80</v>
      </c>
      <c r="M1220" t="s">
        <v>51</v>
      </c>
      <c r="N1220" t="s">
        <v>23</v>
      </c>
      <c r="O1220" t="s">
        <v>24</v>
      </c>
    </row>
    <row r="1221" spans="1:15" x14ac:dyDescent="0.35">
      <c r="A1221" t="s">
        <v>2199</v>
      </c>
      <c r="B1221" s="2">
        <v>46208</v>
      </c>
      <c r="C1221" t="s">
        <v>1072</v>
      </c>
      <c r="D1221" t="s">
        <v>2152</v>
      </c>
      <c r="E1221" t="s">
        <v>41</v>
      </c>
      <c r="F1221" t="s">
        <v>42</v>
      </c>
      <c r="G1221" t="s">
        <v>34</v>
      </c>
      <c r="H1221" t="s">
        <v>141</v>
      </c>
      <c r="I1221">
        <v>6</v>
      </c>
      <c r="J1221" s="3">
        <v>152000</v>
      </c>
      <c r="K1221" s="3">
        <v>116400</v>
      </c>
      <c r="L1221" t="s">
        <v>73</v>
      </c>
      <c r="M1221" t="s">
        <v>37</v>
      </c>
      <c r="N1221" t="s">
        <v>23</v>
      </c>
      <c r="O1221" t="s">
        <v>24</v>
      </c>
    </row>
    <row r="1222" spans="1:15" x14ac:dyDescent="0.35">
      <c r="A1222" t="s">
        <v>2200</v>
      </c>
      <c r="B1222" s="2">
        <v>46214</v>
      </c>
      <c r="C1222" t="s">
        <v>376</v>
      </c>
      <c r="D1222" t="s">
        <v>498</v>
      </c>
      <c r="E1222" t="s">
        <v>18</v>
      </c>
      <c r="F1222" t="s">
        <v>18</v>
      </c>
      <c r="G1222" t="s">
        <v>19</v>
      </c>
      <c r="H1222" t="s">
        <v>166</v>
      </c>
      <c r="I1222">
        <v>7</v>
      </c>
      <c r="J1222" s="3">
        <v>140000</v>
      </c>
      <c r="K1222" s="3">
        <v>103000</v>
      </c>
      <c r="L1222" t="s">
        <v>36</v>
      </c>
      <c r="M1222" t="s">
        <v>31</v>
      </c>
      <c r="N1222" t="s">
        <v>52</v>
      </c>
      <c r="O1222" t="s">
        <v>24</v>
      </c>
    </row>
    <row r="1223" spans="1:15" x14ac:dyDescent="0.35">
      <c r="A1223" t="s">
        <v>2201</v>
      </c>
      <c r="B1223" s="2">
        <v>46193</v>
      </c>
      <c r="C1223" t="s">
        <v>901</v>
      </c>
      <c r="D1223" t="s">
        <v>519</v>
      </c>
      <c r="E1223" t="s">
        <v>18</v>
      </c>
      <c r="F1223" t="s">
        <v>18</v>
      </c>
      <c r="G1223" t="s">
        <v>34</v>
      </c>
      <c r="H1223" t="s">
        <v>95</v>
      </c>
      <c r="I1223">
        <v>1</v>
      </c>
      <c r="J1223" s="3">
        <v>450000</v>
      </c>
      <c r="K1223" s="3">
        <v>370000</v>
      </c>
      <c r="L1223" t="s">
        <v>73</v>
      </c>
      <c r="M1223" t="s">
        <v>51</v>
      </c>
      <c r="N1223" t="s">
        <v>52</v>
      </c>
      <c r="O1223" t="s">
        <v>24</v>
      </c>
    </row>
    <row r="1224" spans="1:15" x14ac:dyDescent="0.35">
      <c r="A1224" t="s">
        <v>2202</v>
      </c>
      <c r="B1224" s="2">
        <v>46222</v>
      </c>
      <c r="C1224" t="s">
        <v>1442</v>
      </c>
      <c r="D1224" t="s">
        <v>1628</v>
      </c>
      <c r="E1224" t="s">
        <v>77</v>
      </c>
      <c r="F1224" t="s">
        <v>78</v>
      </c>
      <c r="G1224" t="s">
        <v>43</v>
      </c>
      <c r="H1224" t="s">
        <v>44</v>
      </c>
      <c r="I1224">
        <v>1</v>
      </c>
      <c r="J1224" s="3">
        <v>15000</v>
      </c>
      <c r="K1224" s="3">
        <v>9500</v>
      </c>
      <c r="L1224" t="s">
        <v>21</v>
      </c>
      <c r="M1224" t="s">
        <v>37</v>
      </c>
      <c r="N1224" t="s">
        <v>52</v>
      </c>
      <c r="O1224" t="s">
        <v>24</v>
      </c>
    </row>
    <row r="1225" spans="1:15" x14ac:dyDescent="0.35">
      <c r="A1225" t="s">
        <v>2203</v>
      </c>
      <c r="B1225" s="2">
        <v>46258</v>
      </c>
      <c r="C1225" t="s">
        <v>1348</v>
      </c>
      <c r="D1225" t="s">
        <v>1197</v>
      </c>
      <c r="E1225" t="s">
        <v>190</v>
      </c>
      <c r="F1225" t="s">
        <v>191</v>
      </c>
      <c r="G1225" t="s">
        <v>19</v>
      </c>
      <c r="H1225" t="s">
        <v>112</v>
      </c>
      <c r="I1225">
        <v>6</v>
      </c>
      <c r="J1225" s="3">
        <v>80800</v>
      </c>
      <c r="K1225" s="3">
        <v>60100</v>
      </c>
      <c r="L1225" t="s">
        <v>80</v>
      </c>
      <c r="M1225" t="s">
        <v>51</v>
      </c>
      <c r="N1225" t="s">
        <v>87</v>
      </c>
      <c r="O1225" t="s">
        <v>24</v>
      </c>
    </row>
    <row r="1226" spans="1:15" x14ac:dyDescent="0.35">
      <c r="A1226" t="s">
        <v>2204</v>
      </c>
      <c r="B1226" s="2">
        <v>46217</v>
      </c>
      <c r="C1226" t="s">
        <v>2205</v>
      </c>
      <c r="D1226" t="s">
        <v>1405</v>
      </c>
      <c r="E1226" t="s">
        <v>156</v>
      </c>
      <c r="F1226" t="s">
        <v>170</v>
      </c>
      <c r="G1226" t="s">
        <v>19</v>
      </c>
      <c r="H1226" t="s">
        <v>112</v>
      </c>
      <c r="I1226">
        <v>8</v>
      </c>
      <c r="J1226" s="3">
        <v>85000</v>
      </c>
      <c r="K1226" s="3">
        <v>60100</v>
      </c>
      <c r="L1226" t="s">
        <v>21</v>
      </c>
      <c r="M1226" t="s">
        <v>37</v>
      </c>
      <c r="N1226" t="s">
        <v>87</v>
      </c>
      <c r="O1226" t="s">
        <v>45</v>
      </c>
    </row>
    <row r="1227" spans="1:15" x14ac:dyDescent="0.35">
      <c r="A1227" t="s">
        <v>2206</v>
      </c>
      <c r="B1227" s="2">
        <v>46319</v>
      </c>
      <c r="C1227" t="s">
        <v>795</v>
      </c>
      <c r="D1227" t="s">
        <v>1363</v>
      </c>
      <c r="E1227" t="s">
        <v>70</v>
      </c>
      <c r="F1227" t="s">
        <v>71</v>
      </c>
      <c r="G1227" t="s">
        <v>43</v>
      </c>
      <c r="H1227" t="s">
        <v>177</v>
      </c>
      <c r="I1227">
        <v>3</v>
      </c>
      <c r="J1227" s="3">
        <v>17100</v>
      </c>
      <c r="K1227" s="3">
        <v>12100</v>
      </c>
      <c r="L1227" t="s">
        <v>80</v>
      </c>
      <c r="M1227" t="s">
        <v>31</v>
      </c>
      <c r="N1227" t="s">
        <v>52</v>
      </c>
      <c r="O1227" t="s">
        <v>24</v>
      </c>
    </row>
    <row r="1228" spans="1:15" x14ac:dyDescent="0.35">
      <c r="A1228" t="s">
        <v>2207</v>
      </c>
      <c r="B1228" s="2">
        <v>46040</v>
      </c>
      <c r="C1228" t="s">
        <v>1047</v>
      </c>
      <c r="D1228" t="s">
        <v>165</v>
      </c>
      <c r="E1228" t="s">
        <v>18</v>
      </c>
      <c r="F1228" t="s">
        <v>18</v>
      </c>
      <c r="G1228" t="s">
        <v>19</v>
      </c>
      <c r="H1228" t="s">
        <v>166</v>
      </c>
      <c r="I1228">
        <v>1</v>
      </c>
      <c r="J1228" s="3">
        <v>140000</v>
      </c>
      <c r="K1228" s="3">
        <v>100000</v>
      </c>
      <c r="L1228" t="s">
        <v>30</v>
      </c>
      <c r="M1228" t="s">
        <v>51</v>
      </c>
      <c r="N1228" t="s">
        <v>23</v>
      </c>
      <c r="O1228" t="s">
        <v>24</v>
      </c>
    </row>
    <row r="1229" spans="1:15" x14ac:dyDescent="0.35">
      <c r="A1229" t="s">
        <v>2208</v>
      </c>
      <c r="B1229" s="2">
        <v>46039</v>
      </c>
      <c r="C1229" t="s">
        <v>210</v>
      </c>
      <c r="D1229" t="s">
        <v>521</v>
      </c>
      <c r="E1229" t="s">
        <v>84</v>
      </c>
      <c r="F1229" t="s">
        <v>85</v>
      </c>
      <c r="G1229" t="s">
        <v>34</v>
      </c>
      <c r="H1229" t="s">
        <v>158</v>
      </c>
      <c r="I1229">
        <v>4</v>
      </c>
      <c r="J1229" s="3">
        <v>99800</v>
      </c>
      <c r="K1229" s="3">
        <v>72100</v>
      </c>
      <c r="L1229" t="s">
        <v>30</v>
      </c>
      <c r="M1229" t="s">
        <v>51</v>
      </c>
      <c r="N1229" t="s">
        <v>52</v>
      </c>
      <c r="O1229" t="s">
        <v>45</v>
      </c>
    </row>
    <row r="1230" spans="1:15" x14ac:dyDescent="0.35">
      <c r="A1230" t="s">
        <v>2209</v>
      </c>
      <c r="B1230" s="2">
        <v>46379</v>
      </c>
      <c r="C1230" t="s">
        <v>580</v>
      </c>
      <c r="D1230" t="s">
        <v>1591</v>
      </c>
      <c r="E1230" t="s">
        <v>18</v>
      </c>
      <c r="F1230" t="s">
        <v>18</v>
      </c>
      <c r="G1230" t="s">
        <v>19</v>
      </c>
      <c r="H1230" t="s">
        <v>112</v>
      </c>
      <c r="I1230">
        <v>3</v>
      </c>
      <c r="J1230" s="3">
        <v>85000</v>
      </c>
      <c r="K1230" s="3">
        <v>63900</v>
      </c>
      <c r="L1230" t="s">
        <v>80</v>
      </c>
      <c r="M1230" t="s">
        <v>37</v>
      </c>
      <c r="N1230" t="s">
        <v>52</v>
      </c>
      <c r="O1230" t="s">
        <v>24</v>
      </c>
    </row>
    <row r="1231" spans="1:15" x14ac:dyDescent="0.35">
      <c r="A1231" t="s">
        <v>2210</v>
      </c>
      <c r="B1231" s="2">
        <v>46181</v>
      </c>
      <c r="C1231" t="s">
        <v>2177</v>
      </c>
      <c r="D1231" t="s">
        <v>856</v>
      </c>
      <c r="E1231" t="s">
        <v>18</v>
      </c>
      <c r="F1231" t="s">
        <v>18</v>
      </c>
      <c r="G1231" t="s">
        <v>34</v>
      </c>
      <c r="H1231" t="s">
        <v>141</v>
      </c>
      <c r="I1231">
        <v>7</v>
      </c>
      <c r="J1231" s="3">
        <v>160000</v>
      </c>
      <c r="K1231" s="3">
        <v>116400</v>
      </c>
      <c r="L1231" t="s">
        <v>66</v>
      </c>
      <c r="M1231" t="s">
        <v>22</v>
      </c>
      <c r="N1231" t="s">
        <v>52</v>
      </c>
      <c r="O1231" t="s">
        <v>45</v>
      </c>
    </row>
    <row r="1232" spans="1:15" x14ac:dyDescent="0.35">
      <c r="A1232" t="s">
        <v>2211</v>
      </c>
      <c r="B1232" s="2">
        <v>46161</v>
      </c>
      <c r="C1232" t="s">
        <v>2161</v>
      </c>
      <c r="D1232" t="s">
        <v>1021</v>
      </c>
      <c r="E1232" t="s">
        <v>56</v>
      </c>
      <c r="F1232" t="s">
        <v>57</v>
      </c>
      <c r="G1232" t="s">
        <v>19</v>
      </c>
      <c r="H1232" t="s">
        <v>166</v>
      </c>
      <c r="I1232">
        <v>10</v>
      </c>
      <c r="J1232" s="3">
        <v>147000</v>
      </c>
      <c r="K1232" s="3">
        <v>100000</v>
      </c>
      <c r="L1232" t="s">
        <v>36</v>
      </c>
      <c r="M1232" t="s">
        <v>31</v>
      </c>
      <c r="N1232" t="s">
        <v>52</v>
      </c>
      <c r="O1232" t="s">
        <v>24</v>
      </c>
    </row>
    <row r="1233" spans="1:15" x14ac:dyDescent="0.35">
      <c r="A1233" t="s">
        <v>2212</v>
      </c>
      <c r="B1233" s="2">
        <v>46374</v>
      </c>
      <c r="C1233" t="s">
        <v>1207</v>
      </c>
      <c r="D1233" t="s">
        <v>2213</v>
      </c>
      <c r="E1233" t="s">
        <v>156</v>
      </c>
      <c r="F1233" t="s">
        <v>170</v>
      </c>
      <c r="G1233" t="s">
        <v>43</v>
      </c>
      <c r="H1233" t="s">
        <v>44</v>
      </c>
      <c r="I1233">
        <v>7</v>
      </c>
      <c r="J1233" s="3">
        <v>15000</v>
      </c>
      <c r="K1233" s="3">
        <v>9500</v>
      </c>
      <c r="L1233" t="s">
        <v>96</v>
      </c>
      <c r="M1233" t="s">
        <v>51</v>
      </c>
      <c r="N1233" t="s">
        <v>52</v>
      </c>
      <c r="O1233" t="s">
        <v>24</v>
      </c>
    </row>
    <row r="1234" spans="1:15" x14ac:dyDescent="0.35">
      <c r="A1234" t="s">
        <v>2214</v>
      </c>
      <c r="B1234" s="2">
        <v>46109</v>
      </c>
      <c r="C1234" t="s">
        <v>1701</v>
      </c>
      <c r="D1234" t="s">
        <v>498</v>
      </c>
      <c r="E1234" t="s">
        <v>156</v>
      </c>
      <c r="F1234" t="s">
        <v>157</v>
      </c>
      <c r="G1234" t="s">
        <v>43</v>
      </c>
      <c r="H1234" t="s">
        <v>162</v>
      </c>
      <c r="I1234">
        <v>4</v>
      </c>
      <c r="J1234" s="3">
        <v>8000</v>
      </c>
      <c r="K1234" s="3">
        <v>4800</v>
      </c>
      <c r="L1234" t="s">
        <v>30</v>
      </c>
      <c r="M1234" t="s">
        <v>22</v>
      </c>
      <c r="N1234" t="s">
        <v>87</v>
      </c>
      <c r="O1234" t="s">
        <v>91</v>
      </c>
    </row>
    <row r="1235" spans="1:15" x14ac:dyDescent="0.35">
      <c r="A1235" t="s">
        <v>2215</v>
      </c>
      <c r="B1235" s="2">
        <v>46263</v>
      </c>
      <c r="C1235" t="s">
        <v>559</v>
      </c>
      <c r="D1235" t="s">
        <v>408</v>
      </c>
      <c r="E1235" t="s">
        <v>156</v>
      </c>
      <c r="F1235" t="s">
        <v>157</v>
      </c>
      <c r="G1235" t="s">
        <v>28</v>
      </c>
      <c r="H1235" t="s">
        <v>29</v>
      </c>
      <c r="I1235">
        <v>9</v>
      </c>
      <c r="J1235" s="3">
        <v>7400</v>
      </c>
      <c r="K1235" s="3">
        <v>4100</v>
      </c>
      <c r="L1235" t="s">
        <v>66</v>
      </c>
      <c r="M1235" t="s">
        <v>37</v>
      </c>
      <c r="N1235" t="s">
        <v>87</v>
      </c>
      <c r="O1235" t="s">
        <v>24</v>
      </c>
    </row>
    <row r="1236" spans="1:15" x14ac:dyDescent="0.35">
      <c r="A1236" t="s">
        <v>2216</v>
      </c>
      <c r="B1236" s="2">
        <v>46078</v>
      </c>
      <c r="C1236" t="s">
        <v>234</v>
      </c>
      <c r="D1236" t="s">
        <v>94</v>
      </c>
      <c r="E1236" t="s">
        <v>156</v>
      </c>
      <c r="F1236" t="s">
        <v>157</v>
      </c>
      <c r="G1236" t="s">
        <v>34</v>
      </c>
      <c r="H1236" t="s">
        <v>86</v>
      </c>
      <c r="I1236">
        <v>2</v>
      </c>
      <c r="J1236" s="3">
        <v>180000</v>
      </c>
      <c r="K1236" s="3">
        <v>131000</v>
      </c>
      <c r="L1236" t="s">
        <v>96</v>
      </c>
      <c r="M1236" t="s">
        <v>37</v>
      </c>
      <c r="N1236" t="s">
        <v>23</v>
      </c>
      <c r="O1236" t="s">
        <v>24</v>
      </c>
    </row>
    <row r="1237" spans="1:15" x14ac:dyDescent="0.35">
      <c r="A1237" t="s">
        <v>2217</v>
      </c>
      <c r="B1237" s="2">
        <v>46068</v>
      </c>
      <c r="C1237" t="s">
        <v>2218</v>
      </c>
      <c r="D1237" t="s">
        <v>2098</v>
      </c>
      <c r="E1237" t="s">
        <v>41</v>
      </c>
      <c r="F1237" t="s">
        <v>42</v>
      </c>
      <c r="G1237" t="s">
        <v>34</v>
      </c>
      <c r="H1237" t="s">
        <v>158</v>
      </c>
      <c r="I1237">
        <v>8</v>
      </c>
      <c r="J1237" s="3">
        <v>95000</v>
      </c>
      <c r="K1237" s="3">
        <v>67900</v>
      </c>
      <c r="L1237" t="s">
        <v>80</v>
      </c>
      <c r="M1237" t="s">
        <v>37</v>
      </c>
      <c r="N1237" t="s">
        <v>23</v>
      </c>
      <c r="O1237" t="s">
        <v>24</v>
      </c>
    </row>
    <row r="1238" spans="1:15" x14ac:dyDescent="0.35">
      <c r="A1238" t="s">
        <v>2219</v>
      </c>
      <c r="B1238" s="2">
        <v>46236</v>
      </c>
      <c r="C1238" t="s">
        <v>1743</v>
      </c>
      <c r="D1238" t="s">
        <v>1546</v>
      </c>
      <c r="E1238" t="s">
        <v>18</v>
      </c>
      <c r="F1238" t="s">
        <v>18</v>
      </c>
      <c r="G1238" t="s">
        <v>34</v>
      </c>
      <c r="H1238" t="s">
        <v>95</v>
      </c>
      <c r="I1238">
        <v>7</v>
      </c>
      <c r="J1238" s="3">
        <v>450000</v>
      </c>
      <c r="K1238" s="3">
        <v>358900</v>
      </c>
      <c r="L1238" t="s">
        <v>96</v>
      </c>
      <c r="M1238" t="s">
        <v>51</v>
      </c>
      <c r="N1238" t="s">
        <v>87</v>
      </c>
      <c r="O1238" t="s">
        <v>45</v>
      </c>
    </row>
    <row r="1239" spans="1:15" x14ac:dyDescent="0.35">
      <c r="A1239" t="s">
        <v>2220</v>
      </c>
      <c r="B1239" s="2">
        <v>46113</v>
      </c>
      <c r="C1239" t="s">
        <v>836</v>
      </c>
      <c r="D1239" t="s">
        <v>417</v>
      </c>
      <c r="E1239" t="s">
        <v>18</v>
      </c>
      <c r="F1239" t="s">
        <v>18</v>
      </c>
      <c r="G1239" t="s">
        <v>19</v>
      </c>
      <c r="H1239" t="s">
        <v>166</v>
      </c>
      <c r="I1239">
        <v>2</v>
      </c>
      <c r="J1239" s="3">
        <v>147000</v>
      </c>
      <c r="K1239" s="3">
        <v>100000</v>
      </c>
      <c r="L1239" t="s">
        <v>30</v>
      </c>
      <c r="M1239" t="s">
        <v>37</v>
      </c>
      <c r="N1239" t="s">
        <v>87</v>
      </c>
      <c r="O1239" t="s">
        <v>24</v>
      </c>
    </row>
    <row r="1240" spans="1:15" x14ac:dyDescent="0.35">
      <c r="A1240" t="s">
        <v>2221</v>
      </c>
      <c r="B1240" s="2">
        <v>46314</v>
      </c>
      <c r="C1240" t="s">
        <v>532</v>
      </c>
      <c r="D1240" t="s">
        <v>992</v>
      </c>
      <c r="E1240" t="s">
        <v>18</v>
      </c>
      <c r="F1240" t="s">
        <v>18</v>
      </c>
      <c r="G1240" t="s">
        <v>28</v>
      </c>
      <c r="H1240" t="s">
        <v>72</v>
      </c>
      <c r="I1240">
        <v>9</v>
      </c>
      <c r="J1240" s="3">
        <v>10500</v>
      </c>
      <c r="K1240" s="3">
        <v>6200</v>
      </c>
      <c r="L1240" t="s">
        <v>66</v>
      </c>
      <c r="M1240" t="s">
        <v>51</v>
      </c>
      <c r="N1240" t="s">
        <v>23</v>
      </c>
      <c r="O1240" t="s">
        <v>24</v>
      </c>
    </row>
    <row r="1241" spans="1:15" x14ac:dyDescent="0.35">
      <c r="A1241" t="s">
        <v>2222</v>
      </c>
      <c r="B1241" s="2">
        <v>46136</v>
      </c>
      <c r="C1241" t="s">
        <v>1572</v>
      </c>
      <c r="D1241" t="s">
        <v>2223</v>
      </c>
      <c r="E1241" t="s">
        <v>156</v>
      </c>
      <c r="F1241" t="s">
        <v>157</v>
      </c>
      <c r="G1241" t="s">
        <v>34</v>
      </c>
      <c r="H1241" t="s">
        <v>95</v>
      </c>
      <c r="I1241">
        <v>9</v>
      </c>
      <c r="J1241" s="3"/>
      <c r="K1241" s="3">
        <v>381100</v>
      </c>
      <c r="L1241" t="s">
        <v>36</v>
      </c>
      <c r="M1241" t="s">
        <v>31</v>
      </c>
      <c r="N1241" t="s">
        <v>52</v>
      </c>
      <c r="O1241" t="s">
        <v>24</v>
      </c>
    </row>
    <row r="1242" spans="1:15" x14ac:dyDescent="0.35">
      <c r="A1242" t="s">
        <v>2224</v>
      </c>
      <c r="B1242" s="2">
        <v>46350</v>
      </c>
      <c r="C1242" t="s">
        <v>962</v>
      </c>
      <c r="D1242" t="s">
        <v>1251</v>
      </c>
      <c r="E1242" t="s">
        <v>18</v>
      </c>
      <c r="F1242" t="s">
        <v>18</v>
      </c>
      <c r="G1242" t="s">
        <v>28</v>
      </c>
      <c r="H1242" t="s">
        <v>29</v>
      </c>
      <c r="I1242">
        <v>5</v>
      </c>
      <c r="J1242" s="3">
        <v>7400</v>
      </c>
      <c r="K1242" s="3">
        <v>4100</v>
      </c>
      <c r="L1242" t="s">
        <v>96</v>
      </c>
      <c r="M1242" t="s">
        <v>31</v>
      </c>
      <c r="N1242" t="s">
        <v>52</v>
      </c>
      <c r="O1242" t="s">
        <v>45</v>
      </c>
    </row>
    <row r="1243" spans="1:15" x14ac:dyDescent="0.35">
      <c r="A1243" t="s">
        <v>2225</v>
      </c>
      <c r="B1243" s="2">
        <v>46385</v>
      </c>
      <c r="C1243" t="s">
        <v>1245</v>
      </c>
      <c r="D1243" t="s">
        <v>1297</v>
      </c>
      <c r="E1243" t="s">
        <v>18</v>
      </c>
      <c r="F1243" t="s">
        <v>18</v>
      </c>
      <c r="G1243" t="s">
        <v>28</v>
      </c>
      <c r="H1243" t="s">
        <v>72</v>
      </c>
      <c r="I1243">
        <v>7</v>
      </c>
      <c r="J1243" s="3">
        <v>9500</v>
      </c>
      <c r="K1243" s="3">
        <v>6400</v>
      </c>
      <c r="L1243" t="s">
        <v>21</v>
      </c>
      <c r="M1243" t="s">
        <v>51</v>
      </c>
      <c r="N1243" t="s">
        <v>23</v>
      </c>
      <c r="O1243" t="s">
        <v>24</v>
      </c>
    </row>
    <row r="1244" spans="1:15" x14ac:dyDescent="0.35">
      <c r="A1244" t="s">
        <v>2226</v>
      </c>
      <c r="B1244" s="2">
        <v>46181</v>
      </c>
      <c r="C1244" t="s">
        <v>1565</v>
      </c>
      <c r="D1244" t="s">
        <v>1059</v>
      </c>
      <c r="E1244" t="s">
        <v>18</v>
      </c>
      <c r="F1244" t="s">
        <v>18</v>
      </c>
      <c r="G1244" t="s">
        <v>28</v>
      </c>
      <c r="H1244" t="s">
        <v>248</v>
      </c>
      <c r="I1244">
        <v>1</v>
      </c>
      <c r="J1244" s="3">
        <v>23800</v>
      </c>
      <c r="K1244" s="3">
        <v>15500</v>
      </c>
      <c r="L1244" t="s">
        <v>73</v>
      </c>
      <c r="M1244" t="s">
        <v>22</v>
      </c>
      <c r="N1244" t="s">
        <v>23</v>
      </c>
      <c r="O1244" t="s">
        <v>24</v>
      </c>
    </row>
    <row r="1245" spans="1:15" x14ac:dyDescent="0.35">
      <c r="A1245" t="s">
        <v>2227</v>
      </c>
      <c r="B1245" s="2">
        <v>46367</v>
      </c>
      <c r="C1245" t="s">
        <v>1481</v>
      </c>
      <c r="D1245" t="s">
        <v>779</v>
      </c>
      <c r="E1245" t="s">
        <v>156</v>
      </c>
      <c r="F1245" t="s">
        <v>170</v>
      </c>
      <c r="G1245" t="s">
        <v>34</v>
      </c>
      <c r="H1245" t="s">
        <v>158</v>
      </c>
      <c r="I1245">
        <v>6</v>
      </c>
      <c r="J1245" s="3">
        <v>90200</v>
      </c>
      <c r="K1245" s="3">
        <v>67900</v>
      </c>
      <c r="L1245" t="s">
        <v>66</v>
      </c>
      <c r="M1245" t="s">
        <v>51</v>
      </c>
      <c r="N1245" t="s">
        <v>87</v>
      </c>
      <c r="O1245" t="s">
        <v>24</v>
      </c>
    </row>
    <row r="1246" spans="1:15" x14ac:dyDescent="0.35">
      <c r="A1246" t="s">
        <v>2228</v>
      </c>
      <c r="B1246" s="2">
        <v>46074</v>
      </c>
      <c r="C1246" t="s">
        <v>228</v>
      </c>
      <c r="D1246" t="s">
        <v>1471</v>
      </c>
      <c r="E1246" t="s">
        <v>18</v>
      </c>
      <c r="F1246" t="s">
        <v>18</v>
      </c>
      <c r="G1246" t="s">
        <v>28</v>
      </c>
      <c r="H1246" t="s">
        <v>131</v>
      </c>
      <c r="I1246">
        <v>9</v>
      </c>
      <c r="J1246" s="3">
        <v>30000</v>
      </c>
      <c r="K1246" s="3">
        <v>18400</v>
      </c>
      <c r="L1246" t="s">
        <v>36</v>
      </c>
      <c r="M1246" t="s">
        <v>31</v>
      </c>
      <c r="N1246" t="s">
        <v>23</v>
      </c>
      <c r="O1246" t="s">
        <v>24</v>
      </c>
    </row>
    <row r="1247" spans="1:15" x14ac:dyDescent="0.35">
      <c r="A1247" t="s">
        <v>2229</v>
      </c>
      <c r="B1247" s="2">
        <v>46242</v>
      </c>
      <c r="C1247" t="s">
        <v>941</v>
      </c>
      <c r="D1247" t="s">
        <v>194</v>
      </c>
      <c r="E1247" t="s">
        <v>41</v>
      </c>
      <c r="F1247" t="s">
        <v>42</v>
      </c>
      <c r="G1247" t="s">
        <v>19</v>
      </c>
      <c r="H1247" t="s">
        <v>112</v>
      </c>
      <c r="I1247">
        <v>5</v>
      </c>
      <c r="J1247" s="3">
        <v>80800</v>
      </c>
      <c r="K1247" s="3">
        <v>60100</v>
      </c>
      <c r="L1247" t="s">
        <v>36</v>
      </c>
      <c r="M1247" t="s">
        <v>37</v>
      </c>
      <c r="N1247" t="s">
        <v>52</v>
      </c>
      <c r="O1247" t="s">
        <v>45</v>
      </c>
    </row>
    <row r="1248" spans="1:15" x14ac:dyDescent="0.35">
      <c r="A1248" t="s">
        <v>2230</v>
      </c>
      <c r="B1248" s="2">
        <v>46130</v>
      </c>
      <c r="C1248" t="s">
        <v>347</v>
      </c>
      <c r="D1248" t="s">
        <v>549</v>
      </c>
      <c r="E1248" t="s">
        <v>18</v>
      </c>
      <c r="F1248" t="s">
        <v>18</v>
      </c>
      <c r="G1248" t="s">
        <v>34</v>
      </c>
      <c r="H1248" t="s">
        <v>35</v>
      </c>
      <c r="I1248">
        <v>6</v>
      </c>
      <c r="J1248" s="3">
        <v>57800</v>
      </c>
      <c r="K1248" s="3">
        <v>37800</v>
      </c>
      <c r="L1248" t="s">
        <v>96</v>
      </c>
      <c r="M1248" t="s">
        <v>51</v>
      </c>
      <c r="N1248" t="s">
        <v>23</v>
      </c>
      <c r="O1248" t="s">
        <v>45</v>
      </c>
    </row>
    <row r="1249" spans="1:15" x14ac:dyDescent="0.35">
      <c r="A1249" t="s">
        <v>2231</v>
      </c>
      <c r="B1249" s="2">
        <v>46249</v>
      </c>
      <c r="C1249" t="s">
        <v>896</v>
      </c>
      <c r="D1249" t="s">
        <v>244</v>
      </c>
      <c r="E1249" t="s">
        <v>190</v>
      </c>
      <c r="F1249" t="s">
        <v>191</v>
      </c>
      <c r="G1249" t="s">
        <v>34</v>
      </c>
      <c r="H1249" t="s">
        <v>86</v>
      </c>
      <c r="I1249">
        <v>2</v>
      </c>
      <c r="J1249" s="3">
        <v>180000</v>
      </c>
      <c r="K1249" s="3">
        <v>131000</v>
      </c>
      <c r="L1249" t="s">
        <v>50</v>
      </c>
      <c r="M1249" t="s">
        <v>51</v>
      </c>
      <c r="N1249" t="s">
        <v>23</v>
      </c>
      <c r="O1249" t="s">
        <v>24</v>
      </c>
    </row>
    <row r="1250" spans="1:15" x14ac:dyDescent="0.35">
      <c r="A1250" t="s">
        <v>2232</v>
      </c>
      <c r="B1250" s="2">
        <v>46048</v>
      </c>
      <c r="C1250" t="s">
        <v>2233</v>
      </c>
      <c r="D1250" t="s">
        <v>1251</v>
      </c>
      <c r="E1250" t="s">
        <v>190</v>
      </c>
      <c r="F1250" t="s">
        <v>191</v>
      </c>
      <c r="G1250" t="s">
        <v>43</v>
      </c>
      <c r="H1250" t="s">
        <v>162</v>
      </c>
      <c r="I1250">
        <v>7</v>
      </c>
      <c r="J1250" s="3">
        <v>8000</v>
      </c>
      <c r="K1250" s="3">
        <v>5200</v>
      </c>
      <c r="L1250" t="s">
        <v>96</v>
      </c>
      <c r="M1250" t="s">
        <v>51</v>
      </c>
      <c r="N1250" t="s">
        <v>52</v>
      </c>
      <c r="O1250" t="s">
        <v>24</v>
      </c>
    </row>
    <row r="1251" spans="1:15" x14ac:dyDescent="0.35">
      <c r="A1251" t="s">
        <v>2234</v>
      </c>
      <c r="B1251" s="2">
        <v>46300</v>
      </c>
      <c r="C1251" t="s">
        <v>272</v>
      </c>
      <c r="D1251" t="s">
        <v>535</v>
      </c>
      <c r="E1251" t="s">
        <v>18</v>
      </c>
      <c r="F1251" t="s">
        <v>18</v>
      </c>
      <c r="G1251" t="s">
        <v>43</v>
      </c>
      <c r="H1251" t="s">
        <v>44</v>
      </c>
      <c r="I1251">
        <v>6</v>
      </c>
      <c r="J1251" s="3">
        <v>14200</v>
      </c>
      <c r="K1251" s="3">
        <v>9200</v>
      </c>
      <c r="L1251" t="s">
        <v>80</v>
      </c>
      <c r="M1251" t="s">
        <v>31</v>
      </c>
      <c r="N1251" t="s">
        <v>23</v>
      </c>
      <c r="O1251" t="s">
        <v>24</v>
      </c>
    </row>
    <row r="1252" spans="1:15" x14ac:dyDescent="0.35">
      <c r="A1252" t="s">
        <v>2235</v>
      </c>
      <c r="B1252" s="2">
        <v>46361</v>
      </c>
      <c r="C1252" t="s">
        <v>2236</v>
      </c>
      <c r="D1252" t="s">
        <v>833</v>
      </c>
      <c r="E1252" t="s">
        <v>56</v>
      </c>
      <c r="F1252" t="s">
        <v>57</v>
      </c>
      <c r="G1252" t="s">
        <v>28</v>
      </c>
      <c r="H1252" t="s">
        <v>248</v>
      </c>
      <c r="I1252">
        <v>9</v>
      </c>
      <c r="J1252" s="3">
        <v>25000</v>
      </c>
      <c r="K1252" s="3">
        <v>16500</v>
      </c>
      <c r="L1252" t="s">
        <v>66</v>
      </c>
      <c r="M1252" t="s">
        <v>22</v>
      </c>
      <c r="N1252" t="s">
        <v>23</v>
      </c>
      <c r="O1252" t="s">
        <v>91</v>
      </c>
    </row>
    <row r="1253" spans="1:15" x14ac:dyDescent="0.35">
      <c r="A1253" t="s">
        <v>2237</v>
      </c>
      <c r="B1253" s="2">
        <v>46269</v>
      </c>
      <c r="C1253" t="s">
        <v>830</v>
      </c>
      <c r="D1253" t="s">
        <v>1272</v>
      </c>
      <c r="E1253" t="s">
        <v>56</v>
      </c>
      <c r="F1253" t="s">
        <v>57</v>
      </c>
      <c r="G1253" t="s">
        <v>19</v>
      </c>
      <c r="H1253" t="s">
        <v>112</v>
      </c>
      <c r="I1253">
        <v>7</v>
      </c>
      <c r="J1253" s="3">
        <v>89200</v>
      </c>
      <c r="K1253" s="3">
        <v>62000</v>
      </c>
      <c r="L1253" t="s">
        <v>50</v>
      </c>
      <c r="M1253" t="s">
        <v>37</v>
      </c>
      <c r="N1253" t="s">
        <v>87</v>
      </c>
      <c r="O1253" t="s">
        <v>45</v>
      </c>
    </row>
    <row r="1254" spans="1:15" x14ac:dyDescent="0.35">
      <c r="A1254" t="s">
        <v>2238</v>
      </c>
      <c r="B1254" s="2">
        <v>46215</v>
      </c>
      <c r="C1254" t="s">
        <v>179</v>
      </c>
      <c r="D1254" t="s">
        <v>1197</v>
      </c>
      <c r="E1254" t="s">
        <v>156</v>
      </c>
      <c r="F1254" t="s">
        <v>157</v>
      </c>
      <c r="G1254" t="s">
        <v>34</v>
      </c>
      <c r="H1254" t="s">
        <v>35</v>
      </c>
      <c r="I1254">
        <v>3</v>
      </c>
      <c r="J1254" s="3">
        <v>52200</v>
      </c>
      <c r="K1254" s="3">
        <v>40200</v>
      </c>
      <c r="L1254" t="s">
        <v>73</v>
      </c>
      <c r="M1254" t="s">
        <v>37</v>
      </c>
      <c r="N1254" t="s">
        <v>52</v>
      </c>
      <c r="O1254" t="s">
        <v>91</v>
      </c>
    </row>
    <row r="1255" spans="1:15" x14ac:dyDescent="0.35">
      <c r="A1255" t="s">
        <v>2239</v>
      </c>
      <c r="B1255" s="2">
        <v>46314</v>
      </c>
      <c r="C1255" t="s">
        <v>258</v>
      </c>
      <c r="D1255" t="s">
        <v>173</v>
      </c>
      <c r="E1255" t="s">
        <v>56</v>
      </c>
      <c r="F1255" t="s">
        <v>57</v>
      </c>
      <c r="G1255" t="s">
        <v>19</v>
      </c>
      <c r="H1255" t="s">
        <v>61</v>
      </c>
      <c r="I1255">
        <v>2</v>
      </c>
      <c r="J1255" s="3">
        <v>209000</v>
      </c>
      <c r="K1255" s="3">
        <v>164800</v>
      </c>
      <c r="L1255" t="s">
        <v>21</v>
      </c>
      <c r="M1255" t="s">
        <v>51</v>
      </c>
      <c r="N1255" t="s">
        <v>23</v>
      </c>
      <c r="O1255" t="s">
        <v>24</v>
      </c>
    </row>
    <row r="1256" spans="1:15" x14ac:dyDescent="0.35">
      <c r="A1256" t="s">
        <v>2240</v>
      </c>
      <c r="B1256" s="2">
        <v>46202</v>
      </c>
      <c r="C1256" t="s">
        <v>93</v>
      </c>
      <c r="D1256" t="s">
        <v>731</v>
      </c>
      <c r="E1256" t="s">
        <v>156</v>
      </c>
      <c r="F1256" t="s">
        <v>157</v>
      </c>
      <c r="G1256" t="s">
        <v>19</v>
      </c>
      <c r="H1256" t="s">
        <v>112</v>
      </c>
      <c r="I1256">
        <v>2</v>
      </c>
      <c r="J1256" s="3">
        <v>85000</v>
      </c>
      <c r="K1256" s="3">
        <v>62000</v>
      </c>
      <c r="L1256" t="s">
        <v>73</v>
      </c>
      <c r="M1256" t="s">
        <v>37</v>
      </c>
      <c r="N1256" t="s">
        <v>52</v>
      </c>
      <c r="O1256" t="s">
        <v>45</v>
      </c>
    </row>
    <row r="1257" spans="1:15" x14ac:dyDescent="0.35">
      <c r="A1257" t="s">
        <v>2241</v>
      </c>
      <c r="B1257" s="2">
        <v>46308</v>
      </c>
      <c r="C1257" t="s">
        <v>523</v>
      </c>
      <c r="D1257" t="s">
        <v>859</v>
      </c>
      <c r="E1257" t="s">
        <v>77</v>
      </c>
      <c r="F1257" t="s">
        <v>78</v>
      </c>
      <c r="G1257" t="s">
        <v>43</v>
      </c>
      <c r="H1257" t="s">
        <v>44</v>
      </c>
      <c r="I1257">
        <v>4</v>
      </c>
      <c r="J1257" s="3">
        <v>14200</v>
      </c>
      <c r="K1257" s="3">
        <v>9800</v>
      </c>
      <c r="L1257" t="s">
        <v>36</v>
      </c>
      <c r="M1257" t="s">
        <v>31</v>
      </c>
      <c r="N1257" t="s">
        <v>52</v>
      </c>
      <c r="O1257" t="s">
        <v>24</v>
      </c>
    </row>
    <row r="1258" spans="1:15" x14ac:dyDescent="0.35">
      <c r="A1258" t="s">
        <v>2242</v>
      </c>
      <c r="B1258" s="2">
        <v>46214</v>
      </c>
      <c r="C1258" t="s">
        <v>1138</v>
      </c>
      <c r="D1258" t="s">
        <v>1171</v>
      </c>
      <c r="E1258" t="s">
        <v>56</v>
      </c>
      <c r="F1258" t="s">
        <v>57</v>
      </c>
      <c r="G1258" t="s">
        <v>43</v>
      </c>
      <c r="H1258" t="s">
        <v>49</v>
      </c>
      <c r="I1258">
        <v>9</v>
      </c>
      <c r="J1258" s="3">
        <v>9000</v>
      </c>
      <c r="K1258" s="3">
        <v>5600</v>
      </c>
      <c r="L1258" t="s">
        <v>21</v>
      </c>
      <c r="M1258" t="s">
        <v>37</v>
      </c>
      <c r="N1258" t="s">
        <v>23</v>
      </c>
      <c r="O1258" t="s">
        <v>24</v>
      </c>
    </row>
    <row r="1259" spans="1:15" x14ac:dyDescent="0.35">
      <c r="A1259" t="s">
        <v>2243</v>
      </c>
      <c r="B1259" s="2">
        <v>46356</v>
      </c>
      <c r="C1259" t="s">
        <v>635</v>
      </c>
      <c r="D1259" t="s">
        <v>1942</v>
      </c>
      <c r="E1259" t="s">
        <v>190</v>
      </c>
      <c r="F1259" t="s">
        <v>191</v>
      </c>
      <c r="G1259" t="s">
        <v>34</v>
      </c>
      <c r="H1259" t="s">
        <v>35</v>
      </c>
      <c r="I1259">
        <v>9</v>
      </c>
      <c r="J1259" s="3">
        <v>55000</v>
      </c>
      <c r="K1259" s="3">
        <v>39000</v>
      </c>
      <c r="L1259" t="s">
        <v>50</v>
      </c>
      <c r="M1259" t="s">
        <v>31</v>
      </c>
      <c r="N1259" t="s">
        <v>52</v>
      </c>
      <c r="O1259" t="s">
        <v>24</v>
      </c>
    </row>
    <row r="1260" spans="1:15" x14ac:dyDescent="0.35">
      <c r="A1260" t="s">
        <v>2244</v>
      </c>
      <c r="B1260" s="2">
        <v>46090</v>
      </c>
      <c r="C1260" t="s">
        <v>1548</v>
      </c>
      <c r="D1260" t="s">
        <v>2245</v>
      </c>
      <c r="E1260" t="s">
        <v>18</v>
      </c>
      <c r="F1260" t="s">
        <v>18</v>
      </c>
      <c r="G1260" t="s">
        <v>34</v>
      </c>
      <c r="H1260" t="s">
        <v>141</v>
      </c>
      <c r="I1260">
        <v>1</v>
      </c>
      <c r="J1260" s="3">
        <v>168000</v>
      </c>
      <c r="K1260" s="3">
        <v>123600</v>
      </c>
      <c r="L1260" t="s">
        <v>50</v>
      </c>
      <c r="M1260" t="s">
        <v>37</v>
      </c>
      <c r="N1260" t="s">
        <v>87</v>
      </c>
      <c r="O1260" t="s">
        <v>24</v>
      </c>
    </row>
    <row r="1261" spans="1:15" x14ac:dyDescent="0.35">
      <c r="A1261" t="s">
        <v>2246</v>
      </c>
      <c r="B1261" s="2">
        <v>46276</v>
      </c>
      <c r="C1261" t="s">
        <v>1463</v>
      </c>
      <c r="D1261" t="s">
        <v>565</v>
      </c>
      <c r="E1261" t="s">
        <v>156</v>
      </c>
      <c r="F1261" t="s">
        <v>170</v>
      </c>
      <c r="G1261" t="s">
        <v>28</v>
      </c>
      <c r="H1261" t="s">
        <v>248</v>
      </c>
      <c r="I1261">
        <v>10</v>
      </c>
      <c r="J1261" s="3">
        <v>23800</v>
      </c>
      <c r="K1261" s="3">
        <v>16500</v>
      </c>
      <c r="L1261" t="s">
        <v>66</v>
      </c>
      <c r="M1261" t="s">
        <v>37</v>
      </c>
      <c r="N1261" t="s">
        <v>87</v>
      </c>
      <c r="O1261" t="s">
        <v>24</v>
      </c>
    </row>
    <row r="1262" spans="1:15" x14ac:dyDescent="0.35">
      <c r="A1262" t="s">
        <v>2247</v>
      </c>
      <c r="B1262" s="2">
        <v>46067</v>
      </c>
      <c r="C1262" t="s">
        <v>154</v>
      </c>
      <c r="D1262" t="s">
        <v>914</v>
      </c>
      <c r="E1262" t="s">
        <v>18</v>
      </c>
      <c r="F1262" t="s">
        <v>18</v>
      </c>
      <c r="G1262" t="s">
        <v>28</v>
      </c>
      <c r="H1262" t="s">
        <v>248</v>
      </c>
      <c r="I1262">
        <v>9</v>
      </c>
      <c r="J1262" s="3">
        <v>25000</v>
      </c>
      <c r="K1262" s="3">
        <v>15500</v>
      </c>
      <c r="L1262" t="s">
        <v>73</v>
      </c>
      <c r="M1262" t="s">
        <v>51</v>
      </c>
      <c r="N1262" t="s">
        <v>52</v>
      </c>
      <c r="O1262" t="s">
        <v>24</v>
      </c>
    </row>
    <row r="1263" spans="1:15" x14ac:dyDescent="0.35">
      <c r="A1263" t="s">
        <v>2248</v>
      </c>
      <c r="B1263" s="2">
        <v>46293</v>
      </c>
      <c r="C1263" t="s">
        <v>656</v>
      </c>
      <c r="D1263" t="s">
        <v>130</v>
      </c>
      <c r="E1263" t="s">
        <v>156</v>
      </c>
      <c r="F1263" t="s">
        <v>157</v>
      </c>
      <c r="G1263" t="s">
        <v>34</v>
      </c>
      <c r="H1263" t="s">
        <v>141</v>
      </c>
      <c r="I1263">
        <v>6</v>
      </c>
      <c r="J1263" s="3">
        <v>168000</v>
      </c>
      <c r="K1263" s="3">
        <v>116400</v>
      </c>
      <c r="L1263" t="s">
        <v>80</v>
      </c>
      <c r="M1263" t="s">
        <v>31</v>
      </c>
      <c r="N1263" t="s">
        <v>52</v>
      </c>
      <c r="O1263" t="s">
        <v>24</v>
      </c>
    </row>
    <row r="1264" spans="1:15" x14ac:dyDescent="0.35">
      <c r="A1264" t="s">
        <v>2249</v>
      </c>
      <c r="B1264" s="2">
        <v>46311</v>
      </c>
      <c r="C1264" t="s">
        <v>965</v>
      </c>
      <c r="D1264" t="s">
        <v>990</v>
      </c>
      <c r="E1264" t="s">
        <v>56</v>
      </c>
      <c r="F1264" t="s">
        <v>57</v>
      </c>
      <c r="G1264" t="s">
        <v>34</v>
      </c>
      <c r="H1264" t="s">
        <v>35</v>
      </c>
      <c r="I1264">
        <v>8</v>
      </c>
      <c r="J1264" s="3">
        <v>52200</v>
      </c>
      <c r="K1264" s="3">
        <v>39000</v>
      </c>
      <c r="L1264" t="s">
        <v>96</v>
      </c>
      <c r="M1264" t="s">
        <v>37</v>
      </c>
      <c r="N1264" t="s">
        <v>23</v>
      </c>
      <c r="O1264" t="s">
        <v>24</v>
      </c>
    </row>
    <row r="1265" spans="1:15" x14ac:dyDescent="0.35">
      <c r="A1265" t="s">
        <v>2250</v>
      </c>
      <c r="B1265" s="2">
        <v>46057</v>
      </c>
      <c r="C1265" t="s">
        <v>717</v>
      </c>
      <c r="D1265" t="s">
        <v>543</v>
      </c>
      <c r="E1265" t="s">
        <v>84</v>
      </c>
      <c r="F1265" t="s">
        <v>85</v>
      </c>
      <c r="G1265" t="s">
        <v>19</v>
      </c>
      <c r="H1265" t="s">
        <v>112</v>
      </c>
      <c r="I1265">
        <v>5</v>
      </c>
      <c r="J1265" s="3">
        <v>89200</v>
      </c>
      <c r="K1265" s="3">
        <v>60100</v>
      </c>
      <c r="L1265" t="s">
        <v>80</v>
      </c>
      <c r="M1265" t="s">
        <v>51</v>
      </c>
      <c r="N1265" t="s">
        <v>23</v>
      </c>
      <c r="O1265" t="s">
        <v>24</v>
      </c>
    </row>
    <row r="1266" spans="1:15" x14ac:dyDescent="0.35">
      <c r="A1266" t="s">
        <v>2251</v>
      </c>
      <c r="B1266" s="2">
        <v>46330</v>
      </c>
      <c r="C1266" t="s">
        <v>1210</v>
      </c>
      <c r="D1266" t="s">
        <v>1654</v>
      </c>
      <c r="E1266" t="s">
        <v>18</v>
      </c>
      <c r="F1266" t="s">
        <v>18</v>
      </c>
      <c r="G1266" t="s">
        <v>34</v>
      </c>
      <c r="H1266" t="s">
        <v>95</v>
      </c>
      <c r="I1266">
        <v>9</v>
      </c>
      <c r="J1266" s="3">
        <v>472500</v>
      </c>
      <c r="K1266" s="3">
        <v>370000</v>
      </c>
      <c r="L1266" t="s">
        <v>73</v>
      </c>
      <c r="M1266" t="s">
        <v>51</v>
      </c>
      <c r="N1266" t="s">
        <v>23</v>
      </c>
      <c r="O1266" t="s">
        <v>24</v>
      </c>
    </row>
    <row r="1267" spans="1:15" x14ac:dyDescent="0.35">
      <c r="A1267" t="s">
        <v>2252</v>
      </c>
      <c r="B1267" s="2">
        <v>46074</v>
      </c>
      <c r="C1267" t="s">
        <v>1081</v>
      </c>
      <c r="D1267" t="s">
        <v>371</v>
      </c>
      <c r="E1267" t="s">
        <v>18</v>
      </c>
      <c r="F1267" t="s">
        <v>18</v>
      </c>
      <c r="G1267" t="s">
        <v>43</v>
      </c>
      <c r="H1267" t="s">
        <v>49</v>
      </c>
      <c r="I1267">
        <v>5</v>
      </c>
      <c r="J1267" s="3">
        <v>9400</v>
      </c>
      <c r="K1267" s="3">
        <v>5600</v>
      </c>
      <c r="L1267" t="s">
        <v>30</v>
      </c>
      <c r="M1267" t="s">
        <v>37</v>
      </c>
      <c r="N1267" t="s">
        <v>23</v>
      </c>
      <c r="O1267" t="s">
        <v>45</v>
      </c>
    </row>
    <row r="1268" spans="1:15" x14ac:dyDescent="0.35">
      <c r="A1268" t="s">
        <v>2253</v>
      </c>
      <c r="B1268" s="2">
        <v>46356</v>
      </c>
      <c r="C1268" t="s">
        <v>1069</v>
      </c>
      <c r="D1268" t="s">
        <v>187</v>
      </c>
      <c r="E1268" t="s">
        <v>41</v>
      </c>
      <c r="F1268" t="s">
        <v>42</v>
      </c>
      <c r="G1268" t="s">
        <v>43</v>
      </c>
      <c r="H1268" t="s">
        <v>44</v>
      </c>
      <c r="I1268">
        <v>9</v>
      </c>
      <c r="J1268" s="3">
        <v>15000</v>
      </c>
      <c r="K1268" s="3">
        <v>9500</v>
      </c>
      <c r="L1268" t="s">
        <v>80</v>
      </c>
      <c r="M1268" t="s">
        <v>37</v>
      </c>
      <c r="N1268" t="s">
        <v>23</v>
      </c>
      <c r="O1268" t="s">
        <v>91</v>
      </c>
    </row>
    <row r="1269" spans="1:15" x14ac:dyDescent="0.35">
      <c r="A1269" t="s">
        <v>2254</v>
      </c>
      <c r="B1269" s="2">
        <v>46084</v>
      </c>
      <c r="C1269" t="s">
        <v>609</v>
      </c>
      <c r="D1269" t="s">
        <v>1822</v>
      </c>
      <c r="E1269" t="s">
        <v>41</v>
      </c>
      <c r="F1269" t="s">
        <v>42</v>
      </c>
      <c r="G1269" t="s">
        <v>28</v>
      </c>
      <c r="H1269" t="s">
        <v>29</v>
      </c>
      <c r="I1269">
        <v>1</v>
      </c>
      <c r="J1269" s="3">
        <v>7000</v>
      </c>
      <c r="K1269" s="3">
        <v>4000</v>
      </c>
      <c r="L1269" t="s">
        <v>30</v>
      </c>
      <c r="M1269" t="s">
        <v>31</v>
      </c>
      <c r="N1269" t="s">
        <v>23</v>
      </c>
      <c r="O1269" t="s">
        <v>24</v>
      </c>
    </row>
    <row r="1270" spans="1:15" x14ac:dyDescent="0.35">
      <c r="A1270" t="s">
        <v>2255</v>
      </c>
      <c r="B1270" s="2">
        <v>46088</v>
      </c>
      <c r="C1270" t="s">
        <v>133</v>
      </c>
      <c r="D1270" t="s">
        <v>1016</v>
      </c>
      <c r="E1270" t="s">
        <v>84</v>
      </c>
      <c r="F1270" t="s">
        <v>85</v>
      </c>
      <c r="G1270" t="s">
        <v>19</v>
      </c>
      <c r="H1270" t="s">
        <v>20</v>
      </c>
      <c r="I1270">
        <v>3</v>
      </c>
      <c r="J1270" s="3">
        <v>61800</v>
      </c>
      <c r="K1270" s="3">
        <v>46400</v>
      </c>
      <c r="L1270" t="s">
        <v>80</v>
      </c>
      <c r="M1270" t="s">
        <v>51</v>
      </c>
      <c r="N1270" t="s">
        <v>23</v>
      </c>
      <c r="O1270" t="s">
        <v>24</v>
      </c>
    </row>
    <row r="1271" spans="1:15" x14ac:dyDescent="0.35">
      <c r="A1271" t="s">
        <v>2256</v>
      </c>
      <c r="B1271" s="2">
        <v>46204</v>
      </c>
      <c r="C1271" t="s">
        <v>1371</v>
      </c>
      <c r="D1271" t="s">
        <v>465</v>
      </c>
      <c r="E1271" t="s">
        <v>156</v>
      </c>
      <c r="F1271" t="s">
        <v>157</v>
      </c>
      <c r="G1271" t="s">
        <v>19</v>
      </c>
      <c r="H1271" t="s">
        <v>61</v>
      </c>
      <c r="I1271">
        <v>9</v>
      </c>
      <c r="J1271" s="3">
        <v>209000</v>
      </c>
      <c r="K1271" s="3">
        <v>155200</v>
      </c>
      <c r="L1271" t="s">
        <v>30</v>
      </c>
      <c r="M1271" t="s">
        <v>51</v>
      </c>
      <c r="N1271" t="s">
        <v>23</v>
      </c>
      <c r="O1271" t="s">
        <v>24</v>
      </c>
    </row>
    <row r="1272" spans="1:15" x14ac:dyDescent="0.35">
      <c r="A1272" t="s">
        <v>2257</v>
      </c>
      <c r="B1272" s="2">
        <v>46129</v>
      </c>
      <c r="C1272" t="s">
        <v>2148</v>
      </c>
      <c r="D1272" t="s">
        <v>1375</v>
      </c>
      <c r="E1272" t="s">
        <v>41</v>
      </c>
      <c r="F1272" t="s">
        <v>42</v>
      </c>
      <c r="G1272" t="s">
        <v>34</v>
      </c>
      <c r="H1272" t="s">
        <v>141</v>
      </c>
      <c r="I1272">
        <v>10</v>
      </c>
      <c r="J1272" s="3">
        <v>152000</v>
      </c>
      <c r="K1272" s="3">
        <v>120000</v>
      </c>
      <c r="L1272" t="s">
        <v>36</v>
      </c>
      <c r="M1272" t="s">
        <v>22</v>
      </c>
      <c r="N1272" t="s">
        <v>23</v>
      </c>
      <c r="O1272" t="s">
        <v>24</v>
      </c>
    </row>
    <row r="1273" spans="1:15" x14ac:dyDescent="0.35">
      <c r="A1273" t="s">
        <v>2258</v>
      </c>
      <c r="B1273" s="2">
        <v>46065</v>
      </c>
      <c r="C1273" t="s">
        <v>545</v>
      </c>
      <c r="D1273" t="s">
        <v>1197</v>
      </c>
      <c r="E1273" t="s">
        <v>190</v>
      </c>
      <c r="F1273" t="s">
        <v>191</v>
      </c>
      <c r="G1273" t="s">
        <v>19</v>
      </c>
      <c r="H1273" t="s">
        <v>166</v>
      </c>
      <c r="I1273">
        <v>5</v>
      </c>
      <c r="J1273" s="3">
        <v>133000</v>
      </c>
      <c r="K1273" s="3">
        <v>97000</v>
      </c>
      <c r="L1273" t="s">
        <v>66</v>
      </c>
      <c r="M1273" t="s">
        <v>37</v>
      </c>
      <c r="N1273" t="s">
        <v>52</v>
      </c>
      <c r="O1273" t="s">
        <v>24</v>
      </c>
    </row>
    <row r="1274" spans="1:15" x14ac:dyDescent="0.35">
      <c r="A1274" t="s">
        <v>2259</v>
      </c>
      <c r="B1274" s="2">
        <v>46350</v>
      </c>
      <c r="C1274" t="s">
        <v>816</v>
      </c>
      <c r="D1274" t="s">
        <v>105</v>
      </c>
      <c r="E1274" t="s">
        <v>18</v>
      </c>
      <c r="F1274" t="s">
        <v>18</v>
      </c>
      <c r="G1274" t="s">
        <v>43</v>
      </c>
      <c r="H1274" t="s">
        <v>79</v>
      </c>
      <c r="I1274">
        <v>6</v>
      </c>
      <c r="J1274" s="3">
        <v>6000</v>
      </c>
      <c r="K1274" s="3">
        <v>4200</v>
      </c>
      <c r="L1274" t="s">
        <v>50</v>
      </c>
      <c r="M1274" t="s">
        <v>22</v>
      </c>
      <c r="N1274" t="s">
        <v>23</v>
      </c>
      <c r="O1274" t="s">
        <v>24</v>
      </c>
    </row>
    <row r="1275" spans="1:15" x14ac:dyDescent="0.35">
      <c r="A1275" t="s">
        <v>2260</v>
      </c>
      <c r="B1275" s="2">
        <v>46279</v>
      </c>
      <c r="C1275" t="s">
        <v>523</v>
      </c>
      <c r="D1275" t="s">
        <v>1117</v>
      </c>
      <c r="E1275" t="s">
        <v>18</v>
      </c>
      <c r="F1275" t="s">
        <v>18</v>
      </c>
      <c r="G1275" t="s">
        <v>43</v>
      </c>
      <c r="H1275" t="s">
        <v>49</v>
      </c>
      <c r="I1275">
        <v>1</v>
      </c>
      <c r="J1275" s="3">
        <v>8600</v>
      </c>
      <c r="K1275" s="3">
        <v>6000</v>
      </c>
      <c r="L1275" t="s">
        <v>80</v>
      </c>
      <c r="M1275" t="s">
        <v>51</v>
      </c>
      <c r="N1275" t="s">
        <v>52</v>
      </c>
      <c r="O1275" t="s">
        <v>24</v>
      </c>
    </row>
    <row r="1276" spans="1:15" x14ac:dyDescent="0.35">
      <c r="A1276" t="s">
        <v>2261</v>
      </c>
      <c r="B1276" s="2">
        <v>46210</v>
      </c>
      <c r="C1276" t="s">
        <v>101</v>
      </c>
      <c r="D1276" t="s">
        <v>629</v>
      </c>
      <c r="E1276" t="s">
        <v>190</v>
      </c>
      <c r="F1276" t="s">
        <v>191</v>
      </c>
      <c r="G1276" t="s">
        <v>34</v>
      </c>
      <c r="H1276" t="s">
        <v>158</v>
      </c>
      <c r="I1276">
        <v>9</v>
      </c>
      <c r="J1276" s="3">
        <v>95000</v>
      </c>
      <c r="K1276" s="3">
        <v>72100</v>
      </c>
      <c r="L1276" t="s">
        <v>80</v>
      </c>
      <c r="M1276" t="s">
        <v>37</v>
      </c>
      <c r="N1276" t="s">
        <v>87</v>
      </c>
      <c r="O1276" t="s">
        <v>24</v>
      </c>
    </row>
    <row r="1277" spans="1:15" x14ac:dyDescent="0.35">
      <c r="A1277" t="s">
        <v>2262</v>
      </c>
      <c r="B1277" s="2">
        <v>46364</v>
      </c>
      <c r="C1277" t="s">
        <v>1170</v>
      </c>
      <c r="D1277" t="s">
        <v>440</v>
      </c>
      <c r="E1277" t="s">
        <v>56</v>
      </c>
      <c r="F1277" t="s">
        <v>57</v>
      </c>
      <c r="G1277" t="s">
        <v>19</v>
      </c>
      <c r="H1277" t="s">
        <v>61</v>
      </c>
      <c r="I1277">
        <v>9</v>
      </c>
      <c r="J1277" s="3">
        <v>220000</v>
      </c>
      <c r="K1277" s="3">
        <v>164800</v>
      </c>
      <c r="L1277" t="s">
        <v>30</v>
      </c>
      <c r="M1277" t="s">
        <v>51</v>
      </c>
      <c r="N1277" t="s">
        <v>23</v>
      </c>
      <c r="O1277" t="s">
        <v>24</v>
      </c>
    </row>
    <row r="1278" spans="1:15" x14ac:dyDescent="0.35">
      <c r="A1278" t="s">
        <v>2263</v>
      </c>
      <c r="B1278" s="2">
        <v>46091</v>
      </c>
      <c r="C1278" t="s">
        <v>730</v>
      </c>
      <c r="D1278" t="s">
        <v>747</v>
      </c>
      <c r="E1278" t="s">
        <v>156</v>
      </c>
      <c r="F1278" t="s">
        <v>157</v>
      </c>
      <c r="G1278" t="s">
        <v>43</v>
      </c>
      <c r="H1278" t="s">
        <v>162</v>
      </c>
      <c r="I1278">
        <v>2</v>
      </c>
      <c r="J1278" s="3">
        <v>8000</v>
      </c>
      <c r="K1278" s="3">
        <v>4800</v>
      </c>
      <c r="L1278" t="s">
        <v>80</v>
      </c>
      <c r="M1278" t="s">
        <v>31</v>
      </c>
      <c r="N1278" t="s">
        <v>23</v>
      </c>
      <c r="O1278" t="s">
        <v>45</v>
      </c>
    </row>
    <row r="1279" spans="1:15" x14ac:dyDescent="0.35">
      <c r="A1279" t="s">
        <v>2264</v>
      </c>
      <c r="B1279" s="2">
        <v>46097</v>
      </c>
      <c r="C1279" t="s">
        <v>1446</v>
      </c>
      <c r="D1279" t="s">
        <v>1195</v>
      </c>
      <c r="E1279" t="s">
        <v>18</v>
      </c>
      <c r="F1279" t="s">
        <v>18</v>
      </c>
      <c r="G1279" t="s">
        <v>43</v>
      </c>
      <c r="H1279" t="s">
        <v>162</v>
      </c>
      <c r="I1279">
        <v>9</v>
      </c>
      <c r="J1279" s="3">
        <v>8000</v>
      </c>
      <c r="K1279" s="3">
        <v>5200</v>
      </c>
      <c r="L1279" t="s">
        <v>30</v>
      </c>
      <c r="M1279" t="s">
        <v>37</v>
      </c>
      <c r="N1279" t="s">
        <v>87</v>
      </c>
      <c r="O1279" t="s">
        <v>24</v>
      </c>
    </row>
    <row r="1280" spans="1:15" x14ac:dyDescent="0.35">
      <c r="A1280" t="s">
        <v>2265</v>
      </c>
      <c r="B1280" s="2">
        <v>46071</v>
      </c>
      <c r="C1280" t="s">
        <v>220</v>
      </c>
      <c r="D1280" t="s">
        <v>650</v>
      </c>
      <c r="E1280" t="s">
        <v>84</v>
      </c>
      <c r="F1280" t="s">
        <v>85</v>
      </c>
      <c r="G1280" t="s">
        <v>43</v>
      </c>
      <c r="H1280" t="s">
        <v>162</v>
      </c>
      <c r="I1280">
        <v>4</v>
      </c>
      <c r="J1280" s="3">
        <v>8000</v>
      </c>
      <c r="K1280" s="3">
        <v>5200</v>
      </c>
      <c r="L1280" t="s">
        <v>80</v>
      </c>
      <c r="M1280" t="s">
        <v>31</v>
      </c>
      <c r="N1280" t="s">
        <v>23</v>
      </c>
      <c r="O1280" t="s">
        <v>45</v>
      </c>
    </row>
    <row r="1281" spans="1:15" x14ac:dyDescent="0.35">
      <c r="A1281" t="s">
        <v>2266</v>
      </c>
      <c r="B1281" s="2">
        <v>46265</v>
      </c>
      <c r="C1281" t="s">
        <v>1416</v>
      </c>
      <c r="D1281" t="s">
        <v>1338</v>
      </c>
      <c r="E1281" t="s">
        <v>84</v>
      </c>
      <c r="F1281" t="s">
        <v>85</v>
      </c>
      <c r="G1281" t="s">
        <v>19</v>
      </c>
      <c r="H1281" t="s">
        <v>112</v>
      </c>
      <c r="I1281">
        <v>10</v>
      </c>
      <c r="J1281" s="3">
        <v>89200</v>
      </c>
      <c r="K1281" s="3">
        <v>63900</v>
      </c>
      <c r="L1281" t="s">
        <v>36</v>
      </c>
      <c r="M1281" t="s">
        <v>22</v>
      </c>
      <c r="N1281" t="s">
        <v>23</v>
      </c>
      <c r="O1281" t="s">
        <v>45</v>
      </c>
    </row>
    <row r="1282" spans="1:15" x14ac:dyDescent="0.35">
      <c r="A1282" t="s">
        <v>2267</v>
      </c>
      <c r="B1282" s="2">
        <v>46122</v>
      </c>
      <c r="C1282" t="s">
        <v>952</v>
      </c>
      <c r="D1282" t="s">
        <v>1707</v>
      </c>
      <c r="E1282" t="s">
        <v>56</v>
      </c>
      <c r="F1282" t="s">
        <v>57</v>
      </c>
      <c r="G1282" t="s">
        <v>43</v>
      </c>
      <c r="H1282" t="s">
        <v>79</v>
      </c>
      <c r="I1282">
        <v>6</v>
      </c>
      <c r="J1282" s="3">
        <v>6000</v>
      </c>
      <c r="K1282" s="3">
        <v>4200</v>
      </c>
      <c r="L1282" t="s">
        <v>73</v>
      </c>
      <c r="M1282" t="s">
        <v>37</v>
      </c>
      <c r="N1282" t="s">
        <v>52</v>
      </c>
      <c r="O1282" t="s">
        <v>24</v>
      </c>
    </row>
    <row r="1283" spans="1:15" x14ac:dyDescent="0.35">
      <c r="A1283" t="s">
        <v>2268</v>
      </c>
      <c r="B1283" s="2">
        <v>46283</v>
      </c>
      <c r="C1283" t="s">
        <v>896</v>
      </c>
      <c r="D1283" t="s">
        <v>76</v>
      </c>
      <c r="E1283" t="s">
        <v>190</v>
      </c>
      <c r="F1283" t="s">
        <v>191</v>
      </c>
      <c r="G1283" t="s">
        <v>28</v>
      </c>
      <c r="H1283" t="s">
        <v>248</v>
      </c>
      <c r="I1283">
        <v>5</v>
      </c>
      <c r="J1283" s="3">
        <v>26200</v>
      </c>
      <c r="K1283" s="3">
        <v>16000</v>
      </c>
      <c r="L1283" t="s">
        <v>21</v>
      </c>
      <c r="M1283" t="s">
        <v>51</v>
      </c>
      <c r="N1283" t="s">
        <v>87</v>
      </c>
      <c r="O1283" t="s">
        <v>24</v>
      </c>
    </row>
    <row r="1284" spans="1:15" x14ac:dyDescent="0.35">
      <c r="A1284" t="s">
        <v>2269</v>
      </c>
      <c r="B1284" s="2">
        <v>46299</v>
      </c>
      <c r="C1284" t="s">
        <v>2270</v>
      </c>
      <c r="D1284" t="s">
        <v>724</v>
      </c>
      <c r="E1284" t="s">
        <v>18</v>
      </c>
      <c r="F1284" t="s">
        <v>18</v>
      </c>
      <c r="G1284" t="s">
        <v>43</v>
      </c>
      <c r="H1284" t="s">
        <v>79</v>
      </c>
      <c r="I1284">
        <v>1</v>
      </c>
      <c r="J1284" s="3">
        <v>5700</v>
      </c>
      <c r="K1284" s="3">
        <v>4100</v>
      </c>
      <c r="L1284" t="s">
        <v>50</v>
      </c>
      <c r="M1284" t="s">
        <v>37</v>
      </c>
      <c r="N1284" t="s">
        <v>52</v>
      </c>
      <c r="O1284" t="s">
        <v>24</v>
      </c>
    </row>
    <row r="1285" spans="1:15" x14ac:dyDescent="0.35">
      <c r="A1285" t="s">
        <v>2271</v>
      </c>
      <c r="B1285" s="2">
        <v>46235</v>
      </c>
      <c r="C1285" t="s">
        <v>54</v>
      </c>
      <c r="D1285" t="s">
        <v>232</v>
      </c>
      <c r="E1285" t="s">
        <v>156</v>
      </c>
      <c r="F1285" t="s">
        <v>157</v>
      </c>
      <c r="G1285" t="s">
        <v>43</v>
      </c>
      <c r="H1285" t="s">
        <v>49</v>
      </c>
      <c r="I1285">
        <v>2</v>
      </c>
      <c r="J1285" s="3">
        <v>9000</v>
      </c>
      <c r="K1285" s="3">
        <v>6000</v>
      </c>
      <c r="L1285" t="s">
        <v>73</v>
      </c>
      <c r="M1285" t="s">
        <v>37</v>
      </c>
      <c r="N1285" t="s">
        <v>52</v>
      </c>
      <c r="O1285" t="s">
        <v>24</v>
      </c>
    </row>
    <row r="1286" spans="1:15" x14ac:dyDescent="0.35">
      <c r="A1286" t="s">
        <v>2272</v>
      </c>
      <c r="B1286" s="2">
        <v>46227</v>
      </c>
      <c r="C1286" t="s">
        <v>424</v>
      </c>
      <c r="D1286" t="s">
        <v>2273</v>
      </c>
      <c r="E1286" t="s">
        <v>70</v>
      </c>
      <c r="F1286" t="s">
        <v>71</v>
      </c>
      <c r="G1286" t="s">
        <v>43</v>
      </c>
      <c r="H1286" t="s">
        <v>49</v>
      </c>
      <c r="I1286">
        <v>2</v>
      </c>
      <c r="J1286" s="3">
        <v>9000</v>
      </c>
      <c r="K1286" s="3">
        <v>6000</v>
      </c>
      <c r="L1286" t="s">
        <v>66</v>
      </c>
      <c r="M1286" t="s">
        <v>37</v>
      </c>
      <c r="N1286" t="s">
        <v>23</v>
      </c>
      <c r="O1286" t="s">
        <v>24</v>
      </c>
    </row>
    <row r="1287" spans="1:15" x14ac:dyDescent="0.35">
      <c r="A1287" t="s">
        <v>2274</v>
      </c>
      <c r="B1287" s="2">
        <v>46316</v>
      </c>
      <c r="C1287" t="s">
        <v>825</v>
      </c>
      <c r="D1287" t="s">
        <v>846</v>
      </c>
      <c r="E1287" t="s">
        <v>56</v>
      </c>
      <c r="F1287" t="s">
        <v>57</v>
      </c>
      <c r="G1287" t="s">
        <v>34</v>
      </c>
      <c r="H1287" t="s">
        <v>158</v>
      </c>
      <c r="I1287">
        <v>8</v>
      </c>
      <c r="J1287" s="3">
        <v>90200</v>
      </c>
      <c r="K1287" s="3">
        <v>72100</v>
      </c>
      <c r="L1287" t="s">
        <v>73</v>
      </c>
      <c r="M1287" t="s">
        <v>31</v>
      </c>
      <c r="N1287" t="s">
        <v>52</v>
      </c>
      <c r="O1287" t="s">
        <v>24</v>
      </c>
    </row>
    <row r="1288" spans="1:15" x14ac:dyDescent="0.35">
      <c r="A1288" t="s">
        <v>2275</v>
      </c>
      <c r="B1288" s="2">
        <v>46211</v>
      </c>
      <c r="C1288" t="s">
        <v>2236</v>
      </c>
      <c r="D1288" t="s">
        <v>1292</v>
      </c>
      <c r="E1288" t="s">
        <v>18</v>
      </c>
      <c r="F1288" t="s">
        <v>18</v>
      </c>
      <c r="G1288" t="s">
        <v>43</v>
      </c>
      <c r="H1288" t="s">
        <v>162</v>
      </c>
      <c r="I1288">
        <v>1</v>
      </c>
      <c r="J1288" s="3">
        <v>8400</v>
      </c>
      <c r="K1288" s="3">
        <v>5200</v>
      </c>
      <c r="L1288" t="s">
        <v>80</v>
      </c>
      <c r="M1288" t="s">
        <v>22</v>
      </c>
      <c r="N1288" t="s">
        <v>23</v>
      </c>
      <c r="O1288" t="s">
        <v>45</v>
      </c>
    </row>
    <row r="1289" spans="1:15" x14ac:dyDescent="0.35">
      <c r="A1289" t="s">
        <v>2276</v>
      </c>
      <c r="B1289" s="2">
        <v>46143</v>
      </c>
      <c r="C1289" t="s">
        <v>1532</v>
      </c>
      <c r="D1289" t="s">
        <v>1217</v>
      </c>
      <c r="E1289" t="s">
        <v>56</v>
      </c>
      <c r="F1289" t="s">
        <v>57</v>
      </c>
      <c r="G1289" t="s">
        <v>34</v>
      </c>
      <c r="H1289" t="s">
        <v>141</v>
      </c>
      <c r="I1289">
        <v>3</v>
      </c>
      <c r="J1289" s="3">
        <v>160000</v>
      </c>
      <c r="K1289" s="3">
        <v>123600</v>
      </c>
      <c r="L1289" t="s">
        <v>50</v>
      </c>
      <c r="M1289" t="s">
        <v>37</v>
      </c>
      <c r="N1289" t="s">
        <v>52</v>
      </c>
      <c r="O1289" t="s">
        <v>91</v>
      </c>
    </row>
    <row r="1290" spans="1:15" x14ac:dyDescent="0.35">
      <c r="A1290" t="s">
        <v>2277</v>
      </c>
      <c r="B1290" s="2">
        <v>46071</v>
      </c>
      <c r="C1290" t="s">
        <v>379</v>
      </c>
      <c r="D1290" t="s">
        <v>1471</v>
      </c>
      <c r="E1290" t="s">
        <v>18</v>
      </c>
      <c r="F1290" t="s">
        <v>18</v>
      </c>
      <c r="G1290" t="s">
        <v>28</v>
      </c>
      <c r="H1290" t="s">
        <v>248</v>
      </c>
      <c r="I1290">
        <v>10</v>
      </c>
      <c r="J1290" s="3">
        <v>25000</v>
      </c>
      <c r="K1290" s="3">
        <v>16000</v>
      </c>
      <c r="L1290" t="s">
        <v>21</v>
      </c>
      <c r="M1290" t="s">
        <v>22</v>
      </c>
      <c r="N1290" t="s">
        <v>52</v>
      </c>
      <c r="O1290" t="s">
        <v>24</v>
      </c>
    </row>
    <row r="1291" spans="1:15" x14ac:dyDescent="0.35">
      <c r="A1291" t="s">
        <v>2278</v>
      </c>
      <c r="B1291" s="2">
        <v>46270</v>
      </c>
      <c r="C1291" t="s">
        <v>497</v>
      </c>
      <c r="D1291" t="s">
        <v>572</v>
      </c>
      <c r="E1291" t="s">
        <v>156</v>
      </c>
      <c r="F1291" t="s">
        <v>170</v>
      </c>
      <c r="G1291" t="s">
        <v>34</v>
      </c>
      <c r="H1291" t="s">
        <v>141</v>
      </c>
      <c r="I1291">
        <v>9</v>
      </c>
      <c r="J1291" s="3">
        <v>168000</v>
      </c>
      <c r="K1291" s="3">
        <v>123600</v>
      </c>
      <c r="L1291" t="s">
        <v>73</v>
      </c>
      <c r="M1291" t="s">
        <v>51</v>
      </c>
      <c r="N1291" t="s">
        <v>52</v>
      </c>
      <c r="O1291" t="s">
        <v>24</v>
      </c>
    </row>
    <row r="1292" spans="1:15" x14ac:dyDescent="0.35">
      <c r="A1292" t="s">
        <v>2279</v>
      </c>
      <c r="B1292" s="2">
        <v>46130</v>
      </c>
      <c r="C1292" t="s">
        <v>518</v>
      </c>
      <c r="D1292" t="s">
        <v>1654</v>
      </c>
      <c r="E1292" t="s">
        <v>70</v>
      </c>
      <c r="F1292" t="s">
        <v>71</v>
      </c>
      <c r="G1292" t="s">
        <v>19</v>
      </c>
      <c r="H1292" t="s">
        <v>166</v>
      </c>
      <c r="I1292">
        <v>4</v>
      </c>
      <c r="J1292" s="3">
        <v>147000</v>
      </c>
      <c r="K1292" s="3">
        <v>103000</v>
      </c>
      <c r="L1292" t="s">
        <v>96</v>
      </c>
      <c r="M1292" t="s">
        <v>51</v>
      </c>
      <c r="N1292" t="s">
        <v>52</v>
      </c>
      <c r="O1292" t="s">
        <v>24</v>
      </c>
    </row>
    <row r="1293" spans="1:15" x14ac:dyDescent="0.35">
      <c r="A1293" t="s">
        <v>2280</v>
      </c>
      <c r="B1293" s="2">
        <v>46295</v>
      </c>
      <c r="C1293" t="s">
        <v>1278</v>
      </c>
      <c r="D1293" t="s">
        <v>960</v>
      </c>
      <c r="E1293" t="s">
        <v>70</v>
      </c>
      <c r="F1293" t="s">
        <v>71</v>
      </c>
      <c r="G1293" t="s">
        <v>19</v>
      </c>
      <c r="H1293" t="s">
        <v>20</v>
      </c>
      <c r="I1293">
        <v>5</v>
      </c>
      <c r="J1293" s="3">
        <v>68200</v>
      </c>
      <c r="K1293" s="3">
        <v>43600</v>
      </c>
      <c r="L1293" t="s">
        <v>66</v>
      </c>
      <c r="M1293" t="s">
        <v>22</v>
      </c>
      <c r="N1293" t="s">
        <v>23</v>
      </c>
      <c r="O1293" t="s">
        <v>91</v>
      </c>
    </row>
    <row r="1294" spans="1:15" x14ac:dyDescent="0.35">
      <c r="A1294" t="s">
        <v>2281</v>
      </c>
      <c r="B1294" s="2">
        <v>46312</v>
      </c>
      <c r="C1294" t="s">
        <v>220</v>
      </c>
      <c r="D1294" t="s">
        <v>1120</v>
      </c>
      <c r="E1294" t="s">
        <v>18</v>
      </c>
      <c r="F1294" t="s">
        <v>18</v>
      </c>
      <c r="G1294" t="s">
        <v>43</v>
      </c>
      <c r="H1294" t="s">
        <v>79</v>
      </c>
      <c r="I1294">
        <v>9</v>
      </c>
      <c r="J1294" s="3">
        <v>6300</v>
      </c>
      <c r="K1294" s="3">
        <v>4300</v>
      </c>
      <c r="L1294" t="s">
        <v>36</v>
      </c>
      <c r="M1294" t="s">
        <v>22</v>
      </c>
      <c r="N1294" t="s">
        <v>23</v>
      </c>
      <c r="O1294" t="s">
        <v>24</v>
      </c>
    </row>
    <row r="1295" spans="1:15" x14ac:dyDescent="0.35">
      <c r="A1295" t="s">
        <v>2282</v>
      </c>
      <c r="B1295" s="2">
        <v>46196</v>
      </c>
      <c r="C1295" t="s">
        <v>832</v>
      </c>
      <c r="D1295" t="s">
        <v>1346</v>
      </c>
      <c r="E1295" t="s">
        <v>18</v>
      </c>
      <c r="F1295" t="s">
        <v>18</v>
      </c>
      <c r="G1295" t="s">
        <v>28</v>
      </c>
      <c r="H1295" t="s">
        <v>29</v>
      </c>
      <c r="I1295">
        <v>9</v>
      </c>
      <c r="J1295" s="3">
        <v>7400</v>
      </c>
      <c r="K1295" s="3">
        <v>3900</v>
      </c>
      <c r="L1295" t="s">
        <v>50</v>
      </c>
      <c r="M1295" t="s">
        <v>37</v>
      </c>
      <c r="N1295" t="s">
        <v>52</v>
      </c>
      <c r="O1295" t="s">
        <v>91</v>
      </c>
    </row>
    <row r="1296" spans="1:15" x14ac:dyDescent="0.35">
      <c r="A1296" t="s">
        <v>2283</v>
      </c>
      <c r="B1296" s="2">
        <v>46211</v>
      </c>
      <c r="C1296" t="s">
        <v>1294</v>
      </c>
      <c r="D1296" t="s">
        <v>939</v>
      </c>
      <c r="E1296" t="s">
        <v>84</v>
      </c>
      <c r="F1296" t="s">
        <v>85</v>
      </c>
      <c r="G1296" t="s">
        <v>34</v>
      </c>
      <c r="H1296" t="s">
        <v>141</v>
      </c>
      <c r="I1296">
        <v>4</v>
      </c>
      <c r="J1296" s="3">
        <v>152000</v>
      </c>
      <c r="K1296" s="3">
        <v>116400</v>
      </c>
      <c r="L1296" t="s">
        <v>96</v>
      </c>
      <c r="M1296" t="s">
        <v>22</v>
      </c>
      <c r="N1296" t="s">
        <v>23</v>
      </c>
      <c r="O1296" t="s">
        <v>24</v>
      </c>
    </row>
    <row r="1297" spans="1:15" x14ac:dyDescent="0.35">
      <c r="A1297" t="s">
        <v>2284</v>
      </c>
      <c r="B1297" s="2">
        <v>46055</v>
      </c>
      <c r="C1297" t="s">
        <v>811</v>
      </c>
      <c r="D1297" t="s">
        <v>555</v>
      </c>
      <c r="E1297" t="s">
        <v>77</v>
      </c>
      <c r="F1297" t="s">
        <v>78</v>
      </c>
      <c r="G1297" t="s">
        <v>28</v>
      </c>
      <c r="H1297" t="s">
        <v>131</v>
      </c>
      <c r="I1297">
        <v>2</v>
      </c>
      <c r="J1297" s="3">
        <v>31500</v>
      </c>
      <c r="K1297" s="3">
        <v>19600</v>
      </c>
      <c r="L1297" t="s">
        <v>36</v>
      </c>
      <c r="M1297" t="s">
        <v>37</v>
      </c>
      <c r="N1297" t="s">
        <v>52</v>
      </c>
      <c r="O1297" t="s">
        <v>24</v>
      </c>
    </row>
    <row r="1298" spans="1:15" x14ac:dyDescent="0.35">
      <c r="A1298" t="s">
        <v>2285</v>
      </c>
      <c r="B1298" s="2">
        <v>46158</v>
      </c>
      <c r="C1298" t="s">
        <v>59</v>
      </c>
      <c r="D1298" t="s">
        <v>703</v>
      </c>
      <c r="E1298" t="s">
        <v>18</v>
      </c>
      <c r="F1298" t="s">
        <v>18</v>
      </c>
      <c r="G1298" t="s">
        <v>28</v>
      </c>
      <c r="H1298" t="s">
        <v>248</v>
      </c>
      <c r="I1298">
        <v>5</v>
      </c>
      <c r="J1298" s="3">
        <v>25000</v>
      </c>
      <c r="K1298" s="3">
        <v>16500</v>
      </c>
      <c r="L1298" t="s">
        <v>50</v>
      </c>
      <c r="M1298" t="s">
        <v>51</v>
      </c>
      <c r="N1298" t="s">
        <v>52</v>
      </c>
      <c r="O1298" t="s">
        <v>45</v>
      </c>
    </row>
    <row r="1299" spans="1:15" x14ac:dyDescent="0.35">
      <c r="A1299" t="s">
        <v>2286</v>
      </c>
      <c r="B1299" s="2">
        <v>46172</v>
      </c>
      <c r="C1299" t="s">
        <v>1511</v>
      </c>
      <c r="D1299" t="s">
        <v>767</v>
      </c>
      <c r="E1299" t="s">
        <v>84</v>
      </c>
      <c r="F1299" t="s">
        <v>85</v>
      </c>
      <c r="G1299" t="s">
        <v>43</v>
      </c>
      <c r="H1299" t="s">
        <v>44</v>
      </c>
      <c r="I1299">
        <v>6</v>
      </c>
      <c r="J1299" s="3">
        <v>15000</v>
      </c>
      <c r="K1299" s="3">
        <v>9800</v>
      </c>
      <c r="L1299" t="s">
        <v>50</v>
      </c>
      <c r="M1299" t="s">
        <v>22</v>
      </c>
      <c r="N1299" t="s">
        <v>52</v>
      </c>
      <c r="O1299" t="s">
        <v>24</v>
      </c>
    </row>
    <row r="1300" spans="1:15" x14ac:dyDescent="0.35">
      <c r="A1300" t="s">
        <v>2287</v>
      </c>
      <c r="B1300" s="2">
        <v>46094</v>
      </c>
      <c r="C1300" t="s">
        <v>1253</v>
      </c>
      <c r="D1300" t="s">
        <v>479</v>
      </c>
      <c r="E1300" t="s">
        <v>190</v>
      </c>
      <c r="F1300" t="s">
        <v>191</v>
      </c>
      <c r="G1300" t="s">
        <v>34</v>
      </c>
      <c r="H1300" t="s">
        <v>158</v>
      </c>
      <c r="I1300">
        <v>2</v>
      </c>
      <c r="J1300" s="3">
        <v>95000</v>
      </c>
      <c r="K1300" s="3">
        <v>70000</v>
      </c>
      <c r="L1300" t="s">
        <v>66</v>
      </c>
      <c r="M1300" t="s">
        <v>22</v>
      </c>
      <c r="N1300" t="s">
        <v>23</v>
      </c>
      <c r="O1300" t="s">
        <v>24</v>
      </c>
    </row>
    <row r="1301" spans="1:15" x14ac:dyDescent="0.35">
      <c r="A1301" t="s">
        <v>2288</v>
      </c>
      <c r="B1301" s="2">
        <v>46296</v>
      </c>
      <c r="C1301" t="s">
        <v>275</v>
      </c>
      <c r="D1301" t="s">
        <v>779</v>
      </c>
      <c r="E1301" t="s">
        <v>18</v>
      </c>
      <c r="F1301" t="s">
        <v>18</v>
      </c>
      <c r="G1301" t="s">
        <v>34</v>
      </c>
      <c r="H1301" t="s">
        <v>141</v>
      </c>
      <c r="I1301">
        <v>6</v>
      </c>
      <c r="J1301" s="3">
        <v>160000</v>
      </c>
      <c r="K1301" s="3">
        <v>120000</v>
      </c>
      <c r="L1301" t="s">
        <v>30</v>
      </c>
      <c r="M1301" t="s">
        <v>31</v>
      </c>
      <c r="N1301" t="s">
        <v>87</v>
      </c>
      <c r="O1301" t="s">
        <v>24</v>
      </c>
    </row>
    <row r="1302" spans="1:15" x14ac:dyDescent="0.35">
      <c r="A1302" t="s">
        <v>2289</v>
      </c>
      <c r="B1302" s="2">
        <v>46103</v>
      </c>
      <c r="C1302" t="s">
        <v>532</v>
      </c>
      <c r="D1302" t="s">
        <v>986</v>
      </c>
      <c r="E1302" t="s">
        <v>70</v>
      </c>
      <c r="F1302" t="s">
        <v>71</v>
      </c>
      <c r="G1302" t="s">
        <v>43</v>
      </c>
      <c r="H1302" t="s">
        <v>49</v>
      </c>
      <c r="I1302">
        <v>1</v>
      </c>
      <c r="J1302" s="3">
        <v>9400</v>
      </c>
      <c r="K1302" s="3">
        <v>6000</v>
      </c>
      <c r="L1302" t="s">
        <v>30</v>
      </c>
      <c r="M1302" t="s">
        <v>37</v>
      </c>
      <c r="N1302" t="s">
        <v>23</v>
      </c>
      <c r="O1302" t="s">
        <v>91</v>
      </c>
    </row>
    <row r="1303" spans="1:15" x14ac:dyDescent="0.35">
      <c r="A1303" t="s">
        <v>2290</v>
      </c>
      <c r="B1303" s="2">
        <v>46141</v>
      </c>
      <c r="C1303" t="s">
        <v>489</v>
      </c>
      <c r="D1303" t="s">
        <v>417</v>
      </c>
      <c r="E1303" t="s">
        <v>56</v>
      </c>
      <c r="F1303" t="s">
        <v>57</v>
      </c>
      <c r="G1303" t="s">
        <v>28</v>
      </c>
      <c r="H1303" t="s">
        <v>29</v>
      </c>
      <c r="I1303">
        <v>10</v>
      </c>
      <c r="J1303" s="3">
        <v>7000</v>
      </c>
      <c r="K1303" s="3">
        <v>4000</v>
      </c>
      <c r="L1303" t="s">
        <v>96</v>
      </c>
      <c r="M1303" t="s">
        <v>51</v>
      </c>
      <c r="N1303" t="s">
        <v>87</v>
      </c>
      <c r="O1303" t="s">
        <v>24</v>
      </c>
    </row>
    <row r="1304" spans="1:15" x14ac:dyDescent="0.35">
      <c r="A1304" t="s">
        <v>2291</v>
      </c>
      <c r="B1304" s="2">
        <v>46296</v>
      </c>
      <c r="C1304" t="s">
        <v>1081</v>
      </c>
      <c r="D1304" t="s">
        <v>385</v>
      </c>
      <c r="E1304" t="s">
        <v>18</v>
      </c>
      <c r="F1304" t="s">
        <v>18</v>
      </c>
      <c r="G1304" t="s">
        <v>43</v>
      </c>
      <c r="H1304" t="s">
        <v>49</v>
      </c>
      <c r="I1304">
        <v>1</v>
      </c>
      <c r="J1304" s="3">
        <v>8600</v>
      </c>
      <c r="K1304" s="3">
        <v>5600</v>
      </c>
      <c r="L1304" t="s">
        <v>96</v>
      </c>
      <c r="M1304" t="s">
        <v>37</v>
      </c>
      <c r="N1304" t="s">
        <v>52</v>
      </c>
      <c r="O1304" t="s">
        <v>24</v>
      </c>
    </row>
    <row r="1305" spans="1:15" x14ac:dyDescent="0.35">
      <c r="A1305" t="s">
        <v>2292</v>
      </c>
      <c r="B1305" s="2">
        <v>46264</v>
      </c>
      <c r="C1305" t="s">
        <v>1156</v>
      </c>
      <c r="D1305" t="s">
        <v>1059</v>
      </c>
      <c r="E1305" t="s">
        <v>190</v>
      </c>
      <c r="F1305" t="s">
        <v>191</v>
      </c>
      <c r="G1305" t="s">
        <v>43</v>
      </c>
      <c r="H1305" t="s">
        <v>79</v>
      </c>
      <c r="I1305">
        <v>5</v>
      </c>
      <c r="J1305" s="3">
        <v>5700</v>
      </c>
      <c r="K1305" s="3">
        <v>4300</v>
      </c>
      <c r="L1305" t="s">
        <v>21</v>
      </c>
      <c r="M1305" t="s">
        <v>51</v>
      </c>
      <c r="N1305" t="s">
        <v>23</v>
      </c>
      <c r="O1305" t="s">
        <v>24</v>
      </c>
    </row>
    <row r="1306" spans="1:15" x14ac:dyDescent="0.35">
      <c r="A1306" t="s">
        <v>2293</v>
      </c>
      <c r="B1306" s="2">
        <v>46172</v>
      </c>
      <c r="C1306" t="s">
        <v>1632</v>
      </c>
      <c r="D1306" t="s">
        <v>540</v>
      </c>
      <c r="E1306" t="s">
        <v>156</v>
      </c>
      <c r="F1306" t="s">
        <v>157</v>
      </c>
      <c r="G1306" t="s">
        <v>28</v>
      </c>
      <c r="H1306" t="s">
        <v>72</v>
      </c>
      <c r="I1306">
        <v>6</v>
      </c>
      <c r="J1306" s="3">
        <v>10000</v>
      </c>
      <c r="K1306" s="3">
        <v>6200</v>
      </c>
      <c r="L1306" t="s">
        <v>50</v>
      </c>
      <c r="M1306" t="s">
        <v>37</v>
      </c>
      <c r="N1306" t="s">
        <v>23</v>
      </c>
      <c r="O1306" t="s">
        <v>45</v>
      </c>
    </row>
    <row r="1307" spans="1:15" x14ac:dyDescent="0.35">
      <c r="A1307" t="s">
        <v>2294</v>
      </c>
      <c r="B1307" s="2">
        <v>46178</v>
      </c>
      <c r="C1307" t="s">
        <v>938</v>
      </c>
      <c r="D1307" t="s">
        <v>247</v>
      </c>
      <c r="E1307" t="s">
        <v>18</v>
      </c>
      <c r="F1307" t="s">
        <v>18</v>
      </c>
      <c r="G1307" t="s">
        <v>28</v>
      </c>
      <c r="H1307" t="s">
        <v>131</v>
      </c>
      <c r="I1307">
        <v>4</v>
      </c>
      <c r="J1307" s="3">
        <v>30000</v>
      </c>
      <c r="K1307" s="3">
        <v>19600</v>
      </c>
      <c r="L1307" t="s">
        <v>73</v>
      </c>
      <c r="M1307" t="s">
        <v>37</v>
      </c>
      <c r="N1307" t="s">
        <v>23</v>
      </c>
      <c r="O1307" t="s">
        <v>45</v>
      </c>
    </row>
    <row r="1308" spans="1:15" x14ac:dyDescent="0.35">
      <c r="A1308" t="s">
        <v>2295</v>
      </c>
      <c r="B1308" s="2">
        <v>46196</v>
      </c>
      <c r="C1308" t="s">
        <v>1414</v>
      </c>
      <c r="D1308" t="s">
        <v>241</v>
      </c>
      <c r="E1308" t="s">
        <v>84</v>
      </c>
      <c r="F1308" t="s">
        <v>85</v>
      </c>
      <c r="G1308" t="s">
        <v>43</v>
      </c>
      <c r="H1308" t="s">
        <v>162</v>
      </c>
      <c r="I1308">
        <v>10</v>
      </c>
      <c r="J1308" s="3">
        <v>8400</v>
      </c>
      <c r="K1308" s="3">
        <v>5000</v>
      </c>
      <c r="L1308" t="s">
        <v>73</v>
      </c>
      <c r="M1308" t="s">
        <v>51</v>
      </c>
      <c r="N1308" t="s">
        <v>23</v>
      </c>
      <c r="O1308" t="s">
        <v>45</v>
      </c>
    </row>
    <row r="1309" spans="1:15" x14ac:dyDescent="0.35">
      <c r="A1309" t="s">
        <v>2296</v>
      </c>
      <c r="B1309" s="2">
        <v>46204</v>
      </c>
      <c r="C1309" t="s">
        <v>2069</v>
      </c>
      <c r="D1309" t="s">
        <v>462</v>
      </c>
      <c r="E1309" t="s">
        <v>77</v>
      </c>
      <c r="F1309" t="s">
        <v>78</v>
      </c>
      <c r="G1309" t="s">
        <v>28</v>
      </c>
      <c r="H1309" t="s">
        <v>72</v>
      </c>
      <c r="I1309">
        <v>5</v>
      </c>
      <c r="J1309" s="3">
        <v>10000</v>
      </c>
      <c r="K1309" s="3">
        <v>6200</v>
      </c>
      <c r="L1309" t="s">
        <v>73</v>
      </c>
      <c r="M1309" t="s">
        <v>22</v>
      </c>
      <c r="N1309" t="s">
        <v>23</v>
      </c>
      <c r="O1309" t="s">
        <v>45</v>
      </c>
    </row>
    <row r="1310" spans="1:15" x14ac:dyDescent="0.35">
      <c r="A1310" t="s">
        <v>2297</v>
      </c>
      <c r="B1310" s="2">
        <v>46128</v>
      </c>
      <c r="C1310" t="s">
        <v>2118</v>
      </c>
      <c r="D1310" t="s">
        <v>1181</v>
      </c>
      <c r="E1310" t="s">
        <v>56</v>
      </c>
      <c r="F1310" t="s">
        <v>57</v>
      </c>
      <c r="G1310" t="s">
        <v>34</v>
      </c>
      <c r="H1310" t="s">
        <v>158</v>
      </c>
      <c r="I1310">
        <v>8</v>
      </c>
      <c r="J1310" s="3">
        <v>99800</v>
      </c>
      <c r="K1310" s="3">
        <v>72100</v>
      </c>
      <c r="L1310" t="s">
        <v>50</v>
      </c>
      <c r="M1310" t="s">
        <v>51</v>
      </c>
      <c r="N1310" t="s">
        <v>52</v>
      </c>
      <c r="O1310" t="s">
        <v>24</v>
      </c>
    </row>
    <row r="1311" spans="1:15" x14ac:dyDescent="0.35">
      <c r="A1311" t="s">
        <v>2298</v>
      </c>
      <c r="B1311" s="2">
        <v>46315</v>
      </c>
      <c r="C1311" t="s">
        <v>1780</v>
      </c>
      <c r="D1311" t="s">
        <v>55</v>
      </c>
      <c r="E1311" t="s">
        <v>18</v>
      </c>
      <c r="F1311" t="s">
        <v>18</v>
      </c>
      <c r="G1311" t="s">
        <v>43</v>
      </c>
      <c r="H1311" t="s">
        <v>177</v>
      </c>
      <c r="I1311">
        <v>6</v>
      </c>
      <c r="J1311" s="3">
        <v>18900</v>
      </c>
      <c r="K1311" s="3">
        <v>12900</v>
      </c>
      <c r="L1311" t="s">
        <v>73</v>
      </c>
      <c r="M1311" t="s">
        <v>51</v>
      </c>
      <c r="N1311" t="s">
        <v>23</v>
      </c>
      <c r="O1311" t="s">
        <v>24</v>
      </c>
    </row>
    <row r="1312" spans="1:15" x14ac:dyDescent="0.35">
      <c r="A1312" t="s">
        <v>2299</v>
      </c>
      <c r="B1312" s="2">
        <v>46071</v>
      </c>
      <c r="C1312" t="s">
        <v>1327</v>
      </c>
      <c r="D1312" t="s">
        <v>586</v>
      </c>
      <c r="E1312" t="s">
        <v>41</v>
      </c>
      <c r="F1312" t="s">
        <v>42</v>
      </c>
      <c r="G1312" t="s">
        <v>43</v>
      </c>
      <c r="H1312" t="s">
        <v>79</v>
      </c>
      <c r="I1312">
        <v>8</v>
      </c>
      <c r="J1312" s="3">
        <v>6000</v>
      </c>
      <c r="K1312" s="3">
        <v>4300</v>
      </c>
      <c r="L1312" t="s">
        <v>30</v>
      </c>
      <c r="M1312" t="s">
        <v>22</v>
      </c>
      <c r="N1312" t="s">
        <v>52</v>
      </c>
      <c r="O1312" t="s">
        <v>24</v>
      </c>
    </row>
    <row r="1313" spans="1:15" x14ac:dyDescent="0.35">
      <c r="A1313" t="s">
        <v>2300</v>
      </c>
      <c r="B1313" s="2">
        <v>46384</v>
      </c>
      <c r="C1313" t="s">
        <v>981</v>
      </c>
      <c r="D1313" t="s">
        <v>1154</v>
      </c>
      <c r="E1313" t="s">
        <v>84</v>
      </c>
      <c r="F1313" t="s">
        <v>85</v>
      </c>
      <c r="G1313" t="s">
        <v>28</v>
      </c>
      <c r="H1313" t="s">
        <v>65</v>
      </c>
      <c r="I1313">
        <v>10</v>
      </c>
      <c r="J1313" s="3">
        <v>12000</v>
      </c>
      <c r="K1313" s="3">
        <v>7500</v>
      </c>
      <c r="L1313" t="s">
        <v>73</v>
      </c>
      <c r="M1313" t="s">
        <v>31</v>
      </c>
      <c r="N1313" t="s">
        <v>23</v>
      </c>
      <c r="O1313" t="s">
        <v>24</v>
      </c>
    </row>
    <row r="1314" spans="1:15" x14ac:dyDescent="0.35">
      <c r="A1314" t="s">
        <v>2301</v>
      </c>
      <c r="B1314" s="2">
        <v>46363</v>
      </c>
      <c r="C1314" t="s">
        <v>2302</v>
      </c>
      <c r="D1314" t="s">
        <v>1311</v>
      </c>
      <c r="E1314" t="s">
        <v>56</v>
      </c>
      <c r="F1314" t="s">
        <v>57</v>
      </c>
      <c r="G1314" t="s">
        <v>34</v>
      </c>
      <c r="H1314" t="s">
        <v>158</v>
      </c>
      <c r="I1314">
        <v>4</v>
      </c>
      <c r="J1314" s="3">
        <v>90200</v>
      </c>
      <c r="K1314" s="3">
        <v>70000</v>
      </c>
      <c r="L1314" t="s">
        <v>50</v>
      </c>
      <c r="M1314" t="s">
        <v>22</v>
      </c>
      <c r="N1314" t="s">
        <v>23</v>
      </c>
      <c r="O1314" t="s">
        <v>24</v>
      </c>
    </row>
    <row r="1315" spans="1:15" x14ac:dyDescent="0.35">
      <c r="A1315" t="s">
        <v>2303</v>
      </c>
      <c r="B1315" s="2">
        <v>46028</v>
      </c>
      <c r="C1315" t="s">
        <v>503</v>
      </c>
      <c r="D1315" t="s">
        <v>939</v>
      </c>
      <c r="E1315" t="s">
        <v>18</v>
      </c>
      <c r="F1315" t="s">
        <v>18</v>
      </c>
      <c r="G1315" t="s">
        <v>19</v>
      </c>
      <c r="H1315" t="s">
        <v>112</v>
      </c>
      <c r="I1315">
        <v>6</v>
      </c>
      <c r="J1315" s="3">
        <v>85000</v>
      </c>
      <c r="K1315" s="3">
        <v>62000</v>
      </c>
      <c r="L1315" t="s">
        <v>80</v>
      </c>
      <c r="M1315" t="s">
        <v>37</v>
      </c>
      <c r="N1315" t="s">
        <v>23</v>
      </c>
      <c r="O1315" t="s">
        <v>24</v>
      </c>
    </row>
    <row r="1316" spans="1:15" x14ac:dyDescent="0.35">
      <c r="A1316" t="s">
        <v>2304</v>
      </c>
      <c r="B1316" s="2">
        <v>46131</v>
      </c>
      <c r="C1316" t="s">
        <v>427</v>
      </c>
      <c r="D1316" t="s">
        <v>2305</v>
      </c>
      <c r="E1316" t="s">
        <v>70</v>
      </c>
      <c r="F1316" t="s">
        <v>71</v>
      </c>
      <c r="G1316" t="s">
        <v>34</v>
      </c>
      <c r="H1316" t="s">
        <v>158</v>
      </c>
      <c r="I1316">
        <v>8</v>
      </c>
      <c r="J1316" s="3">
        <v>95000</v>
      </c>
      <c r="K1316" s="3">
        <v>67900</v>
      </c>
      <c r="L1316" t="s">
        <v>66</v>
      </c>
      <c r="M1316" t="s">
        <v>31</v>
      </c>
      <c r="N1316" t="s">
        <v>23</v>
      </c>
      <c r="O1316" t="s">
        <v>24</v>
      </c>
    </row>
    <row r="1317" spans="1:15" x14ac:dyDescent="0.35">
      <c r="A1317" t="s">
        <v>2306</v>
      </c>
      <c r="B1317" s="2">
        <v>46195</v>
      </c>
      <c r="C1317" t="s">
        <v>1541</v>
      </c>
      <c r="D1317" t="s">
        <v>572</v>
      </c>
      <c r="E1317" t="s">
        <v>77</v>
      </c>
      <c r="F1317" t="s">
        <v>78</v>
      </c>
      <c r="G1317" t="s">
        <v>43</v>
      </c>
      <c r="H1317" t="s">
        <v>177</v>
      </c>
      <c r="I1317">
        <v>1</v>
      </c>
      <c r="J1317" s="3">
        <v>18000</v>
      </c>
      <c r="K1317" s="3">
        <v>12500</v>
      </c>
      <c r="L1317" t="s">
        <v>66</v>
      </c>
      <c r="M1317" t="s">
        <v>51</v>
      </c>
      <c r="N1317" t="s">
        <v>23</v>
      </c>
      <c r="O1317" t="s">
        <v>24</v>
      </c>
    </row>
    <row r="1318" spans="1:15" x14ac:dyDescent="0.35">
      <c r="A1318" t="s">
        <v>2307</v>
      </c>
      <c r="B1318" s="2">
        <v>46053</v>
      </c>
      <c r="C1318" t="s">
        <v>1106</v>
      </c>
      <c r="D1318" t="s">
        <v>552</v>
      </c>
      <c r="E1318" t="s">
        <v>18</v>
      </c>
      <c r="F1318" t="s">
        <v>18</v>
      </c>
      <c r="G1318" t="s">
        <v>43</v>
      </c>
      <c r="H1318" t="s">
        <v>162</v>
      </c>
      <c r="I1318">
        <v>9</v>
      </c>
      <c r="J1318" s="3">
        <v>8400</v>
      </c>
      <c r="K1318" s="3">
        <v>4800</v>
      </c>
      <c r="L1318" t="s">
        <v>50</v>
      </c>
      <c r="M1318" t="s">
        <v>31</v>
      </c>
      <c r="N1318" t="s">
        <v>87</v>
      </c>
      <c r="O1318" t="s">
        <v>45</v>
      </c>
    </row>
    <row r="1319" spans="1:15" x14ac:dyDescent="0.35">
      <c r="A1319" t="s">
        <v>2308</v>
      </c>
      <c r="B1319" s="2">
        <v>46265</v>
      </c>
      <c r="C1319" t="s">
        <v>671</v>
      </c>
      <c r="D1319" t="s">
        <v>40</v>
      </c>
      <c r="E1319" t="s">
        <v>18</v>
      </c>
      <c r="F1319" t="s">
        <v>18</v>
      </c>
      <c r="G1319" t="s">
        <v>34</v>
      </c>
      <c r="H1319" t="s">
        <v>141</v>
      </c>
      <c r="I1319">
        <v>7</v>
      </c>
      <c r="J1319" s="3">
        <v>160000</v>
      </c>
      <c r="K1319" s="3">
        <v>120000</v>
      </c>
      <c r="L1319" t="s">
        <v>73</v>
      </c>
      <c r="M1319" t="s">
        <v>31</v>
      </c>
      <c r="N1319" t="s">
        <v>52</v>
      </c>
      <c r="O1319" t="s">
        <v>45</v>
      </c>
    </row>
    <row r="1320" spans="1:15" x14ac:dyDescent="0.35">
      <c r="A1320" t="s">
        <v>2309</v>
      </c>
      <c r="B1320" s="2">
        <v>46380</v>
      </c>
      <c r="C1320" t="s">
        <v>186</v>
      </c>
      <c r="D1320" t="s">
        <v>610</v>
      </c>
      <c r="E1320" t="s">
        <v>84</v>
      </c>
      <c r="F1320" t="s">
        <v>85</v>
      </c>
      <c r="G1320" t="s">
        <v>34</v>
      </c>
      <c r="H1320" t="s">
        <v>141</v>
      </c>
      <c r="I1320">
        <v>3</v>
      </c>
      <c r="J1320" s="3">
        <v>160000</v>
      </c>
      <c r="K1320" s="3">
        <v>116400</v>
      </c>
      <c r="L1320" t="s">
        <v>21</v>
      </c>
      <c r="M1320" t="s">
        <v>51</v>
      </c>
      <c r="N1320" t="s">
        <v>87</v>
      </c>
      <c r="O1320" t="s">
        <v>91</v>
      </c>
    </row>
    <row r="1321" spans="1:15" x14ac:dyDescent="0.35">
      <c r="A1321" t="s">
        <v>2310</v>
      </c>
      <c r="B1321" s="2">
        <v>46128</v>
      </c>
      <c r="C1321" t="s">
        <v>1285</v>
      </c>
      <c r="D1321" t="s">
        <v>1654</v>
      </c>
      <c r="E1321" t="s">
        <v>84</v>
      </c>
      <c r="F1321" t="s">
        <v>85</v>
      </c>
      <c r="G1321" t="s">
        <v>28</v>
      </c>
      <c r="H1321" t="s">
        <v>131</v>
      </c>
      <c r="I1321">
        <v>10</v>
      </c>
      <c r="J1321" s="3">
        <v>30000</v>
      </c>
      <c r="K1321" s="3">
        <v>19600</v>
      </c>
      <c r="L1321" t="s">
        <v>36</v>
      </c>
      <c r="M1321" t="s">
        <v>37</v>
      </c>
      <c r="N1321" t="s">
        <v>23</v>
      </c>
      <c r="O1321" t="s">
        <v>24</v>
      </c>
    </row>
    <row r="1322" spans="1:15" x14ac:dyDescent="0.35">
      <c r="A1322" t="s">
        <v>2311</v>
      </c>
      <c r="B1322" s="2">
        <v>46250</v>
      </c>
      <c r="C1322" t="s">
        <v>580</v>
      </c>
      <c r="D1322" t="s">
        <v>950</v>
      </c>
      <c r="E1322" t="s">
        <v>156</v>
      </c>
      <c r="F1322" t="s">
        <v>170</v>
      </c>
      <c r="G1322" t="s">
        <v>19</v>
      </c>
      <c r="H1322" t="s">
        <v>112</v>
      </c>
      <c r="I1322">
        <v>6</v>
      </c>
      <c r="J1322" s="3">
        <v>85000</v>
      </c>
      <c r="K1322" s="3">
        <v>62000</v>
      </c>
      <c r="L1322" t="s">
        <v>66</v>
      </c>
      <c r="M1322" t="s">
        <v>37</v>
      </c>
      <c r="N1322" t="s">
        <v>52</v>
      </c>
      <c r="O1322" t="s">
        <v>24</v>
      </c>
    </row>
    <row r="1323" spans="1:15" x14ac:dyDescent="0.35">
      <c r="A1323" t="s">
        <v>2312</v>
      </c>
      <c r="B1323" s="2">
        <v>46133</v>
      </c>
      <c r="C1323" t="s">
        <v>927</v>
      </c>
      <c r="D1323" t="s">
        <v>1221</v>
      </c>
      <c r="E1323" t="s">
        <v>18</v>
      </c>
      <c r="F1323" t="s">
        <v>18</v>
      </c>
      <c r="G1323" t="s">
        <v>43</v>
      </c>
      <c r="H1323" t="s">
        <v>49</v>
      </c>
      <c r="I1323">
        <v>10</v>
      </c>
      <c r="J1323" s="3">
        <v>9400</v>
      </c>
      <c r="K1323" s="3">
        <v>6000</v>
      </c>
      <c r="L1323" t="s">
        <v>96</v>
      </c>
      <c r="M1323" t="s">
        <v>51</v>
      </c>
      <c r="N1323" t="s">
        <v>23</v>
      </c>
      <c r="O1323" t="s">
        <v>24</v>
      </c>
    </row>
    <row r="1324" spans="1:15" x14ac:dyDescent="0.35">
      <c r="A1324" t="s">
        <v>2313</v>
      </c>
      <c r="B1324" s="2">
        <v>46169</v>
      </c>
      <c r="C1324" t="s">
        <v>164</v>
      </c>
      <c r="D1324" t="s">
        <v>453</v>
      </c>
      <c r="E1324" t="s">
        <v>70</v>
      </c>
      <c r="F1324" t="s">
        <v>71</v>
      </c>
      <c r="G1324" t="s">
        <v>34</v>
      </c>
      <c r="H1324" t="s">
        <v>35</v>
      </c>
      <c r="I1324">
        <v>8</v>
      </c>
      <c r="J1324" s="3">
        <v>55000</v>
      </c>
      <c r="K1324" s="3">
        <v>39000</v>
      </c>
      <c r="L1324" t="s">
        <v>50</v>
      </c>
      <c r="M1324" t="s">
        <v>37</v>
      </c>
      <c r="N1324" t="s">
        <v>87</v>
      </c>
      <c r="O1324" t="s">
        <v>24</v>
      </c>
    </row>
    <row r="1325" spans="1:15" x14ac:dyDescent="0.35">
      <c r="A1325" t="s">
        <v>2314</v>
      </c>
      <c r="B1325" s="2">
        <v>46134</v>
      </c>
      <c r="C1325" t="s">
        <v>783</v>
      </c>
      <c r="D1325" t="s">
        <v>869</v>
      </c>
      <c r="E1325" t="s">
        <v>156</v>
      </c>
      <c r="F1325" t="s">
        <v>170</v>
      </c>
      <c r="G1325" t="s">
        <v>19</v>
      </c>
      <c r="H1325" t="s">
        <v>166</v>
      </c>
      <c r="I1325">
        <v>1</v>
      </c>
      <c r="J1325" s="3">
        <v>147000</v>
      </c>
      <c r="K1325" s="3">
        <v>103000</v>
      </c>
      <c r="L1325" t="s">
        <v>66</v>
      </c>
      <c r="M1325" t="s">
        <v>31</v>
      </c>
      <c r="N1325" t="s">
        <v>87</v>
      </c>
      <c r="O1325" t="s">
        <v>24</v>
      </c>
    </row>
    <row r="1326" spans="1:15" x14ac:dyDescent="0.35">
      <c r="A1326" t="s">
        <v>2315</v>
      </c>
      <c r="B1326" s="2">
        <v>46186</v>
      </c>
      <c r="C1326" t="s">
        <v>1890</v>
      </c>
      <c r="D1326" t="s">
        <v>911</v>
      </c>
      <c r="E1326" t="s">
        <v>18</v>
      </c>
      <c r="F1326" t="s">
        <v>18</v>
      </c>
      <c r="G1326" t="s">
        <v>19</v>
      </c>
      <c r="H1326" t="s">
        <v>20</v>
      </c>
      <c r="I1326">
        <v>8</v>
      </c>
      <c r="J1326" s="3">
        <v>68200</v>
      </c>
      <c r="K1326" s="3">
        <v>43600</v>
      </c>
      <c r="L1326" t="s">
        <v>66</v>
      </c>
      <c r="M1326" t="s">
        <v>37</v>
      </c>
      <c r="N1326" t="s">
        <v>23</v>
      </c>
      <c r="O1326" t="s">
        <v>45</v>
      </c>
    </row>
    <row r="1327" spans="1:15" x14ac:dyDescent="0.35">
      <c r="A1327" t="s">
        <v>2316</v>
      </c>
      <c r="B1327" s="2">
        <v>46058</v>
      </c>
      <c r="C1327" t="s">
        <v>1932</v>
      </c>
      <c r="D1327" t="s">
        <v>1760</v>
      </c>
      <c r="E1327" t="s">
        <v>56</v>
      </c>
      <c r="F1327" t="s">
        <v>57</v>
      </c>
      <c r="G1327" t="s">
        <v>19</v>
      </c>
      <c r="H1327" t="s">
        <v>166</v>
      </c>
      <c r="I1327">
        <v>2</v>
      </c>
      <c r="J1327" s="3">
        <v>140000</v>
      </c>
      <c r="K1327" s="3">
        <v>103000</v>
      </c>
      <c r="L1327" t="s">
        <v>66</v>
      </c>
      <c r="M1327" t="s">
        <v>51</v>
      </c>
      <c r="N1327" t="s">
        <v>23</v>
      </c>
      <c r="O1327" t="s">
        <v>24</v>
      </c>
    </row>
    <row r="1328" spans="1:15" x14ac:dyDescent="0.35">
      <c r="A1328" t="s">
        <v>2317</v>
      </c>
      <c r="B1328" s="2">
        <v>46337</v>
      </c>
      <c r="C1328" t="s">
        <v>559</v>
      </c>
      <c r="D1328" t="s">
        <v>665</v>
      </c>
      <c r="E1328" t="s">
        <v>84</v>
      </c>
      <c r="F1328" t="s">
        <v>85</v>
      </c>
      <c r="G1328" t="s">
        <v>34</v>
      </c>
      <c r="H1328" t="s">
        <v>35</v>
      </c>
      <c r="I1328">
        <v>9</v>
      </c>
      <c r="J1328" s="3">
        <v>52200</v>
      </c>
      <c r="K1328" s="3">
        <v>39000</v>
      </c>
      <c r="L1328" t="s">
        <v>73</v>
      </c>
      <c r="M1328" t="s">
        <v>31</v>
      </c>
      <c r="N1328" t="s">
        <v>87</v>
      </c>
      <c r="O1328" t="s">
        <v>24</v>
      </c>
    </row>
    <row r="1329" spans="1:15" x14ac:dyDescent="0.35">
      <c r="A1329" t="s">
        <v>2318</v>
      </c>
      <c r="B1329" s="2">
        <v>46278</v>
      </c>
      <c r="C1329" t="s">
        <v>638</v>
      </c>
      <c r="D1329" t="s">
        <v>875</v>
      </c>
      <c r="E1329" t="s">
        <v>84</v>
      </c>
      <c r="F1329" t="s">
        <v>85</v>
      </c>
      <c r="G1329" t="s">
        <v>43</v>
      </c>
      <c r="H1329" t="s">
        <v>177</v>
      </c>
      <c r="I1329">
        <v>5</v>
      </c>
      <c r="J1329" s="3">
        <v>18000</v>
      </c>
      <c r="K1329" s="3">
        <v>12500</v>
      </c>
      <c r="L1329" t="s">
        <v>36</v>
      </c>
      <c r="M1329" t="s">
        <v>37</v>
      </c>
      <c r="N1329" t="s">
        <v>23</v>
      </c>
      <c r="O1329" t="s">
        <v>24</v>
      </c>
    </row>
    <row r="1330" spans="1:15" x14ac:dyDescent="0.35">
      <c r="A1330" t="s">
        <v>2319</v>
      </c>
      <c r="B1330" s="2">
        <v>46084</v>
      </c>
      <c r="C1330" t="s">
        <v>2270</v>
      </c>
      <c r="D1330" t="s">
        <v>667</v>
      </c>
      <c r="E1330" t="s">
        <v>190</v>
      </c>
      <c r="F1330" t="s">
        <v>191</v>
      </c>
      <c r="G1330" t="s">
        <v>43</v>
      </c>
      <c r="H1330" t="s">
        <v>44</v>
      </c>
      <c r="I1330">
        <v>6</v>
      </c>
      <c r="J1330" s="3">
        <v>15800</v>
      </c>
      <c r="K1330" s="3">
        <v>9200</v>
      </c>
      <c r="L1330" t="s">
        <v>30</v>
      </c>
      <c r="M1330" t="s">
        <v>37</v>
      </c>
      <c r="N1330" t="s">
        <v>52</v>
      </c>
      <c r="O1330" t="s">
        <v>24</v>
      </c>
    </row>
    <row r="1331" spans="1:15" x14ac:dyDescent="0.35">
      <c r="A1331" t="s">
        <v>2320</v>
      </c>
      <c r="B1331" s="2">
        <v>46077</v>
      </c>
      <c r="C1331" t="s">
        <v>16</v>
      </c>
      <c r="D1331" t="s">
        <v>567</v>
      </c>
      <c r="E1331" t="s">
        <v>18</v>
      </c>
      <c r="F1331" t="s">
        <v>18</v>
      </c>
      <c r="G1331" t="s">
        <v>28</v>
      </c>
      <c r="H1331" t="s">
        <v>72</v>
      </c>
      <c r="I1331">
        <v>5</v>
      </c>
      <c r="J1331" s="3">
        <v>10000</v>
      </c>
      <c r="K1331" s="3">
        <v>6400</v>
      </c>
      <c r="L1331" t="s">
        <v>30</v>
      </c>
      <c r="M1331" t="s">
        <v>51</v>
      </c>
      <c r="N1331" t="s">
        <v>52</v>
      </c>
      <c r="O1331" t="s">
        <v>24</v>
      </c>
    </row>
    <row r="1332" spans="1:15" x14ac:dyDescent="0.35">
      <c r="A1332" t="s">
        <v>2321</v>
      </c>
      <c r="B1332" s="2">
        <v>46060</v>
      </c>
      <c r="C1332" t="s">
        <v>841</v>
      </c>
      <c r="D1332" t="s">
        <v>235</v>
      </c>
      <c r="E1332" t="s">
        <v>18</v>
      </c>
      <c r="F1332" t="s">
        <v>18</v>
      </c>
      <c r="G1332" t="s">
        <v>34</v>
      </c>
      <c r="H1332" t="s">
        <v>158</v>
      </c>
      <c r="I1332">
        <v>5</v>
      </c>
      <c r="J1332" s="3">
        <v>95000</v>
      </c>
      <c r="K1332" s="3">
        <v>70000</v>
      </c>
      <c r="L1332" t="s">
        <v>30</v>
      </c>
      <c r="M1332" t="s">
        <v>22</v>
      </c>
      <c r="N1332" t="s">
        <v>52</v>
      </c>
      <c r="O1332" t="s">
        <v>24</v>
      </c>
    </row>
    <row r="1333" spans="1:15" x14ac:dyDescent="0.35">
      <c r="A1333" t="s">
        <v>2322</v>
      </c>
      <c r="B1333" s="2">
        <v>46325</v>
      </c>
      <c r="C1333" t="s">
        <v>1572</v>
      </c>
      <c r="D1333" t="s">
        <v>1591</v>
      </c>
      <c r="E1333" t="s">
        <v>156</v>
      </c>
      <c r="F1333" t="s">
        <v>157</v>
      </c>
      <c r="G1333" t="s">
        <v>19</v>
      </c>
      <c r="H1333" t="s">
        <v>61</v>
      </c>
      <c r="I1333">
        <v>8</v>
      </c>
      <c r="J1333" s="3">
        <v>220000</v>
      </c>
      <c r="K1333" s="3">
        <v>160000</v>
      </c>
      <c r="L1333" t="s">
        <v>73</v>
      </c>
      <c r="M1333" t="s">
        <v>51</v>
      </c>
      <c r="N1333" t="s">
        <v>23</v>
      </c>
      <c r="O1333" t="s">
        <v>24</v>
      </c>
    </row>
    <row r="1334" spans="1:15" x14ac:dyDescent="0.35">
      <c r="A1334" t="s">
        <v>2323</v>
      </c>
      <c r="B1334" s="2">
        <v>46250</v>
      </c>
      <c r="C1334" t="s">
        <v>1148</v>
      </c>
      <c r="D1334" t="s">
        <v>889</v>
      </c>
      <c r="E1334" t="s">
        <v>77</v>
      </c>
      <c r="F1334" t="s">
        <v>78</v>
      </c>
      <c r="G1334" t="s">
        <v>43</v>
      </c>
      <c r="H1334" t="s">
        <v>79</v>
      </c>
      <c r="I1334">
        <v>7</v>
      </c>
      <c r="J1334" s="3">
        <v>6000</v>
      </c>
      <c r="K1334" s="3">
        <v>4200</v>
      </c>
      <c r="L1334" t="s">
        <v>30</v>
      </c>
      <c r="M1334" t="s">
        <v>22</v>
      </c>
      <c r="N1334" t="s">
        <v>52</v>
      </c>
      <c r="O1334" t="s">
        <v>24</v>
      </c>
    </row>
    <row r="1335" spans="1:15" x14ac:dyDescent="0.35">
      <c r="A1335" t="s">
        <v>2324</v>
      </c>
      <c r="B1335" s="2">
        <v>46338</v>
      </c>
      <c r="C1335" t="s">
        <v>1575</v>
      </c>
      <c r="D1335" t="s">
        <v>1638</v>
      </c>
      <c r="E1335" t="s">
        <v>18</v>
      </c>
      <c r="F1335" t="s">
        <v>18</v>
      </c>
      <c r="G1335" t="s">
        <v>19</v>
      </c>
      <c r="H1335" t="s">
        <v>20</v>
      </c>
      <c r="I1335">
        <v>6</v>
      </c>
      <c r="J1335" s="3">
        <v>65000</v>
      </c>
      <c r="K1335" s="3">
        <v>43600</v>
      </c>
      <c r="L1335" t="s">
        <v>96</v>
      </c>
      <c r="M1335" t="s">
        <v>31</v>
      </c>
      <c r="N1335" t="s">
        <v>52</v>
      </c>
      <c r="O1335" t="s">
        <v>45</v>
      </c>
    </row>
    <row r="1336" spans="1:15" x14ac:dyDescent="0.35">
      <c r="A1336" t="s">
        <v>2325</v>
      </c>
      <c r="B1336" s="2">
        <v>46382</v>
      </c>
      <c r="C1336" t="s">
        <v>938</v>
      </c>
      <c r="D1336" t="s">
        <v>420</v>
      </c>
      <c r="E1336" t="s">
        <v>190</v>
      </c>
      <c r="F1336" t="s">
        <v>191</v>
      </c>
      <c r="G1336" t="s">
        <v>28</v>
      </c>
      <c r="H1336" t="s">
        <v>131</v>
      </c>
      <c r="I1336">
        <v>2</v>
      </c>
      <c r="J1336" s="3">
        <v>30000</v>
      </c>
      <c r="K1336" s="3">
        <v>19600</v>
      </c>
      <c r="L1336" t="s">
        <v>36</v>
      </c>
      <c r="M1336" t="s">
        <v>31</v>
      </c>
      <c r="N1336" t="s">
        <v>23</v>
      </c>
      <c r="O1336" t="s">
        <v>24</v>
      </c>
    </row>
    <row r="1337" spans="1:15" x14ac:dyDescent="0.35">
      <c r="A1337" t="s">
        <v>2326</v>
      </c>
      <c r="B1337" s="2">
        <v>46366</v>
      </c>
      <c r="C1337" t="s">
        <v>1804</v>
      </c>
      <c r="D1337" t="s">
        <v>800</v>
      </c>
      <c r="E1337" t="s">
        <v>18</v>
      </c>
      <c r="F1337" t="s">
        <v>18</v>
      </c>
      <c r="G1337" t="s">
        <v>43</v>
      </c>
      <c r="H1337" t="s">
        <v>162</v>
      </c>
      <c r="I1337">
        <v>1</v>
      </c>
      <c r="J1337" s="3">
        <v>8000</v>
      </c>
      <c r="K1337" s="3">
        <v>5000</v>
      </c>
      <c r="L1337" t="s">
        <v>21</v>
      </c>
      <c r="M1337" t="s">
        <v>51</v>
      </c>
      <c r="N1337" t="s">
        <v>23</v>
      </c>
      <c r="O1337" t="s">
        <v>24</v>
      </c>
    </row>
    <row r="1338" spans="1:15" x14ac:dyDescent="0.35">
      <c r="A1338" t="s">
        <v>2327</v>
      </c>
      <c r="B1338" s="2">
        <v>46153</v>
      </c>
      <c r="C1338" t="s">
        <v>2328</v>
      </c>
      <c r="D1338" t="s">
        <v>988</v>
      </c>
      <c r="E1338" t="s">
        <v>18</v>
      </c>
      <c r="F1338" t="s">
        <v>18</v>
      </c>
      <c r="G1338" t="s">
        <v>34</v>
      </c>
      <c r="H1338" t="s">
        <v>158</v>
      </c>
      <c r="I1338">
        <v>5</v>
      </c>
      <c r="J1338" s="3">
        <v>90200</v>
      </c>
      <c r="K1338" s="3">
        <v>70000</v>
      </c>
      <c r="L1338" t="s">
        <v>36</v>
      </c>
      <c r="M1338" t="s">
        <v>31</v>
      </c>
      <c r="N1338" t="s">
        <v>52</v>
      </c>
      <c r="O1338" t="s">
        <v>24</v>
      </c>
    </row>
    <row r="1339" spans="1:15" x14ac:dyDescent="0.35">
      <c r="A1339" t="s">
        <v>2329</v>
      </c>
      <c r="B1339" s="2">
        <v>46179</v>
      </c>
      <c r="C1339" t="s">
        <v>1743</v>
      </c>
      <c r="D1339" t="s">
        <v>180</v>
      </c>
      <c r="E1339" t="s">
        <v>84</v>
      </c>
      <c r="F1339" t="s">
        <v>85</v>
      </c>
      <c r="G1339" t="s">
        <v>34</v>
      </c>
      <c r="H1339" t="s">
        <v>158</v>
      </c>
      <c r="I1339">
        <v>5</v>
      </c>
      <c r="J1339" s="3">
        <v>99800</v>
      </c>
      <c r="K1339" s="3">
        <v>70000</v>
      </c>
      <c r="L1339" t="s">
        <v>30</v>
      </c>
      <c r="M1339" t="s">
        <v>37</v>
      </c>
      <c r="N1339" t="s">
        <v>23</v>
      </c>
      <c r="O1339" t="s">
        <v>24</v>
      </c>
    </row>
    <row r="1340" spans="1:15" x14ac:dyDescent="0.35">
      <c r="A1340" t="s">
        <v>2330</v>
      </c>
      <c r="B1340" s="2">
        <v>46091</v>
      </c>
      <c r="C1340" t="s">
        <v>678</v>
      </c>
      <c r="D1340" t="s">
        <v>303</v>
      </c>
      <c r="E1340" t="s">
        <v>156</v>
      </c>
      <c r="F1340" t="s">
        <v>157</v>
      </c>
      <c r="G1340" t="s">
        <v>34</v>
      </c>
      <c r="H1340" t="s">
        <v>141</v>
      </c>
      <c r="I1340">
        <v>8</v>
      </c>
      <c r="J1340" s="3">
        <v>160000</v>
      </c>
      <c r="K1340" s="3">
        <v>116400</v>
      </c>
      <c r="L1340" t="s">
        <v>30</v>
      </c>
      <c r="M1340" t="s">
        <v>37</v>
      </c>
      <c r="N1340" t="s">
        <v>23</v>
      </c>
      <c r="O1340" t="s">
        <v>91</v>
      </c>
    </row>
    <row r="1341" spans="1:15" x14ac:dyDescent="0.35">
      <c r="A1341" t="s">
        <v>2331</v>
      </c>
      <c r="B1341" s="2">
        <v>46185</v>
      </c>
      <c r="C1341" t="s">
        <v>1432</v>
      </c>
      <c r="D1341" t="s">
        <v>144</v>
      </c>
      <c r="E1341" t="s">
        <v>18</v>
      </c>
      <c r="F1341" t="s">
        <v>18</v>
      </c>
      <c r="G1341" t="s">
        <v>19</v>
      </c>
      <c r="H1341" t="s">
        <v>166</v>
      </c>
      <c r="I1341">
        <v>9</v>
      </c>
      <c r="J1341" s="3">
        <v>140000</v>
      </c>
      <c r="K1341" s="3">
        <v>103000</v>
      </c>
      <c r="L1341" t="s">
        <v>73</v>
      </c>
      <c r="M1341" t="s">
        <v>51</v>
      </c>
      <c r="N1341" t="s">
        <v>87</v>
      </c>
      <c r="O1341" t="s">
        <v>24</v>
      </c>
    </row>
    <row r="1342" spans="1:15" x14ac:dyDescent="0.35">
      <c r="A1342" t="s">
        <v>2332</v>
      </c>
      <c r="B1342" s="2">
        <v>46201</v>
      </c>
      <c r="C1342" t="s">
        <v>1390</v>
      </c>
      <c r="D1342" t="s">
        <v>1434</v>
      </c>
      <c r="E1342" t="s">
        <v>84</v>
      </c>
      <c r="F1342" t="s">
        <v>85</v>
      </c>
      <c r="G1342" t="s">
        <v>19</v>
      </c>
      <c r="H1342" t="s">
        <v>20</v>
      </c>
      <c r="I1342">
        <v>10</v>
      </c>
      <c r="J1342" s="3">
        <v>65000</v>
      </c>
      <c r="K1342" s="3">
        <v>43600</v>
      </c>
      <c r="L1342" t="s">
        <v>96</v>
      </c>
      <c r="M1342" t="s">
        <v>51</v>
      </c>
      <c r="N1342" t="s">
        <v>87</v>
      </c>
      <c r="O1342" t="s">
        <v>24</v>
      </c>
    </row>
    <row r="1343" spans="1:15" x14ac:dyDescent="0.35">
      <c r="A1343" t="s">
        <v>2333</v>
      </c>
      <c r="B1343" s="2">
        <v>46349</v>
      </c>
      <c r="C1343" t="s">
        <v>2334</v>
      </c>
      <c r="D1343" t="s">
        <v>610</v>
      </c>
      <c r="E1343" t="s">
        <v>70</v>
      </c>
      <c r="F1343" t="s">
        <v>71</v>
      </c>
      <c r="G1343" t="s">
        <v>19</v>
      </c>
      <c r="H1343" t="s">
        <v>20</v>
      </c>
      <c r="I1343">
        <v>5</v>
      </c>
      <c r="J1343" s="3">
        <v>68200</v>
      </c>
      <c r="K1343" s="3">
        <v>45000</v>
      </c>
      <c r="L1343" t="s">
        <v>80</v>
      </c>
      <c r="M1343" t="s">
        <v>22</v>
      </c>
      <c r="N1343" t="s">
        <v>52</v>
      </c>
      <c r="O1343" t="s">
        <v>91</v>
      </c>
    </row>
    <row r="1344" spans="1:15" x14ac:dyDescent="0.35">
      <c r="A1344" t="s">
        <v>2335</v>
      </c>
      <c r="B1344" s="2">
        <v>46271</v>
      </c>
      <c r="C1344" t="s">
        <v>753</v>
      </c>
      <c r="D1344" t="s">
        <v>203</v>
      </c>
      <c r="E1344" t="s">
        <v>56</v>
      </c>
      <c r="F1344" t="s">
        <v>57</v>
      </c>
      <c r="G1344" t="s">
        <v>34</v>
      </c>
      <c r="H1344" t="s">
        <v>86</v>
      </c>
      <c r="I1344">
        <v>4</v>
      </c>
      <c r="J1344" s="3">
        <v>180000</v>
      </c>
      <c r="K1344" s="3">
        <v>135000</v>
      </c>
      <c r="L1344" t="s">
        <v>66</v>
      </c>
      <c r="M1344" t="s">
        <v>51</v>
      </c>
      <c r="N1344" t="s">
        <v>23</v>
      </c>
      <c r="O1344" t="s">
        <v>24</v>
      </c>
    </row>
    <row r="1345" spans="1:15" x14ac:dyDescent="0.35">
      <c r="A1345" t="s">
        <v>2336</v>
      </c>
      <c r="B1345" s="2">
        <v>46370</v>
      </c>
      <c r="C1345" t="s">
        <v>850</v>
      </c>
      <c r="D1345" t="s">
        <v>2337</v>
      </c>
      <c r="E1345" t="s">
        <v>156</v>
      </c>
      <c r="F1345" t="s">
        <v>157</v>
      </c>
      <c r="G1345" t="s">
        <v>28</v>
      </c>
      <c r="H1345" t="s">
        <v>131</v>
      </c>
      <c r="I1345">
        <v>2</v>
      </c>
      <c r="J1345" s="3">
        <v>31500</v>
      </c>
      <c r="K1345" s="3">
        <v>19000</v>
      </c>
      <c r="L1345" t="s">
        <v>96</v>
      </c>
      <c r="M1345" t="s">
        <v>37</v>
      </c>
      <c r="N1345" t="s">
        <v>52</v>
      </c>
      <c r="O1345" t="s">
        <v>45</v>
      </c>
    </row>
    <row r="1346" spans="1:15" x14ac:dyDescent="0.35">
      <c r="A1346" t="s">
        <v>2338</v>
      </c>
      <c r="B1346" s="2">
        <v>46326</v>
      </c>
      <c r="C1346" t="s">
        <v>129</v>
      </c>
      <c r="D1346" t="s">
        <v>1486</v>
      </c>
      <c r="E1346" t="s">
        <v>18</v>
      </c>
      <c r="F1346" t="s">
        <v>18</v>
      </c>
      <c r="G1346" t="s">
        <v>43</v>
      </c>
      <c r="H1346" t="s">
        <v>162</v>
      </c>
      <c r="I1346">
        <v>5</v>
      </c>
      <c r="J1346" s="3">
        <v>8400</v>
      </c>
      <c r="K1346" s="3">
        <v>5000</v>
      </c>
      <c r="L1346" t="s">
        <v>66</v>
      </c>
      <c r="M1346" t="s">
        <v>51</v>
      </c>
      <c r="N1346" t="s">
        <v>87</v>
      </c>
      <c r="O1346" t="s">
        <v>24</v>
      </c>
    </row>
    <row r="1347" spans="1:15" x14ac:dyDescent="0.35">
      <c r="A1347" t="s">
        <v>2339</v>
      </c>
      <c r="B1347" s="2">
        <v>46266</v>
      </c>
      <c r="C1347" t="s">
        <v>1223</v>
      </c>
      <c r="D1347" t="s">
        <v>476</v>
      </c>
      <c r="E1347" t="s">
        <v>56</v>
      </c>
      <c r="F1347" t="s">
        <v>57</v>
      </c>
      <c r="G1347" t="s">
        <v>19</v>
      </c>
      <c r="H1347" t="s">
        <v>20</v>
      </c>
      <c r="I1347">
        <v>1</v>
      </c>
      <c r="J1347" s="3">
        <v>65000</v>
      </c>
      <c r="K1347" s="3">
        <v>43600</v>
      </c>
      <c r="L1347" t="s">
        <v>30</v>
      </c>
      <c r="M1347" t="s">
        <v>51</v>
      </c>
      <c r="N1347" t="s">
        <v>23</v>
      </c>
      <c r="O1347" t="s">
        <v>24</v>
      </c>
    </row>
    <row r="1348" spans="1:15" x14ac:dyDescent="0.35">
      <c r="A1348" t="s">
        <v>2340</v>
      </c>
      <c r="B1348" s="2">
        <v>46297</v>
      </c>
      <c r="C1348" t="s">
        <v>1503</v>
      </c>
      <c r="D1348" t="s">
        <v>950</v>
      </c>
      <c r="E1348" t="s">
        <v>18</v>
      </c>
      <c r="F1348" t="s">
        <v>18</v>
      </c>
      <c r="G1348" t="s">
        <v>34</v>
      </c>
      <c r="H1348" t="s">
        <v>141</v>
      </c>
      <c r="I1348">
        <v>10</v>
      </c>
      <c r="J1348" s="3">
        <v>160000</v>
      </c>
      <c r="K1348" s="3">
        <v>120000</v>
      </c>
      <c r="L1348" t="s">
        <v>80</v>
      </c>
      <c r="M1348" t="s">
        <v>31</v>
      </c>
      <c r="N1348" t="s">
        <v>23</v>
      </c>
      <c r="O1348" t="s">
        <v>24</v>
      </c>
    </row>
    <row r="1349" spans="1:15" x14ac:dyDescent="0.35">
      <c r="A1349" t="s">
        <v>2341</v>
      </c>
      <c r="B1349" s="2">
        <v>46244</v>
      </c>
      <c r="C1349" t="s">
        <v>2342</v>
      </c>
      <c r="D1349" t="s">
        <v>998</v>
      </c>
      <c r="E1349" t="s">
        <v>190</v>
      </c>
      <c r="F1349" t="s">
        <v>191</v>
      </c>
      <c r="G1349" t="s">
        <v>19</v>
      </c>
      <c r="H1349" t="s">
        <v>166</v>
      </c>
      <c r="I1349">
        <v>7</v>
      </c>
      <c r="J1349" s="3">
        <v>140000</v>
      </c>
      <c r="K1349" s="3">
        <v>100000</v>
      </c>
      <c r="L1349" t="s">
        <v>21</v>
      </c>
      <c r="M1349" t="s">
        <v>31</v>
      </c>
      <c r="N1349" t="s">
        <v>87</v>
      </c>
      <c r="O1349" t="s">
        <v>45</v>
      </c>
    </row>
    <row r="1350" spans="1:15" x14ac:dyDescent="0.35">
      <c r="A1350" t="s">
        <v>2343</v>
      </c>
      <c r="B1350" s="2">
        <v>46180</v>
      </c>
      <c r="C1350" t="s">
        <v>2344</v>
      </c>
      <c r="D1350" t="s">
        <v>1174</v>
      </c>
      <c r="E1350" t="s">
        <v>18</v>
      </c>
      <c r="F1350" t="s">
        <v>18</v>
      </c>
      <c r="G1350" t="s">
        <v>19</v>
      </c>
      <c r="H1350" t="s">
        <v>61</v>
      </c>
      <c r="I1350">
        <v>3</v>
      </c>
      <c r="J1350" s="3">
        <v>231000</v>
      </c>
      <c r="K1350" s="3">
        <v>155200</v>
      </c>
      <c r="L1350" t="s">
        <v>66</v>
      </c>
      <c r="M1350" t="s">
        <v>31</v>
      </c>
      <c r="N1350" t="s">
        <v>52</v>
      </c>
      <c r="O1350" t="s">
        <v>24</v>
      </c>
    </row>
    <row r="1351" spans="1:15" x14ac:dyDescent="0.35">
      <c r="A1351" t="s">
        <v>2345</v>
      </c>
      <c r="B1351" s="2">
        <v>46160</v>
      </c>
      <c r="C1351" t="s">
        <v>160</v>
      </c>
      <c r="D1351" t="s">
        <v>984</v>
      </c>
      <c r="E1351" t="s">
        <v>56</v>
      </c>
      <c r="F1351" t="s">
        <v>57</v>
      </c>
      <c r="G1351" t="s">
        <v>34</v>
      </c>
      <c r="H1351" t="s">
        <v>35</v>
      </c>
      <c r="I1351">
        <v>10</v>
      </c>
      <c r="J1351" s="3">
        <v>52200</v>
      </c>
      <c r="K1351" s="3">
        <v>40200</v>
      </c>
      <c r="L1351" t="s">
        <v>50</v>
      </c>
      <c r="M1351" t="s">
        <v>37</v>
      </c>
      <c r="N1351" t="s">
        <v>23</v>
      </c>
      <c r="O1351" t="s">
        <v>24</v>
      </c>
    </row>
    <row r="1352" spans="1:15" x14ac:dyDescent="0.35">
      <c r="A1352" t="s">
        <v>2346</v>
      </c>
      <c r="B1352" s="2">
        <v>46100</v>
      </c>
      <c r="C1352" t="s">
        <v>1653</v>
      </c>
      <c r="D1352" t="s">
        <v>854</v>
      </c>
      <c r="E1352" t="s">
        <v>56</v>
      </c>
      <c r="F1352" t="s">
        <v>57</v>
      </c>
      <c r="G1352" t="s">
        <v>43</v>
      </c>
      <c r="H1352" t="s">
        <v>177</v>
      </c>
      <c r="I1352">
        <v>1</v>
      </c>
      <c r="J1352" s="3">
        <v>17100</v>
      </c>
      <c r="K1352" s="3">
        <v>12500</v>
      </c>
      <c r="L1352" t="s">
        <v>36</v>
      </c>
      <c r="M1352" t="s">
        <v>37</v>
      </c>
      <c r="N1352" t="s">
        <v>23</v>
      </c>
      <c r="O1352" t="s">
        <v>24</v>
      </c>
    </row>
    <row r="1353" spans="1:15" x14ac:dyDescent="0.35">
      <c r="A1353" t="s">
        <v>2347</v>
      </c>
      <c r="B1353" s="2">
        <v>46239</v>
      </c>
      <c r="C1353" t="s">
        <v>364</v>
      </c>
      <c r="D1353" t="s">
        <v>1434</v>
      </c>
      <c r="E1353" t="s">
        <v>41</v>
      </c>
      <c r="F1353" t="s">
        <v>42</v>
      </c>
      <c r="G1353" t="s">
        <v>43</v>
      </c>
      <c r="H1353" t="s">
        <v>44</v>
      </c>
      <c r="I1353">
        <v>1</v>
      </c>
      <c r="J1353" s="3">
        <v>14200</v>
      </c>
      <c r="K1353" s="3">
        <v>9200</v>
      </c>
      <c r="L1353" t="s">
        <v>36</v>
      </c>
      <c r="M1353" t="s">
        <v>31</v>
      </c>
      <c r="N1353" t="s">
        <v>87</v>
      </c>
      <c r="O1353" t="s">
        <v>45</v>
      </c>
    </row>
    <row r="1354" spans="1:15" x14ac:dyDescent="0.35">
      <c r="A1354" t="s">
        <v>2348</v>
      </c>
      <c r="B1354" s="2">
        <v>46381</v>
      </c>
      <c r="C1354" t="s">
        <v>1245</v>
      </c>
      <c r="D1354" t="s">
        <v>1427</v>
      </c>
      <c r="E1354" t="s">
        <v>70</v>
      </c>
      <c r="F1354" t="s">
        <v>71</v>
      </c>
      <c r="G1354" t="s">
        <v>28</v>
      </c>
      <c r="H1354" t="s">
        <v>248</v>
      </c>
      <c r="I1354">
        <v>1</v>
      </c>
      <c r="J1354" s="3">
        <v>23800</v>
      </c>
      <c r="K1354" s="3">
        <v>15500</v>
      </c>
      <c r="L1354" t="s">
        <v>30</v>
      </c>
      <c r="M1354" t="s">
        <v>51</v>
      </c>
      <c r="N1354" t="s">
        <v>87</v>
      </c>
      <c r="O1354" t="s">
        <v>91</v>
      </c>
    </row>
    <row r="1355" spans="1:15" x14ac:dyDescent="0.35">
      <c r="A1355" t="s">
        <v>2349</v>
      </c>
      <c r="B1355" s="2">
        <v>46314</v>
      </c>
      <c r="C1355" t="s">
        <v>609</v>
      </c>
      <c r="D1355" t="s">
        <v>1021</v>
      </c>
      <c r="E1355" t="s">
        <v>18</v>
      </c>
      <c r="F1355" t="s">
        <v>18</v>
      </c>
      <c r="G1355" t="s">
        <v>34</v>
      </c>
      <c r="H1355" t="s">
        <v>141</v>
      </c>
      <c r="I1355">
        <v>4</v>
      </c>
      <c r="J1355" s="3">
        <v>168000</v>
      </c>
      <c r="K1355" s="3">
        <v>116400</v>
      </c>
      <c r="L1355" t="s">
        <v>21</v>
      </c>
      <c r="M1355" t="s">
        <v>51</v>
      </c>
      <c r="N1355" t="s">
        <v>52</v>
      </c>
      <c r="O1355" t="s">
        <v>24</v>
      </c>
    </row>
    <row r="1356" spans="1:15" x14ac:dyDescent="0.35">
      <c r="A1356" t="s">
        <v>2350</v>
      </c>
      <c r="B1356" s="2">
        <v>46119</v>
      </c>
      <c r="C1356" t="s">
        <v>143</v>
      </c>
      <c r="D1356" t="s">
        <v>462</v>
      </c>
      <c r="E1356" t="s">
        <v>18</v>
      </c>
      <c r="F1356" t="s">
        <v>18</v>
      </c>
      <c r="G1356" t="s">
        <v>34</v>
      </c>
      <c r="H1356" t="s">
        <v>141</v>
      </c>
      <c r="I1356">
        <v>1</v>
      </c>
      <c r="J1356" s="3">
        <v>152000</v>
      </c>
      <c r="K1356" s="3">
        <v>120000</v>
      </c>
      <c r="L1356" t="s">
        <v>80</v>
      </c>
      <c r="M1356" t="s">
        <v>37</v>
      </c>
      <c r="N1356" t="s">
        <v>52</v>
      </c>
      <c r="O1356" t="s">
        <v>24</v>
      </c>
    </row>
    <row r="1357" spans="1:15" x14ac:dyDescent="0.35">
      <c r="A1357" t="s">
        <v>2351</v>
      </c>
      <c r="B1357" s="2">
        <v>46277</v>
      </c>
      <c r="C1357" t="s">
        <v>1757</v>
      </c>
      <c r="D1357" t="s">
        <v>679</v>
      </c>
      <c r="E1357" t="s">
        <v>190</v>
      </c>
      <c r="F1357" t="s">
        <v>191</v>
      </c>
      <c r="G1357" t="s">
        <v>19</v>
      </c>
      <c r="H1357" t="s">
        <v>166</v>
      </c>
      <c r="I1357">
        <v>2</v>
      </c>
      <c r="J1357" s="3">
        <v>147000</v>
      </c>
      <c r="K1357" s="3">
        <v>103000</v>
      </c>
      <c r="L1357" t="s">
        <v>30</v>
      </c>
      <c r="M1357" t="s">
        <v>37</v>
      </c>
      <c r="N1357" t="s">
        <v>23</v>
      </c>
      <c r="O1357" t="s">
        <v>91</v>
      </c>
    </row>
    <row r="1358" spans="1:15" x14ac:dyDescent="0.35">
      <c r="A1358" t="s">
        <v>2352</v>
      </c>
      <c r="B1358" s="2">
        <v>46218</v>
      </c>
      <c r="C1358" t="s">
        <v>1890</v>
      </c>
      <c r="D1358" t="s">
        <v>560</v>
      </c>
      <c r="E1358" t="s">
        <v>18</v>
      </c>
      <c r="F1358" t="s">
        <v>18</v>
      </c>
      <c r="G1358" t="s">
        <v>43</v>
      </c>
      <c r="H1358" t="s">
        <v>177</v>
      </c>
      <c r="I1358">
        <v>1</v>
      </c>
      <c r="J1358" s="3">
        <v>18000</v>
      </c>
      <c r="K1358" s="3">
        <v>12100</v>
      </c>
      <c r="L1358" t="s">
        <v>66</v>
      </c>
      <c r="M1358" t="s">
        <v>37</v>
      </c>
      <c r="N1358" t="s">
        <v>87</v>
      </c>
      <c r="O1358" t="s">
        <v>24</v>
      </c>
    </row>
    <row r="1359" spans="1:15" x14ac:dyDescent="0.35">
      <c r="A1359" t="s">
        <v>2353</v>
      </c>
      <c r="B1359" s="2">
        <v>46168</v>
      </c>
      <c r="C1359" t="s">
        <v>934</v>
      </c>
      <c r="D1359" t="s">
        <v>552</v>
      </c>
      <c r="E1359" t="s">
        <v>18</v>
      </c>
      <c r="F1359" t="s">
        <v>18</v>
      </c>
      <c r="G1359" t="s">
        <v>34</v>
      </c>
      <c r="H1359" t="s">
        <v>95</v>
      </c>
      <c r="I1359">
        <v>8</v>
      </c>
      <c r="J1359" s="3">
        <v>450000</v>
      </c>
      <c r="K1359" s="3">
        <v>370000</v>
      </c>
      <c r="L1359" t="s">
        <v>66</v>
      </c>
      <c r="M1359" t="s">
        <v>37</v>
      </c>
      <c r="N1359" t="s">
        <v>23</v>
      </c>
      <c r="O1359" t="s">
        <v>24</v>
      </c>
    </row>
    <row r="1360" spans="1:15" x14ac:dyDescent="0.35">
      <c r="A1360" t="s">
        <v>2354</v>
      </c>
      <c r="B1360" s="2">
        <v>46297</v>
      </c>
      <c r="C1360" t="s">
        <v>896</v>
      </c>
      <c r="D1360" t="s">
        <v>2223</v>
      </c>
      <c r="E1360" t="s">
        <v>18</v>
      </c>
      <c r="F1360" t="s">
        <v>18</v>
      </c>
      <c r="G1360" t="s">
        <v>19</v>
      </c>
      <c r="H1360" t="s">
        <v>20</v>
      </c>
      <c r="I1360">
        <v>1</v>
      </c>
      <c r="J1360" s="3">
        <v>65000</v>
      </c>
      <c r="K1360" s="3">
        <v>46400</v>
      </c>
      <c r="L1360" t="s">
        <v>96</v>
      </c>
      <c r="M1360" t="s">
        <v>37</v>
      </c>
      <c r="N1360" t="s">
        <v>52</v>
      </c>
      <c r="O1360" t="s">
        <v>24</v>
      </c>
    </row>
    <row r="1361" spans="1:15" x14ac:dyDescent="0.35">
      <c r="A1361" t="s">
        <v>2355</v>
      </c>
      <c r="B1361" s="2">
        <v>46269</v>
      </c>
      <c r="C1361" t="s">
        <v>1245</v>
      </c>
      <c r="D1361" t="s">
        <v>2213</v>
      </c>
      <c r="E1361" t="s">
        <v>84</v>
      </c>
      <c r="F1361" t="s">
        <v>85</v>
      </c>
      <c r="G1361" t="s">
        <v>43</v>
      </c>
      <c r="H1361" t="s">
        <v>79</v>
      </c>
      <c r="I1361">
        <v>7</v>
      </c>
      <c r="J1361" s="3">
        <v>6300</v>
      </c>
      <c r="K1361" s="3">
        <v>4200</v>
      </c>
      <c r="L1361" t="s">
        <v>73</v>
      </c>
      <c r="M1361" t="s">
        <v>22</v>
      </c>
      <c r="N1361" t="s">
        <v>23</v>
      </c>
      <c r="O1361" t="s">
        <v>91</v>
      </c>
    </row>
    <row r="1362" spans="1:15" x14ac:dyDescent="0.35">
      <c r="A1362" t="s">
        <v>2356</v>
      </c>
      <c r="B1362" s="2">
        <v>46369</v>
      </c>
      <c r="C1362" t="s">
        <v>1140</v>
      </c>
      <c r="D1362" t="s">
        <v>2223</v>
      </c>
      <c r="E1362" t="s">
        <v>18</v>
      </c>
      <c r="F1362" t="s">
        <v>18</v>
      </c>
      <c r="G1362" t="s">
        <v>28</v>
      </c>
      <c r="H1362" t="s">
        <v>248</v>
      </c>
      <c r="I1362">
        <v>4</v>
      </c>
      <c r="J1362" s="3">
        <v>26200</v>
      </c>
      <c r="K1362" s="3">
        <v>16000</v>
      </c>
      <c r="L1362" t="s">
        <v>36</v>
      </c>
      <c r="M1362" t="s">
        <v>51</v>
      </c>
      <c r="N1362" t="s">
        <v>52</v>
      </c>
      <c r="O1362" t="s">
        <v>24</v>
      </c>
    </row>
    <row r="1363" spans="1:15" x14ac:dyDescent="0.35">
      <c r="A1363" t="s">
        <v>2357</v>
      </c>
      <c r="B1363" s="2">
        <v>46210</v>
      </c>
      <c r="C1363" t="s">
        <v>621</v>
      </c>
      <c r="D1363" t="s">
        <v>197</v>
      </c>
      <c r="E1363" t="s">
        <v>18</v>
      </c>
      <c r="F1363" t="s">
        <v>18</v>
      </c>
      <c r="G1363" t="s">
        <v>34</v>
      </c>
      <c r="H1363" t="s">
        <v>35</v>
      </c>
      <c r="I1363">
        <v>8</v>
      </c>
      <c r="J1363" s="3">
        <v>57800</v>
      </c>
      <c r="K1363" s="3">
        <v>39000</v>
      </c>
      <c r="L1363" t="s">
        <v>80</v>
      </c>
      <c r="M1363" t="s">
        <v>51</v>
      </c>
      <c r="N1363" t="s">
        <v>52</v>
      </c>
      <c r="O1363" t="s">
        <v>24</v>
      </c>
    </row>
    <row r="1364" spans="1:15" x14ac:dyDescent="0.35">
      <c r="A1364" t="s">
        <v>2358</v>
      </c>
      <c r="B1364" s="2">
        <v>46166</v>
      </c>
      <c r="C1364" t="s">
        <v>943</v>
      </c>
      <c r="D1364" t="s">
        <v>1375</v>
      </c>
      <c r="E1364" t="s">
        <v>77</v>
      </c>
      <c r="F1364" t="s">
        <v>78</v>
      </c>
      <c r="G1364" t="s">
        <v>19</v>
      </c>
      <c r="H1364" t="s">
        <v>112</v>
      </c>
      <c r="I1364">
        <v>1</v>
      </c>
      <c r="J1364" s="3">
        <v>85000</v>
      </c>
      <c r="K1364" s="3">
        <v>62000</v>
      </c>
      <c r="L1364" t="s">
        <v>96</v>
      </c>
      <c r="M1364" t="s">
        <v>51</v>
      </c>
      <c r="N1364" t="s">
        <v>23</v>
      </c>
      <c r="O1364" t="s">
        <v>24</v>
      </c>
    </row>
    <row r="1365" spans="1:15" x14ac:dyDescent="0.35">
      <c r="A1365" t="s">
        <v>2359</v>
      </c>
      <c r="B1365" s="2">
        <v>46328</v>
      </c>
      <c r="C1365" t="s">
        <v>1456</v>
      </c>
      <c r="D1365" t="s">
        <v>1363</v>
      </c>
      <c r="E1365" t="s">
        <v>156</v>
      </c>
      <c r="F1365" t="s">
        <v>170</v>
      </c>
      <c r="G1365" t="s">
        <v>28</v>
      </c>
      <c r="H1365" t="s">
        <v>72</v>
      </c>
      <c r="I1365">
        <v>5</v>
      </c>
      <c r="J1365" s="3">
        <v>9500</v>
      </c>
      <c r="K1365" s="3">
        <v>6000</v>
      </c>
      <c r="L1365" t="s">
        <v>36</v>
      </c>
      <c r="M1365" t="s">
        <v>51</v>
      </c>
      <c r="N1365" t="s">
        <v>87</v>
      </c>
      <c r="O1365" t="s">
        <v>91</v>
      </c>
    </row>
    <row r="1366" spans="1:15" x14ac:dyDescent="0.35">
      <c r="A1366" t="s">
        <v>2360</v>
      </c>
      <c r="B1366" s="2">
        <v>46318</v>
      </c>
      <c r="C1366" t="s">
        <v>1018</v>
      </c>
      <c r="D1366" t="s">
        <v>476</v>
      </c>
      <c r="E1366" t="s">
        <v>56</v>
      </c>
      <c r="F1366" t="s">
        <v>57</v>
      </c>
      <c r="G1366" t="s">
        <v>34</v>
      </c>
      <c r="H1366" t="s">
        <v>158</v>
      </c>
      <c r="I1366">
        <v>10</v>
      </c>
      <c r="J1366" s="3">
        <v>95000</v>
      </c>
      <c r="K1366" s="3">
        <v>67900</v>
      </c>
      <c r="L1366" t="s">
        <v>66</v>
      </c>
      <c r="M1366" t="s">
        <v>51</v>
      </c>
      <c r="N1366" t="s">
        <v>52</v>
      </c>
      <c r="O1366" t="s">
        <v>24</v>
      </c>
    </row>
    <row r="1367" spans="1:15" x14ac:dyDescent="0.35">
      <c r="A1367" t="s">
        <v>2361</v>
      </c>
      <c r="B1367" s="2">
        <v>46214</v>
      </c>
      <c r="C1367" t="s">
        <v>1701</v>
      </c>
      <c r="D1367" t="s">
        <v>99</v>
      </c>
      <c r="E1367" t="s">
        <v>84</v>
      </c>
      <c r="G1367" t="s">
        <v>28</v>
      </c>
      <c r="H1367" t="s">
        <v>65</v>
      </c>
      <c r="I1367">
        <v>5</v>
      </c>
      <c r="J1367" s="3">
        <v>11400</v>
      </c>
      <c r="K1367" s="3">
        <v>7300</v>
      </c>
      <c r="L1367" t="s">
        <v>21</v>
      </c>
      <c r="M1367" t="s">
        <v>37</v>
      </c>
      <c r="N1367" t="s">
        <v>87</v>
      </c>
      <c r="O1367" t="s">
        <v>24</v>
      </c>
    </row>
    <row r="1368" spans="1:15" x14ac:dyDescent="0.35">
      <c r="A1368" t="s">
        <v>2362</v>
      </c>
      <c r="B1368" s="2">
        <v>46131</v>
      </c>
      <c r="C1368" t="s">
        <v>293</v>
      </c>
      <c r="D1368" t="s">
        <v>161</v>
      </c>
      <c r="E1368" t="s">
        <v>70</v>
      </c>
      <c r="F1368" t="s">
        <v>71</v>
      </c>
      <c r="G1368" t="s">
        <v>34</v>
      </c>
      <c r="H1368" t="s">
        <v>86</v>
      </c>
      <c r="I1368">
        <v>1</v>
      </c>
      <c r="J1368" s="3">
        <v>180000</v>
      </c>
      <c r="K1368" s="3">
        <v>139000</v>
      </c>
      <c r="L1368" t="s">
        <v>73</v>
      </c>
      <c r="M1368" t="s">
        <v>51</v>
      </c>
      <c r="N1368" t="s">
        <v>87</v>
      </c>
      <c r="O1368" t="s">
        <v>24</v>
      </c>
    </row>
    <row r="1369" spans="1:15" x14ac:dyDescent="0.35">
      <c r="A1369" t="s">
        <v>2363</v>
      </c>
      <c r="B1369" s="2">
        <v>46090</v>
      </c>
      <c r="C1369" t="s">
        <v>1026</v>
      </c>
      <c r="D1369" t="s">
        <v>1322</v>
      </c>
      <c r="E1369" t="s">
        <v>56</v>
      </c>
      <c r="F1369" t="s">
        <v>57</v>
      </c>
      <c r="G1369" t="s">
        <v>28</v>
      </c>
      <c r="H1369" t="s">
        <v>248</v>
      </c>
      <c r="I1369">
        <v>4</v>
      </c>
      <c r="J1369" s="3">
        <v>23800</v>
      </c>
      <c r="K1369" s="3">
        <v>16000</v>
      </c>
      <c r="L1369" t="s">
        <v>73</v>
      </c>
      <c r="M1369" t="s">
        <v>22</v>
      </c>
      <c r="N1369" t="s">
        <v>52</v>
      </c>
      <c r="O1369" t="s">
        <v>24</v>
      </c>
    </row>
    <row r="1370" spans="1:15" x14ac:dyDescent="0.35">
      <c r="A1370" t="s">
        <v>2364</v>
      </c>
      <c r="B1370" s="2">
        <v>46255</v>
      </c>
      <c r="C1370" t="s">
        <v>2334</v>
      </c>
      <c r="D1370" t="s">
        <v>546</v>
      </c>
      <c r="E1370" t="s">
        <v>156</v>
      </c>
      <c r="F1370" t="s">
        <v>157</v>
      </c>
      <c r="G1370" t="s">
        <v>34</v>
      </c>
      <c r="H1370" t="s">
        <v>86</v>
      </c>
      <c r="I1370">
        <v>5</v>
      </c>
      <c r="J1370" s="3">
        <v>180000</v>
      </c>
      <c r="K1370" s="3">
        <v>131000</v>
      </c>
      <c r="L1370" t="s">
        <v>21</v>
      </c>
      <c r="M1370" t="s">
        <v>37</v>
      </c>
      <c r="N1370" t="s">
        <v>23</v>
      </c>
      <c r="O1370" t="s">
        <v>24</v>
      </c>
    </row>
    <row r="1371" spans="1:15" x14ac:dyDescent="0.35">
      <c r="A1371" t="s">
        <v>2365</v>
      </c>
      <c r="B1371" s="2">
        <v>46172</v>
      </c>
      <c r="C1371" t="s">
        <v>283</v>
      </c>
      <c r="D1371" t="s">
        <v>2223</v>
      </c>
      <c r="E1371" t="s">
        <v>18</v>
      </c>
      <c r="F1371" t="s">
        <v>18</v>
      </c>
      <c r="G1371" t="s">
        <v>28</v>
      </c>
      <c r="H1371" t="s">
        <v>29</v>
      </c>
      <c r="I1371">
        <v>3</v>
      </c>
      <c r="J1371" s="3">
        <v>7000</v>
      </c>
      <c r="K1371" s="3">
        <v>4100</v>
      </c>
      <c r="L1371" t="s">
        <v>36</v>
      </c>
      <c r="M1371" t="s">
        <v>37</v>
      </c>
      <c r="N1371" t="s">
        <v>52</v>
      </c>
      <c r="O1371" t="s">
        <v>24</v>
      </c>
    </row>
    <row r="1372" spans="1:15" x14ac:dyDescent="0.35">
      <c r="A1372" t="s">
        <v>2366</v>
      </c>
      <c r="B1372" s="2">
        <v>46042</v>
      </c>
      <c r="C1372" t="s">
        <v>1481</v>
      </c>
      <c r="D1372" t="s">
        <v>371</v>
      </c>
      <c r="E1372" t="s">
        <v>70</v>
      </c>
      <c r="F1372" t="s">
        <v>71</v>
      </c>
      <c r="G1372" t="s">
        <v>43</v>
      </c>
      <c r="H1372" t="s">
        <v>162</v>
      </c>
      <c r="I1372">
        <v>3</v>
      </c>
      <c r="J1372" s="3">
        <v>8400</v>
      </c>
      <c r="K1372" s="3">
        <v>5200</v>
      </c>
      <c r="L1372" t="s">
        <v>21</v>
      </c>
      <c r="M1372" t="s">
        <v>51</v>
      </c>
      <c r="N1372" t="s">
        <v>52</v>
      </c>
      <c r="O1372" t="s">
        <v>91</v>
      </c>
    </row>
    <row r="1373" spans="1:15" x14ac:dyDescent="0.35">
      <c r="A1373" t="s">
        <v>2367</v>
      </c>
      <c r="B1373" s="2">
        <v>46294</v>
      </c>
      <c r="C1373" t="s">
        <v>774</v>
      </c>
      <c r="D1373" t="s">
        <v>317</v>
      </c>
      <c r="E1373" t="s">
        <v>70</v>
      </c>
      <c r="F1373" t="s">
        <v>71</v>
      </c>
      <c r="G1373" t="s">
        <v>28</v>
      </c>
      <c r="H1373" t="s">
        <v>131</v>
      </c>
      <c r="I1373">
        <v>5</v>
      </c>
      <c r="J1373" s="3">
        <v>30000</v>
      </c>
      <c r="K1373" s="3">
        <v>19600</v>
      </c>
      <c r="L1373" t="s">
        <v>21</v>
      </c>
      <c r="M1373" t="s">
        <v>37</v>
      </c>
      <c r="N1373" t="s">
        <v>23</v>
      </c>
      <c r="O1373" t="s">
        <v>24</v>
      </c>
    </row>
    <row r="1374" spans="1:15" x14ac:dyDescent="0.35">
      <c r="A1374" t="s">
        <v>2368</v>
      </c>
      <c r="B1374" s="2">
        <v>46240</v>
      </c>
      <c r="C1374" t="s">
        <v>671</v>
      </c>
      <c r="D1374" t="s">
        <v>1295</v>
      </c>
      <c r="E1374" t="s">
        <v>18</v>
      </c>
      <c r="F1374" t="s">
        <v>18</v>
      </c>
      <c r="G1374" t="s">
        <v>19</v>
      </c>
      <c r="H1374" t="s">
        <v>61</v>
      </c>
      <c r="I1374">
        <v>2</v>
      </c>
      <c r="J1374" s="3">
        <v>231000</v>
      </c>
      <c r="K1374" s="3">
        <v>155200</v>
      </c>
      <c r="L1374" t="s">
        <v>80</v>
      </c>
      <c r="M1374" t="s">
        <v>31</v>
      </c>
      <c r="N1374" t="s">
        <v>52</v>
      </c>
      <c r="O1374" t="s">
        <v>24</v>
      </c>
    </row>
    <row r="1375" spans="1:15" x14ac:dyDescent="0.35">
      <c r="A1375" t="s">
        <v>2369</v>
      </c>
      <c r="B1375" s="2">
        <v>46258</v>
      </c>
      <c r="C1375" t="s">
        <v>1416</v>
      </c>
      <c r="D1375" t="s">
        <v>60</v>
      </c>
      <c r="E1375" t="s">
        <v>156</v>
      </c>
      <c r="F1375" t="s">
        <v>157</v>
      </c>
      <c r="G1375" t="s">
        <v>34</v>
      </c>
      <c r="H1375" t="s">
        <v>86</v>
      </c>
      <c r="I1375">
        <v>10</v>
      </c>
      <c r="J1375" s="3">
        <v>171000</v>
      </c>
      <c r="K1375" s="3">
        <v>139000</v>
      </c>
      <c r="L1375" t="s">
        <v>66</v>
      </c>
      <c r="M1375" t="s">
        <v>37</v>
      </c>
      <c r="N1375" t="s">
        <v>23</v>
      </c>
      <c r="O1375" t="s">
        <v>24</v>
      </c>
    </row>
    <row r="1376" spans="1:15" x14ac:dyDescent="0.35">
      <c r="A1376" t="s">
        <v>2370</v>
      </c>
      <c r="B1376" s="2">
        <v>46133</v>
      </c>
      <c r="C1376" t="s">
        <v>598</v>
      </c>
      <c r="D1376" t="s">
        <v>1691</v>
      </c>
      <c r="E1376" t="s">
        <v>41</v>
      </c>
      <c r="F1376" t="s">
        <v>42</v>
      </c>
      <c r="G1376" t="s">
        <v>28</v>
      </c>
      <c r="H1376" t="s">
        <v>29</v>
      </c>
      <c r="I1376">
        <v>1</v>
      </c>
      <c r="J1376" s="3">
        <v>6600</v>
      </c>
      <c r="K1376" s="3">
        <v>4000</v>
      </c>
      <c r="L1376" t="s">
        <v>96</v>
      </c>
      <c r="M1376" t="s">
        <v>37</v>
      </c>
      <c r="N1376" t="s">
        <v>87</v>
      </c>
      <c r="O1376" t="s">
        <v>24</v>
      </c>
    </row>
    <row r="1377" spans="1:15" x14ac:dyDescent="0.35">
      <c r="A1377" t="s">
        <v>2371</v>
      </c>
      <c r="B1377" s="2">
        <v>46254</v>
      </c>
      <c r="C1377" t="s">
        <v>497</v>
      </c>
      <c r="D1377" t="s">
        <v>332</v>
      </c>
      <c r="E1377" t="s">
        <v>18</v>
      </c>
      <c r="F1377" t="s">
        <v>18</v>
      </c>
      <c r="G1377" t="s">
        <v>19</v>
      </c>
      <c r="H1377" t="s">
        <v>166</v>
      </c>
      <c r="I1377">
        <v>3</v>
      </c>
      <c r="J1377" s="3">
        <v>140000</v>
      </c>
      <c r="K1377" s="3">
        <v>103000</v>
      </c>
      <c r="L1377" t="s">
        <v>21</v>
      </c>
      <c r="M1377" t="s">
        <v>37</v>
      </c>
      <c r="N1377" t="s">
        <v>23</v>
      </c>
      <c r="O1377" t="s">
        <v>24</v>
      </c>
    </row>
    <row r="1378" spans="1:15" x14ac:dyDescent="0.35">
      <c r="A1378" t="s">
        <v>2372</v>
      </c>
      <c r="B1378" s="2">
        <v>46227</v>
      </c>
      <c r="C1378" t="s">
        <v>529</v>
      </c>
      <c r="D1378" t="s">
        <v>226</v>
      </c>
      <c r="E1378" t="s">
        <v>18</v>
      </c>
      <c r="F1378" t="s">
        <v>18</v>
      </c>
      <c r="G1378" t="s">
        <v>43</v>
      </c>
      <c r="H1378" t="s">
        <v>177</v>
      </c>
      <c r="I1378">
        <v>1</v>
      </c>
      <c r="J1378" s="3">
        <v>17100</v>
      </c>
      <c r="K1378" s="3">
        <v>12500</v>
      </c>
      <c r="L1378" t="s">
        <v>66</v>
      </c>
      <c r="M1378" t="s">
        <v>37</v>
      </c>
      <c r="N1378" t="s">
        <v>23</v>
      </c>
      <c r="O1378" t="s">
        <v>24</v>
      </c>
    </row>
    <row r="1379" spans="1:15" x14ac:dyDescent="0.35">
      <c r="A1379" t="s">
        <v>2373</v>
      </c>
      <c r="B1379" s="2">
        <v>46034</v>
      </c>
      <c r="C1379" t="s">
        <v>927</v>
      </c>
      <c r="D1379" t="s">
        <v>1369</v>
      </c>
      <c r="E1379" t="s">
        <v>77</v>
      </c>
      <c r="F1379" t="s">
        <v>78</v>
      </c>
      <c r="G1379" t="s">
        <v>28</v>
      </c>
      <c r="H1379" t="s">
        <v>29</v>
      </c>
      <c r="I1379">
        <v>6</v>
      </c>
      <c r="J1379" s="3">
        <v>7400</v>
      </c>
      <c r="K1379" s="3">
        <v>4100</v>
      </c>
      <c r="L1379" t="s">
        <v>66</v>
      </c>
      <c r="M1379" t="s">
        <v>51</v>
      </c>
      <c r="N1379" t="s">
        <v>23</v>
      </c>
      <c r="O1379" t="s">
        <v>24</v>
      </c>
    </row>
    <row r="1380" spans="1:15" x14ac:dyDescent="0.35">
      <c r="A1380" t="s">
        <v>2374</v>
      </c>
      <c r="B1380" s="2">
        <v>46144</v>
      </c>
      <c r="C1380" t="s">
        <v>1450</v>
      </c>
      <c r="D1380" t="s">
        <v>662</v>
      </c>
      <c r="E1380" t="s">
        <v>18</v>
      </c>
      <c r="F1380" t="s">
        <v>18</v>
      </c>
      <c r="G1380" t="s">
        <v>28</v>
      </c>
      <c r="H1380" t="s">
        <v>65</v>
      </c>
      <c r="I1380">
        <v>1</v>
      </c>
      <c r="J1380" s="3">
        <v>12000</v>
      </c>
      <c r="K1380" s="3">
        <v>7300</v>
      </c>
      <c r="L1380" t="s">
        <v>66</v>
      </c>
      <c r="M1380" t="s">
        <v>37</v>
      </c>
      <c r="N1380" t="s">
        <v>52</v>
      </c>
      <c r="O1380" t="s">
        <v>24</v>
      </c>
    </row>
    <row r="1381" spans="1:15" x14ac:dyDescent="0.35">
      <c r="A1381" t="s">
        <v>2375</v>
      </c>
      <c r="B1381" s="2">
        <v>46359</v>
      </c>
      <c r="C1381" t="s">
        <v>1237</v>
      </c>
      <c r="D1381" t="s">
        <v>149</v>
      </c>
      <c r="E1381" t="s">
        <v>77</v>
      </c>
      <c r="F1381" t="s">
        <v>78</v>
      </c>
      <c r="G1381" t="s">
        <v>34</v>
      </c>
      <c r="H1381" t="s">
        <v>141</v>
      </c>
      <c r="I1381">
        <v>10</v>
      </c>
      <c r="J1381" s="3">
        <v>168000</v>
      </c>
      <c r="K1381" s="3">
        <v>116400</v>
      </c>
      <c r="L1381" t="s">
        <v>73</v>
      </c>
      <c r="M1381" t="s">
        <v>51</v>
      </c>
      <c r="N1381" t="s">
        <v>52</v>
      </c>
      <c r="O1381" t="s">
        <v>24</v>
      </c>
    </row>
    <row r="1382" spans="1:15" x14ac:dyDescent="0.35">
      <c r="A1382" t="s">
        <v>2376</v>
      </c>
      <c r="B1382" s="2">
        <v>46273</v>
      </c>
      <c r="C1382" t="s">
        <v>1170</v>
      </c>
      <c r="D1382" t="s">
        <v>1174</v>
      </c>
      <c r="E1382" t="s">
        <v>156</v>
      </c>
      <c r="F1382" t="s">
        <v>157</v>
      </c>
      <c r="G1382" t="s">
        <v>43</v>
      </c>
      <c r="H1382" t="s">
        <v>162</v>
      </c>
      <c r="I1382">
        <v>1</v>
      </c>
      <c r="J1382" s="3">
        <v>8000</v>
      </c>
      <c r="K1382" s="3">
        <v>5200</v>
      </c>
      <c r="L1382" t="s">
        <v>96</v>
      </c>
      <c r="M1382" t="s">
        <v>37</v>
      </c>
      <c r="N1382" t="s">
        <v>87</v>
      </c>
      <c r="O1382" t="s">
        <v>24</v>
      </c>
    </row>
    <row r="1383" spans="1:15" x14ac:dyDescent="0.35">
      <c r="A1383" t="s">
        <v>2377</v>
      </c>
      <c r="B1383" s="2">
        <v>46030</v>
      </c>
      <c r="C1383" t="s">
        <v>193</v>
      </c>
      <c r="D1383" t="s">
        <v>650</v>
      </c>
      <c r="E1383" t="s">
        <v>77</v>
      </c>
      <c r="F1383" t="s">
        <v>78</v>
      </c>
      <c r="G1383" t="s">
        <v>43</v>
      </c>
      <c r="H1383" t="s">
        <v>49</v>
      </c>
      <c r="I1383">
        <v>6</v>
      </c>
      <c r="J1383" s="3">
        <v>8600</v>
      </c>
      <c r="K1383" s="3">
        <v>5800</v>
      </c>
      <c r="L1383" t="s">
        <v>50</v>
      </c>
      <c r="M1383" t="s">
        <v>22</v>
      </c>
      <c r="N1383" t="s">
        <v>23</v>
      </c>
      <c r="O1383" t="s">
        <v>91</v>
      </c>
    </row>
    <row r="1384" spans="1:15" x14ac:dyDescent="0.35">
      <c r="A1384" t="s">
        <v>2378</v>
      </c>
      <c r="B1384" s="2">
        <v>46086</v>
      </c>
      <c r="C1384" t="s">
        <v>207</v>
      </c>
      <c r="D1384" t="s">
        <v>2379</v>
      </c>
      <c r="E1384" t="s">
        <v>190</v>
      </c>
      <c r="F1384" t="s">
        <v>191</v>
      </c>
      <c r="G1384" t="s">
        <v>28</v>
      </c>
      <c r="H1384" t="s">
        <v>72</v>
      </c>
      <c r="I1384">
        <v>3</v>
      </c>
      <c r="J1384" s="3">
        <v>10000</v>
      </c>
      <c r="K1384" s="3">
        <v>6400</v>
      </c>
      <c r="L1384" t="s">
        <v>50</v>
      </c>
      <c r="M1384" t="s">
        <v>37</v>
      </c>
      <c r="N1384" t="s">
        <v>23</v>
      </c>
      <c r="O1384" t="s">
        <v>24</v>
      </c>
    </row>
    <row r="1385" spans="1:15" x14ac:dyDescent="0.35">
      <c r="A1385" t="s">
        <v>2380</v>
      </c>
      <c r="B1385" s="2">
        <v>46249</v>
      </c>
      <c r="C1385" t="s">
        <v>1285</v>
      </c>
      <c r="D1385" t="s">
        <v>1267</v>
      </c>
      <c r="E1385" t="s">
        <v>18</v>
      </c>
      <c r="F1385" t="s">
        <v>18</v>
      </c>
      <c r="G1385" t="s">
        <v>34</v>
      </c>
      <c r="H1385" t="s">
        <v>141</v>
      </c>
      <c r="I1385">
        <v>7</v>
      </c>
      <c r="J1385" s="3">
        <v>160000</v>
      </c>
      <c r="K1385" s="3">
        <v>116400</v>
      </c>
      <c r="L1385" t="s">
        <v>50</v>
      </c>
      <c r="M1385" t="s">
        <v>22</v>
      </c>
      <c r="N1385" t="s">
        <v>52</v>
      </c>
      <c r="O1385" t="s">
        <v>24</v>
      </c>
    </row>
    <row r="1386" spans="1:15" x14ac:dyDescent="0.35">
      <c r="A1386" t="s">
        <v>2381</v>
      </c>
      <c r="B1386" s="2">
        <v>46322</v>
      </c>
      <c r="C1386" t="s">
        <v>1358</v>
      </c>
      <c r="D1386" t="s">
        <v>1576</v>
      </c>
      <c r="E1386" t="s">
        <v>18</v>
      </c>
      <c r="F1386" t="s">
        <v>18</v>
      </c>
      <c r="G1386" t="s">
        <v>43</v>
      </c>
      <c r="H1386" t="s">
        <v>79</v>
      </c>
      <c r="I1386">
        <v>4</v>
      </c>
      <c r="J1386" s="3">
        <v>6000</v>
      </c>
      <c r="K1386" s="3">
        <v>4300</v>
      </c>
      <c r="L1386" t="s">
        <v>50</v>
      </c>
      <c r="M1386" t="s">
        <v>37</v>
      </c>
      <c r="N1386" t="s">
        <v>87</v>
      </c>
      <c r="O1386" t="s">
        <v>24</v>
      </c>
    </row>
    <row r="1387" spans="1:15" x14ac:dyDescent="0.35">
      <c r="A1387" t="s">
        <v>2382</v>
      </c>
      <c r="B1387" s="2">
        <v>46077</v>
      </c>
      <c r="C1387" t="s">
        <v>316</v>
      </c>
      <c r="D1387" t="s">
        <v>1927</v>
      </c>
      <c r="E1387" t="s">
        <v>190</v>
      </c>
      <c r="F1387" t="s">
        <v>191</v>
      </c>
      <c r="G1387" t="s">
        <v>34</v>
      </c>
      <c r="H1387" t="s">
        <v>95</v>
      </c>
      <c r="I1387">
        <v>3</v>
      </c>
      <c r="J1387" s="3">
        <v>450000</v>
      </c>
      <c r="K1387" s="3">
        <v>370000</v>
      </c>
      <c r="L1387" t="s">
        <v>80</v>
      </c>
      <c r="M1387" t="s">
        <v>22</v>
      </c>
      <c r="N1387" t="s">
        <v>52</v>
      </c>
      <c r="O1387" t="s">
        <v>24</v>
      </c>
    </row>
    <row r="1388" spans="1:15" x14ac:dyDescent="0.35">
      <c r="A1388" t="s">
        <v>2383</v>
      </c>
      <c r="B1388" s="2">
        <v>46361</v>
      </c>
      <c r="C1388" t="s">
        <v>2384</v>
      </c>
      <c r="D1388" t="s">
        <v>1741</v>
      </c>
      <c r="E1388" t="s">
        <v>18</v>
      </c>
      <c r="F1388" t="s">
        <v>18</v>
      </c>
      <c r="G1388" t="s">
        <v>34</v>
      </c>
      <c r="H1388" t="s">
        <v>95</v>
      </c>
      <c r="I1388">
        <v>3</v>
      </c>
      <c r="J1388" s="3">
        <v>427500</v>
      </c>
      <c r="K1388" s="3">
        <v>358900</v>
      </c>
      <c r="L1388" t="s">
        <v>30</v>
      </c>
      <c r="M1388" t="s">
        <v>51</v>
      </c>
      <c r="N1388" t="s">
        <v>52</v>
      </c>
      <c r="O1388" t="s">
        <v>24</v>
      </c>
    </row>
    <row r="1389" spans="1:15" x14ac:dyDescent="0.35">
      <c r="A1389" t="s">
        <v>2385</v>
      </c>
      <c r="B1389" s="2">
        <v>46313</v>
      </c>
      <c r="C1389" t="s">
        <v>1887</v>
      </c>
      <c r="D1389" t="s">
        <v>1633</v>
      </c>
      <c r="E1389" t="s">
        <v>18</v>
      </c>
      <c r="F1389" t="s">
        <v>18</v>
      </c>
      <c r="G1389" t="s">
        <v>28</v>
      </c>
      <c r="H1389" t="s">
        <v>65</v>
      </c>
      <c r="I1389">
        <v>6</v>
      </c>
      <c r="J1389" s="3">
        <v>12000</v>
      </c>
      <c r="K1389" s="3">
        <v>7700</v>
      </c>
      <c r="L1389" t="s">
        <v>36</v>
      </c>
      <c r="M1389" t="s">
        <v>37</v>
      </c>
      <c r="N1389" t="s">
        <v>87</v>
      </c>
      <c r="O1389" t="s">
        <v>24</v>
      </c>
    </row>
    <row r="1390" spans="1:15" x14ac:dyDescent="0.35">
      <c r="A1390" t="s">
        <v>2386</v>
      </c>
      <c r="B1390" s="2">
        <v>46084</v>
      </c>
      <c r="C1390" t="s">
        <v>1047</v>
      </c>
      <c r="D1390" t="s">
        <v>184</v>
      </c>
      <c r="E1390" t="s">
        <v>18</v>
      </c>
      <c r="F1390" t="s">
        <v>18</v>
      </c>
      <c r="G1390" t="s">
        <v>19</v>
      </c>
      <c r="H1390" t="s">
        <v>166</v>
      </c>
      <c r="I1390">
        <v>3</v>
      </c>
      <c r="J1390" s="3">
        <v>140000</v>
      </c>
      <c r="K1390" s="3">
        <v>100000</v>
      </c>
      <c r="L1390" t="s">
        <v>21</v>
      </c>
      <c r="M1390" t="s">
        <v>31</v>
      </c>
      <c r="N1390" t="s">
        <v>52</v>
      </c>
      <c r="O1390" t="s">
        <v>24</v>
      </c>
    </row>
    <row r="1391" spans="1:15" x14ac:dyDescent="0.35">
      <c r="A1391" t="s">
        <v>2387</v>
      </c>
      <c r="B1391" s="2">
        <v>46122</v>
      </c>
      <c r="C1391" t="s">
        <v>664</v>
      </c>
      <c r="D1391" t="s">
        <v>105</v>
      </c>
      <c r="E1391" t="s">
        <v>70</v>
      </c>
      <c r="F1391" t="s">
        <v>71</v>
      </c>
      <c r="G1391" t="s">
        <v>19</v>
      </c>
      <c r="H1391" t="s">
        <v>166</v>
      </c>
      <c r="I1391">
        <v>6</v>
      </c>
      <c r="J1391" s="3">
        <v>133000</v>
      </c>
      <c r="K1391" s="3">
        <v>103000</v>
      </c>
      <c r="L1391" t="s">
        <v>66</v>
      </c>
      <c r="M1391" t="s">
        <v>37</v>
      </c>
      <c r="N1391" t="s">
        <v>87</v>
      </c>
      <c r="O1391" t="s">
        <v>24</v>
      </c>
    </row>
    <row r="1392" spans="1:15" x14ac:dyDescent="0.35">
      <c r="A1392" t="s">
        <v>2388</v>
      </c>
      <c r="B1392" s="2">
        <v>46058</v>
      </c>
      <c r="C1392" t="s">
        <v>645</v>
      </c>
      <c r="D1392" t="s">
        <v>470</v>
      </c>
      <c r="E1392" t="s">
        <v>156</v>
      </c>
      <c r="F1392" t="s">
        <v>170</v>
      </c>
      <c r="G1392" t="s">
        <v>28</v>
      </c>
      <c r="H1392" t="s">
        <v>248</v>
      </c>
      <c r="I1392">
        <v>5</v>
      </c>
      <c r="J1392" s="3">
        <v>23800</v>
      </c>
      <c r="K1392" s="3">
        <v>16000</v>
      </c>
      <c r="L1392" t="s">
        <v>96</v>
      </c>
      <c r="M1392" t="s">
        <v>51</v>
      </c>
      <c r="N1392" t="s">
        <v>23</v>
      </c>
      <c r="O1392" t="s">
        <v>91</v>
      </c>
    </row>
    <row r="1393" spans="1:15" x14ac:dyDescent="0.35">
      <c r="A1393" t="s">
        <v>2389</v>
      </c>
      <c r="B1393" s="2">
        <v>46060</v>
      </c>
      <c r="C1393" t="s">
        <v>943</v>
      </c>
      <c r="D1393" t="s">
        <v>731</v>
      </c>
      <c r="E1393" t="s">
        <v>18</v>
      </c>
      <c r="F1393" t="s">
        <v>18</v>
      </c>
      <c r="G1393" t="s">
        <v>43</v>
      </c>
      <c r="H1393" t="s">
        <v>177</v>
      </c>
      <c r="I1393">
        <v>1</v>
      </c>
      <c r="J1393" s="3">
        <v>18000</v>
      </c>
      <c r="K1393" s="3">
        <v>12500</v>
      </c>
      <c r="L1393" t="s">
        <v>80</v>
      </c>
      <c r="M1393" t="s">
        <v>37</v>
      </c>
      <c r="N1393" t="s">
        <v>23</v>
      </c>
      <c r="O1393" t="s">
        <v>91</v>
      </c>
    </row>
    <row r="1394" spans="1:15" x14ac:dyDescent="0.35">
      <c r="A1394" t="s">
        <v>2390</v>
      </c>
      <c r="B1394" s="2">
        <v>46111</v>
      </c>
      <c r="C1394" t="s">
        <v>805</v>
      </c>
      <c r="D1394" t="s">
        <v>2008</v>
      </c>
      <c r="E1394" t="s">
        <v>77</v>
      </c>
      <c r="F1394" t="s">
        <v>78</v>
      </c>
      <c r="G1394" t="s">
        <v>34</v>
      </c>
      <c r="H1394" t="s">
        <v>158</v>
      </c>
      <c r="I1394">
        <v>8</v>
      </c>
      <c r="J1394" s="3">
        <v>95000</v>
      </c>
      <c r="K1394" s="3">
        <v>70000</v>
      </c>
      <c r="L1394" t="s">
        <v>36</v>
      </c>
      <c r="M1394" t="s">
        <v>37</v>
      </c>
      <c r="N1394" t="s">
        <v>23</v>
      </c>
      <c r="O1394" t="s">
        <v>91</v>
      </c>
    </row>
    <row r="1395" spans="1:15" x14ac:dyDescent="0.35">
      <c r="A1395" t="s">
        <v>2391</v>
      </c>
      <c r="B1395" s="2">
        <v>46373</v>
      </c>
      <c r="C1395" t="s">
        <v>1673</v>
      </c>
      <c r="D1395" t="s">
        <v>781</v>
      </c>
      <c r="E1395" t="s">
        <v>18</v>
      </c>
      <c r="F1395" t="s">
        <v>18</v>
      </c>
      <c r="G1395" t="s">
        <v>43</v>
      </c>
      <c r="H1395" t="s">
        <v>44</v>
      </c>
      <c r="I1395">
        <v>8</v>
      </c>
      <c r="J1395" s="3">
        <v>14200</v>
      </c>
      <c r="K1395" s="3">
        <v>9800</v>
      </c>
      <c r="L1395" t="s">
        <v>96</v>
      </c>
      <c r="M1395" t="s">
        <v>31</v>
      </c>
      <c r="N1395" t="s">
        <v>23</v>
      </c>
      <c r="O1395" t="s">
        <v>24</v>
      </c>
    </row>
    <row r="1396" spans="1:15" x14ac:dyDescent="0.35">
      <c r="A1396" t="s">
        <v>2392</v>
      </c>
      <c r="B1396" s="2">
        <v>46259</v>
      </c>
      <c r="C1396" t="s">
        <v>123</v>
      </c>
      <c r="D1396" t="s">
        <v>1982</v>
      </c>
      <c r="E1396" t="s">
        <v>18</v>
      </c>
      <c r="F1396" t="s">
        <v>18</v>
      </c>
      <c r="G1396" t="s">
        <v>34</v>
      </c>
      <c r="H1396" t="s">
        <v>35</v>
      </c>
      <c r="I1396">
        <v>3</v>
      </c>
      <c r="J1396" s="3">
        <v>52200</v>
      </c>
      <c r="K1396" s="3">
        <v>37800</v>
      </c>
      <c r="L1396" t="s">
        <v>36</v>
      </c>
      <c r="M1396" t="s">
        <v>22</v>
      </c>
      <c r="N1396" t="s">
        <v>87</v>
      </c>
      <c r="O1396" t="s">
        <v>24</v>
      </c>
    </row>
    <row r="1397" spans="1:15" x14ac:dyDescent="0.35">
      <c r="A1397" t="s">
        <v>2393</v>
      </c>
      <c r="B1397" s="2">
        <v>46243</v>
      </c>
      <c r="C1397" t="s">
        <v>2124</v>
      </c>
      <c r="D1397" t="s">
        <v>1315</v>
      </c>
      <c r="E1397" t="s">
        <v>18</v>
      </c>
      <c r="F1397" t="s">
        <v>18</v>
      </c>
      <c r="G1397" t="s">
        <v>19</v>
      </c>
      <c r="H1397" t="s">
        <v>20</v>
      </c>
      <c r="I1397">
        <v>3</v>
      </c>
      <c r="J1397" s="3">
        <v>65000</v>
      </c>
      <c r="K1397" s="3">
        <v>46400</v>
      </c>
      <c r="L1397" t="s">
        <v>30</v>
      </c>
      <c r="M1397" t="s">
        <v>22</v>
      </c>
      <c r="N1397" t="s">
        <v>23</v>
      </c>
      <c r="O1397" t="s">
        <v>24</v>
      </c>
    </row>
    <row r="1398" spans="1:15" x14ac:dyDescent="0.35">
      <c r="A1398" t="s">
        <v>2394</v>
      </c>
      <c r="B1398" s="2">
        <v>46126</v>
      </c>
      <c r="C1398" t="s">
        <v>290</v>
      </c>
      <c r="D1398" t="s">
        <v>356</v>
      </c>
      <c r="E1398" t="s">
        <v>18</v>
      </c>
      <c r="F1398" t="s">
        <v>18</v>
      </c>
      <c r="G1398" t="s">
        <v>43</v>
      </c>
      <c r="H1398" t="s">
        <v>44</v>
      </c>
      <c r="I1398">
        <v>7</v>
      </c>
      <c r="J1398" s="3">
        <v>15000</v>
      </c>
      <c r="K1398" s="3">
        <v>9500</v>
      </c>
      <c r="L1398" t="s">
        <v>21</v>
      </c>
      <c r="M1398" t="s">
        <v>51</v>
      </c>
      <c r="N1398" t="s">
        <v>23</v>
      </c>
      <c r="O1398" t="s">
        <v>24</v>
      </c>
    </row>
    <row r="1399" spans="1:15" x14ac:dyDescent="0.35">
      <c r="A1399" t="s">
        <v>2395</v>
      </c>
      <c r="B1399" s="2">
        <v>46185</v>
      </c>
      <c r="C1399" t="s">
        <v>1253</v>
      </c>
      <c r="D1399" t="s">
        <v>856</v>
      </c>
      <c r="E1399" t="s">
        <v>77</v>
      </c>
      <c r="F1399" t="s">
        <v>78</v>
      </c>
      <c r="G1399" t="s">
        <v>34</v>
      </c>
      <c r="H1399" t="s">
        <v>35</v>
      </c>
      <c r="I1399">
        <v>6</v>
      </c>
      <c r="J1399" s="3">
        <v>52200</v>
      </c>
      <c r="K1399" s="3">
        <v>37800</v>
      </c>
      <c r="L1399" t="s">
        <v>80</v>
      </c>
      <c r="M1399" t="s">
        <v>37</v>
      </c>
      <c r="N1399" t="s">
        <v>23</v>
      </c>
      <c r="O1399" t="s">
        <v>24</v>
      </c>
    </row>
    <row r="1400" spans="1:15" x14ac:dyDescent="0.35">
      <c r="A1400" t="s">
        <v>2396</v>
      </c>
      <c r="B1400" s="2">
        <v>46187</v>
      </c>
      <c r="C1400" t="s">
        <v>246</v>
      </c>
      <c r="D1400" t="s">
        <v>939</v>
      </c>
      <c r="E1400" t="s">
        <v>56</v>
      </c>
      <c r="F1400" t="s">
        <v>57</v>
      </c>
      <c r="G1400" t="s">
        <v>34</v>
      </c>
      <c r="H1400" t="s">
        <v>141</v>
      </c>
      <c r="I1400">
        <v>6</v>
      </c>
      <c r="J1400" s="3">
        <v>152000</v>
      </c>
      <c r="K1400" s="3">
        <v>123600</v>
      </c>
      <c r="L1400" t="s">
        <v>21</v>
      </c>
      <c r="M1400" t="s">
        <v>37</v>
      </c>
      <c r="N1400" t="s">
        <v>23</v>
      </c>
      <c r="O1400" t="s">
        <v>24</v>
      </c>
    </row>
    <row r="1401" spans="1:15" x14ac:dyDescent="0.35">
      <c r="A1401" t="s">
        <v>2397</v>
      </c>
      <c r="B1401" s="2">
        <v>46139</v>
      </c>
      <c r="C1401" t="s">
        <v>1869</v>
      </c>
      <c r="D1401" t="s">
        <v>535</v>
      </c>
      <c r="E1401" t="s">
        <v>41</v>
      </c>
      <c r="F1401" t="s">
        <v>42</v>
      </c>
      <c r="G1401" t="s">
        <v>34</v>
      </c>
      <c r="H1401" t="s">
        <v>86</v>
      </c>
      <c r="I1401">
        <v>2</v>
      </c>
      <c r="J1401" s="3">
        <v>180000</v>
      </c>
      <c r="K1401" s="3">
        <v>131000</v>
      </c>
      <c r="L1401" t="s">
        <v>50</v>
      </c>
      <c r="M1401" t="s">
        <v>51</v>
      </c>
      <c r="N1401" t="s">
        <v>87</v>
      </c>
      <c r="O1401" t="s">
        <v>91</v>
      </c>
    </row>
    <row r="1402" spans="1:15" x14ac:dyDescent="0.35">
      <c r="A1402" t="s">
        <v>2398</v>
      </c>
      <c r="B1402" s="2">
        <v>46190</v>
      </c>
      <c r="C1402" t="s">
        <v>1353</v>
      </c>
      <c r="D1402" t="s">
        <v>391</v>
      </c>
      <c r="E1402" t="s">
        <v>84</v>
      </c>
      <c r="F1402" t="s">
        <v>85</v>
      </c>
      <c r="G1402" t="s">
        <v>43</v>
      </c>
      <c r="H1402" t="s">
        <v>49</v>
      </c>
      <c r="I1402">
        <v>2</v>
      </c>
      <c r="J1402" s="3">
        <v>9000</v>
      </c>
      <c r="K1402" s="3">
        <v>5600</v>
      </c>
      <c r="L1402" t="s">
        <v>73</v>
      </c>
      <c r="M1402" t="s">
        <v>37</v>
      </c>
      <c r="N1402" t="s">
        <v>23</v>
      </c>
      <c r="O1402" t="s">
        <v>45</v>
      </c>
    </row>
    <row r="1403" spans="1:15" x14ac:dyDescent="0.35">
      <c r="A1403" t="s">
        <v>2399</v>
      </c>
      <c r="B1403" s="2">
        <v>46350</v>
      </c>
      <c r="C1403" t="s">
        <v>645</v>
      </c>
      <c r="D1403" t="s">
        <v>800</v>
      </c>
      <c r="E1403" t="s">
        <v>41</v>
      </c>
      <c r="F1403" t="s">
        <v>42</v>
      </c>
      <c r="G1403" t="s">
        <v>34</v>
      </c>
      <c r="H1403" t="s">
        <v>86</v>
      </c>
      <c r="I1403">
        <v>2</v>
      </c>
      <c r="J1403" s="3">
        <v>180000</v>
      </c>
      <c r="K1403" s="3">
        <v>139000</v>
      </c>
      <c r="L1403" t="s">
        <v>36</v>
      </c>
      <c r="M1403" t="s">
        <v>51</v>
      </c>
      <c r="N1403" t="s">
        <v>23</v>
      </c>
      <c r="O1403" t="s">
        <v>24</v>
      </c>
    </row>
    <row r="1404" spans="1:15" x14ac:dyDescent="0.35">
      <c r="A1404" t="s">
        <v>2400</v>
      </c>
      <c r="B1404" s="2">
        <v>46198</v>
      </c>
      <c r="C1404" t="s">
        <v>1386</v>
      </c>
      <c r="D1404" t="s">
        <v>988</v>
      </c>
      <c r="E1404" t="s">
        <v>18</v>
      </c>
      <c r="F1404" t="s">
        <v>18</v>
      </c>
      <c r="G1404" t="s">
        <v>34</v>
      </c>
      <c r="H1404" t="s">
        <v>86</v>
      </c>
      <c r="I1404">
        <v>7</v>
      </c>
      <c r="J1404" s="3">
        <v>180000</v>
      </c>
      <c r="K1404" s="3">
        <v>131000</v>
      </c>
      <c r="L1404" t="s">
        <v>36</v>
      </c>
      <c r="M1404" t="s">
        <v>37</v>
      </c>
      <c r="N1404" t="s">
        <v>23</v>
      </c>
      <c r="O1404" t="s">
        <v>24</v>
      </c>
    </row>
    <row r="1405" spans="1:15" x14ac:dyDescent="0.35">
      <c r="A1405" t="s">
        <v>2401</v>
      </c>
      <c r="B1405" s="2">
        <v>46133</v>
      </c>
      <c r="C1405" t="s">
        <v>2118</v>
      </c>
      <c r="D1405" t="s">
        <v>187</v>
      </c>
      <c r="E1405" t="s">
        <v>18</v>
      </c>
      <c r="F1405" t="s">
        <v>18</v>
      </c>
      <c r="G1405" t="s">
        <v>19</v>
      </c>
      <c r="H1405" t="s">
        <v>61</v>
      </c>
      <c r="I1405">
        <v>4</v>
      </c>
      <c r="J1405" s="3">
        <v>209000</v>
      </c>
      <c r="K1405" s="3">
        <v>155200</v>
      </c>
      <c r="L1405" t="s">
        <v>73</v>
      </c>
      <c r="M1405" t="s">
        <v>22</v>
      </c>
      <c r="N1405" t="s">
        <v>87</v>
      </c>
      <c r="O1405" t="s">
        <v>45</v>
      </c>
    </row>
    <row r="1406" spans="1:15" x14ac:dyDescent="0.35">
      <c r="A1406" t="s">
        <v>2402</v>
      </c>
      <c r="B1406" s="2">
        <v>46375</v>
      </c>
      <c r="C1406" t="s">
        <v>2403</v>
      </c>
      <c r="D1406" t="s">
        <v>601</v>
      </c>
      <c r="E1406" t="s">
        <v>190</v>
      </c>
      <c r="F1406" t="s">
        <v>191</v>
      </c>
      <c r="G1406" t="s">
        <v>19</v>
      </c>
      <c r="H1406" t="s">
        <v>166</v>
      </c>
      <c r="I1406">
        <v>9</v>
      </c>
      <c r="J1406" s="3">
        <v>147000</v>
      </c>
      <c r="K1406" s="3">
        <v>103000</v>
      </c>
      <c r="L1406" t="s">
        <v>36</v>
      </c>
      <c r="M1406" t="s">
        <v>37</v>
      </c>
      <c r="N1406" t="s">
        <v>23</v>
      </c>
      <c r="O1406" t="s">
        <v>24</v>
      </c>
    </row>
    <row r="1407" spans="1:15" x14ac:dyDescent="0.35">
      <c r="A1407" t="s">
        <v>2404</v>
      </c>
      <c r="B1407" s="2">
        <v>46172</v>
      </c>
      <c r="C1407" t="s">
        <v>497</v>
      </c>
      <c r="D1407" t="s">
        <v>636</v>
      </c>
      <c r="E1407" t="s">
        <v>41</v>
      </c>
      <c r="F1407" t="s">
        <v>42</v>
      </c>
      <c r="G1407" t="s">
        <v>28</v>
      </c>
      <c r="H1407" t="s">
        <v>248</v>
      </c>
      <c r="I1407">
        <v>7</v>
      </c>
      <c r="J1407" s="3">
        <v>23800</v>
      </c>
      <c r="K1407" s="3">
        <v>16000</v>
      </c>
      <c r="L1407" t="s">
        <v>80</v>
      </c>
      <c r="M1407" t="s">
        <v>51</v>
      </c>
      <c r="N1407" t="s">
        <v>23</v>
      </c>
      <c r="O1407" t="s">
        <v>24</v>
      </c>
    </row>
    <row r="1408" spans="1:15" x14ac:dyDescent="0.35">
      <c r="A1408" t="s">
        <v>2405</v>
      </c>
      <c r="B1408" s="2">
        <v>46198</v>
      </c>
      <c r="C1408" t="s">
        <v>1743</v>
      </c>
      <c r="D1408" t="s">
        <v>535</v>
      </c>
      <c r="E1408" t="s">
        <v>18</v>
      </c>
      <c r="F1408" t="s">
        <v>18</v>
      </c>
      <c r="G1408" t="s">
        <v>43</v>
      </c>
      <c r="H1408" t="s">
        <v>177</v>
      </c>
      <c r="I1408">
        <v>6</v>
      </c>
      <c r="J1408" s="3">
        <v>17100</v>
      </c>
      <c r="K1408" s="3">
        <v>12500</v>
      </c>
      <c r="L1408" t="s">
        <v>73</v>
      </c>
      <c r="M1408" t="s">
        <v>37</v>
      </c>
      <c r="N1408" t="s">
        <v>87</v>
      </c>
      <c r="O1408" t="s">
        <v>24</v>
      </c>
    </row>
    <row r="1409" spans="1:15" x14ac:dyDescent="0.35">
      <c r="A1409" t="s">
        <v>2406</v>
      </c>
      <c r="B1409" s="2">
        <v>46265</v>
      </c>
      <c r="C1409" t="s">
        <v>264</v>
      </c>
      <c r="D1409" t="s">
        <v>1023</v>
      </c>
      <c r="E1409" t="s">
        <v>18</v>
      </c>
      <c r="F1409" t="s">
        <v>18</v>
      </c>
      <c r="G1409" t="s">
        <v>34</v>
      </c>
      <c r="H1409" t="s">
        <v>95</v>
      </c>
      <c r="I1409">
        <v>6</v>
      </c>
      <c r="J1409" s="3">
        <v>427500</v>
      </c>
      <c r="K1409" s="3">
        <v>358900</v>
      </c>
      <c r="L1409" t="s">
        <v>80</v>
      </c>
      <c r="M1409" t="s">
        <v>51</v>
      </c>
      <c r="N1409" t="s">
        <v>23</v>
      </c>
      <c r="O1409" t="s">
        <v>24</v>
      </c>
    </row>
    <row r="1410" spans="1:15" x14ac:dyDescent="0.35">
      <c r="A1410" t="s">
        <v>2407</v>
      </c>
      <c r="B1410" s="2">
        <v>46225</v>
      </c>
      <c r="C1410" t="s">
        <v>557</v>
      </c>
      <c r="D1410" t="s">
        <v>789</v>
      </c>
      <c r="E1410" t="s">
        <v>156</v>
      </c>
      <c r="F1410" t="s">
        <v>157</v>
      </c>
      <c r="G1410" t="s">
        <v>34</v>
      </c>
      <c r="H1410" t="s">
        <v>141</v>
      </c>
      <c r="I1410">
        <v>8</v>
      </c>
      <c r="J1410" s="3">
        <v>152000</v>
      </c>
      <c r="K1410" s="3">
        <v>120000</v>
      </c>
      <c r="L1410" t="s">
        <v>50</v>
      </c>
      <c r="M1410" t="s">
        <v>22</v>
      </c>
      <c r="N1410" t="s">
        <v>52</v>
      </c>
      <c r="O1410" t="s">
        <v>24</v>
      </c>
    </row>
    <row r="1411" spans="1:15" x14ac:dyDescent="0.35">
      <c r="A1411" t="s">
        <v>2408</v>
      </c>
      <c r="B1411" s="2">
        <v>46049</v>
      </c>
      <c r="C1411" t="s">
        <v>545</v>
      </c>
      <c r="D1411" t="s">
        <v>1179</v>
      </c>
      <c r="E1411" t="s">
        <v>41</v>
      </c>
      <c r="F1411" t="s">
        <v>42</v>
      </c>
      <c r="G1411" t="s">
        <v>43</v>
      </c>
      <c r="H1411" t="s">
        <v>162</v>
      </c>
      <c r="I1411">
        <v>5</v>
      </c>
      <c r="J1411" s="3">
        <v>8000</v>
      </c>
      <c r="K1411" s="3">
        <v>5200</v>
      </c>
      <c r="L1411" t="s">
        <v>21</v>
      </c>
      <c r="M1411" t="s">
        <v>37</v>
      </c>
      <c r="N1411" t="s">
        <v>52</v>
      </c>
      <c r="O1411" t="s">
        <v>91</v>
      </c>
    </row>
    <row r="1412" spans="1:15" x14ac:dyDescent="0.35">
      <c r="A1412" t="s">
        <v>2409</v>
      </c>
      <c r="B1412" s="2">
        <v>46378</v>
      </c>
      <c r="C1412" t="s">
        <v>240</v>
      </c>
      <c r="D1412" t="s">
        <v>514</v>
      </c>
      <c r="E1412" t="s">
        <v>18</v>
      </c>
      <c r="F1412" t="s">
        <v>18</v>
      </c>
      <c r="G1412" t="s">
        <v>28</v>
      </c>
      <c r="H1412" t="s">
        <v>65</v>
      </c>
      <c r="I1412">
        <v>9</v>
      </c>
      <c r="J1412" s="3">
        <v>12000</v>
      </c>
      <c r="K1412" s="3">
        <v>7700</v>
      </c>
      <c r="L1412" t="s">
        <v>96</v>
      </c>
      <c r="M1412" t="s">
        <v>51</v>
      </c>
      <c r="N1412" t="s">
        <v>52</v>
      </c>
      <c r="O1412" t="s">
        <v>24</v>
      </c>
    </row>
    <row r="1413" spans="1:15" x14ac:dyDescent="0.35">
      <c r="A1413" t="s">
        <v>2410</v>
      </c>
      <c r="B1413" s="2">
        <v>46189</v>
      </c>
      <c r="C1413" t="s">
        <v>1446</v>
      </c>
      <c r="D1413" t="s">
        <v>442</v>
      </c>
      <c r="E1413" t="s">
        <v>156</v>
      </c>
      <c r="F1413" t="s">
        <v>157</v>
      </c>
      <c r="G1413" t="s">
        <v>34</v>
      </c>
      <c r="H1413" t="s">
        <v>35</v>
      </c>
      <c r="I1413">
        <v>9</v>
      </c>
      <c r="J1413" s="3">
        <v>52200</v>
      </c>
      <c r="K1413" s="3">
        <v>37800</v>
      </c>
      <c r="L1413" t="s">
        <v>96</v>
      </c>
      <c r="M1413" t="s">
        <v>31</v>
      </c>
      <c r="N1413" t="s">
        <v>23</v>
      </c>
      <c r="O1413" t="s">
        <v>45</v>
      </c>
    </row>
    <row r="1414" spans="1:15" x14ac:dyDescent="0.35">
      <c r="A1414" t="s">
        <v>2411</v>
      </c>
      <c r="B1414" s="2">
        <v>46278</v>
      </c>
      <c r="C1414" t="s">
        <v>788</v>
      </c>
      <c r="D1414" t="s">
        <v>533</v>
      </c>
      <c r="E1414" t="s">
        <v>190</v>
      </c>
      <c r="F1414" t="s">
        <v>191</v>
      </c>
      <c r="G1414" t="s">
        <v>43</v>
      </c>
      <c r="H1414" t="s">
        <v>49</v>
      </c>
      <c r="I1414">
        <v>2</v>
      </c>
      <c r="J1414" s="3">
        <v>9400</v>
      </c>
      <c r="K1414" s="3">
        <v>5600</v>
      </c>
      <c r="L1414" t="s">
        <v>50</v>
      </c>
      <c r="M1414" t="s">
        <v>37</v>
      </c>
      <c r="N1414" t="s">
        <v>23</v>
      </c>
      <c r="O1414" t="s">
        <v>45</v>
      </c>
    </row>
    <row r="1415" spans="1:15" x14ac:dyDescent="0.35">
      <c r="A1415" t="s">
        <v>2412</v>
      </c>
      <c r="B1415" s="2">
        <v>46276</v>
      </c>
      <c r="C1415" t="s">
        <v>228</v>
      </c>
      <c r="D1415" t="s">
        <v>1484</v>
      </c>
      <c r="E1415" t="s">
        <v>18</v>
      </c>
      <c r="F1415" t="s">
        <v>18</v>
      </c>
      <c r="G1415" t="s">
        <v>43</v>
      </c>
      <c r="H1415" t="s">
        <v>162</v>
      </c>
      <c r="I1415">
        <v>2</v>
      </c>
      <c r="J1415" s="3">
        <v>7600</v>
      </c>
      <c r="K1415" s="3">
        <v>5200</v>
      </c>
      <c r="L1415" t="s">
        <v>36</v>
      </c>
      <c r="M1415" t="s">
        <v>31</v>
      </c>
      <c r="N1415" t="s">
        <v>23</v>
      </c>
      <c r="O1415" t="s">
        <v>24</v>
      </c>
    </row>
    <row r="1416" spans="1:15" x14ac:dyDescent="0.35">
      <c r="A1416" t="s">
        <v>2413</v>
      </c>
      <c r="B1416" s="2">
        <v>46149</v>
      </c>
      <c r="C1416" t="s">
        <v>1842</v>
      </c>
      <c r="D1416" t="s">
        <v>115</v>
      </c>
      <c r="E1416" t="s">
        <v>41</v>
      </c>
      <c r="F1416" t="s">
        <v>42</v>
      </c>
      <c r="G1416" t="s">
        <v>19</v>
      </c>
      <c r="H1416" t="s">
        <v>20</v>
      </c>
      <c r="I1416">
        <v>2</v>
      </c>
      <c r="J1416" s="3">
        <v>65000</v>
      </c>
      <c r="K1416" s="3">
        <v>46400</v>
      </c>
      <c r="L1416" t="s">
        <v>50</v>
      </c>
      <c r="M1416" t="s">
        <v>37</v>
      </c>
      <c r="N1416" t="s">
        <v>87</v>
      </c>
      <c r="O1416" t="s">
        <v>24</v>
      </c>
    </row>
    <row r="1417" spans="1:15" x14ac:dyDescent="0.35">
      <c r="A1417" t="s">
        <v>2414</v>
      </c>
      <c r="B1417" s="2">
        <v>46050</v>
      </c>
      <c r="C1417" t="s">
        <v>916</v>
      </c>
      <c r="D1417" t="s">
        <v>262</v>
      </c>
      <c r="E1417" t="s">
        <v>84</v>
      </c>
      <c r="F1417" t="s">
        <v>85</v>
      </c>
      <c r="G1417" t="s">
        <v>19</v>
      </c>
      <c r="H1417" t="s">
        <v>112</v>
      </c>
      <c r="I1417">
        <v>5</v>
      </c>
      <c r="J1417" s="3">
        <v>85000</v>
      </c>
      <c r="K1417" s="3">
        <v>60100</v>
      </c>
      <c r="L1417" t="s">
        <v>50</v>
      </c>
      <c r="M1417" t="s">
        <v>51</v>
      </c>
      <c r="N1417" t="s">
        <v>87</v>
      </c>
      <c r="O1417" t="s">
        <v>24</v>
      </c>
    </row>
    <row r="1418" spans="1:15" x14ac:dyDescent="0.35">
      <c r="A1418" t="s">
        <v>2415</v>
      </c>
      <c r="B1418" s="2">
        <v>46053</v>
      </c>
      <c r="C1418" t="s">
        <v>793</v>
      </c>
      <c r="D1418" t="s">
        <v>2416</v>
      </c>
      <c r="E1418" t="s">
        <v>190</v>
      </c>
      <c r="F1418" t="s">
        <v>191</v>
      </c>
      <c r="G1418" t="s">
        <v>34</v>
      </c>
      <c r="H1418" t="s">
        <v>86</v>
      </c>
      <c r="I1418">
        <v>5</v>
      </c>
      <c r="J1418" s="3">
        <v>189000</v>
      </c>
      <c r="K1418" s="3">
        <v>135000</v>
      </c>
      <c r="L1418" t="s">
        <v>80</v>
      </c>
      <c r="M1418" t="s">
        <v>31</v>
      </c>
      <c r="N1418" t="s">
        <v>87</v>
      </c>
      <c r="O1418" t="s">
        <v>24</v>
      </c>
    </row>
    <row r="1419" spans="1:15" x14ac:dyDescent="0.35">
      <c r="A1419" t="s">
        <v>2417</v>
      </c>
      <c r="B1419" s="2">
        <v>46300</v>
      </c>
      <c r="C1419" t="s">
        <v>1302</v>
      </c>
      <c r="D1419" t="s">
        <v>1087</v>
      </c>
      <c r="E1419" t="s">
        <v>77</v>
      </c>
      <c r="F1419" t="s">
        <v>78</v>
      </c>
      <c r="G1419" t="s">
        <v>43</v>
      </c>
      <c r="H1419" t="s">
        <v>79</v>
      </c>
      <c r="I1419">
        <v>4</v>
      </c>
      <c r="J1419" s="3">
        <v>6000</v>
      </c>
      <c r="K1419" s="3">
        <v>4100</v>
      </c>
      <c r="L1419" t="s">
        <v>36</v>
      </c>
      <c r="M1419" t="s">
        <v>37</v>
      </c>
      <c r="N1419" t="s">
        <v>52</v>
      </c>
      <c r="O1419" t="s">
        <v>24</v>
      </c>
    </row>
    <row r="1420" spans="1:15" x14ac:dyDescent="0.35">
      <c r="A1420" t="s">
        <v>2418</v>
      </c>
      <c r="B1420" s="2">
        <v>46240</v>
      </c>
      <c r="C1420" t="s">
        <v>475</v>
      </c>
      <c r="D1420" t="s">
        <v>1559</v>
      </c>
      <c r="E1420" t="s">
        <v>70</v>
      </c>
      <c r="F1420" t="s">
        <v>71</v>
      </c>
      <c r="G1420" t="s">
        <v>34</v>
      </c>
      <c r="H1420" t="s">
        <v>141</v>
      </c>
      <c r="I1420">
        <v>7</v>
      </c>
      <c r="J1420" s="3">
        <v>168000</v>
      </c>
      <c r="K1420" s="3">
        <v>116400</v>
      </c>
      <c r="L1420" t="s">
        <v>80</v>
      </c>
      <c r="M1420" t="s">
        <v>51</v>
      </c>
      <c r="N1420" t="s">
        <v>23</v>
      </c>
      <c r="O1420" t="s">
        <v>24</v>
      </c>
    </row>
    <row r="1421" spans="1:15" x14ac:dyDescent="0.35">
      <c r="A1421" t="s">
        <v>2419</v>
      </c>
      <c r="B1421" s="2">
        <v>46320</v>
      </c>
      <c r="C1421" t="s">
        <v>2115</v>
      </c>
      <c r="D1421" t="s">
        <v>524</v>
      </c>
      <c r="E1421" t="s">
        <v>18</v>
      </c>
      <c r="F1421" t="s">
        <v>18</v>
      </c>
      <c r="G1421" t="s">
        <v>34</v>
      </c>
      <c r="H1421" t="s">
        <v>35</v>
      </c>
      <c r="I1421">
        <v>7</v>
      </c>
      <c r="J1421" s="3">
        <v>55000</v>
      </c>
      <c r="K1421" s="3">
        <v>39000</v>
      </c>
      <c r="L1421" t="s">
        <v>50</v>
      </c>
      <c r="M1421" t="s">
        <v>37</v>
      </c>
      <c r="N1421" t="s">
        <v>52</v>
      </c>
      <c r="O1421" t="s">
        <v>24</v>
      </c>
    </row>
    <row r="1422" spans="1:15" x14ac:dyDescent="0.35">
      <c r="A1422" t="s">
        <v>2420</v>
      </c>
      <c r="B1422" s="2">
        <v>46096</v>
      </c>
      <c r="C1422" t="s">
        <v>148</v>
      </c>
      <c r="D1422" t="s">
        <v>1272</v>
      </c>
      <c r="E1422" t="s">
        <v>190</v>
      </c>
      <c r="F1422" t="s">
        <v>191</v>
      </c>
      <c r="G1422" t="s">
        <v>43</v>
      </c>
      <c r="H1422" t="s">
        <v>49</v>
      </c>
      <c r="I1422">
        <v>10</v>
      </c>
      <c r="J1422" s="3">
        <v>9000</v>
      </c>
      <c r="K1422" s="3">
        <v>5800</v>
      </c>
      <c r="L1422" t="s">
        <v>73</v>
      </c>
      <c r="M1422" t="s">
        <v>31</v>
      </c>
      <c r="N1422" t="s">
        <v>52</v>
      </c>
      <c r="O1422" t="s">
        <v>24</v>
      </c>
    </row>
    <row r="1423" spans="1:15" x14ac:dyDescent="0.35">
      <c r="A1423" t="s">
        <v>2421</v>
      </c>
      <c r="B1423" s="2">
        <v>46069</v>
      </c>
      <c r="C1423" t="s">
        <v>1307</v>
      </c>
      <c r="D1423" t="s">
        <v>442</v>
      </c>
      <c r="E1423" t="s">
        <v>190</v>
      </c>
      <c r="F1423" t="s">
        <v>191</v>
      </c>
      <c r="G1423" t="s">
        <v>19</v>
      </c>
      <c r="H1423" t="s">
        <v>20</v>
      </c>
      <c r="I1423">
        <v>7</v>
      </c>
      <c r="J1423" s="3">
        <v>68200</v>
      </c>
      <c r="K1423" s="3">
        <v>43600</v>
      </c>
      <c r="L1423" t="s">
        <v>66</v>
      </c>
      <c r="M1423" t="s">
        <v>37</v>
      </c>
      <c r="N1423" t="s">
        <v>23</v>
      </c>
      <c r="O1423" t="s">
        <v>24</v>
      </c>
    </row>
    <row r="1424" spans="1:15" x14ac:dyDescent="0.35">
      <c r="A1424" t="s">
        <v>2422</v>
      </c>
      <c r="B1424" s="2">
        <v>46364</v>
      </c>
      <c r="C1424" t="s">
        <v>1302</v>
      </c>
      <c r="D1424" t="s">
        <v>514</v>
      </c>
      <c r="E1424" t="s">
        <v>18</v>
      </c>
      <c r="F1424" t="s">
        <v>18</v>
      </c>
      <c r="G1424" t="s">
        <v>43</v>
      </c>
      <c r="H1424" t="s">
        <v>49</v>
      </c>
      <c r="I1424">
        <v>7</v>
      </c>
      <c r="J1424" s="3">
        <v>9000</v>
      </c>
      <c r="K1424" s="3">
        <v>6000</v>
      </c>
      <c r="L1424" t="s">
        <v>21</v>
      </c>
      <c r="M1424" t="s">
        <v>22</v>
      </c>
      <c r="N1424" t="s">
        <v>23</v>
      </c>
      <c r="O1424" t="s">
        <v>24</v>
      </c>
    </row>
    <row r="1425" spans="1:15" x14ac:dyDescent="0.35">
      <c r="A1425" t="s">
        <v>2423</v>
      </c>
      <c r="B1425" s="2">
        <v>46305</v>
      </c>
      <c r="C1425" t="s">
        <v>642</v>
      </c>
      <c r="D1425" t="s">
        <v>1077</v>
      </c>
      <c r="E1425" t="s">
        <v>41</v>
      </c>
      <c r="F1425" t="s">
        <v>42</v>
      </c>
      <c r="G1425" t="s">
        <v>34</v>
      </c>
      <c r="H1425" t="s">
        <v>158</v>
      </c>
      <c r="I1425">
        <v>6</v>
      </c>
      <c r="J1425" s="3">
        <v>90200</v>
      </c>
      <c r="K1425" s="3">
        <v>67900</v>
      </c>
      <c r="L1425" t="s">
        <v>96</v>
      </c>
      <c r="M1425" t="s">
        <v>37</v>
      </c>
      <c r="N1425" t="s">
        <v>87</v>
      </c>
      <c r="O1425" t="s">
        <v>24</v>
      </c>
    </row>
    <row r="1426" spans="1:15" x14ac:dyDescent="0.35">
      <c r="A1426" t="s">
        <v>2424</v>
      </c>
      <c r="B1426" s="2">
        <v>46097</v>
      </c>
      <c r="C1426" t="s">
        <v>1007</v>
      </c>
      <c r="D1426" t="s">
        <v>351</v>
      </c>
      <c r="E1426" t="s">
        <v>18</v>
      </c>
      <c r="F1426" t="s">
        <v>18</v>
      </c>
      <c r="G1426" t="s">
        <v>43</v>
      </c>
      <c r="H1426" t="s">
        <v>44</v>
      </c>
      <c r="I1426">
        <v>6</v>
      </c>
      <c r="J1426" s="3">
        <v>14200</v>
      </c>
      <c r="K1426" s="3">
        <v>9500</v>
      </c>
      <c r="L1426" t="s">
        <v>36</v>
      </c>
      <c r="M1426" t="s">
        <v>37</v>
      </c>
      <c r="N1426" t="s">
        <v>87</v>
      </c>
      <c r="O1426" t="s">
        <v>24</v>
      </c>
    </row>
    <row r="1427" spans="1:15" x14ac:dyDescent="0.35">
      <c r="A1427" t="s">
        <v>2425</v>
      </c>
      <c r="B1427" s="2">
        <v>46068</v>
      </c>
      <c r="C1427" t="s">
        <v>2021</v>
      </c>
      <c r="D1427" t="s">
        <v>546</v>
      </c>
      <c r="E1427" t="s">
        <v>18</v>
      </c>
      <c r="F1427" t="s">
        <v>18</v>
      </c>
      <c r="G1427" t="s">
        <v>34</v>
      </c>
      <c r="H1427" t="s">
        <v>141</v>
      </c>
      <c r="I1427">
        <v>2</v>
      </c>
      <c r="J1427" s="3">
        <v>160000</v>
      </c>
      <c r="K1427" s="3">
        <v>123600</v>
      </c>
      <c r="L1427" t="s">
        <v>50</v>
      </c>
      <c r="M1427" t="s">
        <v>37</v>
      </c>
      <c r="N1427" t="s">
        <v>23</v>
      </c>
      <c r="O1427" t="s">
        <v>91</v>
      </c>
    </row>
    <row r="1428" spans="1:15" x14ac:dyDescent="0.35">
      <c r="A1428" t="s">
        <v>2426</v>
      </c>
      <c r="B1428" s="2">
        <v>46257</v>
      </c>
      <c r="C1428" t="s">
        <v>927</v>
      </c>
      <c r="D1428" t="s">
        <v>709</v>
      </c>
      <c r="E1428" t="s">
        <v>156</v>
      </c>
      <c r="F1428" t="s">
        <v>170</v>
      </c>
      <c r="G1428" t="s">
        <v>28</v>
      </c>
      <c r="H1428" t="s">
        <v>29</v>
      </c>
      <c r="I1428">
        <v>3</v>
      </c>
      <c r="J1428" s="3">
        <v>7000</v>
      </c>
      <c r="K1428" s="3">
        <v>3900</v>
      </c>
      <c r="L1428" t="s">
        <v>96</v>
      </c>
      <c r="M1428" t="s">
        <v>37</v>
      </c>
      <c r="N1428" t="s">
        <v>23</v>
      </c>
      <c r="O1428" t="s">
        <v>24</v>
      </c>
    </row>
    <row r="1429" spans="1:15" x14ac:dyDescent="0.35">
      <c r="A1429" t="s">
        <v>2427</v>
      </c>
      <c r="B1429" s="2">
        <v>46109</v>
      </c>
      <c r="C1429" t="s">
        <v>497</v>
      </c>
      <c r="D1429" t="s">
        <v>560</v>
      </c>
      <c r="E1429" t="s">
        <v>77</v>
      </c>
      <c r="F1429" t="s">
        <v>78</v>
      </c>
      <c r="G1429" t="s">
        <v>34</v>
      </c>
      <c r="H1429" t="s">
        <v>86</v>
      </c>
      <c r="I1429">
        <v>4</v>
      </c>
      <c r="J1429" s="3">
        <v>189000</v>
      </c>
      <c r="K1429" s="3">
        <v>139000</v>
      </c>
      <c r="L1429" t="s">
        <v>50</v>
      </c>
      <c r="M1429" t="s">
        <v>37</v>
      </c>
      <c r="N1429" t="s">
        <v>23</v>
      </c>
      <c r="O1429" t="s">
        <v>24</v>
      </c>
    </row>
    <row r="1430" spans="1:15" x14ac:dyDescent="0.35">
      <c r="A1430" t="s">
        <v>2428</v>
      </c>
      <c r="B1430" s="2">
        <v>46178</v>
      </c>
      <c r="C1430" t="s">
        <v>903</v>
      </c>
      <c r="D1430" t="s">
        <v>800</v>
      </c>
      <c r="E1430" t="s">
        <v>84</v>
      </c>
      <c r="F1430" t="s">
        <v>85</v>
      </c>
      <c r="G1430" t="s">
        <v>28</v>
      </c>
      <c r="H1430" t="s">
        <v>65</v>
      </c>
      <c r="I1430">
        <v>4</v>
      </c>
      <c r="J1430" s="3">
        <v>12000</v>
      </c>
      <c r="K1430" s="3">
        <v>7500</v>
      </c>
      <c r="L1430" t="s">
        <v>21</v>
      </c>
      <c r="M1430" t="s">
        <v>37</v>
      </c>
      <c r="N1430" t="s">
        <v>23</v>
      </c>
      <c r="O1430" t="s">
        <v>24</v>
      </c>
    </row>
    <row r="1431" spans="1:15" x14ac:dyDescent="0.35">
      <c r="A1431" t="s">
        <v>2429</v>
      </c>
      <c r="B1431" s="2">
        <v>46297</v>
      </c>
      <c r="C1431" t="s">
        <v>2430</v>
      </c>
      <c r="D1431" t="s">
        <v>208</v>
      </c>
      <c r="E1431" t="s">
        <v>84</v>
      </c>
      <c r="F1431" t="s">
        <v>85</v>
      </c>
      <c r="G1431" t="s">
        <v>28</v>
      </c>
      <c r="H1431" t="s">
        <v>248</v>
      </c>
      <c r="I1431">
        <v>10</v>
      </c>
      <c r="J1431" s="3">
        <v>26200</v>
      </c>
      <c r="K1431" s="3">
        <v>16500</v>
      </c>
      <c r="L1431" t="s">
        <v>50</v>
      </c>
      <c r="M1431" t="s">
        <v>37</v>
      </c>
      <c r="N1431" t="s">
        <v>87</v>
      </c>
      <c r="O1431" t="s">
        <v>45</v>
      </c>
    </row>
    <row r="1432" spans="1:15" x14ac:dyDescent="0.35">
      <c r="A1432" t="s">
        <v>2431</v>
      </c>
      <c r="B1432" s="2">
        <v>46267</v>
      </c>
      <c r="C1432" t="s">
        <v>2432</v>
      </c>
      <c r="D1432" t="s">
        <v>676</v>
      </c>
      <c r="E1432" t="s">
        <v>156</v>
      </c>
      <c r="F1432" t="s">
        <v>157</v>
      </c>
      <c r="G1432" t="s">
        <v>34</v>
      </c>
      <c r="H1432" t="s">
        <v>95</v>
      </c>
      <c r="I1432">
        <v>10</v>
      </c>
      <c r="J1432" s="3">
        <v>450000</v>
      </c>
      <c r="K1432" s="3">
        <v>358900</v>
      </c>
      <c r="L1432" t="s">
        <v>50</v>
      </c>
      <c r="M1432" t="s">
        <v>31</v>
      </c>
      <c r="N1432" t="s">
        <v>87</v>
      </c>
      <c r="O1432" t="s">
        <v>24</v>
      </c>
    </row>
    <row r="1433" spans="1:15" x14ac:dyDescent="0.35">
      <c r="A1433" t="s">
        <v>2433</v>
      </c>
      <c r="B1433" s="2">
        <v>46208</v>
      </c>
      <c r="C1433" t="s">
        <v>624</v>
      </c>
      <c r="D1433" t="s">
        <v>2434</v>
      </c>
      <c r="E1433" t="s">
        <v>156</v>
      </c>
      <c r="F1433" t="s">
        <v>157</v>
      </c>
      <c r="G1433" t="s">
        <v>34</v>
      </c>
      <c r="H1433" t="s">
        <v>158</v>
      </c>
      <c r="I1433">
        <v>4</v>
      </c>
      <c r="J1433" s="3">
        <v>95000</v>
      </c>
      <c r="K1433" s="3">
        <v>72100</v>
      </c>
      <c r="L1433" t="s">
        <v>30</v>
      </c>
      <c r="M1433" t="s">
        <v>37</v>
      </c>
      <c r="N1433" t="s">
        <v>52</v>
      </c>
      <c r="O1433" t="s">
        <v>24</v>
      </c>
    </row>
    <row r="1434" spans="1:15" x14ac:dyDescent="0.35">
      <c r="A1434" t="s">
        <v>2435</v>
      </c>
      <c r="B1434" s="2">
        <v>46346</v>
      </c>
      <c r="C1434" t="s">
        <v>2342</v>
      </c>
      <c r="D1434" t="s">
        <v>1021</v>
      </c>
      <c r="E1434" t="s">
        <v>41</v>
      </c>
      <c r="F1434" t="s">
        <v>42</v>
      </c>
      <c r="G1434" t="s">
        <v>34</v>
      </c>
      <c r="H1434" t="s">
        <v>35</v>
      </c>
      <c r="I1434">
        <v>10</v>
      </c>
      <c r="J1434" s="3">
        <v>52200</v>
      </c>
      <c r="K1434" s="3">
        <v>40200</v>
      </c>
      <c r="L1434" t="s">
        <v>66</v>
      </c>
      <c r="M1434" t="s">
        <v>37</v>
      </c>
      <c r="N1434" t="s">
        <v>23</v>
      </c>
      <c r="O1434" t="s">
        <v>24</v>
      </c>
    </row>
    <row r="1435" spans="1:15" x14ac:dyDescent="0.35">
      <c r="A1435" t="s">
        <v>2436</v>
      </c>
      <c r="B1435" s="2">
        <v>46132</v>
      </c>
      <c r="C1435" t="s">
        <v>326</v>
      </c>
      <c r="D1435" t="s">
        <v>1484</v>
      </c>
      <c r="E1435" t="s">
        <v>70</v>
      </c>
      <c r="F1435" t="s">
        <v>71</v>
      </c>
      <c r="G1435" t="s">
        <v>34</v>
      </c>
      <c r="H1435" t="s">
        <v>95</v>
      </c>
      <c r="I1435">
        <v>2</v>
      </c>
      <c r="J1435" s="3">
        <v>472500</v>
      </c>
      <c r="K1435" s="3">
        <v>358900</v>
      </c>
      <c r="L1435" t="s">
        <v>96</v>
      </c>
      <c r="M1435" t="s">
        <v>51</v>
      </c>
      <c r="N1435" t="s">
        <v>87</v>
      </c>
      <c r="O1435" t="s">
        <v>24</v>
      </c>
    </row>
    <row r="1436" spans="1:15" x14ac:dyDescent="0.35">
      <c r="A1436" t="s">
        <v>2437</v>
      </c>
      <c r="B1436" s="2">
        <v>46192</v>
      </c>
      <c r="C1436" t="s">
        <v>952</v>
      </c>
      <c r="D1436" t="s">
        <v>144</v>
      </c>
      <c r="E1436" t="s">
        <v>41</v>
      </c>
      <c r="F1436" t="s">
        <v>42</v>
      </c>
      <c r="G1436" t="s">
        <v>34</v>
      </c>
      <c r="H1436" t="s">
        <v>95</v>
      </c>
      <c r="I1436">
        <v>3</v>
      </c>
      <c r="J1436" s="3">
        <v>450000</v>
      </c>
      <c r="K1436" s="3">
        <v>358900</v>
      </c>
      <c r="L1436" t="s">
        <v>21</v>
      </c>
      <c r="M1436" t="s">
        <v>37</v>
      </c>
      <c r="N1436" t="s">
        <v>87</v>
      </c>
      <c r="O1436" t="s">
        <v>24</v>
      </c>
    </row>
    <row r="1437" spans="1:15" x14ac:dyDescent="0.35">
      <c r="A1437" t="s">
        <v>2438</v>
      </c>
      <c r="B1437" s="2">
        <v>46140</v>
      </c>
      <c r="C1437" t="s">
        <v>795</v>
      </c>
      <c r="D1437" t="s">
        <v>345</v>
      </c>
      <c r="E1437" t="s">
        <v>70</v>
      </c>
      <c r="F1437" t="s">
        <v>71</v>
      </c>
      <c r="G1437" t="s">
        <v>43</v>
      </c>
      <c r="H1437" t="s">
        <v>44</v>
      </c>
      <c r="I1437">
        <v>5</v>
      </c>
      <c r="J1437" s="3">
        <v>14200</v>
      </c>
      <c r="K1437" s="3">
        <v>9800</v>
      </c>
      <c r="L1437" t="s">
        <v>66</v>
      </c>
      <c r="M1437" t="s">
        <v>51</v>
      </c>
      <c r="N1437" t="s">
        <v>52</v>
      </c>
      <c r="O1437" t="s">
        <v>24</v>
      </c>
    </row>
    <row r="1438" spans="1:15" x14ac:dyDescent="0.35">
      <c r="A1438" t="s">
        <v>2439</v>
      </c>
      <c r="B1438" s="2">
        <v>46197</v>
      </c>
      <c r="C1438" t="s">
        <v>2440</v>
      </c>
      <c r="D1438" t="s">
        <v>99</v>
      </c>
      <c r="E1438" t="s">
        <v>156</v>
      </c>
      <c r="F1438" t="s">
        <v>157</v>
      </c>
      <c r="G1438" t="s">
        <v>19</v>
      </c>
      <c r="H1438" t="s">
        <v>20</v>
      </c>
      <c r="I1438">
        <v>10</v>
      </c>
      <c r="J1438" s="3">
        <v>68200</v>
      </c>
      <c r="K1438" s="3">
        <v>43600</v>
      </c>
      <c r="L1438" t="s">
        <v>50</v>
      </c>
      <c r="M1438" t="s">
        <v>31</v>
      </c>
      <c r="N1438" t="s">
        <v>87</v>
      </c>
      <c r="O1438" t="s">
        <v>24</v>
      </c>
    </row>
    <row r="1439" spans="1:15" x14ac:dyDescent="0.35">
      <c r="A1439" t="s">
        <v>2441</v>
      </c>
      <c r="B1439" s="2">
        <v>46277</v>
      </c>
      <c r="C1439" t="s">
        <v>484</v>
      </c>
      <c r="D1439" t="s">
        <v>1052</v>
      </c>
      <c r="E1439" t="s">
        <v>156</v>
      </c>
      <c r="F1439" t="s">
        <v>157</v>
      </c>
      <c r="G1439" t="s">
        <v>28</v>
      </c>
      <c r="H1439" t="s">
        <v>131</v>
      </c>
      <c r="I1439">
        <v>8</v>
      </c>
      <c r="J1439" s="3">
        <v>30000</v>
      </c>
      <c r="K1439" s="3">
        <v>18400</v>
      </c>
      <c r="L1439" t="s">
        <v>73</v>
      </c>
      <c r="M1439" t="s">
        <v>22</v>
      </c>
      <c r="N1439" t="s">
        <v>52</v>
      </c>
      <c r="O1439" t="s">
        <v>24</v>
      </c>
    </row>
    <row r="1440" spans="1:15" x14ac:dyDescent="0.35">
      <c r="A1440" t="s">
        <v>2442</v>
      </c>
      <c r="B1440" s="2">
        <v>46314</v>
      </c>
      <c r="C1440" t="s">
        <v>1572</v>
      </c>
      <c r="D1440" t="s">
        <v>2443</v>
      </c>
      <c r="E1440" t="s">
        <v>56</v>
      </c>
      <c r="F1440" t="s">
        <v>57</v>
      </c>
      <c r="G1440" t="s">
        <v>19</v>
      </c>
      <c r="H1440" t="s">
        <v>166</v>
      </c>
      <c r="I1440">
        <v>9</v>
      </c>
      <c r="J1440" s="3">
        <v>140000</v>
      </c>
      <c r="K1440" s="3">
        <v>97000</v>
      </c>
      <c r="L1440" t="s">
        <v>73</v>
      </c>
      <c r="M1440" t="s">
        <v>31</v>
      </c>
      <c r="N1440" t="s">
        <v>23</v>
      </c>
      <c r="O1440" t="s">
        <v>91</v>
      </c>
    </row>
    <row r="1441" spans="1:15" x14ac:dyDescent="0.35">
      <c r="A1441" t="s">
        <v>2444</v>
      </c>
      <c r="B1441" s="2">
        <v>46218</v>
      </c>
      <c r="C1441" t="s">
        <v>2445</v>
      </c>
      <c r="D1441" t="s">
        <v>988</v>
      </c>
      <c r="E1441" t="s">
        <v>156</v>
      </c>
      <c r="F1441" t="s">
        <v>170</v>
      </c>
      <c r="G1441" t="s">
        <v>43</v>
      </c>
      <c r="H1441" t="s">
        <v>44</v>
      </c>
      <c r="I1441">
        <v>5</v>
      </c>
      <c r="J1441" s="3">
        <v>14200</v>
      </c>
      <c r="K1441" s="3">
        <v>9500</v>
      </c>
      <c r="L1441" t="s">
        <v>21</v>
      </c>
      <c r="M1441" t="s">
        <v>37</v>
      </c>
      <c r="N1441" t="s">
        <v>23</v>
      </c>
      <c r="O1441" t="s">
        <v>24</v>
      </c>
    </row>
    <row r="1442" spans="1:15" x14ac:dyDescent="0.35">
      <c r="A1442" t="s">
        <v>2446</v>
      </c>
      <c r="B1442" s="2">
        <v>46128</v>
      </c>
      <c r="C1442" t="s">
        <v>1243</v>
      </c>
      <c r="D1442" t="s">
        <v>950</v>
      </c>
      <c r="E1442" t="s">
        <v>41</v>
      </c>
      <c r="F1442" t="s">
        <v>42</v>
      </c>
      <c r="G1442" t="s">
        <v>43</v>
      </c>
      <c r="H1442" t="s">
        <v>177</v>
      </c>
      <c r="I1442">
        <v>10</v>
      </c>
      <c r="J1442" s="3">
        <v>18000</v>
      </c>
      <c r="K1442" s="3">
        <v>12500</v>
      </c>
      <c r="L1442" t="s">
        <v>66</v>
      </c>
      <c r="M1442" t="s">
        <v>37</v>
      </c>
      <c r="N1442" t="s">
        <v>52</v>
      </c>
      <c r="O1442" t="s">
        <v>24</v>
      </c>
    </row>
    <row r="1443" spans="1:15" x14ac:dyDescent="0.35">
      <c r="A1443" t="s">
        <v>2447</v>
      </c>
      <c r="B1443" s="2">
        <v>46141</v>
      </c>
      <c r="C1443" t="s">
        <v>1890</v>
      </c>
      <c r="D1443" t="s">
        <v>1947</v>
      </c>
      <c r="E1443" t="s">
        <v>18</v>
      </c>
      <c r="F1443" t="s">
        <v>18</v>
      </c>
      <c r="G1443" t="s">
        <v>34</v>
      </c>
      <c r="H1443" t="s">
        <v>141</v>
      </c>
      <c r="I1443">
        <v>10</v>
      </c>
      <c r="J1443" s="3">
        <v>168000</v>
      </c>
      <c r="K1443" s="3">
        <v>123600</v>
      </c>
      <c r="L1443" t="s">
        <v>66</v>
      </c>
      <c r="M1443" t="s">
        <v>51</v>
      </c>
      <c r="N1443" t="s">
        <v>52</v>
      </c>
      <c r="O1443" t="s">
        <v>24</v>
      </c>
    </row>
    <row r="1444" spans="1:15" x14ac:dyDescent="0.35">
      <c r="A1444" t="s">
        <v>2448</v>
      </c>
      <c r="B1444" s="2">
        <v>46145</v>
      </c>
      <c r="C1444" t="s">
        <v>2403</v>
      </c>
      <c r="D1444" t="s">
        <v>1303</v>
      </c>
      <c r="E1444" t="s">
        <v>190</v>
      </c>
      <c r="F1444" t="s">
        <v>191</v>
      </c>
      <c r="G1444" t="s">
        <v>34</v>
      </c>
      <c r="H1444" t="s">
        <v>35</v>
      </c>
      <c r="I1444">
        <v>4</v>
      </c>
      <c r="J1444" s="3">
        <v>52200</v>
      </c>
      <c r="K1444" s="3">
        <v>37800</v>
      </c>
      <c r="L1444" t="s">
        <v>73</v>
      </c>
      <c r="M1444" t="s">
        <v>51</v>
      </c>
      <c r="N1444" t="s">
        <v>52</v>
      </c>
      <c r="O1444" t="s">
        <v>24</v>
      </c>
    </row>
    <row r="1445" spans="1:15" x14ac:dyDescent="0.35">
      <c r="A1445" t="s">
        <v>2449</v>
      </c>
      <c r="B1445" s="2">
        <v>46305</v>
      </c>
      <c r="C1445" t="s">
        <v>1033</v>
      </c>
      <c r="D1445" t="s">
        <v>1691</v>
      </c>
      <c r="E1445" t="s">
        <v>77</v>
      </c>
      <c r="F1445" t="s">
        <v>78</v>
      </c>
      <c r="G1445" t="s">
        <v>34</v>
      </c>
      <c r="H1445" t="s">
        <v>95</v>
      </c>
      <c r="I1445">
        <v>8</v>
      </c>
      <c r="J1445" s="3">
        <v>427500</v>
      </c>
      <c r="K1445" s="3">
        <v>370000</v>
      </c>
      <c r="L1445" t="s">
        <v>36</v>
      </c>
      <c r="M1445" t="s">
        <v>37</v>
      </c>
      <c r="N1445" t="s">
        <v>52</v>
      </c>
      <c r="O1445" t="s">
        <v>45</v>
      </c>
    </row>
    <row r="1446" spans="1:15" x14ac:dyDescent="0.35">
      <c r="A1446" t="s">
        <v>2450</v>
      </c>
      <c r="B1446" s="2">
        <v>46223</v>
      </c>
      <c r="C1446" t="s">
        <v>820</v>
      </c>
      <c r="D1446" t="s">
        <v>2451</v>
      </c>
      <c r="E1446" t="s">
        <v>156</v>
      </c>
      <c r="F1446" t="s">
        <v>170</v>
      </c>
      <c r="G1446" t="s">
        <v>43</v>
      </c>
      <c r="H1446" t="s">
        <v>162</v>
      </c>
      <c r="I1446">
        <v>6</v>
      </c>
      <c r="J1446" s="3">
        <v>8000</v>
      </c>
      <c r="K1446" s="3">
        <v>5200</v>
      </c>
      <c r="L1446" t="s">
        <v>50</v>
      </c>
      <c r="M1446" t="s">
        <v>31</v>
      </c>
      <c r="N1446" t="s">
        <v>52</v>
      </c>
      <c r="O1446" t="s">
        <v>24</v>
      </c>
    </row>
    <row r="1447" spans="1:15" x14ac:dyDescent="0.35">
      <c r="A1447" t="s">
        <v>2452</v>
      </c>
      <c r="B1447" s="2">
        <v>46206</v>
      </c>
      <c r="C1447" t="s">
        <v>358</v>
      </c>
      <c r="D1447" t="s">
        <v>672</v>
      </c>
      <c r="E1447" t="s">
        <v>84</v>
      </c>
      <c r="F1447" t="s">
        <v>85</v>
      </c>
      <c r="G1447" t="s">
        <v>43</v>
      </c>
      <c r="H1447" t="s">
        <v>79</v>
      </c>
      <c r="I1447">
        <v>8</v>
      </c>
      <c r="J1447" s="3">
        <v>6000</v>
      </c>
      <c r="K1447" s="3">
        <v>4100</v>
      </c>
      <c r="L1447" t="s">
        <v>73</v>
      </c>
      <c r="M1447" t="s">
        <v>37</v>
      </c>
      <c r="N1447" t="s">
        <v>23</v>
      </c>
      <c r="O1447" t="s">
        <v>91</v>
      </c>
    </row>
    <row r="1448" spans="1:15" x14ac:dyDescent="0.35">
      <c r="A1448" t="s">
        <v>2453</v>
      </c>
      <c r="B1448" s="2">
        <v>46251</v>
      </c>
      <c r="C1448" t="s">
        <v>510</v>
      </c>
      <c r="D1448" t="s">
        <v>1839</v>
      </c>
      <c r="E1448" t="s">
        <v>77</v>
      </c>
      <c r="F1448" t="s">
        <v>78</v>
      </c>
      <c r="G1448" t="s">
        <v>34</v>
      </c>
      <c r="H1448" t="s">
        <v>141</v>
      </c>
      <c r="I1448">
        <v>7</v>
      </c>
      <c r="J1448" s="3">
        <v>168000</v>
      </c>
      <c r="K1448" s="3">
        <v>116400</v>
      </c>
      <c r="L1448" t="s">
        <v>73</v>
      </c>
      <c r="M1448" t="s">
        <v>22</v>
      </c>
      <c r="N1448" t="s">
        <v>23</v>
      </c>
      <c r="O1448" t="s">
        <v>24</v>
      </c>
    </row>
    <row r="1449" spans="1:15" x14ac:dyDescent="0.35">
      <c r="A1449" t="s">
        <v>2454</v>
      </c>
      <c r="B1449" s="2">
        <v>46029</v>
      </c>
      <c r="C1449" t="s">
        <v>136</v>
      </c>
      <c r="D1449" t="s">
        <v>880</v>
      </c>
      <c r="E1449" t="s">
        <v>156</v>
      </c>
      <c r="F1449" t="s">
        <v>157</v>
      </c>
      <c r="G1449" t="s">
        <v>43</v>
      </c>
      <c r="H1449" t="s">
        <v>79</v>
      </c>
      <c r="I1449">
        <v>2</v>
      </c>
      <c r="J1449" s="3">
        <v>6300</v>
      </c>
      <c r="K1449" s="3">
        <v>4100</v>
      </c>
      <c r="L1449" t="s">
        <v>73</v>
      </c>
      <c r="M1449" t="s">
        <v>37</v>
      </c>
      <c r="N1449" t="s">
        <v>52</v>
      </c>
      <c r="O1449" t="s">
        <v>24</v>
      </c>
    </row>
    <row r="1450" spans="1:15" x14ac:dyDescent="0.35">
      <c r="A1450" t="s">
        <v>2455</v>
      </c>
      <c r="B1450" s="2">
        <v>46284</v>
      </c>
      <c r="C1450" t="s">
        <v>1747</v>
      </c>
      <c r="D1450" t="s">
        <v>194</v>
      </c>
      <c r="E1450" t="s">
        <v>18</v>
      </c>
      <c r="F1450" t="s">
        <v>18</v>
      </c>
      <c r="G1450" t="s">
        <v>43</v>
      </c>
      <c r="H1450" t="s">
        <v>44</v>
      </c>
      <c r="I1450">
        <v>5</v>
      </c>
      <c r="J1450" s="3">
        <v>15800</v>
      </c>
      <c r="K1450" s="3">
        <v>9200</v>
      </c>
      <c r="L1450" t="s">
        <v>30</v>
      </c>
      <c r="M1450" t="s">
        <v>22</v>
      </c>
      <c r="N1450" t="s">
        <v>23</v>
      </c>
      <c r="O1450" t="s">
        <v>24</v>
      </c>
    </row>
    <row r="1451" spans="1:15" x14ac:dyDescent="0.35">
      <c r="A1451" t="s">
        <v>2456</v>
      </c>
      <c r="B1451" s="2">
        <v>46170</v>
      </c>
      <c r="C1451" t="s">
        <v>2457</v>
      </c>
      <c r="D1451" t="s">
        <v>435</v>
      </c>
      <c r="E1451" t="s">
        <v>18</v>
      </c>
      <c r="F1451" t="s">
        <v>18</v>
      </c>
      <c r="G1451" t="s">
        <v>19</v>
      </c>
      <c r="H1451" t="s">
        <v>112</v>
      </c>
      <c r="I1451">
        <v>4</v>
      </c>
      <c r="J1451" s="3">
        <v>80800</v>
      </c>
      <c r="K1451" s="3">
        <v>60100</v>
      </c>
      <c r="L1451" t="s">
        <v>80</v>
      </c>
      <c r="M1451" t="s">
        <v>51</v>
      </c>
      <c r="N1451" t="s">
        <v>52</v>
      </c>
      <c r="O1451" t="s">
        <v>24</v>
      </c>
    </row>
    <row r="1452" spans="1:15" x14ac:dyDescent="0.35">
      <c r="A1452" t="s">
        <v>2458</v>
      </c>
      <c r="B1452" s="2">
        <v>46384</v>
      </c>
      <c r="C1452" t="s">
        <v>1064</v>
      </c>
      <c r="D1452" t="s">
        <v>1783</v>
      </c>
      <c r="E1452" t="s">
        <v>18</v>
      </c>
      <c r="F1452" t="s">
        <v>18</v>
      </c>
      <c r="G1452" t="s">
        <v>19</v>
      </c>
      <c r="H1452" t="s">
        <v>20</v>
      </c>
      <c r="I1452">
        <v>5</v>
      </c>
      <c r="J1452" s="3">
        <v>65000</v>
      </c>
      <c r="K1452" s="3">
        <v>45000</v>
      </c>
      <c r="L1452" t="s">
        <v>36</v>
      </c>
      <c r="M1452" t="s">
        <v>31</v>
      </c>
      <c r="N1452" t="s">
        <v>87</v>
      </c>
      <c r="O1452" t="s">
        <v>24</v>
      </c>
    </row>
    <row r="1453" spans="1:15" x14ac:dyDescent="0.35">
      <c r="A1453" t="s">
        <v>2459</v>
      </c>
      <c r="B1453" s="2">
        <v>46167</v>
      </c>
      <c r="C1453" t="s">
        <v>1879</v>
      </c>
      <c r="D1453" t="s">
        <v>1338</v>
      </c>
      <c r="E1453" t="s">
        <v>18</v>
      </c>
      <c r="F1453" t="s">
        <v>18</v>
      </c>
      <c r="G1453" t="s">
        <v>34</v>
      </c>
      <c r="H1453" t="s">
        <v>158</v>
      </c>
      <c r="I1453">
        <v>3</v>
      </c>
      <c r="J1453" s="3">
        <v>95000</v>
      </c>
      <c r="K1453" s="3">
        <v>72100</v>
      </c>
      <c r="L1453" t="s">
        <v>50</v>
      </c>
      <c r="M1453" t="s">
        <v>31</v>
      </c>
      <c r="N1453" t="s">
        <v>23</v>
      </c>
      <c r="O1453" t="s">
        <v>24</v>
      </c>
    </row>
    <row r="1454" spans="1:15" x14ac:dyDescent="0.35">
      <c r="A1454" t="s">
        <v>2460</v>
      </c>
      <c r="B1454" s="2">
        <v>46036</v>
      </c>
      <c r="C1454" t="s">
        <v>2233</v>
      </c>
      <c r="D1454" t="s">
        <v>2461</v>
      </c>
      <c r="E1454" t="s">
        <v>18</v>
      </c>
      <c r="F1454" t="s">
        <v>18</v>
      </c>
      <c r="G1454" t="s">
        <v>34</v>
      </c>
      <c r="H1454" t="s">
        <v>141</v>
      </c>
      <c r="I1454">
        <v>2</v>
      </c>
      <c r="J1454" s="3">
        <v>160000</v>
      </c>
      <c r="K1454" s="3">
        <v>123600</v>
      </c>
      <c r="L1454" t="s">
        <v>66</v>
      </c>
      <c r="M1454" t="s">
        <v>51</v>
      </c>
      <c r="N1454" t="s">
        <v>87</v>
      </c>
      <c r="O1454" t="s">
        <v>24</v>
      </c>
    </row>
    <row r="1455" spans="1:15" x14ac:dyDescent="0.35">
      <c r="A1455" t="s">
        <v>2462</v>
      </c>
      <c r="B1455" s="2">
        <v>46259</v>
      </c>
      <c r="C1455" t="s">
        <v>1358</v>
      </c>
      <c r="D1455" t="s">
        <v>189</v>
      </c>
      <c r="E1455" t="s">
        <v>77</v>
      </c>
      <c r="F1455" t="s">
        <v>78</v>
      </c>
      <c r="G1455" t="s">
        <v>34</v>
      </c>
      <c r="H1455" t="s">
        <v>86</v>
      </c>
      <c r="I1455">
        <v>5</v>
      </c>
      <c r="J1455" s="3">
        <v>180000</v>
      </c>
      <c r="K1455" s="3">
        <v>135000</v>
      </c>
      <c r="L1455" t="s">
        <v>80</v>
      </c>
      <c r="M1455" t="s">
        <v>22</v>
      </c>
      <c r="N1455" t="s">
        <v>23</v>
      </c>
      <c r="O1455" t="s">
        <v>91</v>
      </c>
    </row>
    <row r="1456" spans="1:15" x14ac:dyDescent="0.35">
      <c r="A1456" t="s">
        <v>2463</v>
      </c>
      <c r="B1456" s="2">
        <v>46025</v>
      </c>
      <c r="C1456" t="s">
        <v>1223</v>
      </c>
      <c r="D1456" t="s">
        <v>94</v>
      </c>
      <c r="E1456" t="s">
        <v>18</v>
      </c>
      <c r="F1456" t="s">
        <v>18</v>
      </c>
      <c r="G1456" t="s">
        <v>34</v>
      </c>
      <c r="H1456" t="s">
        <v>86</v>
      </c>
      <c r="I1456">
        <v>7</v>
      </c>
      <c r="J1456" s="3">
        <v>180000</v>
      </c>
      <c r="K1456" s="3">
        <v>139000</v>
      </c>
      <c r="L1456" t="s">
        <v>73</v>
      </c>
      <c r="M1456" t="s">
        <v>22</v>
      </c>
      <c r="N1456" t="s">
        <v>52</v>
      </c>
      <c r="O1456" t="s">
        <v>24</v>
      </c>
    </row>
    <row r="1457" spans="1:15" x14ac:dyDescent="0.35">
      <c r="A1457" t="s">
        <v>2464</v>
      </c>
      <c r="B1457" s="2">
        <v>46086</v>
      </c>
      <c r="C1457" t="s">
        <v>2011</v>
      </c>
      <c r="D1457" t="s">
        <v>1741</v>
      </c>
      <c r="E1457" t="s">
        <v>18</v>
      </c>
      <c r="F1457" t="s">
        <v>18</v>
      </c>
      <c r="G1457" t="s">
        <v>28</v>
      </c>
      <c r="H1457" t="s">
        <v>248</v>
      </c>
      <c r="I1457">
        <v>4</v>
      </c>
      <c r="J1457" s="3">
        <v>26200</v>
      </c>
      <c r="K1457" s="3">
        <v>16500</v>
      </c>
      <c r="L1457" t="s">
        <v>80</v>
      </c>
      <c r="M1457" t="s">
        <v>22</v>
      </c>
      <c r="N1457" t="s">
        <v>52</v>
      </c>
      <c r="O1457" t="s">
        <v>24</v>
      </c>
    </row>
    <row r="1458" spans="1:15" x14ac:dyDescent="0.35">
      <c r="A1458" t="s">
        <v>2465</v>
      </c>
      <c r="B1458" s="2">
        <v>46274</v>
      </c>
      <c r="C1458" t="s">
        <v>2466</v>
      </c>
      <c r="D1458" t="s">
        <v>1338</v>
      </c>
      <c r="E1458" t="s">
        <v>18</v>
      </c>
      <c r="F1458" t="s">
        <v>18</v>
      </c>
      <c r="G1458" t="s">
        <v>19</v>
      </c>
      <c r="H1458" t="s">
        <v>61</v>
      </c>
      <c r="I1458">
        <v>10</v>
      </c>
      <c r="J1458" s="3">
        <v>220000</v>
      </c>
      <c r="K1458" s="3">
        <v>164800</v>
      </c>
      <c r="L1458" t="s">
        <v>21</v>
      </c>
      <c r="M1458" t="s">
        <v>51</v>
      </c>
      <c r="N1458" t="s">
        <v>23</v>
      </c>
      <c r="O1458" t="s">
        <v>45</v>
      </c>
    </row>
    <row r="1459" spans="1:15" x14ac:dyDescent="0.35">
      <c r="A1459" t="s">
        <v>2467</v>
      </c>
      <c r="B1459" s="2">
        <v>46155</v>
      </c>
      <c r="C1459" t="s">
        <v>503</v>
      </c>
      <c r="D1459" t="s">
        <v>1228</v>
      </c>
      <c r="E1459" t="s">
        <v>84</v>
      </c>
      <c r="F1459" t="s">
        <v>85</v>
      </c>
      <c r="G1459" t="s">
        <v>43</v>
      </c>
      <c r="H1459" t="s">
        <v>79</v>
      </c>
      <c r="I1459">
        <v>4</v>
      </c>
      <c r="J1459" s="3">
        <v>5700</v>
      </c>
      <c r="K1459" s="3">
        <v>4300</v>
      </c>
      <c r="L1459" t="s">
        <v>21</v>
      </c>
      <c r="M1459" t="s">
        <v>37</v>
      </c>
      <c r="N1459" t="s">
        <v>87</v>
      </c>
      <c r="O1459" t="s">
        <v>24</v>
      </c>
    </row>
    <row r="1460" spans="1:15" x14ac:dyDescent="0.35">
      <c r="A1460" t="s">
        <v>2468</v>
      </c>
      <c r="B1460" s="2">
        <v>46384</v>
      </c>
      <c r="C1460" t="s">
        <v>645</v>
      </c>
      <c r="D1460" t="s">
        <v>121</v>
      </c>
      <c r="E1460" t="s">
        <v>18</v>
      </c>
      <c r="F1460" t="s">
        <v>18</v>
      </c>
      <c r="G1460" t="s">
        <v>34</v>
      </c>
      <c r="H1460" t="s">
        <v>95</v>
      </c>
      <c r="I1460">
        <v>7</v>
      </c>
      <c r="J1460" s="3">
        <v>472500</v>
      </c>
      <c r="K1460" s="3">
        <v>370000</v>
      </c>
      <c r="L1460" t="s">
        <v>66</v>
      </c>
      <c r="M1460" t="s">
        <v>51</v>
      </c>
      <c r="N1460" t="s">
        <v>87</v>
      </c>
      <c r="O1460" t="s">
        <v>24</v>
      </c>
    </row>
    <row r="1461" spans="1:15" x14ac:dyDescent="0.35">
      <c r="A1461" t="s">
        <v>2469</v>
      </c>
      <c r="B1461" s="2">
        <v>46289</v>
      </c>
      <c r="C1461" t="s">
        <v>1356</v>
      </c>
      <c r="D1461" t="s">
        <v>468</v>
      </c>
      <c r="E1461" t="s">
        <v>18</v>
      </c>
      <c r="F1461" t="s">
        <v>18</v>
      </c>
      <c r="G1461" t="s">
        <v>43</v>
      </c>
      <c r="H1461" t="s">
        <v>79</v>
      </c>
      <c r="I1461">
        <v>8</v>
      </c>
      <c r="J1461" s="3">
        <v>6300</v>
      </c>
      <c r="K1461" s="3">
        <v>4300</v>
      </c>
      <c r="L1461" t="s">
        <v>96</v>
      </c>
      <c r="M1461" t="s">
        <v>37</v>
      </c>
      <c r="N1461" t="s">
        <v>52</v>
      </c>
      <c r="O1461" t="s">
        <v>24</v>
      </c>
    </row>
    <row r="1462" spans="1:15" x14ac:dyDescent="0.35">
      <c r="A1462" t="s">
        <v>2470</v>
      </c>
      <c r="B1462" s="2">
        <v>46147</v>
      </c>
      <c r="C1462" t="s">
        <v>600</v>
      </c>
      <c r="D1462" t="s">
        <v>340</v>
      </c>
      <c r="E1462" t="s">
        <v>84</v>
      </c>
      <c r="F1462" t="s">
        <v>85</v>
      </c>
      <c r="G1462" t="s">
        <v>43</v>
      </c>
      <c r="H1462" t="s">
        <v>79</v>
      </c>
      <c r="I1462">
        <v>8</v>
      </c>
      <c r="J1462" s="3">
        <v>5700</v>
      </c>
      <c r="K1462" s="3">
        <v>4200</v>
      </c>
      <c r="L1462" t="s">
        <v>96</v>
      </c>
      <c r="M1462" t="s">
        <v>51</v>
      </c>
      <c r="N1462" t="s">
        <v>52</v>
      </c>
      <c r="O1462" t="s">
        <v>24</v>
      </c>
    </row>
    <row r="1463" spans="1:15" x14ac:dyDescent="0.35">
      <c r="A1463" t="s">
        <v>2471</v>
      </c>
      <c r="B1463" s="2">
        <v>46140</v>
      </c>
      <c r="C1463" t="s">
        <v>2432</v>
      </c>
      <c r="D1463" t="s">
        <v>988</v>
      </c>
      <c r="E1463" t="s">
        <v>70</v>
      </c>
      <c r="F1463" t="s">
        <v>71</v>
      </c>
      <c r="G1463" t="s">
        <v>28</v>
      </c>
      <c r="H1463" t="s">
        <v>65</v>
      </c>
      <c r="I1463">
        <v>1</v>
      </c>
      <c r="J1463" s="3">
        <v>12000</v>
      </c>
      <c r="K1463" s="3">
        <v>7700</v>
      </c>
      <c r="L1463" t="s">
        <v>73</v>
      </c>
      <c r="M1463" t="s">
        <v>51</v>
      </c>
      <c r="N1463" t="s">
        <v>52</v>
      </c>
      <c r="O1463" t="s">
        <v>24</v>
      </c>
    </row>
    <row r="1464" spans="1:15" x14ac:dyDescent="0.35">
      <c r="A1464" t="s">
        <v>2472</v>
      </c>
      <c r="B1464" s="2">
        <v>46124</v>
      </c>
      <c r="C1464" t="s">
        <v>366</v>
      </c>
      <c r="D1464" t="s">
        <v>676</v>
      </c>
      <c r="E1464" t="s">
        <v>41</v>
      </c>
      <c r="F1464" t="s">
        <v>42</v>
      </c>
      <c r="G1464" t="s">
        <v>34</v>
      </c>
      <c r="H1464" t="s">
        <v>141</v>
      </c>
      <c r="I1464">
        <v>6</v>
      </c>
      <c r="J1464" s="3">
        <v>168000</v>
      </c>
      <c r="K1464" s="3">
        <v>123600</v>
      </c>
      <c r="L1464" t="s">
        <v>66</v>
      </c>
      <c r="M1464" t="s">
        <v>31</v>
      </c>
      <c r="N1464" t="s">
        <v>87</v>
      </c>
      <c r="O1464" t="s">
        <v>24</v>
      </c>
    </row>
    <row r="1465" spans="1:15" x14ac:dyDescent="0.35">
      <c r="A1465" t="s">
        <v>2473</v>
      </c>
      <c r="B1465" s="2">
        <v>46361</v>
      </c>
      <c r="C1465" t="s">
        <v>222</v>
      </c>
      <c r="D1465" t="s">
        <v>435</v>
      </c>
      <c r="E1465" t="s">
        <v>190</v>
      </c>
      <c r="F1465" t="s">
        <v>191</v>
      </c>
      <c r="G1465" t="s">
        <v>34</v>
      </c>
      <c r="H1465" t="s">
        <v>141</v>
      </c>
      <c r="I1465">
        <v>6</v>
      </c>
      <c r="J1465" s="3">
        <v>160000</v>
      </c>
      <c r="K1465" s="3">
        <v>116400</v>
      </c>
      <c r="L1465" t="s">
        <v>96</v>
      </c>
      <c r="M1465" t="s">
        <v>31</v>
      </c>
      <c r="N1465" t="s">
        <v>23</v>
      </c>
      <c r="O1465" t="s">
        <v>24</v>
      </c>
    </row>
    <row r="1466" spans="1:15" x14ac:dyDescent="0.35">
      <c r="A1466" t="s">
        <v>2474</v>
      </c>
      <c r="B1466" s="2">
        <v>46183</v>
      </c>
      <c r="C1466" t="s">
        <v>908</v>
      </c>
      <c r="D1466" t="s">
        <v>287</v>
      </c>
      <c r="E1466" t="s">
        <v>156</v>
      </c>
      <c r="F1466" t="s">
        <v>170</v>
      </c>
      <c r="G1466" t="s">
        <v>34</v>
      </c>
      <c r="H1466" t="s">
        <v>95</v>
      </c>
      <c r="I1466">
        <v>8</v>
      </c>
      <c r="J1466" s="3">
        <v>427500</v>
      </c>
      <c r="K1466" s="3">
        <v>358900</v>
      </c>
      <c r="L1466" t="s">
        <v>50</v>
      </c>
      <c r="M1466" t="s">
        <v>37</v>
      </c>
      <c r="N1466" t="s">
        <v>23</v>
      </c>
      <c r="O1466" t="s">
        <v>45</v>
      </c>
    </row>
    <row r="1467" spans="1:15" x14ac:dyDescent="0.35">
      <c r="A1467" t="s">
        <v>2475</v>
      </c>
      <c r="B1467" s="2">
        <v>46225</v>
      </c>
      <c r="C1467" t="s">
        <v>1162</v>
      </c>
      <c r="D1467" t="s">
        <v>1542</v>
      </c>
      <c r="E1467" t="s">
        <v>18</v>
      </c>
      <c r="F1467" t="s">
        <v>18</v>
      </c>
      <c r="G1467" t="s">
        <v>34</v>
      </c>
      <c r="H1467" t="s">
        <v>86</v>
      </c>
      <c r="I1467">
        <v>8</v>
      </c>
      <c r="J1467" s="3">
        <v>180000</v>
      </c>
      <c r="K1467" s="3">
        <v>135000</v>
      </c>
      <c r="L1467" t="s">
        <v>50</v>
      </c>
      <c r="M1467" t="s">
        <v>37</v>
      </c>
      <c r="N1467" t="s">
        <v>23</v>
      </c>
      <c r="O1467" t="s">
        <v>24</v>
      </c>
    </row>
    <row r="1468" spans="1:15" x14ac:dyDescent="0.35">
      <c r="A1468" t="s">
        <v>2476</v>
      </c>
      <c r="B1468" s="2">
        <v>46094</v>
      </c>
      <c r="C1468" t="s">
        <v>2031</v>
      </c>
      <c r="D1468" t="s">
        <v>1628</v>
      </c>
      <c r="E1468" t="s">
        <v>190</v>
      </c>
      <c r="F1468" t="s">
        <v>191</v>
      </c>
      <c r="G1468" t="s">
        <v>19</v>
      </c>
      <c r="H1468" t="s">
        <v>166</v>
      </c>
      <c r="I1468">
        <v>8</v>
      </c>
      <c r="J1468" s="3">
        <v>147000</v>
      </c>
      <c r="K1468" s="3">
        <v>100000</v>
      </c>
      <c r="L1468" t="s">
        <v>21</v>
      </c>
      <c r="M1468" t="s">
        <v>37</v>
      </c>
      <c r="N1468" t="s">
        <v>52</v>
      </c>
      <c r="O1468" t="s">
        <v>24</v>
      </c>
    </row>
    <row r="1469" spans="1:15" x14ac:dyDescent="0.35">
      <c r="A1469" t="s">
        <v>2477</v>
      </c>
      <c r="B1469" s="2">
        <v>46239</v>
      </c>
      <c r="C1469" t="s">
        <v>486</v>
      </c>
      <c r="D1469" t="s">
        <v>764</v>
      </c>
      <c r="E1469" t="s">
        <v>156</v>
      </c>
      <c r="F1469" t="s">
        <v>157</v>
      </c>
      <c r="G1469" t="s">
        <v>43</v>
      </c>
      <c r="H1469" t="s">
        <v>44</v>
      </c>
      <c r="I1469">
        <v>1</v>
      </c>
      <c r="J1469" s="3">
        <v>15800</v>
      </c>
      <c r="K1469" s="3">
        <v>9200</v>
      </c>
      <c r="L1469" t="s">
        <v>30</v>
      </c>
      <c r="M1469" t="s">
        <v>22</v>
      </c>
      <c r="N1469" t="s">
        <v>23</v>
      </c>
      <c r="O1469" t="s">
        <v>24</v>
      </c>
    </row>
    <row r="1470" spans="1:15" x14ac:dyDescent="0.35">
      <c r="A1470" t="s">
        <v>2478</v>
      </c>
      <c r="B1470" s="2">
        <v>46086</v>
      </c>
      <c r="C1470" t="s">
        <v>98</v>
      </c>
      <c r="D1470" t="s">
        <v>1542</v>
      </c>
      <c r="E1470" t="s">
        <v>156</v>
      </c>
      <c r="F1470" t="s">
        <v>170</v>
      </c>
      <c r="G1470" t="s">
        <v>19</v>
      </c>
      <c r="H1470" t="s">
        <v>166</v>
      </c>
      <c r="I1470">
        <v>9</v>
      </c>
      <c r="J1470" s="3">
        <v>133000</v>
      </c>
      <c r="K1470" s="3">
        <v>97000</v>
      </c>
      <c r="L1470" t="s">
        <v>80</v>
      </c>
      <c r="M1470" t="s">
        <v>22</v>
      </c>
      <c r="N1470" t="s">
        <v>87</v>
      </c>
      <c r="O1470" t="s">
        <v>91</v>
      </c>
    </row>
    <row r="1471" spans="1:15" x14ac:dyDescent="0.35">
      <c r="A1471" t="s">
        <v>2479</v>
      </c>
      <c r="B1471" s="2">
        <v>46206</v>
      </c>
      <c r="C1471" t="s">
        <v>769</v>
      </c>
      <c r="D1471" t="s">
        <v>1369</v>
      </c>
      <c r="E1471" t="s">
        <v>41</v>
      </c>
      <c r="F1471" t="s">
        <v>42</v>
      </c>
      <c r="G1471" t="s">
        <v>28</v>
      </c>
      <c r="H1471" t="s">
        <v>131</v>
      </c>
      <c r="I1471">
        <v>2</v>
      </c>
      <c r="J1471" s="3">
        <v>30000</v>
      </c>
      <c r="K1471" s="3">
        <v>19600</v>
      </c>
      <c r="L1471" t="s">
        <v>80</v>
      </c>
      <c r="M1471" t="s">
        <v>37</v>
      </c>
      <c r="N1471" t="s">
        <v>23</v>
      </c>
      <c r="O1471" t="s">
        <v>91</v>
      </c>
    </row>
    <row r="1472" spans="1:15" x14ac:dyDescent="0.35">
      <c r="A1472" t="s">
        <v>2480</v>
      </c>
      <c r="B1472" s="2">
        <v>46117</v>
      </c>
      <c r="C1472" t="s">
        <v>702</v>
      </c>
      <c r="D1472" t="s">
        <v>476</v>
      </c>
      <c r="E1472" t="s">
        <v>18</v>
      </c>
      <c r="F1472" t="s">
        <v>18</v>
      </c>
      <c r="G1472" t="s">
        <v>28</v>
      </c>
      <c r="H1472" t="s">
        <v>131</v>
      </c>
      <c r="I1472">
        <v>4</v>
      </c>
      <c r="J1472" s="3">
        <v>30000</v>
      </c>
      <c r="K1472" s="3">
        <v>19000</v>
      </c>
      <c r="L1472" t="s">
        <v>96</v>
      </c>
      <c r="M1472" t="s">
        <v>31</v>
      </c>
      <c r="N1472" t="s">
        <v>23</v>
      </c>
      <c r="O1472" t="s">
        <v>91</v>
      </c>
    </row>
    <row r="1473" spans="1:15" x14ac:dyDescent="0.35">
      <c r="A1473" t="s">
        <v>2481</v>
      </c>
      <c r="B1473" s="2">
        <v>46191</v>
      </c>
      <c r="C1473" t="s">
        <v>1143</v>
      </c>
      <c r="D1473" t="s">
        <v>1031</v>
      </c>
      <c r="E1473" t="s">
        <v>18</v>
      </c>
      <c r="F1473" t="s">
        <v>18</v>
      </c>
      <c r="G1473" t="s">
        <v>34</v>
      </c>
      <c r="H1473" t="s">
        <v>141</v>
      </c>
      <c r="I1473">
        <v>7</v>
      </c>
      <c r="J1473" s="3">
        <v>168000</v>
      </c>
      <c r="K1473" s="3">
        <v>120000</v>
      </c>
      <c r="L1473" t="s">
        <v>73</v>
      </c>
      <c r="M1473" t="s">
        <v>31</v>
      </c>
      <c r="N1473" t="s">
        <v>87</v>
      </c>
      <c r="O1473" t="s">
        <v>24</v>
      </c>
    </row>
    <row r="1474" spans="1:15" x14ac:dyDescent="0.35">
      <c r="A1474" t="s">
        <v>2482</v>
      </c>
      <c r="B1474" s="2">
        <v>46048</v>
      </c>
      <c r="C1474" t="s">
        <v>410</v>
      </c>
      <c r="D1474" t="s">
        <v>1258</v>
      </c>
      <c r="E1474" t="s">
        <v>18</v>
      </c>
      <c r="F1474" t="s">
        <v>18</v>
      </c>
      <c r="G1474" t="s">
        <v>43</v>
      </c>
      <c r="H1474" t="s">
        <v>79</v>
      </c>
      <c r="I1474">
        <v>3</v>
      </c>
      <c r="J1474" s="3">
        <v>6000</v>
      </c>
      <c r="K1474" s="3">
        <v>4300</v>
      </c>
      <c r="L1474" t="s">
        <v>30</v>
      </c>
      <c r="M1474" t="s">
        <v>31</v>
      </c>
      <c r="N1474" t="s">
        <v>87</v>
      </c>
      <c r="O1474" t="s">
        <v>24</v>
      </c>
    </row>
    <row r="1475" spans="1:15" x14ac:dyDescent="0.35">
      <c r="A1475" t="s">
        <v>2483</v>
      </c>
      <c r="B1475" s="2">
        <v>46079</v>
      </c>
      <c r="C1475" t="s">
        <v>559</v>
      </c>
      <c r="D1475" t="s">
        <v>1034</v>
      </c>
      <c r="E1475" t="s">
        <v>84</v>
      </c>
      <c r="F1475" t="s">
        <v>85</v>
      </c>
      <c r="G1475" t="s">
        <v>34</v>
      </c>
      <c r="H1475" t="s">
        <v>86</v>
      </c>
      <c r="I1475">
        <v>2</v>
      </c>
      <c r="J1475" s="3">
        <v>171000</v>
      </c>
      <c r="K1475" s="3">
        <v>139000</v>
      </c>
      <c r="L1475" t="s">
        <v>50</v>
      </c>
      <c r="M1475" t="s">
        <v>22</v>
      </c>
      <c r="N1475" t="s">
        <v>23</v>
      </c>
      <c r="O1475" t="s">
        <v>24</v>
      </c>
    </row>
    <row r="1476" spans="1:15" x14ac:dyDescent="0.35">
      <c r="A1476" t="s">
        <v>2484</v>
      </c>
      <c r="B1476" s="2">
        <v>46268</v>
      </c>
      <c r="C1476" t="s">
        <v>344</v>
      </c>
      <c r="D1476" t="s">
        <v>27</v>
      </c>
      <c r="E1476" t="s">
        <v>77</v>
      </c>
      <c r="F1476" t="s">
        <v>78</v>
      </c>
      <c r="G1476" t="s">
        <v>43</v>
      </c>
      <c r="H1476" t="s">
        <v>44</v>
      </c>
      <c r="I1476">
        <v>7</v>
      </c>
      <c r="J1476" s="3">
        <v>15000</v>
      </c>
      <c r="K1476" s="3">
        <v>9200</v>
      </c>
      <c r="L1476" t="s">
        <v>80</v>
      </c>
      <c r="M1476" t="s">
        <v>37</v>
      </c>
      <c r="N1476" t="s">
        <v>23</v>
      </c>
      <c r="O1476" t="s">
        <v>24</v>
      </c>
    </row>
    <row r="1477" spans="1:15" x14ac:dyDescent="0.35">
      <c r="A1477" t="s">
        <v>2485</v>
      </c>
      <c r="B1477" s="2">
        <v>46232</v>
      </c>
      <c r="C1477" t="s">
        <v>1226</v>
      </c>
      <c r="D1477" t="s">
        <v>102</v>
      </c>
      <c r="E1477" t="s">
        <v>18</v>
      </c>
      <c r="F1477" t="s">
        <v>18</v>
      </c>
      <c r="G1477" t="s">
        <v>34</v>
      </c>
      <c r="H1477" t="s">
        <v>86</v>
      </c>
      <c r="I1477">
        <v>8</v>
      </c>
      <c r="J1477" s="3">
        <v>189000</v>
      </c>
      <c r="K1477" s="3">
        <v>139000</v>
      </c>
      <c r="L1477" t="s">
        <v>66</v>
      </c>
      <c r="M1477" t="s">
        <v>51</v>
      </c>
      <c r="N1477" t="s">
        <v>87</v>
      </c>
      <c r="O1477" t="s">
        <v>91</v>
      </c>
    </row>
    <row r="1478" spans="1:15" x14ac:dyDescent="0.35">
      <c r="A1478" t="s">
        <v>2486</v>
      </c>
      <c r="B1478" s="2">
        <v>46206</v>
      </c>
      <c r="C1478" t="s">
        <v>234</v>
      </c>
      <c r="D1478" t="s">
        <v>1420</v>
      </c>
      <c r="E1478" t="s">
        <v>18</v>
      </c>
      <c r="F1478" t="s">
        <v>18</v>
      </c>
      <c r="G1478" t="s">
        <v>34</v>
      </c>
      <c r="H1478" t="s">
        <v>141</v>
      </c>
      <c r="I1478">
        <v>5</v>
      </c>
      <c r="J1478" s="3">
        <v>152000</v>
      </c>
      <c r="K1478" s="3">
        <v>123600</v>
      </c>
      <c r="L1478" t="s">
        <v>96</v>
      </c>
      <c r="M1478" t="s">
        <v>31</v>
      </c>
      <c r="N1478" t="s">
        <v>23</v>
      </c>
      <c r="O1478" t="s">
        <v>91</v>
      </c>
    </row>
    <row r="1479" spans="1:15" x14ac:dyDescent="0.35">
      <c r="A1479" t="s">
        <v>2487</v>
      </c>
      <c r="B1479" s="2">
        <v>46075</v>
      </c>
      <c r="C1479" t="s">
        <v>832</v>
      </c>
      <c r="D1479" t="s">
        <v>267</v>
      </c>
      <c r="E1479" t="s">
        <v>77</v>
      </c>
      <c r="F1479" t="s">
        <v>78</v>
      </c>
      <c r="G1479" t="s">
        <v>19</v>
      </c>
      <c r="H1479" t="s">
        <v>20</v>
      </c>
      <c r="I1479">
        <v>2</v>
      </c>
      <c r="J1479" s="3">
        <v>68200</v>
      </c>
      <c r="K1479" s="3">
        <v>45000</v>
      </c>
      <c r="L1479" t="s">
        <v>73</v>
      </c>
      <c r="M1479" t="s">
        <v>37</v>
      </c>
      <c r="N1479" t="s">
        <v>23</v>
      </c>
      <c r="O1479" t="s">
        <v>24</v>
      </c>
    </row>
    <row r="1480" spans="1:15" x14ac:dyDescent="0.35">
      <c r="A1480" t="s">
        <v>2488</v>
      </c>
      <c r="B1480" s="2">
        <v>46337</v>
      </c>
      <c r="C1480" t="s">
        <v>2489</v>
      </c>
      <c r="D1480" t="s">
        <v>1783</v>
      </c>
      <c r="E1480" t="s">
        <v>18</v>
      </c>
      <c r="F1480" t="s">
        <v>18</v>
      </c>
      <c r="G1480" t="s">
        <v>19</v>
      </c>
      <c r="H1480" t="s">
        <v>112</v>
      </c>
      <c r="I1480">
        <v>6</v>
      </c>
      <c r="J1480" s="3">
        <v>80800</v>
      </c>
      <c r="K1480" s="3">
        <v>62000</v>
      </c>
      <c r="L1480" t="s">
        <v>36</v>
      </c>
      <c r="M1480" t="s">
        <v>31</v>
      </c>
      <c r="N1480" t="s">
        <v>23</v>
      </c>
      <c r="O1480" t="s">
        <v>91</v>
      </c>
    </row>
    <row r="1481" spans="1:15" x14ac:dyDescent="0.35">
      <c r="A1481" t="s">
        <v>2490</v>
      </c>
      <c r="B1481" s="2">
        <v>46154</v>
      </c>
      <c r="C1481" t="s">
        <v>1887</v>
      </c>
      <c r="D1481" t="s">
        <v>1839</v>
      </c>
      <c r="E1481" t="s">
        <v>41</v>
      </c>
      <c r="F1481" t="s">
        <v>42</v>
      </c>
      <c r="G1481" t="s">
        <v>28</v>
      </c>
      <c r="H1481" t="s">
        <v>131</v>
      </c>
      <c r="I1481">
        <v>3</v>
      </c>
      <c r="J1481" s="3">
        <v>30000</v>
      </c>
      <c r="K1481" s="3">
        <v>19000</v>
      </c>
      <c r="L1481" t="s">
        <v>50</v>
      </c>
      <c r="M1481" t="s">
        <v>37</v>
      </c>
      <c r="N1481" t="s">
        <v>23</v>
      </c>
      <c r="O1481" t="s">
        <v>24</v>
      </c>
    </row>
    <row r="1482" spans="1:15" x14ac:dyDescent="0.35">
      <c r="A1482" t="s">
        <v>2491</v>
      </c>
      <c r="B1482" s="2">
        <v>46222</v>
      </c>
      <c r="C1482" t="s">
        <v>816</v>
      </c>
      <c r="D1482" t="s">
        <v>1717</v>
      </c>
      <c r="E1482" t="s">
        <v>18</v>
      </c>
      <c r="F1482" t="s">
        <v>18</v>
      </c>
      <c r="G1482" t="s">
        <v>34</v>
      </c>
      <c r="H1482" t="s">
        <v>35</v>
      </c>
      <c r="I1482">
        <v>4</v>
      </c>
      <c r="J1482" s="3">
        <v>57800</v>
      </c>
      <c r="K1482" s="3">
        <v>39000</v>
      </c>
      <c r="L1482" t="s">
        <v>30</v>
      </c>
      <c r="M1482" t="s">
        <v>51</v>
      </c>
      <c r="N1482" t="s">
        <v>52</v>
      </c>
      <c r="O1482" t="s">
        <v>45</v>
      </c>
    </row>
    <row r="1483" spans="1:15" x14ac:dyDescent="0.35">
      <c r="A1483" t="s">
        <v>2492</v>
      </c>
      <c r="B1483" s="2">
        <v>46158</v>
      </c>
      <c r="C1483" t="s">
        <v>314</v>
      </c>
      <c r="D1483" t="s">
        <v>1343</v>
      </c>
      <c r="E1483" t="s">
        <v>41</v>
      </c>
      <c r="F1483" t="s">
        <v>42</v>
      </c>
      <c r="G1483" t="s">
        <v>43</v>
      </c>
      <c r="H1483" t="s">
        <v>44</v>
      </c>
      <c r="I1483">
        <v>7</v>
      </c>
      <c r="J1483" s="3">
        <v>15800</v>
      </c>
      <c r="K1483" s="3">
        <v>9800</v>
      </c>
      <c r="L1483" t="s">
        <v>73</v>
      </c>
      <c r="M1483" t="s">
        <v>51</v>
      </c>
      <c r="N1483" t="s">
        <v>87</v>
      </c>
      <c r="O1483" t="s">
        <v>24</v>
      </c>
    </row>
    <row r="1484" spans="1:15" x14ac:dyDescent="0.35">
      <c r="A1484" t="s">
        <v>2493</v>
      </c>
      <c r="B1484" s="2">
        <v>46126</v>
      </c>
      <c r="C1484" t="s">
        <v>123</v>
      </c>
      <c r="D1484" t="s">
        <v>2056</v>
      </c>
      <c r="E1484" t="s">
        <v>18</v>
      </c>
      <c r="F1484" t="s">
        <v>18</v>
      </c>
      <c r="G1484" t="s">
        <v>34</v>
      </c>
      <c r="H1484" t="s">
        <v>86</v>
      </c>
      <c r="I1484">
        <v>10</v>
      </c>
      <c r="J1484" s="3">
        <v>180000</v>
      </c>
      <c r="K1484" s="3">
        <v>139000</v>
      </c>
      <c r="L1484" t="s">
        <v>21</v>
      </c>
      <c r="M1484" t="s">
        <v>51</v>
      </c>
      <c r="N1484" t="s">
        <v>23</v>
      </c>
      <c r="O1484" t="s">
        <v>24</v>
      </c>
    </row>
    <row r="1485" spans="1:15" x14ac:dyDescent="0.35">
      <c r="A1485" t="s">
        <v>2494</v>
      </c>
      <c r="B1485" s="2">
        <v>46376</v>
      </c>
      <c r="C1485" t="s">
        <v>1148</v>
      </c>
      <c r="D1485" t="s">
        <v>2495</v>
      </c>
      <c r="E1485" t="s">
        <v>18</v>
      </c>
      <c r="F1485" t="s">
        <v>18</v>
      </c>
      <c r="G1485" t="s">
        <v>19</v>
      </c>
      <c r="H1485" t="s">
        <v>20</v>
      </c>
      <c r="I1485">
        <v>4</v>
      </c>
      <c r="J1485" s="3">
        <v>65000</v>
      </c>
      <c r="K1485" s="3">
        <v>43600</v>
      </c>
      <c r="L1485" t="s">
        <v>36</v>
      </c>
      <c r="M1485" t="s">
        <v>31</v>
      </c>
      <c r="N1485" t="s">
        <v>23</v>
      </c>
      <c r="O1485" t="s">
        <v>24</v>
      </c>
    </row>
    <row r="1486" spans="1:15" x14ac:dyDescent="0.35">
      <c r="A1486" t="s">
        <v>2496</v>
      </c>
      <c r="B1486" s="2">
        <v>46225</v>
      </c>
      <c r="C1486" t="s">
        <v>2432</v>
      </c>
      <c r="D1486" t="s">
        <v>447</v>
      </c>
      <c r="E1486" t="s">
        <v>156</v>
      </c>
      <c r="F1486" t="s">
        <v>157</v>
      </c>
      <c r="G1486" t="s">
        <v>34</v>
      </c>
      <c r="H1486" t="s">
        <v>86</v>
      </c>
      <c r="I1486">
        <v>5</v>
      </c>
      <c r="J1486" s="3">
        <v>180000</v>
      </c>
      <c r="K1486" s="3">
        <v>131000</v>
      </c>
      <c r="L1486" t="s">
        <v>96</v>
      </c>
      <c r="M1486" t="s">
        <v>51</v>
      </c>
      <c r="N1486" t="s">
        <v>23</v>
      </c>
      <c r="O1486" t="s">
        <v>24</v>
      </c>
    </row>
    <row r="1487" spans="1:15" x14ac:dyDescent="0.35">
      <c r="A1487" t="s">
        <v>2497</v>
      </c>
      <c r="B1487" s="2">
        <v>46341</v>
      </c>
      <c r="C1487" t="s">
        <v>2498</v>
      </c>
      <c r="D1487" t="s">
        <v>743</v>
      </c>
      <c r="E1487" t="s">
        <v>156</v>
      </c>
      <c r="F1487" t="s">
        <v>157</v>
      </c>
      <c r="G1487" t="s">
        <v>43</v>
      </c>
      <c r="H1487" t="s">
        <v>44</v>
      </c>
      <c r="I1487">
        <v>7</v>
      </c>
      <c r="J1487" s="3">
        <v>15800</v>
      </c>
      <c r="K1487" s="3">
        <v>9800</v>
      </c>
      <c r="L1487" t="s">
        <v>73</v>
      </c>
      <c r="M1487" t="s">
        <v>51</v>
      </c>
      <c r="N1487" t="s">
        <v>23</v>
      </c>
      <c r="O1487" t="s">
        <v>24</v>
      </c>
    </row>
    <row r="1488" spans="1:15" x14ac:dyDescent="0.35">
      <c r="A1488" t="s">
        <v>2499</v>
      </c>
      <c r="B1488" s="2">
        <v>46080</v>
      </c>
      <c r="C1488" t="s">
        <v>1164</v>
      </c>
      <c r="D1488" t="s">
        <v>1295</v>
      </c>
      <c r="E1488" t="s">
        <v>77</v>
      </c>
      <c r="F1488" t="s">
        <v>78</v>
      </c>
      <c r="G1488" t="s">
        <v>34</v>
      </c>
      <c r="H1488" t="s">
        <v>95</v>
      </c>
      <c r="I1488">
        <v>5</v>
      </c>
      <c r="J1488" s="3">
        <v>450000</v>
      </c>
      <c r="K1488" s="3">
        <v>358900</v>
      </c>
      <c r="L1488" t="s">
        <v>21</v>
      </c>
      <c r="M1488" t="s">
        <v>37</v>
      </c>
      <c r="N1488" t="s">
        <v>23</v>
      </c>
      <c r="O1488" t="s">
        <v>45</v>
      </c>
    </row>
    <row r="1489" spans="1:15" x14ac:dyDescent="0.35">
      <c r="A1489" t="s">
        <v>2500</v>
      </c>
      <c r="B1489" s="2">
        <v>46184</v>
      </c>
      <c r="C1489" t="s">
        <v>1005</v>
      </c>
      <c r="D1489" t="s">
        <v>1913</v>
      </c>
      <c r="E1489" t="s">
        <v>41</v>
      </c>
      <c r="F1489" t="s">
        <v>42</v>
      </c>
      <c r="G1489" t="s">
        <v>34</v>
      </c>
      <c r="H1489" t="s">
        <v>141</v>
      </c>
      <c r="I1489">
        <v>4</v>
      </c>
      <c r="J1489" s="3">
        <v>152000</v>
      </c>
      <c r="K1489" s="3">
        <v>123600</v>
      </c>
      <c r="L1489" t="s">
        <v>36</v>
      </c>
      <c r="M1489" t="s">
        <v>22</v>
      </c>
      <c r="N1489" t="s">
        <v>52</v>
      </c>
      <c r="O1489" t="s">
        <v>24</v>
      </c>
    </row>
    <row r="1490" spans="1:15" x14ac:dyDescent="0.35">
      <c r="A1490" t="s">
        <v>2501</v>
      </c>
      <c r="B1490" s="2">
        <v>46152</v>
      </c>
      <c r="C1490" t="s">
        <v>234</v>
      </c>
      <c r="D1490" t="s">
        <v>76</v>
      </c>
      <c r="E1490" t="s">
        <v>56</v>
      </c>
      <c r="F1490" t="s">
        <v>57</v>
      </c>
      <c r="G1490" t="s">
        <v>34</v>
      </c>
      <c r="H1490" t="s">
        <v>141</v>
      </c>
      <c r="I1490">
        <v>7</v>
      </c>
      <c r="J1490" s="3">
        <v>168000</v>
      </c>
      <c r="K1490" s="3">
        <v>120000</v>
      </c>
      <c r="L1490" t="s">
        <v>73</v>
      </c>
      <c r="M1490" t="s">
        <v>51</v>
      </c>
      <c r="N1490" t="s">
        <v>23</v>
      </c>
      <c r="O1490" t="s">
        <v>24</v>
      </c>
    </row>
    <row r="1491" spans="1:15" x14ac:dyDescent="0.35">
      <c r="A1491" t="s">
        <v>2502</v>
      </c>
      <c r="B1491" s="2">
        <v>46136</v>
      </c>
      <c r="C1491" t="s">
        <v>2503</v>
      </c>
      <c r="D1491" t="s">
        <v>1126</v>
      </c>
      <c r="E1491" t="s">
        <v>77</v>
      </c>
      <c r="F1491" t="s">
        <v>78</v>
      </c>
      <c r="G1491" t="s">
        <v>34</v>
      </c>
      <c r="H1491" t="s">
        <v>35</v>
      </c>
      <c r="I1491">
        <v>1</v>
      </c>
      <c r="J1491" s="3">
        <v>52200</v>
      </c>
      <c r="K1491" s="3">
        <v>40200</v>
      </c>
      <c r="L1491" t="s">
        <v>36</v>
      </c>
      <c r="M1491" t="s">
        <v>37</v>
      </c>
      <c r="N1491" t="s">
        <v>23</v>
      </c>
      <c r="O1491" t="s">
        <v>24</v>
      </c>
    </row>
    <row r="1492" spans="1:15" x14ac:dyDescent="0.35">
      <c r="A1492" t="s">
        <v>2504</v>
      </c>
      <c r="B1492" s="2">
        <v>46255</v>
      </c>
      <c r="C1492" t="s">
        <v>319</v>
      </c>
      <c r="D1492" t="s">
        <v>1251</v>
      </c>
      <c r="E1492" t="s">
        <v>56</v>
      </c>
      <c r="F1492" t="s">
        <v>57</v>
      </c>
      <c r="G1492" t="s">
        <v>34</v>
      </c>
      <c r="H1492" t="s">
        <v>35</v>
      </c>
      <c r="I1492">
        <v>1</v>
      </c>
      <c r="J1492" s="3">
        <v>55000</v>
      </c>
      <c r="K1492" s="3">
        <v>39000</v>
      </c>
      <c r="L1492" t="s">
        <v>66</v>
      </c>
      <c r="M1492" t="s">
        <v>37</v>
      </c>
      <c r="N1492" t="s">
        <v>23</v>
      </c>
      <c r="O1492" t="s">
        <v>24</v>
      </c>
    </row>
    <row r="1493" spans="1:15" x14ac:dyDescent="0.35">
      <c r="A1493" t="s">
        <v>2505</v>
      </c>
      <c r="B1493" s="2">
        <v>46112</v>
      </c>
      <c r="C1493" t="s">
        <v>2498</v>
      </c>
      <c r="D1493" t="s">
        <v>250</v>
      </c>
      <c r="E1493" t="s">
        <v>56</v>
      </c>
      <c r="F1493" t="s">
        <v>57</v>
      </c>
      <c r="G1493" t="s">
        <v>34</v>
      </c>
      <c r="H1493" t="s">
        <v>86</v>
      </c>
      <c r="I1493">
        <v>7</v>
      </c>
      <c r="J1493" s="3">
        <v>171000</v>
      </c>
      <c r="K1493" s="3">
        <v>131000</v>
      </c>
      <c r="L1493" t="s">
        <v>30</v>
      </c>
      <c r="M1493" t="s">
        <v>51</v>
      </c>
      <c r="N1493" t="s">
        <v>23</v>
      </c>
      <c r="O1493" t="s">
        <v>24</v>
      </c>
    </row>
    <row r="1494" spans="1:15" x14ac:dyDescent="0.35">
      <c r="A1494" t="s">
        <v>2506</v>
      </c>
      <c r="B1494" s="2">
        <v>46227</v>
      </c>
      <c r="C1494" t="s">
        <v>1424</v>
      </c>
      <c r="D1494" t="s">
        <v>521</v>
      </c>
      <c r="E1494" t="s">
        <v>18</v>
      </c>
      <c r="F1494" t="s">
        <v>18</v>
      </c>
      <c r="G1494" t="s">
        <v>19</v>
      </c>
      <c r="H1494" t="s">
        <v>166</v>
      </c>
      <c r="I1494">
        <v>4</v>
      </c>
      <c r="J1494" s="3">
        <v>147000</v>
      </c>
      <c r="K1494" s="3">
        <v>100000</v>
      </c>
      <c r="L1494" t="s">
        <v>66</v>
      </c>
      <c r="M1494" t="s">
        <v>37</v>
      </c>
      <c r="N1494" t="s">
        <v>52</v>
      </c>
      <c r="O1494" t="s">
        <v>24</v>
      </c>
    </row>
    <row r="1495" spans="1:15" x14ac:dyDescent="0.35">
      <c r="A1495" t="s">
        <v>2507</v>
      </c>
      <c r="B1495" s="2">
        <v>46152</v>
      </c>
      <c r="C1495" t="s">
        <v>1185</v>
      </c>
      <c r="D1495" t="s">
        <v>1181</v>
      </c>
      <c r="E1495" t="s">
        <v>190</v>
      </c>
      <c r="F1495" t="s">
        <v>191</v>
      </c>
      <c r="G1495" t="s">
        <v>19</v>
      </c>
      <c r="H1495" t="s">
        <v>112</v>
      </c>
      <c r="I1495">
        <v>7</v>
      </c>
      <c r="J1495" s="3">
        <v>85000</v>
      </c>
      <c r="K1495" s="3">
        <v>62000</v>
      </c>
      <c r="L1495" t="s">
        <v>30</v>
      </c>
      <c r="M1495" t="s">
        <v>37</v>
      </c>
      <c r="N1495" t="s">
        <v>87</v>
      </c>
      <c r="O1495" t="s">
        <v>24</v>
      </c>
    </row>
    <row r="1496" spans="1:15" x14ac:dyDescent="0.35">
      <c r="A1496" t="s">
        <v>2508</v>
      </c>
      <c r="B1496" s="2">
        <v>46093</v>
      </c>
      <c r="C1496" t="s">
        <v>2509</v>
      </c>
      <c r="D1496" t="s">
        <v>814</v>
      </c>
      <c r="E1496" t="s">
        <v>18</v>
      </c>
      <c r="F1496" t="s">
        <v>18</v>
      </c>
      <c r="G1496" t="s">
        <v>19</v>
      </c>
      <c r="H1496" t="s">
        <v>112</v>
      </c>
      <c r="I1496">
        <v>3</v>
      </c>
      <c r="J1496" s="3">
        <v>85000</v>
      </c>
      <c r="K1496" s="3">
        <v>63900</v>
      </c>
      <c r="L1496" t="s">
        <v>36</v>
      </c>
      <c r="M1496" t="s">
        <v>51</v>
      </c>
      <c r="N1496" t="s">
        <v>52</v>
      </c>
      <c r="O1496" t="s">
        <v>24</v>
      </c>
    </row>
    <row r="1497" spans="1:15" x14ac:dyDescent="0.35">
      <c r="A1497" t="s">
        <v>2510</v>
      </c>
      <c r="B1497" s="2">
        <v>46184</v>
      </c>
      <c r="C1497" t="s">
        <v>2432</v>
      </c>
      <c r="D1497" t="s">
        <v>738</v>
      </c>
      <c r="E1497" t="s">
        <v>18</v>
      </c>
      <c r="F1497" t="s">
        <v>18</v>
      </c>
      <c r="G1497" t="s">
        <v>19</v>
      </c>
      <c r="H1497" t="s">
        <v>166</v>
      </c>
      <c r="I1497">
        <v>9</v>
      </c>
      <c r="J1497" s="3">
        <v>140000</v>
      </c>
      <c r="K1497" s="3">
        <v>97000</v>
      </c>
      <c r="L1497" t="s">
        <v>73</v>
      </c>
      <c r="M1497" t="s">
        <v>37</v>
      </c>
      <c r="N1497" t="s">
        <v>52</v>
      </c>
      <c r="O1497" t="s">
        <v>91</v>
      </c>
    </row>
    <row r="1498" spans="1:15" x14ac:dyDescent="0.35">
      <c r="A1498" t="s">
        <v>2511</v>
      </c>
      <c r="B1498" s="2">
        <v>46124</v>
      </c>
      <c r="C1498" t="s">
        <v>2512</v>
      </c>
      <c r="D1498" t="s">
        <v>872</v>
      </c>
      <c r="E1498" t="s">
        <v>156</v>
      </c>
      <c r="F1498" t="s">
        <v>170</v>
      </c>
      <c r="G1498" t="s">
        <v>34</v>
      </c>
      <c r="H1498" t="s">
        <v>95</v>
      </c>
      <c r="I1498">
        <v>3</v>
      </c>
      <c r="J1498" s="3">
        <v>427500</v>
      </c>
      <c r="K1498" s="3">
        <v>381100</v>
      </c>
      <c r="L1498" t="s">
        <v>30</v>
      </c>
      <c r="M1498" t="s">
        <v>31</v>
      </c>
      <c r="N1498" t="s">
        <v>23</v>
      </c>
      <c r="O1498" t="s">
        <v>24</v>
      </c>
    </row>
    <row r="1499" spans="1:15" x14ac:dyDescent="0.35">
      <c r="A1499" t="s">
        <v>2513</v>
      </c>
      <c r="B1499" s="2">
        <v>46381</v>
      </c>
      <c r="C1499" t="s">
        <v>75</v>
      </c>
      <c r="D1499" t="s">
        <v>55</v>
      </c>
      <c r="E1499" t="s">
        <v>77</v>
      </c>
      <c r="F1499" t="s">
        <v>78</v>
      </c>
      <c r="G1499" t="s">
        <v>34</v>
      </c>
      <c r="H1499" t="s">
        <v>141</v>
      </c>
      <c r="I1499">
        <v>8</v>
      </c>
      <c r="J1499" s="3">
        <v>152000</v>
      </c>
      <c r="K1499" s="3">
        <v>116400</v>
      </c>
      <c r="L1499" t="s">
        <v>80</v>
      </c>
      <c r="M1499" t="s">
        <v>31</v>
      </c>
      <c r="N1499" t="s">
        <v>52</v>
      </c>
      <c r="O1499" t="s">
        <v>45</v>
      </c>
    </row>
    <row r="1500" spans="1:15" x14ac:dyDescent="0.35">
      <c r="A1500" t="s">
        <v>2514</v>
      </c>
      <c r="B1500" s="2">
        <v>46272</v>
      </c>
      <c r="C1500" t="s">
        <v>82</v>
      </c>
      <c r="D1500" t="s">
        <v>743</v>
      </c>
      <c r="E1500" t="s">
        <v>84</v>
      </c>
      <c r="F1500" t="s">
        <v>85</v>
      </c>
      <c r="G1500" t="s">
        <v>34</v>
      </c>
      <c r="H1500" t="s">
        <v>35</v>
      </c>
      <c r="I1500">
        <v>3</v>
      </c>
      <c r="J1500" s="3">
        <v>55000</v>
      </c>
      <c r="K1500" s="3">
        <v>39000</v>
      </c>
      <c r="L1500" t="s">
        <v>80</v>
      </c>
      <c r="M1500" t="s">
        <v>22</v>
      </c>
      <c r="N1500" t="s">
        <v>87</v>
      </c>
      <c r="O1500" t="s">
        <v>24</v>
      </c>
    </row>
    <row r="1501" spans="1:15" x14ac:dyDescent="0.35">
      <c r="A1501" t="s">
        <v>2515</v>
      </c>
      <c r="B1501" s="2">
        <v>46118</v>
      </c>
      <c r="C1501" t="s">
        <v>1210</v>
      </c>
      <c r="D1501" t="s">
        <v>482</v>
      </c>
      <c r="E1501" t="s">
        <v>18</v>
      </c>
      <c r="F1501" t="s">
        <v>18</v>
      </c>
      <c r="G1501" t="s">
        <v>19</v>
      </c>
      <c r="H1501" t="s">
        <v>166</v>
      </c>
      <c r="I1501">
        <v>8</v>
      </c>
      <c r="J1501" s="3">
        <v>140000</v>
      </c>
      <c r="K1501" s="3">
        <v>97000</v>
      </c>
      <c r="L1501" t="s">
        <v>30</v>
      </c>
      <c r="M1501" t="s">
        <v>37</v>
      </c>
      <c r="N1501" t="s">
        <v>23</v>
      </c>
      <c r="O1501" t="s">
        <v>24</v>
      </c>
    </row>
    <row r="1502" spans="1:15" x14ac:dyDescent="0.35">
      <c r="A1502" t="s">
        <v>2516</v>
      </c>
      <c r="B1502" s="2">
        <v>46121</v>
      </c>
      <c r="C1502" t="s">
        <v>1368</v>
      </c>
      <c r="D1502" t="s">
        <v>2517</v>
      </c>
      <c r="E1502" t="s">
        <v>18</v>
      </c>
      <c r="F1502" t="s">
        <v>18</v>
      </c>
      <c r="G1502" t="s">
        <v>34</v>
      </c>
      <c r="H1502" t="s">
        <v>86</v>
      </c>
      <c r="I1502">
        <v>5</v>
      </c>
      <c r="J1502" s="3">
        <v>189000</v>
      </c>
      <c r="K1502" s="3">
        <v>131000</v>
      </c>
      <c r="L1502" t="s">
        <v>73</v>
      </c>
      <c r="M1502" t="s">
        <v>37</v>
      </c>
      <c r="N1502" t="s">
        <v>52</v>
      </c>
      <c r="O1502" t="s">
        <v>24</v>
      </c>
    </row>
    <row r="1503" spans="1:15" x14ac:dyDescent="0.35">
      <c r="A1503" t="s">
        <v>2518</v>
      </c>
      <c r="B1503" s="2">
        <v>46217</v>
      </c>
      <c r="C1503" t="s">
        <v>350</v>
      </c>
      <c r="D1503" t="s">
        <v>2451</v>
      </c>
      <c r="E1503" t="s">
        <v>18</v>
      </c>
      <c r="F1503" t="s">
        <v>18</v>
      </c>
      <c r="G1503" t="s">
        <v>34</v>
      </c>
      <c r="H1503" t="s">
        <v>95</v>
      </c>
      <c r="I1503">
        <v>7</v>
      </c>
      <c r="J1503" s="3">
        <v>450000</v>
      </c>
      <c r="K1503" s="3">
        <v>370000</v>
      </c>
      <c r="L1503" t="s">
        <v>73</v>
      </c>
      <c r="M1503" t="s">
        <v>51</v>
      </c>
      <c r="N1503" t="s">
        <v>87</v>
      </c>
      <c r="O1503" t="s">
        <v>91</v>
      </c>
    </row>
    <row r="1504" spans="1:15" x14ac:dyDescent="0.35">
      <c r="A1504" t="s">
        <v>2519</v>
      </c>
      <c r="B1504" s="2">
        <v>46042</v>
      </c>
      <c r="C1504" t="s">
        <v>148</v>
      </c>
      <c r="D1504" t="s">
        <v>1581</v>
      </c>
      <c r="E1504" t="s">
        <v>84</v>
      </c>
      <c r="F1504" t="s">
        <v>85</v>
      </c>
      <c r="G1504" t="s">
        <v>34</v>
      </c>
      <c r="H1504" t="s">
        <v>95</v>
      </c>
      <c r="I1504">
        <v>9</v>
      </c>
      <c r="J1504" s="3">
        <v>427500</v>
      </c>
      <c r="K1504" s="3">
        <v>370000</v>
      </c>
      <c r="L1504" t="s">
        <v>66</v>
      </c>
      <c r="M1504" t="s">
        <v>51</v>
      </c>
      <c r="N1504" t="s">
        <v>23</v>
      </c>
      <c r="O1504" t="s">
        <v>45</v>
      </c>
    </row>
    <row r="1505" spans="1:15" x14ac:dyDescent="0.35">
      <c r="A1505" t="s">
        <v>2520</v>
      </c>
      <c r="B1505" s="2">
        <v>46072</v>
      </c>
      <c r="C1505" t="s">
        <v>687</v>
      </c>
      <c r="D1505" t="s">
        <v>1635</v>
      </c>
      <c r="E1505" t="s">
        <v>18</v>
      </c>
      <c r="F1505" t="s">
        <v>18</v>
      </c>
      <c r="G1505" t="s">
        <v>43</v>
      </c>
      <c r="H1505" t="s">
        <v>49</v>
      </c>
      <c r="I1505">
        <v>4</v>
      </c>
      <c r="J1505" s="3">
        <v>9000</v>
      </c>
      <c r="K1505" s="3">
        <v>5600</v>
      </c>
      <c r="L1505" t="s">
        <v>30</v>
      </c>
      <c r="M1505" t="s">
        <v>31</v>
      </c>
      <c r="N1505" t="s">
        <v>23</v>
      </c>
      <c r="O1505" t="s">
        <v>24</v>
      </c>
    </row>
    <row r="1506" spans="1:15" x14ac:dyDescent="0.35">
      <c r="A1506" t="s">
        <v>2521</v>
      </c>
      <c r="B1506" s="2">
        <v>46161</v>
      </c>
      <c r="C1506" t="s">
        <v>820</v>
      </c>
      <c r="D1506" t="s">
        <v>1418</v>
      </c>
      <c r="E1506" t="s">
        <v>56</v>
      </c>
      <c r="F1506" t="s">
        <v>57</v>
      </c>
      <c r="G1506" t="s">
        <v>19</v>
      </c>
      <c r="H1506" t="s">
        <v>166</v>
      </c>
      <c r="I1506">
        <v>9</v>
      </c>
      <c r="J1506" s="3">
        <v>140000</v>
      </c>
      <c r="K1506" s="3">
        <v>103000</v>
      </c>
      <c r="L1506" t="s">
        <v>80</v>
      </c>
      <c r="M1506" t="s">
        <v>37</v>
      </c>
      <c r="N1506" t="s">
        <v>23</v>
      </c>
      <c r="O1506" t="s">
        <v>24</v>
      </c>
    </row>
    <row r="1507" spans="1:15" x14ac:dyDescent="0.35">
      <c r="A1507" t="s">
        <v>2522</v>
      </c>
      <c r="B1507" s="2">
        <v>46292</v>
      </c>
      <c r="C1507" t="s">
        <v>952</v>
      </c>
      <c r="D1507" t="s">
        <v>1628</v>
      </c>
      <c r="E1507" t="s">
        <v>18</v>
      </c>
      <c r="F1507" t="s">
        <v>18</v>
      </c>
      <c r="G1507" t="s">
        <v>34</v>
      </c>
      <c r="H1507" t="s">
        <v>95</v>
      </c>
      <c r="I1507">
        <v>2</v>
      </c>
      <c r="J1507" s="3">
        <v>427500</v>
      </c>
      <c r="K1507" s="3">
        <v>358900</v>
      </c>
      <c r="L1507" t="s">
        <v>30</v>
      </c>
      <c r="M1507" t="s">
        <v>31</v>
      </c>
      <c r="N1507" t="s">
        <v>23</v>
      </c>
      <c r="O1507" t="s">
        <v>24</v>
      </c>
    </row>
    <row r="1508" spans="1:15" x14ac:dyDescent="0.35">
      <c r="A1508" t="s">
        <v>2523</v>
      </c>
      <c r="B1508" s="2">
        <v>46171</v>
      </c>
      <c r="C1508" t="s">
        <v>585</v>
      </c>
      <c r="D1508" t="s">
        <v>187</v>
      </c>
      <c r="E1508" t="s">
        <v>77</v>
      </c>
      <c r="F1508" t="s">
        <v>78</v>
      </c>
      <c r="G1508" t="s">
        <v>43</v>
      </c>
      <c r="H1508" t="s">
        <v>79</v>
      </c>
      <c r="I1508">
        <v>2</v>
      </c>
      <c r="J1508" s="3">
        <v>6300</v>
      </c>
      <c r="K1508" s="3">
        <v>4300</v>
      </c>
      <c r="L1508" t="s">
        <v>80</v>
      </c>
      <c r="M1508" t="s">
        <v>51</v>
      </c>
      <c r="N1508" t="s">
        <v>23</v>
      </c>
      <c r="O1508" t="s">
        <v>91</v>
      </c>
    </row>
    <row r="1509" spans="1:15" x14ac:dyDescent="0.35">
      <c r="A1509" t="s">
        <v>2524</v>
      </c>
      <c r="B1509" s="2">
        <v>46252</v>
      </c>
      <c r="C1509" t="s">
        <v>237</v>
      </c>
      <c r="D1509" t="s">
        <v>118</v>
      </c>
      <c r="E1509" t="s">
        <v>18</v>
      </c>
      <c r="F1509" t="s">
        <v>18</v>
      </c>
      <c r="G1509" t="s">
        <v>19</v>
      </c>
      <c r="H1509" t="s">
        <v>61</v>
      </c>
      <c r="I1509">
        <v>9</v>
      </c>
      <c r="J1509" s="3">
        <v>231000</v>
      </c>
      <c r="K1509" s="3">
        <v>160000</v>
      </c>
      <c r="L1509" t="s">
        <v>96</v>
      </c>
      <c r="M1509" t="s">
        <v>37</v>
      </c>
      <c r="N1509" t="s">
        <v>23</v>
      </c>
      <c r="O1509" t="s">
        <v>24</v>
      </c>
    </row>
    <row r="1510" spans="1:15" x14ac:dyDescent="0.35">
      <c r="A1510" t="s">
        <v>2525</v>
      </c>
      <c r="B1510" s="2">
        <v>46307</v>
      </c>
      <c r="C1510" t="s">
        <v>1207</v>
      </c>
      <c r="D1510" t="s">
        <v>1023</v>
      </c>
      <c r="E1510" t="s">
        <v>190</v>
      </c>
      <c r="F1510" t="s">
        <v>191</v>
      </c>
      <c r="G1510" t="s">
        <v>43</v>
      </c>
      <c r="H1510" t="s">
        <v>177</v>
      </c>
      <c r="I1510">
        <v>7</v>
      </c>
      <c r="J1510" s="3">
        <v>18000</v>
      </c>
      <c r="K1510" s="3">
        <v>12500</v>
      </c>
      <c r="L1510" t="s">
        <v>21</v>
      </c>
      <c r="M1510" t="s">
        <v>37</v>
      </c>
      <c r="N1510" t="s">
        <v>23</v>
      </c>
      <c r="O1510" t="s">
        <v>24</v>
      </c>
    </row>
    <row r="1511" spans="1:15" x14ac:dyDescent="0.35">
      <c r="A1511" t="s">
        <v>2526</v>
      </c>
      <c r="B1511" s="2">
        <v>46138</v>
      </c>
      <c r="C1511" t="s">
        <v>702</v>
      </c>
      <c r="D1511" t="s">
        <v>187</v>
      </c>
      <c r="E1511" t="s">
        <v>56</v>
      </c>
      <c r="F1511" t="s">
        <v>57</v>
      </c>
      <c r="G1511" t="s">
        <v>19</v>
      </c>
      <c r="H1511" t="s">
        <v>166</v>
      </c>
      <c r="I1511">
        <v>5</v>
      </c>
      <c r="J1511" s="3">
        <v>147000</v>
      </c>
      <c r="K1511" s="3">
        <v>100000</v>
      </c>
      <c r="L1511" t="s">
        <v>96</v>
      </c>
      <c r="M1511" t="s">
        <v>31</v>
      </c>
      <c r="N1511" t="s">
        <v>52</v>
      </c>
      <c r="O1511" t="s">
        <v>45</v>
      </c>
    </row>
    <row r="1512" spans="1:15" x14ac:dyDescent="0.35">
      <c r="A1512" t="s">
        <v>2527</v>
      </c>
      <c r="B1512" s="2">
        <v>46283</v>
      </c>
      <c r="C1512" t="s">
        <v>1527</v>
      </c>
      <c r="D1512" t="s">
        <v>417</v>
      </c>
      <c r="E1512" t="s">
        <v>77</v>
      </c>
      <c r="F1512" t="s">
        <v>78</v>
      </c>
      <c r="G1512" t="s">
        <v>34</v>
      </c>
      <c r="H1512" t="s">
        <v>86</v>
      </c>
      <c r="I1512">
        <v>8</v>
      </c>
      <c r="J1512" s="3">
        <v>189000</v>
      </c>
      <c r="K1512" s="3">
        <v>131000</v>
      </c>
      <c r="L1512" t="s">
        <v>66</v>
      </c>
      <c r="M1512" t="s">
        <v>51</v>
      </c>
      <c r="N1512" t="s">
        <v>52</v>
      </c>
      <c r="O1512" t="s">
        <v>45</v>
      </c>
    </row>
    <row r="1513" spans="1:15" x14ac:dyDescent="0.35">
      <c r="A1513" t="s">
        <v>2528</v>
      </c>
      <c r="B1513" s="2">
        <v>46349</v>
      </c>
      <c r="C1513" t="s">
        <v>1696</v>
      </c>
      <c r="D1513" t="s">
        <v>992</v>
      </c>
      <c r="E1513" t="s">
        <v>156</v>
      </c>
      <c r="F1513" t="s">
        <v>170</v>
      </c>
      <c r="G1513" t="s">
        <v>28</v>
      </c>
      <c r="H1513" t="s">
        <v>131</v>
      </c>
      <c r="I1513">
        <v>6</v>
      </c>
      <c r="J1513" s="3">
        <v>31500</v>
      </c>
      <c r="K1513" s="3">
        <v>19000</v>
      </c>
      <c r="L1513" t="s">
        <v>30</v>
      </c>
      <c r="M1513" t="s">
        <v>37</v>
      </c>
      <c r="N1513" t="s">
        <v>52</v>
      </c>
      <c r="O1513" t="s">
        <v>91</v>
      </c>
    </row>
    <row r="1514" spans="1:15" x14ac:dyDescent="0.35">
      <c r="A1514" t="s">
        <v>2529</v>
      </c>
      <c r="B1514" s="2">
        <v>46147</v>
      </c>
      <c r="C1514" t="s">
        <v>75</v>
      </c>
      <c r="D1514" t="s">
        <v>1396</v>
      </c>
      <c r="E1514" t="s">
        <v>84</v>
      </c>
      <c r="F1514" t="s">
        <v>85</v>
      </c>
      <c r="G1514" t="s">
        <v>19</v>
      </c>
      <c r="H1514" t="s">
        <v>61</v>
      </c>
      <c r="I1514">
        <v>5</v>
      </c>
      <c r="J1514" s="3">
        <v>220000</v>
      </c>
      <c r="K1514" s="3">
        <v>164800</v>
      </c>
      <c r="L1514" t="s">
        <v>73</v>
      </c>
      <c r="M1514" t="s">
        <v>31</v>
      </c>
      <c r="N1514" t="s">
        <v>23</v>
      </c>
      <c r="O1514" t="s">
        <v>24</v>
      </c>
    </row>
    <row r="1515" spans="1:15" x14ac:dyDescent="0.35">
      <c r="A1515" t="s">
        <v>2530</v>
      </c>
      <c r="B1515" s="2">
        <v>46179</v>
      </c>
      <c r="C1515" t="s">
        <v>853</v>
      </c>
      <c r="D1515" t="s">
        <v>1377</v>
      </c>
      <c r="E1515" t="s">
        <v>84</v>
      </c>
      <c r="F1515" t="s">
        <v>85</v>
      </c>
      <c r="G1515" t="s">
        <v>19</v>
      </c>
      <c r="H1515" t="s">
        <v>166</v>
      </c>
      <c r="I1515">
        <v>3</v>
      </c>
      <c r="J1515" s="3">
        <v>140000</v>
      </c>
      <c r="K1515" s="3">
        <v>100000</v>
      </c>
      <c r="L1515" t="s">
        <v>21</v>
      </c>
      <c r="M1515" t="s">
        <v>37</v>
      </c>
      <c r="N1515" t="s">
        <v>52</v>
      </c>
      <c r="O1515" t="s">
        <v>24</v>
      </c>
    </row>
    <row r="1516" spans="1:15" x14ac:dyDescent="0.35">
      <c r="A1516" t="s">
        <v>2531</v>
      </c>
      <c r="B1516" s="2">
        <v>46351</v>
      </c>
      <c r="C1516" t="s">
        <v>901</v>
      </c>
      <c r="D1516" t="s">
        <v>613</v>
      </c>
      <c r="E1516" t="s">
        <v>156</v>
      </c>
      <c r="F1516" t="s">
        <v>170</v>
      </c>
      <c r="G1516" t="s">
        <v>19</v>
      </c>
      <c r="H1516" t="s">
        <v>112</v>
      </c>
      <c r="I1516">
        <v>9</v>
      </c>
      <c r="J1516" s="3">
        <v>89200</v>
      </c>
      <c r="K1516" s="3">
        <v>63900</v>
      </c>
      <c r="L1516" t="s">
        <v>66</v>
      </c>
      <c r="M1516" t="s">
        <v>37</v>
      </c>
      <c r="N1516" t="s">
        <v>23</v>
      </c>
      <c r="O1516" t="s">
        <v>45</v>
      </c>
    </row>
    <row r="1517" spans="1:15" x14ac:dyDescent="0.35">
      <c r="A1517" t="s">
        <v>2532</v>
      </c>
      <c r="B1517" s="2">
        <v>46164</v>
      </c>
      <c r="C1517" t="s">
        <v>243</v>
      </c>
      <c r="D1517" t="s">
        <v>2273</v>
      </c>
      <c r="E1517" t="s">
        <v>18</v>
      </c>
      <c r="F1517" t="s">
        <v>18</v>
      </c>
      <c r="G1517" t="s">
        <v>34</v>
      </c>
      <c r="H1517" t="s">
        <v>141</v>
      </c>
      <c r="I1517">
        <v>2</v>
      </c>
      <c r="J1517" s="3">
        <v>160000</v>
      </c>
      <c r="K1517" s="3">
        <v>116400</v>
      </c>
      <c r="L1517" t="s">
        <v>66</v>
      </c>
      <c r="M1517" t="s">
        <v>51</v>
      </c>
      <c r="N1517" t="s">
        <v>87</v>
      </c>
      <c r="O1517" t="s">
        <v>45</v>
      </c>
    </row>
    <row r="1518" spans="1:15" x14ac:dyDescent="0.35">
      <c r="A1518" t="s">
        <v>2533</v>
      </c>
      <c r="B1518" s="2">
        <v>46331</v>
      </c>
      <c r="C1518" t="s">
        <v>1827</v>
      </c>
      <c r="D1518" t="s">
        <v>345</v>
      </c>
      <c r="E1518" t="s">
        <v>70</v>
      </c>
      <c r="F1518" t="s">
        <v>71</v>
      </c>
      <c r="G1518" t="s">
        <v>34</v>
      </c>
      <c r="H1518" t="s">
        <v>35</v>
      </c>
      <c r="I1518">
        <v>4</v>
      </c>
      <c r="J1518" s="3">
        <v>55000</v>
      </c>
      <c r="K1518" s="3">
        <v>40200</v>
      </c>
      <c r="L1518" t="s">
        <v>80</v>
      </c>
      <c r="M1518" t="s">
        <v>37</v>
      </c>
      <c r="N1518" t="s">
        <v>23</v>
      </c>
      <c r="O1518" t="s">
        <v>45</v>
      </c>
    </row>
    <row r="1519" spans="1:15" x14ac:dyDescent="0.35">
      <c r="A1519" t="s">
        <v>2534</v>
      </c>
      <c r="B1519" s="2">
        <v>46274</v>
      </c>
      <c r="C1519" t="s">
        <v>1572</v>
      </c>
      <c r="D1519" t="s">
        <v>2535</v>
      </c>
      <c r="E1519" t="s">
        <v>18</v>
      </c>
      <c r="F1519" t="s">
        <v>18</v>
      </c>
      <c r="G1519" t="s">
        <v>34</v>
      </c>
      <c r="H1519" t="s">
        <v>158</v>
      </c>
      <c r="I1519">
        <v>7</v>
      </c>
      <c r="J1519" s="3">
        <v>99800</v>
      </c>
      <c r="K1519" s="3">
        <v>67900</v>
      </c>
      <c r="L1519" t="s">
        <v>73</v>
      </c>
      <c r="M1519" t="s">
        <v>37</v>
      </c>
      <c r="N1519" t="s">
        <v>52</v>
      </c>
      <c r="O1519" t="s">
        <v>24</v>
      </c>
    </row>
    <row r="1520" spans="1:15" x14ac:dyDescent="0.35">
      <c r="A1520" t="s">
        <v>2536</v>
      </c>
      <c r="B1520" s="2">
        <v>46124</v>
      </c>
      <c r="C1520" t="s">
        <v>618</v>
      </c>
      <c r="D1520" t="s">
        <v>1797</v>
      </c>
      <c r="E1520" t="s">
        <v>18</v>
      </c>
      <c r="F1520" t="s">
        <v>18</v>
      </c>
      <c r="G1520" t="s">
        <v>43</v>
      </c>
      <c r="H1520" t="s">
        <v>49</v>
      </c>
      <c r="I1520">
        <v>3</v>
      </c>
      <c r="J1520" s="3">
        <v>8600</v>
      </c>
      <c r="K1520" s="3">
        <v>5600</v>
      </c>
      <c r="L1520" t="s">
        <v>73</v>
      </c>
      <c r="M1520" t="s">
        <v>51</v>
      </c>
      <c r="N1520" t="s">
        <v>23</v>
      </c>
      <c r="O1520" t="s">
        <v>24</v>
      </c>
    </row>
    <row r="1521" spans="1:15" x14ac:dyDescent="0.35">
      <c r="A1521" t="s">
        <v>2537</v>
      </c>
      <c r="B1521" s="2">
        <v>46166</v>
      </c>
      <c r="C1521" t="s">
        <v>489</v>
      </c>
      <c r="D1521" t="s">
        <v>711</v>
      </c>
      <c r="E1521" t="s">
        <v>18</v>
      </c>
      <c r="F1521" t="s">
        <v>18</v>
      </c>
      <c r="G1521" t="s">
        <v>28</v>
      </c>
      <c r="H1521" t="s">
        <v>29</v>
      </c>
      <c r="I1521">
        <v>8</v>
      </c>
      <c r="J1521" s="3">
        <v>6600</v>
      </c>
      <c r="K1521" s="3">
        <v>4000</v>
      </c>
      <c r="L1521" t="s">
        <v>66</v>
      </c>
      <c r="M1521" t="s">
        <v>51</v>
      </c>
      <c r="N1521" t="s">
        <v>23</v>
      </c>
      <c r="O1521" t="s">
        <v>24</v>
      </c>
    </row>
    <row r="1522" spans="1:15" x14ac:dyDescent="0.35">
      <c r="A1522" t="s">
        <v>2538</v>
      </c>
      <c r="B1522" s="2">
        <v>46330</v>
      </c>
      <c r="C1522" t="s">
        <v>26</v>
      </c>
      <c r="D1522" t="s">
        <v>1845</v>
      </c>
      <c r="E1522" t="s">
        <v>18</v>
      </c>
      <c r="F1522" t="s">
        <v>18</v>
      </c>
      <c r="G1522" t="s">
        <v>28</v>
      </c>
      <c r="H1522" t="s">
        <v>131</v>
      </c>
      <c r="I1522">
        <v>4</v>
      </c>
      <c r="J1522" s="3">
        <v>31500</v>
      </c>
      <c r="K1522" s="3">
        <v>19600</v>
      </c>
      <c r="L1522" t="s">
        <v>73</v>
      </c>
      <c r="M1522" t="s">
        <v>31</v>
      </c>
      <c r="N1522" t="s">
        <v>52</v>
      </c>
      <c r="O1522" t="s">
        <v>24</v>
      </c>
    </row>
    <row r="1523" spans="1:15" x14ac:dyDescent="0.35">
      <c r="A1523" t="s">
        <v>2539</v>
      </c>
      <c r="B1523" s="2">
        <v>46140</v>
      </c>
      <c r="C1523" t="s">
        <v>101</v>
      </c>
      <c r="D1523" t="s">
        <v>1535</v>
      </c>
      <c r="E1523" t="s">
        <v>77</v>
      </c>
      <c r="F1523" t="s">
        <v>78</v>
      </c>
      <c r="G1523" t="s">
        <v>34</v>
      </c>
      <c r="H1523" t="s">
        <v>95</v>
      </c>
      <c r="I1523">
        <v>7</v>
      </c>
      <c r="J1523" s="3">
        <v>472500</v>
      </c>
      <c r="K1523" s="3">
        <v>358900</v>
      </c>
      <c r="L1523" t="s">
        <v>66</v>
      </c>
      <c r="M1523" t="s">
        <v>51</v>
      </c>
      <c r="N1523" t="s">
        <v>23</v>
      </c>
      <c r="O1523" t="s">
        <v>24</v>
      </c>
    </row>
    <row r="1524" spans="1:15" x14ac:dyDescent="0.35">
      <c r="A1524" t="s">
        <v>2540</v>
      </c>
      <c r="B1524" s="2">
        <v>46333</v>
      </c>
      <c r="C1524" t="s">
        <v>366</v>
      </c>
      <c r="D1524" t="s">
        <v>238</v>
      </c>
      <c r="E1524" t="s">
        <v>156</v>
      </c>
      <c r="F1524" t="s">
        <v>170</v>
      </c>
      <c r="G1524" t="s">
        <v>19</v>
      </c>
      <c r="H1524" t="s">
        <v>112</v>
      </c>
      <c r="I1524">
        <v>2</v>
      </c>
      <c r="J1524" s="3">
        <v>80800</v>
      </c>
      <c r="K1524" s="3">
        <v>63900</v>
      </c>
      <c r="L1524" t="s">
        <v>36</v>
      </c>
      <c r="M1524" t="s">
        <v>37</v>
      </c>
      <c r="N1524" t="s">
        <v>87</v>
      </c>
      <c r="O1524" t="s">
        <v>24</v>
      </c>
    </row>
    <row r="1525" spans="1:15" x14ac:dyDescent="0.35">
      <c r="A1525" t="s">
        <v>2541</v>
      </c>
      <c r="B1525" s="2">
        <v>46354</v>
      </c>
      <c r="C1525" t="s">
        <v>1237</v>
      </c>
      <c r="D1525" t="s">
        <v>1689</v>
      </c>
      <c r="E1525" t="s">
        <v>70</v>
      </c>
      <c r="F1525" t="s">
        <v>71</v>
      </c>
      <c r="G1525" t="s">
        <v>19</v>
      </c>
      <c r="H1525" t="s">
        <v>112</v>
      </c>
      <c r="I1525">
        <v>7</v>
      </c>
      <c r="J1525" s="3">
        <v>89200</v>
      </c>
      <c r="K1525" s="3">
        <v>62000</v>
      </c>
      <c r="L1525" t="s">
        <v>73</v>
      </c>
      <c r="M1525" t="s">
        <v>51</v>
      </c>
      <c r="N1525" t="s">
        <v>52</v>
      </c>
      <c r="O1525" t="s">
        <v>24</v>
      </c>
    </row>
    <row r="1526" spans="1:15" x14ac:dyDescent="0.35">
      <c r="A1526" t="s">
        <v>2542</v>
      </c>
      <c r="B1526" s="2">
        <v>46287</v>
      </c>
      <c r="C1526" t="s">
        <v>791</v>
      </c>
      <c r="D1526" t="s">
        <v>121</v>
      </c>
      <c r="E1526" t="s">
        <v>41</v>
      </c>
      <c r="F1526" t="s">
        <v>42</v>
      </c>
      <c r="G1526" t="s">
        <v>43</v>
      </c>
      <c r="H1526" t="s">
        <v>49</v>
      </c>
      <c r="I1526">
        <v>5</v>
      </c>
      <c r="J1526" s="3">
        <v>9000</v>
      </c>
      <c r="K1526" s="3">
        <v>6000</v>
      </c>
      <c r="L1526" t="s">
        <v>96</v>
      </c>
      <c r="M1526" t="s">
        <v>37</v>
      </c>
      <c r="N1526" t="s">
        <v>87</v>
      </c>
      <c r="O1526" t="s">
        <v>45</v>
      </c>
    </row>
    <row r="1527" spans="1:15" x14ac:dyDescent="0.35">
      <c r="A1527" t="s">
        <v>2543</v>
      </c>
      <c r="B1527" s="2">
        <v>46386</v>
      </c>
      <c r="C1527" t="s">
        <v>871</v>
      </c>
      <c r="D1527" t="s">
        <v>468</v>
      </c>
      <c r="E1527" t="s">
        <v>18</v>
      </c>
      <c r="F1527" t="s">
        <v>18</v>
      </c>
      <c r="G1527" t="s">
        <v>34</v>
      </c>
      <c r="H1527" t="s">
        <v>86</v>
      </c>
      <c r="I1527">
        <v>1</v>
      </c>
      <c r="J1527" s="3">
        <v>180000</v>
      </c>
      <c r="K1527" s="3">
        <v>139000</v>
      </c>
      <c r="L1527" t="s">
        <v>66</v>
      </c>
      <c r="M1527" t="s">
        <v>37</v>
      </c>
      <c r="N1527" t="s">
        <v>23</v>
      </c>
      <c r="O1527" t="s">
        <v>24</v>
      </c>
    </row>
    <row r="1528" spans="1:15" x14ac:dyDescent="0.35">
      <c r="A1528" t="s">
        <v>2544</v>
      </c>
      <c r="B1528" s="2">
        <v>46355</v>
      </c>
      <c r="C1528" t="s">
        <v>2545</v>
      </c>
      <c r="D1528" t="s">
        <v>140</v>
      </c>
      <c r="E1528" t="s">
        <v>156</v>
      </c>
      <c r="F1528" t="s">
        <v>170</v>
      </c>
      <c r="G1528" t="s">
        <v>28</v>
      </c>
      <c r="H1528" t="s">
        <v>65</v>
      </c>
      <c r="I1528">
        <v>7</v>
      </c>
      <c r="J1528" s="3">
        <v>12000</v>
      </c>
      <c r="K1528" s="3">
        <v>7300</v>
      </c>
      <c r="L1528" t="s">
        <v>30</v>
      </c>
      <c r="M1528" t="s">
        <v>37</v>
      </c>
      <c r="N1528" t="s">
        <v>87</v>
      </c>
      <c r="O1528" t="s">
        <v>24</v>
      </c>
    </row>
    <row r="1529" spans="1:15" x14ac:dyDescent="0.35">
      <c r="A1529" t="s">
        <v>2546</v>
      </c>
      <c r="B1529" s="2">
        <v>46228</v>
      </c>
      <c r="C1529" t="s">
        <v>1879</v>
      </c>
      <c r="D1529" t="s">
        <v>1686</v>
      </c>
      <c r="E1529" t="s">
        <v>18</v>
      </c>
      <c r="F1529" t="s">
        <v>18</v>
      </c>
      <c r="G1529" t="s">
        <v>19</v>
      </c>
      <c r="H1529" t="s">
        <v>20</v>
      </c>
      <c r="I1529">
        <v>8</v>
      </c>
      <c r="J1529" s="3">
        <v>65000</v>
      </c>
      <c r="K1529" s="3">
        <v>43600</v>
      </c>
      <c r="L1529" t="s">
        <v>30</v>
      </c>
      <c r="M1529" t="s">
        <v>37</v>
      </c>
      <c r="N1529" t="s">
        <v>23</v>
      </c>
      <c r="O1529" t="s">
        <v>24</v>
      </c>
    </row>
    <row r="1530" spans="1:15" x14ac:dyDescent="0.35">
      <c r="A1530" t="s">
        <v>2547</v>
      </c>
      <c r="B1530" s="2">
        <v>46190</v>
      </c>
      <c r="C1530" t="s">
        <v>1548</v>
      </c>
      <c r="D1530" t="s">
        <v>482</v>
      </c>
      <c r="E1530" t="s">
        <v>77</v>
      </c>
      <c r="F1530" t="s">
        <v>78</v>
      </c>
      <c r="G1530" t="s">
        <v>34</v>
      </c>
      <c r="H1530" t="s">
        <v>141</v>
      </c>
      <c r="I1530">
        <v>3</v>
      </c>
      <c r="J1530" s="3">
        <v>160000</v>
      </c>
      <c r="K1530" s="3">
        <v>120000</v>
      </c>
      <c r="L1530" t="s">
        <v>36</v>
      </c>
      <c r="M1530" t="s">
        <v>31</v>
      </c>
      <c r="N1530" t="s">
        <v>52</v>
      </c>
      <c r="O1530" t="s">
        <v>24</v>
      </c>
    </row>
    <row r="1531" spans="1:15" x14ac:dyDescent="0.35">
      <c r="A1531" t="s">
        <v>2548</v>
      </c>
      <c r="B1531" s="2">
        <v>46130</v>
      </c>
      <c r="C1531" t="s">
        <v>2549</v>
      </c>
      <c r="D1531" t="s">
        <v>565</v>
      </c>
      <c r="E1531" t="s">
        <v>18</v>
      </c>
      <c r="F1531" t="s">
        <v>18</v>
      </c>
      <c r="G1531" t="s">
        <v>43</v>
      </c>
      <c r="H1531" t="s">
        <v>49</v>
      </c>
      <c r="I1531">
        <v>4</v>
      </c>
      <c r="J1531" s="3">
        <v>9000</v>
      </c>
      <c r="K1531" s="3">
        <v>5600</v>
      </c>
      <c r="L1531" t="s">
        <v>96</v>
      </c>
      <c r="M1531" t="s">
        <v>22</v>
      </c>
      <c r="N1531" t="s">
        <v>52</v>
      </c>
      <c r="O1531" t="s">
        <v>24</v>
      </c>
    </row>
    <row r="1532" spans="1:15" x14ac:dyDescent="0.35">
      <c r="A1532" t="s">
        <v>2550</v>
      </c>
      <c r="B1532" s="2">
        <v>46257</v>
      </c>
      <c r="C1532" t="s">
        <v>199</v>
      </c>
      <c r="D1532" t="s">
        <v>270</v>
      </c>
      <c r="E1532" t="s">
        <v>18</v>
      </c>
      <c r="F1532" t="s">
        <v>18</v>
      </c>
      <c r="G1532" t="s">
        <v>34</v>
      </c>
      <c r="H1532" t="s">
        <v>95</v>
      </c>
      <c r="I1532">
        <v>9</v>
      </c>
      <c r="J1532" s="3">
        <v>472500</v>
      </c>
      <c r="K1532" s="3">
        <v>370000</v>
      </c>
      <c r="L1532" t="s">
        <v>50</v>
      </c>
      <c r="M1532" t="s">
        <v>37</v>
      </c>
      <c r="N1532" t="s">
        <v>23</v>
      </c>
      <c r="O1532" t="s">
        <v>91</v>
      </c>
    </row>
    <row r="1533" spans="1:15" x14ac:dyDescent="0.35">
      <c r="A1533" t="s">
        <v>2551</v>
      </c>
      <c r="B1533" s="2">
        <v>46128</v>
      </c>
      <c r="C1533" t="s">
        <v>290</v>
      </c>
      <c r="D1533" t="s">
        <v>1267</v>
      </c>
      <c r="E1533" t="s">
        <v>18</v>
      </c>
      <c r="F1533" t="s">
        <v>18</v>
      </c>
      <c r="G1533" t="s">
        <v>28</v>
      </c>
      <c r="H1533" t="s">
        <v>72</v>
      </c>
      <c r="I1533">
        <v>9</v>
      </c>
      <c r="J1533" s="3">
        <v>10500</v>
      </c>
      <c r="K1533" s="3">
        <v>6400</v>
      </c>
      <c r="L1533" t="s">
        <v>73</v>
      </c>
      <c r="M1533" t="s">
        <v>31</v>
      </c>
      <c r="N1533" t="s">
        <v>23</v>
      </c>
      <c r="O1533" t="s">
        <v>24</v>
      </c>
    </row>
    <row r="1534" spans="1:15" x14ac:dyDescent="0.35">
      <c r="A1534" t="s">
        <v>2552</v>
      </c>
      <c r="B1534" s="2">
        <v>46042</v>
      </c>
      <c r="C1534" t="s">
        <v>261</v>
      </c>
      <c r="D1534" t="s">
        <v>511</v>
      </c>
      <c r="E1534" t="s">
        <v>156</v>
      </c>
      <c r="F1534" t="s">
        <v>157</v>
      </c>
      <c r="G1534" t="s">
        <v>28</v>
      </c>
      <c r="H1534" t="s">
        <v>131</v>
      </c>
      <c r="I1534">
        <v>8</v>
      </c>
      <c r="J1534" s="3">
        <v>30000</v>
      </c>
      <c r="K1534" s="3">
        <v>19600</v>
      </c>
      <c r="L1534" t="s">
        <v>80</v>
      </c>
      <c r="M1534" t="s">
        <v>51</v>
      </c>
      <c r="N1534" t="s">
        <v>23</v>
      </c>
      <c r="O1534" t="s">
        <v>24</v>
      </c>
    </row>
    <row r="1535" spans="1:15" x14ac:dyDescent="0.35">
      <c r="A1535" t="s">
        <v>2553</v>
      </c>
      <c r="B1535" s="2">
        <v>46089</v>
      </c>
      <c r="C1535" t="s">
        <v>580</v>
      </c>
      <c r="D1535" t="s">
        <v>1845</v>
      </c>
      <c r="E1535" t="s">
        <v>18</v>
      </c>
      <c r="F1535" t="s">
        <v>18</v>
      </c>
      <c r="G1535" t="s">
        <v>19</v>
      </c>
      <c r="H1535" t="s">
        <v>166</v>
      </c>
      <c r="I1535">
        <v>4</v>
      </c>
      <c r="J1535" s="3">
        <v>140000</v>
      </c>
      <c r="K1535" s="3">
        <v>97000</v>
      </c>
      <c r="L1535" t="s">
        <v>66</v>
      </c>
      <c r="M1535" t="s">
        <v>22</v>
      </c>
      <c r="N1535" t="s">
        <v>23</v>
      </c>
      <c r="O1535" t="s">
        <v>45</v>
      </c>
    </row>
    <row r="1536" spans="1:15" x14ac:dyDescent="0.35">
      <c r="A1536" t="s">
        <v>2554</v>
      </c>
      <c r="B1536" s="2">
        <v>46035</v>
      </c>
      <c r="C1536" t="s">
        <v>1842</v>
      </c>
      <c r="D1536" t="s">
        <v>2184</v>
      </c>
      <c r="E1536" t="s">
        <v>190</v>
      </c>
      <c r="F1536" t="s">
        <v>191</v>
      </c>
      <c r="G1536" t="s">
        <v>28</v>
      </c>
      <c r="H1536" t="s">
        <v>29</v>
      </c>
      <c r="I1536">
        <v>4</v>
      </c>
      <c r="J1536" s="3">
        <v>7000</v>
      </c>
      <c r="K1536" s="3">
        <v>3900</v>
      </c>
      <c r="L1536" t="s">
        <v>30</v>
      </c>
      <c r="M1536" t="s">
        <v>37</v>
      </c>
      <c r="N1536" t="s">
        <v>87</v>
      </c>
      <c r="O1536" t="s">
        <v>45</v>
      </c>
    </row>
    <row r="1537" spans="1:15" x14ac:dyDescent="0.35">
      <c r="A1537" t="s">
        <v>2555</v>
      </c>
      <c r="B1537" s="2">
        <v>46233</v>
      </c>
      <c r="C1537" t="s">
        <v>2161</v>
      </c>
      <c r="D1537" t="s">
        <v>514</v>
      </c>
      <c r="E1537" t="s">
        <v>56</v>
      </c>
      <c r="F1537" t="s">
        <v>57</v>
      </c>
      <c r="G1537" t="s">
        <v>28</v>
      </c>
      <c r="H1537" t="s">
        <v>72</v>
      </c>
      <c r="I1537">
        <v>8</v>
      </c>
      <c r="J1537" s="3">
        <v>9500</v>
      </c>
      <c r="K1537" s="3">
        <v>6400</v>
      </c>
      <c r="L1537" t="s">
        <v>66</v>
      </c>
      <c r="M1537" t="s">
        <v>37</v>
      </c>
      <c r="N1537" t="s">
        <v>52</v>
      </c>
      <c r="O1537" t="s">
        <v>45</v>
      </c>
    </row>
    <row r="1538" spans="1:15" x14ac:dyDescent="0.35">
      <c r="A1538" t="s">
        <v>2556</v>
      </c>
      <c r="B1538" s="2">
        <v>46122</v>
      </c>
      <c r="C1538" t="s">
        <v>475</v>
      </c>
      <c r="D1538" t="s">
        <v>2213</v>
      </c>
      <c r="E1538" t="s">
        <v>70</v>
      </c>
      <c r="F1538" t="s">
        <v>71</v>
      </c>
      <c r="G1538" t="s">
        <v>28</v>
      </c>
      <c r="H1538" t="s">
        <v>72</v>
      </c>
      <c r="I1538">
        <v>1</v>
      </c>
      <c r="J1538" s="3">
        <v>10500</v>
      </c>
      <c r="K1538" s="3">
        <v>6400</v>
      </c>
      <c r="L1538" t="s">
        <v>80</v>
      </c>
      <c r="M1538" t="s">
        <v>51</v>
      </c>
      <c r="N1538" t="s">
        <v>23</v>
      </c>
      <c r="O1538" t="s">
        <v>24</v>
      </c>
    </row>
    <row r="1539" spans="1:15" x14ac:dyDescent="0.35">
      <c r="A1539" t="s">
        <v>2557</v>
      </c>
      <c r="B1539" s="2">
        <v>46362</v>
      </c>
      <c r="C1539" t="s">
        <v>139</v>
      </c>
      <c r="D1539" t="s">
        <v>438</v>
      </c>
      <c r="E1539" t="s">
        <v>70</v>
      </c>
      <c r="F1539" t="s">
        <v>71</v>
      </c>
      <c r="G1539" t="s">
        <v>19</v>
      </c>
      <c r="H1539" t="s">
        <v>20</v>
      </c>
      <c r="I1539">
        <v>5</v>
      </c>
      <c r="J1539" s="3">
        <v>65000</v>
      </c>
      <c r="K1539" s="3">
        <v>46400</v>
      </c>
      <c r="L1539" t="s">
        <v>36</v>
      </c>
      <c r="M1539" t="s">
        <v>37</v>
      </c>
      <c r="N1539" t="s">
        <v>52</v>
      </c>
      <c r="O1539" t="s">
        <v>24</v>
      </c>
    </row>
    <row r="1540" spans="1:15" x14ac:dyDescent="0.35">
      <c r="A1540" t="s">
        <v>2558</v>
      </c>
      <c r="B1540" s="2">
        <v>46081</v>
      </c>
      <c r="C1540" t="s">
        <v>2559</v>
      </c>
      <c r="D1540" t="s">
        <v>1377</v>
      </c>
      <c r="E1540" t="s">
        <v>70</v>
      </c>
      <c r="F1540" t="s">
        <v>71</v>
      </c>
      <c r="G1540" t="s">
        <v>43</v>
      </c>
      <c r="H1540" t="s">
        <v>79</v>
      </c>
      <c r="I1540">
        <v>9</v>
      </c>
      <c r="J1540" s="3">
        <v>6000</v>
      </c>
      <c r="K1540" s="3">
        <v>4100</v>
      </c>
      <c r="L1540" t="s">
        <v>30</v>
      </c>
      <c r="M1540" t="s">
        <v>31</v>
      </c>
      <c r="N1540" t="s">
        <v>52</v>
      </c>
      <c r="O1540" t="s">
        <v>45</v>
      </c>
    </row>
    <row r="1541" spans="1:15" x14ac:dyDescent="0.35">
      <c r="A1541" t="s">
        <v>2560</v>
      </c>
      <c r="B1541" s="2">
        <v>46092</v>
      </c>
      <c r="C1541" t="s">
        <v>290</v>
      </c>
      <c r="D1541" t="s">
        <v>161</v>
      </c>
      <c r="E1541" t="s">
        <v>56</v>
      </c>
      <c r="F1541" t="s">
        <v>57</v>
      </c>
      <c r="G1541" t="s">
        <v>19</v>
      </c>
      <c r="H1541" t="s">
        <v>166</v>
      </c>
      <c r="I1541">
        <v>1</v>
      </c>
      <c r="J1541" s="3">
        <v>140000</v>
      </c>
      <c r="K1541" s="3">
        <v>100000</v>
      </c>
      <c r="L1541" t="s">
        <v>21</v>
      </c>
      <c r="M1541" t="s">
        <v>37</v>
      </c>
      <c r="N1541" t="s">
        <v>23</v>
      </c>
      <c r="O1541" t="s">
        <v>24</v>
      </c>
    </row>
    <row r="1542" spans="1:15" x14ac:dyDescent="0.35">
      <c r="A1542" t="s">
        <v>2561</v>
      </c>
      <c r="B1542" s="2">
        <v>46159</v>
      </c>
      <c r="C1542" t="s">
        <v>539</v>
      </c>
      <c r="D1542" t="s">
        <v>646</v>
      </c>
      <c r="E1542" t="s">
        <v>156</v>
      </c>
      <c r="F1542" t="s">
        <v>157</v>
      </c>
      <c r="G1542" t="s">
        <v>43</v>
      </c>
      <c r="H1542" t="s">
        <v>49</v>
      </c>
      <c r="I1542">
        <v>2</v>
      </c>
      <c r="J1542" s="3">
        <v>8600</v>
      </c>
      <c r="K1542" s="3">
        <v>5800</v>
      </c>
      <c r="L1542" t="s">
        <v>73</v>
      </c>
      <c r="M1542" t="s">
        <v>51</v>
      </c>
      <c r="N1542" t="s">
        <v>23</v>
      </c>
      <c r="O1542" t="s">
        <v>45</v>
      </c>
    </row>
    <row r="1543" spans="1:15" x14ac:dyDescent="0.35">
      <c r="A1543" t="s">
        <v>2562</v>
      </c>
      <c r="B1543" s="2">
        <v>46182</v>
      </c>
      <c r="C1543" t="s">
        <v>753</v>
      </c>
      <c r="D1543" t="s">
        <v>507</v>
      </c>
      <c r="E1543" t="s">
        <v>77</v>
      </c>
      <c r="F1543" t="s">
        <v>78</v>
      </c>
      <c r="G1543" t="s">
        <v>34</v>
      </c>
      <c r="H1543" t="s">
        <v>158</v>
      </c>
      <c r="I1543">
        <v>10</v>
      </c>
      <c r="J1543" s="3">
        <v>90200</v>
      </c>
      <c r="K1543" s="3">
        <v>72100</v>
      </c>
      <c r="L1543" t="s">
        <v>73</v>
      </c>
      <c r="M1543" t="s">
        <v>37</v>
      </c>
      <c r="N1543" t="s">
        <v>52</v>
      </c>
      <c r="O1543" t="s">
        <v>45</v>
      </c>
    </row>
    <row r="1544" spans="1:15" x14ac:dyDescent="0.35">
      <c r="A1544" t="s">
        <v>2563</v>
      </c>
      <c r="B1544" s="2">
        <v>46097</v>
      </c>
      <c r="C1544" t="s">
        <v>2334</v>
      </c>
      <c r="D1544" t="s">
        <v>432</v>
      </c>
      <c r="E1544" t="s">
        <v>41</v>
      </c>
      <c r="F1544" t="s">
        <v>42</v>
      </c>
      <c r="G1544" t="s">
        <v>19</v>
      </c>
      <c r="H1544" t="s">
        <v>61</v>
      </c>
      <c r="I1544">
        <v>10</v>
      </c>
      <c r="J1544" s="3">
        <v>220000</v>
      </c>
      <c r="K1544" s="3">
        <v>160000</v>
      </c>
      <c r="L1544" t="s">
        <v>21</v>
      </c>
      <c r="M1544" t="s">
        <v>51</v>
      </c>
      <c r="N1544" t="s">
        <v>87</v>
      </c>
      <c r="O1544" t="s">
        <v>24</v>
      </c>
    </row>
    <row r="1545" spans="1:15" x14ac:dyDescent="0.35">
      <c r="A1545" t="s">
        <v>2564</v>
      </c>
      <c r="B1545" s="2">
        <v>46285</v>
      </c>
      <c r="C1545" t="s">
        <v>1442</v>
      </c>
      <c r="D1545" t="s">
        <v>383</v>
      </c>
      <c r="E1545" t="s">
        <v>41</v>
      </c>
      <c r="F1545" t="s">
        <v>42</v>
      </c>
      <c r="G1545" t="s">
        <v>19</v>
      </c>
      <c r="H1545" t="s">
        <v>61</v>
      </c>
      <c r="I1545">
        <v>1</v>
      </c>
      <c r="J1545" s="3">
        <v>220000</v>
      </c>
      <c r="K1545" s="3">
        <v>164800</v>
      </c>
      <c r="L1545" t="s">
        <v>80</v>
      </c>
      <c r="M1545" t="s">
        <v>37</v>
      </c>
      <c r="N1545" t="s">
        <v>52</v>
      </c>
      <c r="O1545" t="s">
        <v>91</v>
      </c>
    </row>
    <row r="1546" spans="1:15" x14ac:dyDescent="0.35">
      <c r="A1546" t="s">
        <v>2565</v>
      </c>
      <c r="B1546" s="2">
        <v>46231</v>
      </c>
      <c r="C1546" t="s">
        <v>458</v>
      </c>
      <c r="D1546" t="s">
        <v>294</v>
      </c>
      <c r="E1546" t="s">
        <v>41</v>
      </c>
      <c r="F1546" t="s">
        <v>42</v>
      </c>
      <c r="G1546" t="s">
        <v>34</v>
      </c>
      <c r="H1546" t="s">
        <v>141</v>
      </c>
      <c r="I1546">
        <v>1</v>
      </c>
      <c r="J1546" s="3">
        <v>160000</v>
      </c>
      <c r="K1546" s="3">
        <v>120000</v>
      </c>
      <c r="L1546" t="s">
        <v>36</v>
      </c>
      <c r="M1546" t="s">
        <v>37</v>
      </c>
      <c r="N1546" t="s">
        <v>87</v>
      </c>
      <c r="O1546" t="s">
        <v>24</v>
      </c>
    </row>
    <row r="1547" spans="1:15" x14ac:dyDescent="0.35">
      <c r="A1547" t="s">
        <v>2566</v>
      </c>
      <c r="B1547" s="2">
        <v>46175</v>
      </c>
      <c r="C1547" t="s">
        <v>1522</v>
      </c>
      <c r="D1547" t="s">
        <v>760</v>
      </c>
      <c r="E1547" t="s">
        <v>84</v>
      </c>
      <c r="F1547" t="s">
        <v>85</v>
      </c>
      <c r="G1547" t="s">
        <v>43</v>
      </c>
      <c r="H1547" t="s">
        <v>162</v>
      </c>
      <c r="I1547">
        <v>6</v>
      </c>
      <c r="J1547" s="3">
        <v>8000</v>
      </c>
      <c r="K1547" s="3">
        <v>5000</v>
      </c>
      <c r="L1547" t="s">
        <v>50</v>
      </c>
      <c r="M1547" t="s">
        <v>37</v>
      </c>
      <c r="N1547" t="s">
        <v>52</v>
      </c>
      <c r="O1547" t="s">
        <v>45</v>
      </c>
    </row>
    <row r="1548" spans="1:15" x14ac:dyDescent="0.35">
      <c r="A1548" t="s">
        <v>2567</v>
      </c>
      <c r="B1548" s="2">
        <v>46369</v>
      </c>
      <c r="C1548" t="s">
        <v>1511</v>
      </c>
      <c r="D1548" t="s">
        <v>697</v>
      </c>
      <c r="E1548" t="s">
        <v>84</v>
      </c>
      <c r="F1548" t="s">
        <v>85</v>
      </c>
      <c r="G1548" t="s">
        <v>43</v>
      </c>
      <c r="H1548" t="s">
        <v>49</v>
      </c>
      <c r="I1548">
        <v>8</v>
      </c>
      <c r="J1548" s="3">
        <v>9000</v>
      </c>
      <c r="K1548" s="3">
        <v>5600</v>
      </c>
      <c r="L1548" t="s">
        <v>80</v>
      </c>
      <c r="M1548" t="s">
        <v>31</v>
      </c>
      <c r="N1548" t="s">
        <v>23</v>
      </c>
      <c r="O1548" t="s">
        <v>24</v>
      </c>
    </row>
    <row r="1549" spans="1:15" x14ac:dyDescent="0.35">
      <c r="A1549" t="s">
        <v>2568</v>
      </c>
      <c r="B1549" s="2">
        <v>46329</v>
      </c>
      <c r="C1549" t="s">
        <v>68</v>
      </c>
      <c r="D1549" t="s">
        <v>127</v>
      </c>
      <c r="E1549" t="s">
        <v>156</v>
      </c>
      <c r="F1549" t="s">
        <v>170</v>
      </c>
      <c r="G1549" t="s">
        <v>34</v>
      </c>
      <c r="H1549" t="s">
        <v>158</v>
      </c>
      <c r="I1549">
        <v>5</v>
      </c>
      <c r="J1549" s="3">
        <v>95000</v>
      </c>
      <c r="K1549" s="3">
        <v>70000</v>
      </c>
      <c r="L1549" t="s">
        <v>50</v>
      </c>
      <c r="M1549" t="s">
        <v>31</v>
      </c>
      <c r="N1549" t="s">
        <v>23</v>
      </c>
      <c r="O1549" t="s">
        <v>24</v>
      </c>
    </row>
    <row r="1550" spans="1:15" x14ac:dyDescent="0.35">
      <c r="A1550" t="s">
        <v>2569</v>
      </c>
      <c r="B1550" s="2">
        <v>46164</v>
      </c>
      <c r="C1550" t="s">
        <v>264</v>
      </c>
      <c r="D1550" t="s">
        <v>646</v>
      </c>
      <c r="E1550" t="s">
        <v>156</v>
      </c>
      <c r="F1550" t="s">
        <v>157</v>
      </c>
      <c r="G1550" t="s">
        <v>43</v>
      </c>
      <c r="H1550" t="s">
        <v>44</v>
      </c>
      <c r="I1550">
        <v>8</v>
      </c>
      <c r="J1550" s="3">
        <v>14200</v>
      </c>
      <c r="K1550" s="3">
        <v>9500</v>
      </c>
      <c r="L1550" t="s">
        <v>73</v>
      </c>
      <c r="M1550" t="s">
        <v>51</v>
      </c>
      <c r="N1550" t="s">
        <v>23</v>
      </c>
      <c r="O1550" t="s">
        <v>24</v>
      </c>
    </row>
    <row r="1551" spans="1:15" x14ac:dyDescent="0.35">
      <c r="A1551" t="s">
        <v>2570</v>
      </c>
      <c r="B1551" s="2">
        <v>46297</v>
      </c>
      <c r="C1551" t="s">
        <v>874</v>
      </c>
      <c r="D1551" t="s">
        <v>425</v>
      </c>
      <c r="E1551" t="s">
        <v>18</v>
      </c>
      <c r="F1551" t="s">
        <v>18</v>
      </c>
      <c r="G1551" t="s">
        <v>43</v>
      </c>
      <c r="H1551" t="s">
        <v>79</v>
      </c>
      <c r="I1551">
        <v>5</v>
      </c>
      <c r="J1551" s="3">
        <v>6000</v>
      </c>
      <c r="K1551" s="3">
        <v>4100</v>
      </c>
      <c r="L1551" t="s">
        <v>30</v>
      </c>
      <c r="M1551" t="s">
        <v>31</v>
      </c>
      <c r="N1551" t="s">
        <v>23</v>
      </c>
      <c r="O1551" t="s">
        <v>24</v>
      </c>
    </row>
    <row r="1552" spans="1:15" x14ac:dyDescent="0.35">
      <c r="A1552" t="s">
        <v>2571</v>
      </c>
      <c r="B1552" s="2">
        <v>46259</v>
      </c>
      <c r="C1552" t="s">
        <v>506</v>
      </c>
      <c r="D1552" t="s">
        <v>1382</v>
      </c>
      <c r="E1552" t="s">
        <v>156</v>
      </c>
      <c r="F1552" t="s">
        <v>157</v>
      </c>
      <c r="G1552" t="s">
        <v>34</v>
      </c>
      <c r="H1552" t="s">
        <v>158</v>
      </c>
      <c r="I1552">
        <v>4</v>
      </c>
      <c r="J1552" s="3">
        <v>99800</v>
      </c>
      <c r="K1552" s="3">
        <v>70000</v>
      </c>
      <c r="L1552" t="s">
        <v>36</v>
      </c>
      <c r="M1552" t="s">
        <v>37</v>
      </c>
      <c r="N1552" t="s">
        <v>87</v>
      </c>
      <c r="O1552" t="s">
        <v>45</v>
      </c>
    </row>
    <row r="1553" spans="1:15" x14ac:dyDescent="0.35">
      <c r="A1553" t="s">
        <v>2572</v>
      </c>
      <c r="B1553" s="2">
        <v>46220</v>
      </c>
      <c r="C1553" t="s">
        <v>1416</v>
      </c>
      <c r="D1553" t="s">
        <v>462</v>
      </c>
      <c r="E1553" t="s">
        <v>156</v>
      </c>
      <c r="F1553" t="s">
        <v>157</v>
      </c>
      <c r="G1553" t="s">
        <v>28</v>
      </c>
      <c r="H1553" t="s">
        <v>131</v>
      </c>
      <c r="I1553">
        <v>8</v>
      </c>
      <c r="J1553" s="3">
        <v>30000</v>
      </c>
      <c r="K1553" s="3">
        <v>18400</v>
      </c>
      <c r="L1553" t="s">
        <v>80</v>
      </c>
      <c r="M1553" t="s">
        <v>22</v>
      </c>
      <c r="N1553" t="s">
        <v>23</v>
      </c>
      <c r="O1553" t="s">
        <v>24</v>
      </c>
    </row>
    <row r="1554" spans="1:15" x14ac:dyDescent="0.35">
      <c r="A1554" t="s">
        <v>2573</v>
      </c>
      <c r="B1554" s="2">
        <v>46162</v>
      </c>
      <c r="C1554" t="s">
        <v>2574</v>
      </c>
      <c r="D1554" t="s">
        <v>2575</v>
      </c>
      <c r="E1554" t="s">
        <v>18</v>
      </c>
      <c r="F1554" t="s">
        <v>18</v>
      </c>
      <c r="G1554" t="s">
        <v>28</v>
      </c>
      <c r="H1554" t="s">
        <v>248</v>
      </c>
      <c r="I1554">
        <v>10</v>
      </c>
      <c r="J1554" s="3">
        <v>26200</v>
      </c>
      <c r="K1554" s="3">
        <v>15500</v>
      </c>
      <c r="L1554" t="s">
        <v>36</v>
      </c>
      <c r="M1554" t="s">
        <v>51</v>
      </c>
      <c r="N1554" t="s">
        <v>87</v>
      </c>
      <c r="O1554" t="s">
        <v>24</v>
      </c>
    </row>
    <row r="1555" spans="1:15" x14ac:dyDescent="0.35">
      <c r="A1555" t="s">
        <v>2576</v>
      </c>
      <c r="B1555" s="2">
        <v>46374</v>
      </c>
      <c r="C1555" t="s">
        <v>882</v>
      </c>
      <c r="D1555" t="s">
        <v>1256</v>
      </c>
      <c r="E1555" t="s">
        <v>56</v>
      </c>
      <c r="F1555" t="s">
        <v>57</v>
      </c>
      <c r="G1555" t="s">
        <v>19</v>
      </c>
      <c r="H1555" t="s">
        <v>20</v>
      </c>
      <c r="I1555">
        <v>10</v>
      </c>
      <c r="J1555" s="3">
        <v>61800</v>
      </c>
      <c r="K1555" s="3">
        <v>46400</v>
      </c>
      <c r="L1555" t="s">
        <v>73</v>
      </c>
      <c r="M1555" t="s">
        <v>37</v>
      </c>
      <c r="N1555" t="s">
        <v>52</v>
      </c>
      <c r="O1555" t="s">
        <v>24</v>
      </c>
    </row>
    <row r="1556" spans="1:15" x14ac:dyDescent="0.35">
      <c r="A1556" t="s">
        <v>2577</v>
      </c>
      <c r="B1556" s="2">
        <v>46056</v>
      </c>
      <c r="C1556" t="s">
        <v>350</v>
      </c>
      <c r="D1556" t="s">
        <v>253</v>
      </c>
      <c r="E1556" t="s">
        <v>56</v>
      </c>
      <c r="F1556" t="s">
        <v>57</v>
      </c>
      <c r="G1556" t="s">
        <v>19</v>
      </c>
      <c r="H1556" t="s">
        <v>112</v>
      </c>
      <c r="I1556">
        <v>2</v>
      </c>
      <c r="J1556" s="3">
        <v>80800</v>
      </c>
      <c r="K1556" s="3">
        <v>60100</v>
      </c>
      <c r="L1556" t="s">
        <v>73</v>
      </c>
      <c r="M1556" t="s">
        <v>22</v>
      </c>
      <c r="N1556" t="s">
        <v>23</v>
      </c>
      <c r="O1556" t="s">
        <v>24</v>
      </c>
    </row>
    <row r="1557" spans="1:15" x14ac:dyDescent="0.35">
      <c r="A1557" t="s">
        <v>2578</v>
      </c>
      <c r="B1557" s="2">
        <v>46128</v>
      </c>
      <c r="C1557" t="s">
        <v>326</v>
      </c>
      <c r="D1557" t="s">
        <v>335</v>
      </c>
      <c r="E1557" t="s">
        <v>18</v>
      </c>
      <c r="F1557" t="s">
        <v>18</v>
      </c>
      <c r="G1557" t="s">
        <v>34</v>
      </c>
      <c r="H1557" t="s">
        <v>86</v>
      </c>
      <c r="I1557">
        <v>4</v>
      </c>
      <c r="J1557" s="3">
        <v>189000</v>
      </c>
      <c r="K1557" s="3">
        <v>135000</v>
      </c>
      <c r="L1557" t="s">
        <v>66</v>
      </c>
      <c r="M1557" t="s">
        <v>22</v>
      </c>
      <c r="N1557" t="s">
        <v>23</v>
      </c>
      <c r="O1557" t="s">
        <v>24</v>
      </c>
    </row>
    <row r="1558" spans="1:15" x14ac:dyDescent="0.35">
      <c r="A1558" t="s">
        <v>2579</v>
      </c>
      <c r="B1558" s="2">
        <v>46363</v>
      </c>
      <c r="C1558" t="s">
        <v>896</v>
      </c>
      <c r="D1558" t="s">
        <v>247</v>
      </c>
      <c r="E1558" t="s">
        <v>190</v>
      </c>
      <c r="F1558" t="s">
        <v>191</v>
      </c>
      <c r="G1558" t="s">
        <v>19</v>
      </c>
      <c r="H1558" t="s">
        <v>61</v>
      </c>
      <c r="I1558">
        <v>2</v>
      </c>
      <c r="J1558" s="3">
        <v>220000</v>
      </c>
      <c r="K1558" s="3">
        <v>160000</v>
      </c>
      <c r="L1558" t="s">
        <v>36</v>
      </c>
      <c r="M1558" t="s">
        <v>37</v>
      </c>
      <c r="N1558" t="s">
        <v>23</v>
      </c>
      <c r="O1558" t="s">
        <v>24</v>
      </c>
    </row>
    <row r="1559" spans="1:15" x14ac:dyDescent="0.35">
      <c r="A1559" t="s">
        <v>2580</v>
      </c>
      <c r="B1559" s="2">
        <v>46257</v>
      </c>
      <c r="C1559" t="s">
        <v>1890</v>
      </c>
      <c r="D1559" t="s">
        <v>1258</v>
      </c>
      <c r="E1559" t="s">
        <v>41</v>
      </c>
      <c r="F1559" t="s">
        <v>42</v>
      </c>
      <c r="G1559" t="s">
        <v>34</v>
      </c>
      <c r="H1559" t="s">
        <v>158</v>
      </c>
      <c r="I1559">
        <v>4</v>
      </c>
      <c r="J1559" s="3">
        <v>95000</v>
      </c>
      <c r="K1559" s="3">
        <v>67900</v>
      </c>
      <c r="L1559" t="s">
        <v>73</v>
      </c>
      <c r="M1559" t="s">
        <v>22</v>
      </c>
      <c r="N1559" t="s">
        <v>52</v>
      </c>
      <c r="O1559" t="s">
        <v>91</v>
      </c>
    </row>
    <row r="1560" spans="1:15" x14ac:dyDescent="0.35">
      <c r="A1560" t="s">
        <v>2581</v>
      </c>
      <c r="B1560" s="2">
        <v>46324</v>
      </c>
      <c r="C1560" t="s">
        <v>612</v>
      </c>
      <c r="D1560" t="s">
        <v>354</v>
      </c>
      <c r="E1560" t="s">
        <v>18</v>
      </c>
      <c r="F1560" t="s">
        <v>18</v>
      </c>
      <c r="G1560" t="s">
        <v>19</v>
      </c>
      <c r="H1560" t="s">
        <v>166</v>
      </c>
      <c r="I1560">
        <v>8</v>
      </c>
      <c r="J1560" s="3">
        <v>147000</v>
      </c>
      <c r="K1560" s="3">
        <v>97000</v>
      </c>
      <c r="L1560" t="s">
        <v>66</v>
      </c>
      <c r="M1560" t="s">
        <v>51</v>
      </c>
      <c r="N1560" t="s">
        <v>52</v>
      </c>
      <c r="O1560" t="s">
        <v>24</v>
      </c>
    </row>
    <row r="1561" spans="1:15" x14ac:dyDescent="0.35">
      <c r="A1561" t="s">
        <v>2582</v>
      </c>
      <c r="B1561" s="2">
        <v>46251</v>
      </c>
      <c r="C1561" t="s">
        <v>1226</v>
      </c>
      <c r="D1561" t="s">
        <v>977</v>
      </c>
      <c r="E1561" t="s">
        <v>156</v>
      </c>
      <c r="F1561" t="s">
        <v>157</v>
      </c>
      <c r="G1561" t="s">
        <v>43</v>
      </c>
      <c r="H1561" t="s">
        <v>79</v>
      </c>
      <c r="I1561">
        <v>5</v>
      </c>
      <c r="J1561" s="3">
        <v>6300</v>
      </c>
      <c r="K1561" s="3">
        <v>4300</v>
      </c>
      <c r="L1561" t="s">
        <v>36</v>
      </c>
      <c r="M1561" t="s">
        <v>37</v>
      </c>
      <c r="N1561" t="s">
        <v>52</v>
      </c>
      <c r="O1561" t="s">
        <v>24</v>
      </c>
    </row>
    <row r="1562" spans="1:15" x14ac:dyDescent="0.35">
      <c r="A1562" t="s">
        <v>2583</v>
      </c>
      <c r="B1562" s="2">
        <v>46173</v>
      </c>
      <c r="C1562" t="s">
        <v>2584</v>
      </c>
      <c r="D1562" t="s">
        <v>800</v>
      </c>
      <c r="E1562" t="s">
        <v>18</v>
      </c>
      <c r="F1562" t="s">
        <v>18</v>
      </c>
      <c r="G1562" t="s">
        <v>34</v>
      </c>
      <c r="H1562" t="s">
        <v>35</v>
      </c>
      <c r="I1562">
        <v>2</v>
      </c>
      <c r="J1562" s="3">
        <v>55000</v>
      </c>
      <c r="K1562" s="3">
        <v>40200</v>
      </c>
      <c r="L1562" t="s">
        <v>30</v>
      </c>
      <c r="M1562" t="s">
        <v>31</v>
      </c>
      <c r="N1562" t="s">
        <v>52</v>
      </c>
      <c r="O1562" t="s">
        <v>24</v>
      </c>
    </row>
    <row r="1563" spans="1:15" x14ac:dyDescent="0.35">
      <c r="A1563" t="s">
        <v>2585</v>
      </c>
      <c r="B1563" s="2">
        <v>46103</v>
      </c>
      <c r="C1563" t="s">
        <v>1617</v>
      </c>
      <c r="D1563" t="s">
        <v>1382</v>
      </c>
      <c r="E1563" t="s">
        <v>190</v>
      </c>
      <c r="F1563" t="s">
        <v>191</v>
      </c>
      <c r="G1563" t="s">
        <v>43</v>
      </c>
      <c r="H1563" t="s">
        <v>49</v>
      </c>
      <c r="I1563">
        <v>8</v>
      </c>
      <c r="J1563" s="3">
        <v>8600</v>
      </c>
      <c r="K1563" s="3">
        <v>6000</v>
      </c>
      <c r="L1563" t="s">
        <v>96</v>
      </c>
      <c r="M1563" t="s">
        <v>51</v>
      </c>
      <c r="N1563" t="s">
        <v>23</v>
      </c>
      <c r="O1563" t="s">
        <v>91</v>
      </c>
    </row>
    <row r="1564" spans="1:15" x14ac:dyDescent="0.35">
      <c r="A1564" t="s">
        <v>2586</v>
      </c>
      <c r="B1564" s="2">
        <v>46037</v>
      </c>
      <c r="C1564" t="s">
        <v>1665</v>
      </c>
      <c r="D1564" t="s">
        <v>665</v>
      </c>
      <c r="E1564" t="s">
        <v>84</v>
      </c>
      <c r="F1564" t="s">
        <v>85</v>
      </c>
      <c r="G1564" t="s">
        <v>43</v>
      </c>
      <c r="H1564" t="s">
        <v>79</v>
      </c>
      <c r="I1564">
        <v>8</v>
      </c>
      <c r="J1564" s="3">
        <v>6000</v>
      </c>
      <c r="K1564" s="3">
        <v>4200</v>
      </c>
      <c r="L1564" t="s">
        <v>36</v>
      </c>
      <c r="M1564" t="s">
        <v>51</v>
      </c>
      <c r="N1564" t="s">
        <v>23</v>
      </c>
      <c r="O1564" t="s">
        <v>24</v>
      </c>
    </row>
    <row r="1565" spans="1:15" x14ac:dyDescent="0.35">
      <c r="A1565" t="s">
        <v>2587</v>
      </c>
      <c r="B1565" s="2">
        <v>46059</v>
      </c>
      <c r="C1565" t="s">
        <v>624</v>
      </c>
      <c r="D1565" t="s">
        <v>610</v>
      </c>
      <c r="E1565" t="s">
        <v>190</v>
      </c>
      <c r="F1565" t="s">
        <v>191</v>
      </c>
      <c r="G1565" t="s">
        <v>34</v>
      </c>
      <c r="H1565" t="s">
        <v>141</v>
      </c>
      <c r="I1565">
        <v>5</v>
      </c>
      <c r="J1565" s="3">
        <v>160000</v>
      </c>
      <c r="K1565" s="3">
        <v>123600</v>
      </c>
      <c r="L1565" t="s">
        <v>50</v>
      </c>
      <c r="M1565" t="s">
        <v>51</v>
      </c>
      <c r="N1565" t="s">
        <v>52</v>
      </c>
      <c r="O1565" t="s">
        <v>24</v>
      </c>
    </row>
    <row r="1566" spans="1:15" x14ac:dyDescent="0.35">
      <c r="A1566" t="s">
        <v>2588</v>
      </c>
      <c r="B1566" s="2">
        <v>46141</v>
      </c>
      <c r="C1566" t="s">
        <v>1887</v>
      </c>
      <c r="D1566" t="s">
        <v>2589</v>
      </c>
      <c r="E1566" t="s">
        <v>18</v>
      </c>
      <c r="F1566" t="s">
        <v>18</v>
      </c>
      <c r="G1566" t="s">
        <v>19</v>
      </c>
      <c r="H1566" t="s">
        <v>112</v>
      </c>
      <c r="I1566">
        <v>4</v>
      </c>
      <c r="J1566" s="3">
        <v>80800</v>
      </c>
      <c r="K1566" s="3">
        <v>62000</v>
      </c>
      <c r="L1566" t="s">
        <v>66</v>
      </c>
      <c r="M1566" t="s">
        <v>37</v>
      </c>
      <c r="N1566" t="s">
        <v>52</v>
      </c>
      <c r="O1566" t="s">
        <v>24</v>
      </c>
    </row>
    <row r="1567" spans="1:15" x14ac:dyDescent="0.35">
      <c r="A1567" t="s">
        <v>2590</v>
      </c>
      <c r="B1567" s="2">
        <v>46341</v>
      </c>
      <c r="C1567" t="s">
        <v>583</v>
      </c>
      <c r="D1567" t="s">
        <v>1292</v>
      </c>
      <c r="E1567" t="s">
        <v>18</v>
      </c>
      <c r="F1567" t="s">
        <v>18</v>
      </c>
      <c r="G1567" t="s">
        <v>34</v>
      </c>
      <c r="H1567" t="s">
        <v>35</v>
      </c>
      <c r="I1567">
        <v>1</v>
      </c>
      <c r="J1567" s="3">
        <v>55000</v>
      </c>
      <c r="K1567" s="3">
        <v>40200</v>
      </c>
      <c r="L1567" t="s">
        <v>80</v>
      </c>
      <c r="M1567" t="s">
        <v>37</v>
      </c>
      <c r="N1567" t="s">
        <v>87</v>
      </c>
      <c r="O1567" t="s">
        <v>24</v>
      </c>
    </row>
    <row r="1568" spans="1:15" x14ac:dyDescent="0.35">
      <c r="A1568" t="s">
        <v>2591</v>
      </c>
      <c r="B1568" s="2">
        <v>46238</v>
      </c>
      <c r="C1568" t="s">
        <v>2148</v>
      </c>
      <c r="D1568" t="s">
        <v>846</v>
      </c>
      <c r="E1568" t="s">
        <v>84</v>
      </c>
      <c r="F1568" t="s">
        <v>85</v>
      </c>
      <c r="G1568" t="s">
        <v>43</v>
      </c>
      <c r="H1568" t="s">
        <v>177</v>
      </c>
      <c r="I1568">
        <v>1</v>
      </c>
      <c r="J1568" s="3">
        <v>18000</v>
      </c>
      <c r="K1568" s="3">
        <v>12500</v>
      </c>
      <c r="L1568" t="s">
        <v>36</v>
      </c>
      <c r="M1568" t="s">
        <v>51</v>
      </c>
      <c r="N1568" t="s">
        <v>23</v>
      </c>
      <c r="O1568" t="s">
        <v>24</v>
      </c>
    </row>
    <row r="1569" spans="1:15" x14ac:dyDescent="0.35">
      <c r="A1569" t="s">
        <v>2592</v>
      </c>
      <c r="B1569" s="2">
        <v>46307</v>
      </c>
      <c r="C1569" t="s">
        <v>1131</v>
      </c>
      <c r="D1569" t="s">
        <v>309</v>
      </c>
      <c r="E1569" t="s">
        <v>18</v>
      </c>
      <c r="F1569" t="s">
        <v>18</v>
      </c>
      <c r="G1569" t="s">
        <v>43</v>
      </c>
      <c r="H1569" t="s">
        <v>79</v>
      </c>
      <c r="I1569">
        <v>10</v>
      </c>
      <c r="J1569" s="3">
        <v>6000</v>
      </c>
      <c r="K1569" s="3">
        <v>4200</v>
      </c>
      <c r="L1569" t="s">
        <v>30</v>
      </c>
      <c r="M1569" t="s">
        <v>51</v>
      </c>
      <c r="N1569" t="s">
        <v>23</v>
      </c>
      <c r="O1569" t="s">
        <v>45</v>
      </c>
    </row>
    <row r="1570" spans="1:15" x14ac:dyDescent="0.35">
      <c r="A1570" t="s">
        <v>2593</v>
      </c>
      <c r="B1570" s="2">
        <v>46163</v>
      </c>
      <c r="C1570" t="s">
        <v>1653</v>
      </c>
      <c r="D1570" t="s">
        <v>1396</v>
      </c>
      <c r="E1570" t="s">
        <v>84</v>
      </c>
      <c r="F1570" t="s">
        <v>85</v>
      </c>
      <c r="G1570" t="s">
        <v>34</v>
      </c>
      <c r="H1570" t="s">
        <v>35</v>
      </c>
      <c r="I1570">
        <v>2</v>
      </c>
      <c r="J1570" s="3">
        <v>55000</v>
      </c>
      <c r="K1570" s="3">
        <v>40200</v>
      </c>
      <c r="L1570" t="s">
        <v>21</v>
      </c>
      <c r="M1570" t="s">
        <v>51</v>
      </c>
      <c r="N1570" t="s">
        <v>23</v>
      </c>
      <c r="O1570" t="s">
        <v>45</v>
      </c>
    </row>
    <row r="1571" spans="1:15" x14ac:dyDescent="0.35">
      <c r="A1571" t="s">
        <v>2594</v>
      </c>
      <c r="B1571" s="2">
        <v>46032</v>
      </c>
      <c r="C1571" t="s">
        <v>2233</v>
      </c>
      <c r="D1571" t="s">
        <v>535</v>
      </c>
      <c r="E1571" t="s">
        <v>18</v>
      </c>
      <c r="F1571" t="s">
        <v>18</v>
      </c>
      <c r="G1571" t="s">
        <v>19</v>
      </c>
      <c r="H1571" t="s">
        <v>61</v>
      </c>
      <c r="I1571">
        <v>1</v>
      </c>
      <c r="J1571" s="3">
        <v>209000</v>
      </c>
      <c r="K1571" s="3">
        <v>164800</v>
      </c>
      <c r="L1571" t="s">
        <v>21</v>
      </c>
      <c r="M1571" t="s">
        <v>31</v>
      </c>
      <c r="N1571" t="s">
        <v>23</v>
      </c>
      <c r="O1571" t="s">
        <v>24</v>
      </c>
    </row>
    <row r="1572" spans="1:15" x14ac:dyDescent="0.35">
      <c r="A1572" t="s">
        <v>2595</v>
      </c>
      <c r="B1572" s="2">
        <v>46351</v>
      </c>
      <c r="C1572" t="s">
        <v>1609</v>
      </c>
      <c r="D1572" t="s">
        <v>184</v>
      </c>
      <c r="E1572" t="s">
        <v>77</v>
      </c>
      <c r="F1572" t="s">
        <v>78</v>
      </c>
      <c r="G1572" t="s">
        <v>43</v>
      </c>
      <c r="H1572" t="s">
        <v>177</v>
      </c>
      <c r="I1572">
        <v>1</v>
      </c>
      <c r="J1572" s="3">
        <v>18000</v>
      </c>
      <c r="K1572" s="3">
        <v>12500</v>
      </c>
      <c r="L1572" t="s">
        <v>73</v>
      </c>
      <c r="M1572" t="s">
        <v>51</v>
      </c>
      <c r="N1572" t="s">
        <v>52</v>
      </c>
      <c r="O1572" t="s">
        <v>24</v>
      </c>
    </row>
    <row r="1573" spans="1:15" x14ac:dyDescent="0.35">
      <c r="A1573" t="s">
        <v>2596</v>
      </c>
      <c r="B1573" s="2">
        <v>46229</v>
      </c>
      <c r="C1573" t="s">
        <v>286</v>
      </c>
      <c r="D1573" t="s">
        <v>1311</v>
      </c>
      <c r="E1573" t="s">
        <v>41</v>
      </c>
      <c r="F1573" t="s">
        <v>42</v>
      </c>
      <c r="G1573" t="s">
        <v>43</v>
      </c>
      <c r="H1573" t="s">
        <v>177</v>
      </c>
      <c r="I1573">
        <v>3</v>
      </c>
      <c r="J1573" s="3">
        <v>18000</v>
      </c>
      <c r="K1573" s="3">
        <v>12900</v>
      </c>
      <c r="L1573" t="s">
        <v>50</v>
      </c>
      <c r="M1573" t="s">
        <v>22</v>
      </c>
      <c r="N1573" t="s">
        <v>87</v>
      </c>
      <c r="O1573" t="s">
        <v>24</v>
      </c>
    </row>
    <row r="1574" spans="1:15" x14ac:dyDescent="0.35">
      <c r="A1574" t="s">
        <v>2597</v>
      </c>
      <c r="B1574" s="2">
        <v>46335</v>
      </c>
      <c r="C1574" t="s">
        <v>786</v>
      </c>
      <c r="D1574" t="s">
        <v>953</v>
      </c>
      <c r="E1574" t="s">
        <v>156</v>
      </c>
      <c r="F1574" t="s">
        <v>157</v>
      </c>
      <c r="G1574" t="s">
        <v>34</v>
      </c>
      <c r="H1574" t="s">
        <v>141</v>
      </c>
      <c r="I1574">
        <v>6</v>
      </c>
      <c r="J1574" s="3">
        <v>152000</v>
      </c>
      <c r="K1574" s="3">
        <v>120000</v>
      </c>
      <c r="L1574" t="s">
        <v>30</v>
      </c>
      <c r="M1574" t="s">
        <v>37</v>
      </c>
      <c r="N1574" t="s">
        <v>23</v>
      </c>
      <c r="O1574" t="s">
        <v>24</v>
      </c>
    </row>
    <row r="1575" spans="1:15" x14ac:dyDescent="0.35">
      <c r="A1575" t="s">
        <v>2598</v>
      </c>
      <c r="B1575" s="2">
        <v>46217</v>
      </c>
      <c r="C1575" t="s">
        <v>1501</v>
      </c>
      <c r="D1575" t="s">
        <v>470</v>
      </c>
      <c r="E1575" t="s">
        <v>18</v>
      </c>
      <c r="F1575" t="s">
        <v>18</v>
      </c>
      <c r="G1575" t="s">
        <v>34</v>
      </c>
      <c r="H1575" t="s">
        <v>158</v>
      </c>
      <c r="J1575" s="3">
        <v>95000</v>
      </c>
      <c r="K1575" s="3">
        <v>70000</v>
      </c>
      <c r="L1575" t="s">
        <v>66</v>
      </c>
      <c r="M1575" t="s">
        <v>51</v>
      </c>
      <c r="N1575" t="s">
        <v>52</v>
      </c>
      <c r="O1575" t="s">
        <v>24</v>
      </c>
    </row>
    <row r="1576" spans="1:15" x14ac:dyDescent="0.35">
      <c r="A1576" t="s">
        <v>2599</v>
      </c>
      <c r="B1576" s="2">
        <v>46312</v>
      </c>
      <c r="C1576" t="s">
        <v>272</v>
      </c>
      <c r="D1576" t="s">
        <v>2495</v>
      </c>
      <c r="E1576" t="s">
        <v>190</v>
      </c>
      <c r="F1576" t="s">
        <v>191</v>
      </c>
      <c r="G1576" t="s">
        <v>43</v>
      </c>
      <c r="H1576" t="s">
        <v>79</v>
      </c>
      <c r="I1576">
        <v>9</v>
      </c>
      <c r="J1576" s="3">
        <v>6000</v>
      </c>
      <c r="K1576" s="3">
        <v>4200</v>
      </c>
      <c r="L1576" t="s">
        <v>30</v>
      </c>
      <c r="M1576" t="s">
        <v>51</v>
      </c>
      <c r="N1576" t="s">
        <v>23</v>
      </c>
      <c r="O1576" t="s">
        <v>45</v>
      </c>
    </row>
    <row r="1577" spans="1:15" x14ac:dyDescent="0.35">
      <c r="A1577" t="s">
        <v>2600</v>
      </c>
      <c r="B1577" s="2">
        <v>46260</v>
      </c>
      <c r="C1577" t="s">
        <v>2074</v>
      </c>
      <c r="D1577" t="s">
        <v>1043</v>
      </c>
      <c r="E1577" t="s">
        <v>84</v>
      </c>
      <c r="F1577" t="s">
        <v>85</v>
      </c>
      <c r="G1577" t="s">
        <v>34</v>
      </c>
      <c r="H1577" t="s">
        <v>95</v>
      </c>
      <c r="I1577">
        <v>10</v>
      </c>
      <c r="J1577" s="3">
        <v>450000</v>
      </c>
      <c r="K1577" s="3">
        <v>381100</v>
      </c>
      <c r="L1577" t="s">
        <v>73</v>
      </c>
      <c r="M1577" t="s">
        <v>37</v>
      </c>
      <c r="N1577" t="s">
        <v>87</v>
      </c>
      <c r="O1577" t="s">
        <v>91</v>
      </c>
    </row>
    <row r="1578" spans="1:15" x14ac:dyDescent="0.35">
      <c r="A1578" t="s">
        <v>2601</v>
      </c>
      <c r="B1578" s="2">
        <v>46116</v>
      </c>
      <c r="C1578" t="s">
        <v>202</v>
      </c>
      <c r="D1578" t="s">
        <v>705</v>
      </c>
      <c r="E1578" t="s">
        <v>18</v>
      </c>
      <c r="F1578" t="s">
        <v>18</v>
      </c>
      <c r="G1578" t="s">
        <v>28</v>
      </c>
      <c r="H1578" t="s">
        <v>131</v>
      </c>
      <c r="I1578">
        <v>5</v>
      </c>
      <c r="J1578" s="3">
        <v>31500</v>
      </c>
      <c r="K1578" s="3">
        <v>18400</v>
      </c>
      <c r="L1578" t="s">
        <v>96</v>
      </c>
      <c r="M1578" t="s">
        <v>51</v>
      </c>
      <c r="N1578" t="s">
        <v>23</v>
      </c>
      <c r="O1578" t="s">
        <v>24</v>
      </c>
    </row>
    <row r="1579" spans="1:15" x14ac:dyDescent="0.35">
      <c r="A1579" t="s">
        <v>2602</v>
      </c>
      <c r="B1579" s="2">
        <v>46027</v>
      </c>
      <c r="C1579" t="s">
        <v>358</v>
      </c>
      <c r="D1579" t="s">
        <v>1154</v>
      </c>
      <c r="E1579" t="s">
        <v>84</v>
      </c>
      <c r="F1579" t="s">
        <v>85</v>
      </c>
      <c r="G1579" t="s">
        <v>34</v>
      </c>
      <c r="H1579" t="s">
        <v>95</v>
      </c>
      <c r="I1579">
        <v>10</v>
      </c>
      <c r="J1579" s="3">
        <v>427500</v>
      </c>
      <c r="K1579" s="3">
        <v>370000</v>
      </c>
      <c r="L1579" t="s">
        <v>50</v>
      </c>
      <c r="M1579" t="s">
        <v>31</v>
      </c>
      <c r="N1579" t="s">
        <v>23</v>
      </c>
      <c r="O1579" t="s">
        <v>24</v>
      </c>
    </row>
    <row r="1580" spans="1:15" x14ac:dyDescent="0.35">
      <c r="A1580" t="s">
        <v>2603</v>
      </c>
      <c r="B1580" s="2">
        <v>46130</v>
      </c>
      <c r="C1580" t="s">
        <v>1894</v>
      </c>
      <c r="D1580" t="s">
        <v>2443</v>
      </c>
      <c r="E1580" t="s">
        <v>56</v>
      </c>
      <c r="F1580" t="s">
        <v>57</v>
      </c>
      <c r="G1580" t="s">
        <v>43</v>
      </c>
      <c r="H1580" t="s">
        <v>49</v>
      </c>
      <c r="I1580">
        <v>4</v>
      </c>
      <c r="J1580" s="3">
        <v>9000</v>
      </c>
      <c r="K1580" s="3">
        <v>5600</v>
      </c>
      <c r="L1580" t="s">
        <v>80</v>
      </c>
      <c r="M1580" t="s">
        <v>51</v>
      </c>
      <c r="N1580" t="s">
        <v>23</v>
      </c>
      <c r="O1580" t="s">
        <v>24</v>
      </c>
    </row>
    <row r="1581" spans="1:15" x14ac:dyDescent="0.35">
      <c r="A1581" t="s">
        <v>2604</v>
      </c>
      <c r="B1581" s="2">
        <v>46211</v>
      </c>
      <c r="C1581" t="s">
        <v>258</v>
      </c>
      <c r="D1581" t="s">
        <v>530</v>
      </c>
      <c r="E1581" t="s">
        <v>18</v>
      </c>
      <c r="F1581" t="s">
        <v>18</v>
      </c>
      <c r="G1581" t="s">
        <v>34</v>
      </c>
      <c r="H1581" t="s">
        <v>35</v>
      </c>
      <c r="I1581">
        <v>7</v>
      </c>
      <c r="J1581" s="3">
        <v>52200</v>
      </c>
      <c r="K1581" s="3">
        <v>40200</v>
      </c>
      <c r="L1581" t="s">
        <v>30</v>
      </c>
      <c r="M1581" t="s">
        <v>51</v>
      </c>
      <c r="N1581" t="s">
        <v>52</v>
      </c>
      <c r="O1581" t="s">
        <v>91</v>
      </c>
    </row>
    <row r="1582" spans="1:15" x14ac:dyDescent="0.35">
      <c r="A1582" t="s">
        <v>2605</v>
      </c>
      <c r="B1582" s="2">
        <v>46163</v>
      </c>
      <c r="C1582" t="s">
        <v>1894</v>
      </c>
      <c r="D1582" t="s">
        <v>839</v>
      </c>
      <c r="E1582" t="s">
        <v>18</v>
      </c>
      <c r="F1582" t="s">
        <v>18</v>
      </c>
      <c r="G1582" t="s">
        <v>19</v>
      </c>
      <c r="H1582" t="s">
        <v>20</v>
      </c>
      <c r="I1582">
        <v>9</v>
      </c>
      <c r="J1582" s="3">
        <v>65000</v>
      </c>
      <c r="K1582" s="3">
        <v>45000</v>
      </c>
      <c r="L1582" t="s">
        <v>36</v>
      </c>
      <c r="M1582" t="s">
        <v>37</v>
      </c>
      <c r="N1582" t="s">
        <v>87</v>
      </c>
      <c r="O1582" t="s">
        <v>24</v>
      </c>
    </row>
    <row r="1583" spans="1:15" x14ac:dyDescent="0.35">
      <c r="A1583" t="s">
        <v>2606</v>
      </c>
      <c r="B1583" s="2">
        <v>46056</v>
      </c>
      <c r="C1583" t="s">
        <v>1879</v>
      </c>
      <c r="D1583" t="s">
        <v>859</v>
      </c>
      <c r="E1583" t="s">
        <v>56</v>
      </c>
      <c r="F1583" t="s">
        <v>57</v>
      </c>
      <c r="G1583" t="s">
        <v>19</v>
      </c>
      <c r="H1583" t="s">
        <v>166</v>
      </c>
      <c r="I1583">
        <v>6</v>
      </c>
      <c r="J1583" s="3">
        <v>147000</v>
      </c>
      <c r="K1583" s="3">
        <v>100000</v>
      </c>
      <c r="L1583" t="s">
        <v>73</v>
      </c>
      <c r="M1583" t="s">
        <v>51</v>
      </c>
      <c r="N1583" t="s">
        <v>23</v>
      </c>
      <c r="O1583" t="s">
        <v>24</v>
      </c>
    </row>
    <row r="1584" spans="1:15" x14ac:dyDescent="0.35">
      <c r="A1584" t="s">
        <v>2607</v>
      </c>
      <c r="B1584" s="2">
        <v>46029</v>
      </c>
      <c r="C1584" t="s">
        <v>901</v>
      </c>
      <c r="D1584" t="s">
        <v>342</v>
      </c>
      <c r="E1584" t="s">
        <v>18</v>
      </c>
      <c r="F1584" t="s">
        <v>18</v>
      </c>
      <c r="G1584" t="s">
        <v>43</v>
      </c>
      <c r="H1584" t="s">
        <v>177</v>
      </c>
      <c r="I1584">
        <v>9</v>
      </c>
      <c r="J1584" s="3">
        <v>17100</v>
      </c>
      <c r="K1584" s="3">
        <v>12900</v>
      </c>
      <c r="L1584" t="s">
        <v>36</v>
      </c>
      <c r="M1584" t="s">
        <v>37</v>
      </c>
      <c r="N1584" t="s">
        <v>52</v>
      </c>
      <c r="O1584" t="s">
        <v>24</v>
      </c>
    </row>
    <row r="1585" spans="1:15" x14ac:dyDescent="0.35">
      <c r="A1585" t="s">
        <v>2608</v>
      </c>
      <c r="B1585" s="2">
        <v>46279</v>
      </c>
      <c r="C1585" t="s">
        <v>694</v>
      </c>
      <c r="D1585" t="s">
        <v>105</v>
      </c>
      <c r="E1585" t="s">
        <v>18</v>
      </c>
      <c r="F1585" t="s">
        <v>18</v>
      </c>
      <c r="G1585" t="s">
        <v>43</v>
      </c>
      <c r="H1585" t="s">
        <v>162</v>
      </c>
      <c r="I1585">
        <v>8</v>
      </c>
      <c r="J1585" s="3">
        <v>8400</v>
      </c>
      <c r="K1585" s="3">
        <v>4800</v>
      </c>
      <c r="L1585" t="s">
        <v>36</v>
      </c>
      <c r="M1585" t="s">
        <v>51</v>
      </c>
      <c r="N1585" t="s">
        <v>23</v>
      </c>
      <c r="O1585" t="s">
        <v>91</v>
      </c>
    </row>
    <row r="1586" spans="1:15" x14ac:dyDescent="0.35">
      <c r="A1586" t="s">
        <v>2609</v>
      </c>
      <c r="B1586" s="2">
        <v>46064</v>
      </c>
      <c r="C1586" t="s">
        <v>943</v>
      </c>
      <c r="D1586" t="s">
        <v>155</v>
      </c>
      <c r="E1586" t="s">
        <v>41</v>
      </c>
      <c r="F1586" t="s">
        <v>42</v>
      </c>
      <c r="G1586" t="s">
        <v>19</v>
      </c>
      <c r="H1586" t="s">
        <v>20</v>
      </c>
      <c r="I1586">
        <v>6</v>
      </c>
      <c r="J1586" s="3">
        <v>65000</v>
      </c>
      <c r="K1586" s="3">
        <v>45000</v>
      </c>
      <c r="L1586" t="s">
        <v>80</v>
      </c>
      <c r="M1586" t="s">
        <v>51</v>
      </c>
      <c r="N1586" t="s">
        <v>23</v>
      </c>
      <c r="O1586" t="s">
        <v>24</v>
      </c>
    </row>
    <row r="1587" spans="1:15" x14ac:dyDescent="0.35">
      <c r="A1587" t="s">
        <v>2610</v>
      </c>
      <c r="B1587" s="2">
        <v>46107</v>
      </c>
      <c r="C1587" t="s">
        <v>1226</v>
      </c>
      <c r="D1587" t="s">
        <v>380</v>
      </c>
      <c r="E1587" t="s">
        <v>18</v>
      </c>
      <c r="F1587" t="s">
        <v>18</v>
      </c>
      <c r="G1587" t="s">
        <v>34</v>
      </c>
      <c r="H1587" t="s">
        <v>158</v>
      </c>
      <c r="I1587">
        <v>7</v>
      </c>
      <c r="J1587" s="3">
        <v>95000</v>
      </c>
      <c r="K1587" s="3">
        <v>70000</v>
      </c>
      <c r="L1587" t="s">
        <v>66</v>
      </c>
      <c r="M1587" t="s">
        <v>51</v>
      </c>
      <c r="N1587" t="s">
        <v>23</v>
      </c>
      <c r="O1587" t="s">
        <v>45</v>
      </c>
    </row>
    <row r="1588" spans="1:15" x14ac:dyDescent="0.35">
      <c r="A1588" t="s">
        <v>2611</v>
      </c>
      <c r="B1588" s="2">
        <v>46198</v>
      </c>
      <c r="C1588" t="s">
        <v>818</v>
      </c>
      <c r="D1588" t="s">
        <v>784</v>
      </c>
      <c r="E1588" t="s">
        <v>41</v>
      </c>
      <c r="F1588" t="s">
        <v>42</v>
      </c>
      <c r="G1588" t="s">
        <v>34</v>
      </c>
      <c r="H1588" t="s">
        <v>35</v>
      </c>
      <c r="I1588">
        <v>7</v>
      </c>
      <c r="J1588" s="3">
        <v>55000</v>
      </c>
      <c r="K1588" s="3">
        <v>37800</v>
      </c>
      <c r="L1588" t="s">
        <v>50</v>
      </c>
      <c r="M1588" t="s">
        <v>37</v>
      </c>
      <c r="N1588" t="s">
        <v>23</v>
      </c>
      <c r="O1588" t="s">
        <v>24</v>
      </c>
    </row>
    <row r="1589" spans="1:15" x14ac:dyDescent="0.35">
      <c r="A1589" t="s">
        <v>2612</v>
      </c>
      <c r="B1589" s="2">
        <v>46207</v>
      </c>
      <c r="C1589" t="s">
        <v>2074</v>
      </c>
      <c r="D1589" t="s">
        <v>711</v>
      </c>
      <c r="E1589" t="s">
        <v>18</v>
      </c>
      <c r="F1589" t="s">
        <v>18</v>
      </c>
      <c r="G1589" t="s">
        <v>34</v>
      </c>
      <c r="H1589" t="s">
        <v>141</v>
      </c>
      <c r="I1589">
        <v>7</v>
      </c>
      <c r="J1589" s="3">
        <v>160000</v>
      </c>
      <c r="K1589" s="3">
        <v>123600</v>
      </c>
      <c r="L1589" t="s">
        <v>80</v>
      </c>
      <c r="M1589" t="s">
        <v>51</v>
      </c>
      <c r="N1589" t="s">
        <v>23</v>
      </c>
      <c r="O1589" t="s">
        <v>24</v>
      </c>
    </row>
    <row r="1590" spans="1:15" x14ac:dyDescent="0.35">
      <c r="A1590" t="s">
        <v>2613</v>
      </c>
      <c r="B1590" s="2">
        <v>46060</v>
      </c>
      <c r="C1590" t="s">
        <v>390</v>
      </c>
      <c r="D1590" t="s">
        <v>2245</v>
      </c>
      <c r="E1590" t="s">
        <v>18</v>
      </c>
      <c r="F1590" t="s">
        <v>18</v>
      </c>
      <c r="G1590" t="s">
        <v>34</v>
      </c>
      <c r="H1590" t="s">
        <v>86</v>
      </c>
      <c r="I1590">
        <v>1</v>
      </c>
      <c r="J1590" s="3">
        <v>180000</v>
      </c>
      <c r="K1590" s="3">
        <v>135000</v>
      </c>
      <c r="L1590" t="s">
        <v>36</v>
      </c>
      <c r="M1590" t="s">
        <v>37</v>
      </c>
      <c r="N1590" t="s">
        <v>23</v>
      </c>
      <c r="O1590" t="s">
        <v>91</v>
      </c>
    </row>
    <row r="1591" spans="1:15" x14ac:dyDescent="0.35">
      <c r="A1591" t="s">
        <v>2614</v>
      </c>
      <c r="B1591" s="2">
        <v>46087</v>
      </c>
      <c r="C1591" t="s">
        <v>539</v>
      </c>
      <c r="D1591" t="s">
        <v>2008</v>
      </c>
      <c r="E1591" t="s">
        <v>156</v>
      </c>
      <c r="F1591" t="s">
        <v>170</v>
      </c>
      <c r="G1591" t="s">
        <v>34</v>
      </c>
      <c r="H1591" t="s">
        <v>95</v>
      </c>
      <c r="I1591">
        <v>8</v>
      </c>
      <c r="J1591" s="3">
        <v>450000</v>
      </c>
      <c r="K1591" s="3">
        <v>370000</v>
      </c>
      <c r="L1591" t="s">
        <v>21</v>
      </c>
      <c r="M1591" t="s">
        <v>51</v>
      </c>
      <c r="N1591" t="s">
        <v>52</v>
      </c>
      <c r="O1591" t="s">
        <v>24</v>
      </c>
    </row>
    <row r="1592" spans="1:15" x14ac:dyDescent="0.35">
      <c r="A1592" t="s">
        <v>2615</v>
      </c>
      <c r="B1592" s="2">
        <v>46218</v>
      </c>
      <c r="C1592" t="s">
        <v>136</v>
      </c>
      <c r="D1592" t="s">
        <v>1343</v>
      </c>
      <c r="E1592" t="s">
        <v>156</v>
      </c>
      <c r="F1592" t="s">
        <v>170</v>
      </c>
      <c r="G1592" t="s">
        <v>19</v>
      </c>
      <c r="H1592" t="s">
        <v>112</v>
      </c>
      <c r="I1592">
        <v>9</v>
      </c>
      <c r="J1592" s="3">
        <v>89200</v>
      </c>
      <c r="K1592" s="3">
        <v>63900</v>
      </c>
      <c r="L1592" t="s">
        <v>96</v>
      </c>
      <c r="M1592" t="s">
        <v>31</v>
      </c>
      <c r="N1592" t="s">
        <v>52</v>
      </c>
      <c r="O1592" t="s">
        <v>24</v>
      </c>
    </row>
    <row r="1593" spans="1:15" x14ac:dyDescent="0.35">
      <c r="A1593" t="s">
        <v>2616</v>
      </c>
      <c r="B1593" s="2">
        <v>46130</v>
      </c>
      <c r="C1593" t="s">
        <v>548</v>
      </c>
      <c r="D1593" t="s">
        <v>781</v>
      </c>
      <c r="E1593" t="s">
        <v>18</v>
      </c>
      <c r="F1593" t="s">
        <v>18</v>
      </c>
      <c r="G1593" t="s">
        <v>19</v>
      </c>
      <c r="H1593" t="s">
        <v>61</v>
      </c>
      <c r="I1593">
        <v>3</v>
      </c>
      <c r="J1593" s="3">
        <v>220000</v>
      </c>
      <c r="K1593" s="3">
        <v>160000</v>
      </c>
      <c r="L1593" t="s">
        <v>80</v>
      </c>
      <c r="M1593" t="s">
        <v>51</v>
      </c>
      <c r="N1593" t="s">
        <v>87</v>
      </c>
      <c r="O1593" t="s">
        <v>24</v>
      </c>
    </row>
    <row r="1594" spans="1:15" x14ac:dyDescent="0.35">
      <c r="A1594" t="s">
        <v>2617</v>
      </c>
      <c r="B1594" s="2">
        <v>46280</v>
      </c>
      <c r="C1594" t="s">
        <v>154</v>
      </c>
      <c r="D1594" t="s">
        <v>738</v>
      </c>
      <c r="E1594" t="s">
        <v>41</v>
      </c>
      <c r="F1594" t="s">
        <v>42</v>
      </c>
      <c r="G1594" t="s">
        <v>19</v>
      </c>
      <c r="H1594" t="s">
        <v>112</v>
      </c>
      <c r="I1594">
        <v>2</v>
      </c>
      <c r="J1594" s="3">
        <v>89200</v>
      </c>
      <c r="K1594" s="3">
        <v>60100</v>
      </c>
      <c r="L1594" t="s">
        <v>96</v>
      </c>
      <c r="M1594" t="s">
        <v>22</v>
      </c>
      <c r="N1594" t="s">
        <v>52</v>
      </c>
      <c r="O1594" t="s">
        <v>24</v>
      </c>
    </row>
    <row r="1595" spans="1:15" x14ac:dyDescent="0.35">
      <c r="A1595" t="s">
        <v>2618</v>
      </c>
      <c r="B1595" s="2">
        <v>46320</v>
      </c>
      <c r="C1595" t="s">
        <v>1887</v>
      </c>
      <c r="D1595" t="s">
        <v>1149</v>
      </c>
      <c r="E1595" t="s">
        <v>190</v>
      </c>
      <c r="F1595" t="s">
        <v>191</v>
      </c>
      <c r="G1595" t="s">
        <v>34</v>
      </c>
      <c r="H1595" t="s">
        <v>86</v>
      </c>
      <c r="I1595">
        <v>3</v>
      </c>
      <c r="J1595" s="3">
        <v>180000</v>
      </c>
      <c r="K1595" s="3">
        <v>131000</v>
      </c>
      <c r="L1595" t="s">
        <v>96</v>
      </c>
      <c r="M1595" t="s">
        <v>51</v>
      </c>
      <c r="N1595" t="s">
        <v>23</v>
      </c>
      <c r="O1595" t="s">
        <v>24</v>
      </c>
    </row>
    <row r="1596" spans="1:15" x14ac:dyDescent="0.35">
      <c r="A1596" t="s">
        <v>2619</v>
      </c>
      <c r="B1596" s="2">
        <v>46234</v>
      </c>
      <c r="C1596" t="s">
        <v>2620</v>
      </c>
      <c r="D1596" t="s">
        <v>636</v>
      </c>
      <c r="E1596" t="s">
        <v>70</v>
      </c>
      <c r="F1596" t="s">
        <v>71</v>
      </c>
      <c r="G1596" t="s">
        <v>43</v>
      </c>
      <c r="H1596" t="s">
        <v>44</v>
      </c>
      <c r="I1596">
        <v>7</v>
      </c>
      <c r="J1596" s="3">
        <v>15000</v>
      </c>
      <c r="K1596" s="3">
        <v>9200</v>
      </c>
      <c r="L1596" t="s">
        <v>80</v>
      </c>
      <c r="M1596" t="s">
        <v>31</v>
      </c>
      <c r="N1596" t="s">
        <v>23</v>
      </c>
      <c r="O1596" t="s">
        <v>24</v>
      </c>
    </row>
    <row r="1597" spans="1:15" x14ac:dyDescent="0.35">
      <c r="A1597" t="s">
        <v>2621</v>
      </c>
      <c r="B1597" s="2">
        <v>46046</v>
      </c>
      <c r="C1597" t="s">
        <v>2622</v>
      </c>
      <c r="D1597" t="s">
        <v>616</v>
      </c>
      <c r="E1597" t="s">
        <v>18</v>
      </c>
      <c r="F1597" t="s">
        <v>18</v>
      </c>
      <c r="G1597" t="s">
        <v>34</v>
      </c>
      <c r="H1597" t="s">
        <v>95</v>
      </c>
      <c r="I1597">
        <v>4</v>
      </c>
      <c r="J1597" s="3">
        <v>427500</v>
      </c>
      <c r="K1597" s="3">
        <v>381100</v>
      </c>
      <c r="L1597" t="s">
        <v>36</v>
      </c>
      <c r="M1597" t="s">
        <v>51</v>
      </c>
      <c r="N1597" t="s">
        <v>87</v>
      </c>
      <c r="O1597" t="s">
        <v>45</v>
      </c>
    </row>
    <row r="1598" spans="1:15" x14ac:dyDescent="0.35">
      <c r="A1598" t="s">
        <v>2623</v>
      </c>
      <c r="B1598" s="2">
        <v>46094</v>
      </c>
      <c r="C1598" t="s">
        <v>1642</v>
      </c>
      <c r="D1598" t="s">
        <v>1077</v>
      </c>
      <c r="E1598" t="s">
        <v>84</v>
      </c>
      <c r="F1598" t="s">
        <v>85</v>
      </c>
      <c r="G1598" t="s">
        <v>19</v>
      </c>
      <c r="H1598" t="s">
        <v>20</v>
      </c>
      <c r="I1598">
        <v>8</v>
      </c>
      <c r="J1598" s="3">
        <v>65000</v>
      </c>
      <c r="K1598" s="3">
        <v>46400</v>
      </c>
      <c r="L1598" t="s">
        <v>50</v>
      </c>
      <c r="M1598" t="s">
        <v>37</v>
      </c>
      <c r="N1598" t="s">
        <v>52</v>
      </c>
      <c r="O1598" t="s">
        <v>24</v>
      </c>
    </row>
    <row r="1599" spans="1:15" x14ac:dyDescent="0.35">
      <c r="A1599" t="s">
        <v>2624</v>
      </c>
      <c r="B1599" s="2">
        <v>46238</v>
      </c>
      <c r="C1599" t="s">
        <v>626</v>
      </c>
      <c r="D1599" t="s">
        <v>2625</v>
      </c>
      <c r="E1599" t="s">
        <v>41</v>
      </c>
      <c r="F1599" t="s">
        <v>42</v>
      </c>
      <c r="G1599" t="s">
        <v>28</v>
      </c>
      <c r="H1599" t="s">
        <v>72</v>
      </c>
      <c r="I1599">
        <v>6</v>
      </c>
      <c r="J1599" s="3">
        <v>10000</v>
      </c>
      <c r="K1599" s="3">
        <v>6000</v>
      </c>
      <c r="L1599" t="s">
        <v>21</v>
      </c>
      <c r="M1599" t="s">
        <v>37</v>
      </c>
      <c r="N1599" t="s">
        <v>87</v>
      </c>
      <c r="O1599" t="s">
        <v>24</v>
      </c>
    </row>
    <row r="1600" spans="1:15" x14ac:dyDescent="0.35">
      <c r="A1600" t="s">
        <v>2626</v>
      </c>
      <c r="B1600" s="2">
        <v>46147</v>
      </c>
      <c r="C1600" t="s">
        <v>2627</v>
      </c>
      <c r="D1600" t="s">
        <v>1604</v>
      </c>
      <c r="E1600" t="s">
        <v>18</v>
      </c>
      <c r="F1600" t="s">
        <v>18</v>
      </c>
      <c r="G1600" t="s">
        <v>43</v>
      </c>
      <c r="H1600" t="s">
        <v>49</v>
      </c>
      <c r="I1600">
        <v>4</v>
      </c>
      <c r="J1600" s="3">
        <v>9000</v>
      </c>
      <c r="K1600" s="3">
        <v>5800</v>
      </c>
      <c r="L1600" t="s">
        <v>73</v>
      </c>
      <c r="M1600" t="s">
        <v>37</v>
      </c>
      <c r="N1600" t="s">
        <v>23</v>
      </c>
      <c r="O1600" t="s">
        <v>24</v>
      </c>
    </row>
    <row r="1601" spans="1:15" x14ac:dyDescent="0.35">
      <c r="A1601" t="s">
        <v>2628</v>
      </c>
      <c r="B1601" s="2">
        <v>46189</v>
      </c>
      <c r="C1601" t="s">
        <v>240</v>
      </c>
      <c r="D1601" t="s">
        <v>904</v>
      </c>
      <c r="E1601" t="s">
        <v>190</v>
      </c>
      <c r="F1601" t="s">
        <v>191</v>
      </c>
      <c r="G1601" t="s">
        <v>34</v>
      </c>
      <c r="H1601" t="s">
        <v>95</v>
      </c>
      <c r="I1601">
        <v>7</v>
      </c>
      <c r="J1601" s="3">
        <v>450000</v>
      </c>
      <c r="K1601" s="3">
        <v>381100</v>
      </c>
      <c r="L1601" t="s">
        <v>50</v>
      </c>
      <c r="M1601" t="s">
        <v>37</v>
      </c>
      <c r="N1601" t="s">
        <v>87</v>
      </c>
      <c r="O1601" t="s">
        <v>24</v>
      </c>
    </row>
    <row r="1602" spans="1:15" x14ac:dyDescent="0.35">
      <c r="A1602" t="s">
        <v>2629</v>
      </c>
      <c r="B1602" s="2">
        <v>46183</v>
      </c>
      <c r="C1602" t="s">
        <v>1788</v>
      </c>
      <c r="D1602" t="s">
        <v>105</v>
      </c>
      <c r="E1602" t="s">
        <v>84</v>
      </c>
      <c r="F1602" t="s">
        <v>85</v>
      </c>
      <c r="G1602" t="s">
        <v>43</v>
      </c>
      <c r="H1602" t="s">
        <v>177</v>
      </c>
      <c r="I1602">
        <v>8</v>
      </c>
      <c r="J1602" s="3">
        <v>18000</v>
      </c>
      <c r="K1602" s="3">
        <v>12100</v>
      </c>
      <c r="L1602" t="s">
        <v>50</v>
      </c>
      <c r="M1602" t="s">
        <v>51</v>
      </c>
      <c r="N1602" t="s">
        <v>87</v>
      </c>
      <c r="O1602" t="s">
        <v>91</v>
      </c>
    </row>
    <row r="1603" spans="1:15" x14ac:dyDescent="0.35">
      <c r="A1603" t="s">
        <v>2630</v>
      </c>
      <c r="B1603" s="2">
        <v>46354</v>
      </c>
      <c r="C1603" t="s">
        <v>518</v>
      </c>
      <c r="D1603" t="s">
        <v>2631</v>
      </c>
      <c r="E1603" t="s">
        <v>18</v>
      </c>
      <c r="F1603" t="s">
        <v>18</v>
      </c>
      <c r="G1603" t="s">
        <v>19</v>
      </c>
      <c r="H1603" t="s">
        <v>166</v>
      </c>
      <c r="I1603">
        <v>10</v>
      </c>
      <c r="J1603" s="3">
        <v>140000</v>
      </c>
      <c r="K1603" s="3">
        <v>103000</v>
      </c>
      <c r="L1603" t="s">
        <v>21</v>
      </c>
      <c r="M1603" t="s">
        <v>51</v>
      </c>
      <c r="N1603" t="s">
        <v>23</v>
      </c>
      <c r="O1603" t="s">
        <v>24</v>
      </c>
    </row>
    <row r="1604" spans="1:15" x14ac:dyDescent="0.35">
      <c r="A1604" t="s">
        <v>2632</v>
      </c>
      <c r="B1604" s="2">
        <v>46219</v>
      </c>
      <c r="C1604" t="s">
        <v>976</v>
      </c>
      <c r="D1604" t="s">
        <v>184</v>
      </c>
      <c r="E1604" t="s">
        <v>84</v>
      </c>
      <c r="F1604" t="s">
        <v>85</v>
      </c>
      <c r="G1604" t="s">
        <v>34</v>
      </c>
      <c r="H1604" t="s">
        <v>141</v>
      </c>
      <c r="I1604">
        <v>10</v>
      </c>
      <c r="J1604" s="3">
        <v>160000</v>
      </c>
      <c r="K1604" s="3">
        <v>123600</v>
      </c>
      <c r="L1604" t="s">
        <v>21</v>
      </c>
      <c r="M1604" t="s">
        <v>22</v>
      </c>
      <c r="N1604" t="s">
        <v>52</v>
      </c>
      <c r="O1604" t="s">
        <v>24</v>
      </c>
    </row>
    <row r="1605" spans="1:15" x14ac:dyDescent="0.35">
      <c r="A1605" t="s">
        <v>2633</v>
      </c>
      <c r="B1605" s="2">
        <v>46239</v>
      </c>
      <c r="C1605" t="s">
        <v>588</v>
      </c>
      <c r="D1605" t="s">
        <v>1839</v>
      </c>
      <c r="E1605" t="s">
        <v>84</v>
      </c>
      <c r="F1605" t="s">
        <v>85</v>
      </c>
      <c r="G1605" t="s">
        <v>19</v>
      </c>
      <c r="H1605" t="s">
        <v>20</v>
      </c>
      <c r="I1605">
        <v>1</v>
      </c>
      <c r="J1605" s="3">
        <v>65000</v>
      </c>
      <c r="K1605" s="3">
        <v>46400</v>
      </c>
      <c r="L1605" t="s">
        <v>30</v>
      </c>
      <c r="M1605" t="s">
        <v>51</v>
      </c>
      <c r="N1605" t="s">
        <v>52</v>
      </c>
      <c r="O1605" t="s">
        <v>24</v>
      </c>
    </row>
    <row r="1606" spans="1:15" x14ac:dyDescent="0.35">
      <c r="A1606" t="s">
        <v>2634</v>
      </c>
      <c r="B1606" s="2">
        <v>46084</v>
      </c>
      <c r="C1606" t="s">
        <v>827</v>
      </c>
      <c r="D1606" t="s">
        <v>755</v>
      </c>
      <c r="E1606" t="s">
        <v>18</v>
      </c>
      <c r="F1606" t="s">
        <v>18</v>
      </c>
      <c r="G1606" t="s">
        <v>34</v>
      </c>
      <c r="H1606" t="s">
        <v>95</v>
      </c>
      <c r="I1606">
        <v>7</v>
      </c>
      <c r="J1606" s="3">
        <v>427500</v>
      </c>
      <c r="K1606" s="3">
        <v>370000</v>
      </c>
      <c r="L1606" t="s">
        <v>73</v>
      </c>
      <c r="M1606" t="s">
        <v>37</v>
      </c>
      <c r="N1606" t="s">
        <v>52</v>
      </c>
      <c r="O1606" t="s">
        <v>24</v>
      </c>
    </row>
    <row r="1607" spans="1:15" x14ac:dyDescent="0.35">
      <c r="A1607" t="s">
        <v>2635</v>
      </c>
      <c r="B1607" s="2">
        <v>46039</v>
      </c>
      <c r="C1607" t="s">
        <v>353</v>
      </c>
      <c r="D1607" t="s">
        <v>1021</v>
      </c>
      <c r="E1607" t="s">
        <v>18</v>
      </c>
      <c r="F1607" t="s">
        <v>18</v>
      </c>
      <c r="G1607" t="s">
        <v>28</v>
      </c>
      <c r="H1607" t="s">
        <v>248</v>
      </c>
      <c r="I1607">
        <v>7</v>
      </c>
      <c r="J1607" s="3">
        <v>23800</v>
      </c>
      <c r="K1607" s="3">
        <v>15500</v>
      </c>
      <c r="L1607" t="s">
        <v>36</v>
      </c>
      <c r="M1607" t="s">
        <v>51</v>
      </c>
      <c r="N1607" t="s">
        <v>52</v>
      </c>
      <c r="O1607" t="s">
        <v>24</v>
      </c>
    </row>
    <row r="1608" spans="1:15" x14ac:dyDescent="0.35">
      <c r="A1608" t="s">
        <v>2636</v>
      </c>
      <c r="B1608" s="2">
        <v>46069</v>
      </c>
      <c r="C1608" t="s">
        <v>838</v>
      </c>
      <c r="D1608" t="s">
        <v>1598</v>
      </c>
      <c r="E1608" t="s">
        <v>156</v>
      </c>
      <c r="F1608" t="s">
        <v>170</v>
      </c>
      <c r="G1608" t="s">
        <v>19</v>
      </c>
      <c r="H1608" t="s">
        <v>166</v>
      </c>
      <c r="I1608">
        <v>3</v>
      </c>
      <c r="J1608" s="3">
        <v>140000</v>
      </c>
      <c r="K1608" s="3">
        <v>97000</v>
      </c>
      <c r="L1608" t="s">
        <v>30</v>
      </c>
      <c r="M1608" t="s">
        <v>37</v>
      </c>
      <c r="N1608" t="s">
        <v>52</v>
      </c>
      <c r="O1608" t="s">
        <v>24</v>
      </c>
    </row>
    <row r="1609" spans="1:15" x14ac:dyDescent="0.35">
      <c r="A1609" t="s">
        <v>2637</v>
      </c>
      <c r="B1609" s="2">
        <v>46195</v>
      </c>
      <c r="C1609" t="s">
        <v>1481</v>
      </c>
      <c r="D1609" t="s">
        <v>1859</v>
      </c>
      <c r="E1609" t="s">
        <v>56</v>
      </c>
      <c r="F1609" t="s">
        <v>57</v>
      </c>
      <c r="G1609" t="s">
        <v>34</v>
      </c>
      <c r="H1609" t="s">
        <v>158</v>
      </c>
      <c r="I1609">
        <v>4</v>
      </c>
      <c r="J1609" s="3">
        <v>99800</v>
      </c>
      <c r="K1609" s="3">
        <v>67900</v>
      </c>
      <c r="L1609" t="s">
        <v>73</v>
      </c>
      <c r="M1609" t="s">
        <v>31</v>
      </c>
      <c r="N1609" t="s">
        <v>23</v>
      </c>
      <c r="O1609" t="s">
        <v>24</v>
      </c>
    </row>
    <row r="1610" spans="1:15" x14ac:dyDescent="0.35">
      <c r="A1610" t="s">
        <v>2638</v>
      </c>
      <c r="B1610" s="2">
        <v>46173</v>
      </c>
      <c r="C1610" t="s">
        <v>941</v>
      </c>
      <c r="D1610" t="s">
        <v>2639</v>
      </c>
      <c r="E1610" t="s">
        <v>70</v>
      </c>
      <c r="F1610" t="s">
        <v>71</v>
      </c>
      <c r="G1610" t="s">
        <v>34</v>
      </c>
      <c r="H1610" t="s">
        <v>141</v>
      </c>
      <c r="I1610">
        <v>10</v>
      </c>
      <c r="J1610" s="3">
        <v>160000</v>
      </c>
      <c r="K1610" s="3">
        <v>120000</v>
      </c>
      <c r="L1610" t="s">
        <v>96</v>
      </c>
      <c r="M1610" t="s">
        <v>51</v>
      </c>
      <c r="N1610" t="s">
        <v>23</v>
      </c>
      <c r="O1610" t="s">
        <v>24</v>
      </c>
    </row>
    <row r="1611" spans="1:15" x14ac:dyDescent="0.35">
      <c r="A1611" t="s">
        <v>2640</v>
      </c>
      <c r="B1611" s="2">
        <v>46354</v>
      </c>
      <c r="C1611" t="s">
        <v>1693</v>
      </c>
      <c r="D1611" t="s">
        <v>408</v>
      </c>
      <c r="E1611" t="s">
        <v>18</v>
      </c>
      <c r="F1611" t="s">
        <v>18</v>
      </c>
      <c r="G1611" t="s">
        <v>43</v>
      </c>
      <c r="H1611" t="s">
        <v>49</v>
      </c>
      <c r="I1611">
        <v>7</v>
      </c>
      <c r="J1611" s="3">
        <v>9400</v>
      </c>
      <c r="K1611" s="3">
        <v>5600</v>
      </c>
      <c r="L1611" t="s">
        <v>30</v>
      </c>
      <c r="M1611" t="s">
        <v>51</v>
      </c>
      <c r="N1611" t="s">
        <v>23</v>
      </c>
      <c r="O1611" t="s">
        <v>91</v>
      </c>
    </row>
    <row r="1612" spans="1:15" x14ac:dyDescent="0.35">
      <c r="A1612" t="s">
        <v>2641</v>
      </c>
      <c r="B1612" s="2">
        <v>46327</v>
      </c>
      <c r="C1612" t="s">
        <v>1134</v>
      </c>
      <c r="D1612" t="s">
        <v>1439</v>
      </c>
      <c r="E1612" t="s">
        <v>41</v>
      </c>
      <c r="F1612" t="s">
        <v>42</v>
      </c>
      <c r="G1612" t="s">
        <v>43</v>
      </c>
      <c r="H1612" t="s">
        <v>177</v>
      </c>
      <c r="I1612">
        <v>2</v>
      </c>
      <c r="J1612" s="3">
        <v>18900</v>
      </c>
      <c r="K1612" s="3">
        <v>12100</v>
      </c>
      <c r="L1612" t="s">
        <v>80</v>
      </c>
      <c r="M1612" t="s">
        <v>37</v>
      </c>
      <c r="N1612" t="s">
        <v>23</v>
      </c>
      <c r="O1612" t="s">
        <v>91</v>
      </c>
    </row>
    <row r="1613" spans="1:15" x14ac:dyDescent="0.35">
      <c r="A1613" t="s">
        <v>2642</v>
      </c>
      <c r="B1613" s="2">
        <v>46264</v>
      </c>
      <c r="C1613" t="s">
        <v>2107</v>
      </c>
      <c r="D1613" t="s">
        <v>953</v>
      </c>
      <c r="E1613" t="s">
        <v>156</v>
      </c>
      <c r="F1613" t="s">
        <v>157</v>
      </c>
      <c r="G1613" t="s">
        <v>28</v>
      </c>
      <c r="H1613" t="s">
        <v>248</v>
      </c>
      <c r="I1613">
        <v>9</v>
      </c>
      <c r="J1613" s="3">
        <v>26200</v>
      </c>
      <c r="K1613" s="3">
        <v>15500</v>
      </c>
      <c r="L1613" t="s">
        <v>36</v>
      </c>
      <c r="M1613" t="s">
        <v>22</v>
      </c>
      <c r="N1613" t="s">
        <v>52</v>
      </c>
      <c r="O1613" t="s">
        <v>24</v>
      </c>
    </row>
    <row r="1614" spans="1:15" x14ac:dyDescent="0.35">
      <c r="A1614" t="s">
        <v>2643</v>
      </c>
      <c r="B1614" s="2">
        <v>46227</v>
      </c>
      <c r="C1614" t="s">
        <v>2466</v>
      </c>
      <c r="D1614" t="s">
        <v>613</v>
      </c>
      <c r="E1614" t="s">
        <v>70</v>
      </c>
      <c r="F1614" t="s">
        <v>71</v>
      </c>
      <c r="G1614" t="s">
        <v>19</v>
      </c>
      <c r="H1614" t="s">
        <v>166</v>
      </c>
      <c r="I1614">
        <v>7</v>
      </c>
      <c r="J1614" s="3">
        <v>147000</v>
      </c>
      <c r="K1614" s="3">
        <v>103000</v>
      </c>
      <c r="L1614" t="s">
        <v>30</v>
      </c>
      <c r="M1614" t="s">
        <v>51</v>
      </c>
      <c r="N1614" t="s">
        <v>23</v>
      </c>
      <c r="O1614" t="s">
        <v>91</v>
      </c>
    </row>
    <row r="1615" spans="1:15" x14ac:dyDescent="0.35">
      <c r="A1615" t="s">
        <v>2644</v>
      </c>
      <c r="B1615" s="2">
        <v>46073</v>
      </c>
      <c r="C1615" t="s">
        <v>1162</v>
      </c>
      <c r="D1615" t="s">
        <v>1471</v>
      </c>
      <c r="E1615" t="s">
        <v>190</v>
      </c>
      <c r="F1615" t="s">
        <v>191</v>
      </c>
      <c r="G1615" t="s">
        <v>34</v>
      </c>
      <c r="H1615" t="s">
        <v>86</v>
      </c>
      <c r="I1615">
        <v>9</v>
      </c>
      <c r="J1615" s="3">
        <v>180000</v>
      </c>
      <c r="K1615" s="3">
        <v>135000</v>
      </c>
      <c r="L1615" t="s">
        <v>30</v>
      </c>
      <c r="M1615" t="s">
        <v>37</v>
      </c>
      <c r="N1615" t="s">
        <v>23</v>
      </c>
      <c r="O1615" t="s">
        <v>24</v>
      </c>
    </row>
    <row r="1616" spans="1:15" x14ac:dyDescent="0.35">
      <c r="A1616" t="s">
        <v>2645</v>
      </c>
      <c r="B1616" s="2">
        <v>46224</v>
      </c>
      <c r="C1616" t="s">
        <v>316</v>
      </c>
      <c r="D1616" t="s">
        <v>2443</v>
      </c>
      <c r="E1616" t="s">
        <v>18</v>
      </c>
      <c r="F1616" t="s">
        <v>18</v>
      </c>
      <c r="G1616" t="s">
        <v>19</v>
      </c>
      <c r="H1616" t="s">
        <v>61</v>
      </c>
      <c r="I1616">
        <v>4</v>
      </c>
      <c r="J1616" s="3">
        <v>231000</v>
      </c>
      <c r="K1616" s="3">
        <v>160000</v>
      </c>
      <c r="L1616" t="s">
        <v>50</v>
      </c>
      <c r="M1616" t="s">
        <v>51</v>
      </c>
      <c r="N1616" t="s">
        <v>87</v>
      </c>
      <c r="O1616" t="s">
        <v>45</v>
      </c>
    </row>
    <row r="1617" spans="1:15" x14ac:dyDescent="0.35">
      <c r="A1617" t="s">
        <v>2646</v>
      </c>
      <c r="B1617" s="2">
        <v>46286</v>
      </c>
      <c r="C1617" t="s">
        <v>609</v>
      </c>
      <c r="D1617" t="s">
        <v>291</v>
      </c>
      <c r="E1617" t="s">
        <v>18</v>
      </c>
      <c r="F1617" t="s">
        <v>18</v>
      </c>
      <c r="G1617" t="s">
        <v>34</v>
      </c>
      <c r="H1617" t="s">
        <v>35</v>
      </c>
      <c r="I1617">
        <v>4</v>
      </c>
      <c r="J1617" s="3">
        <v>57800</v>
      </c>
      <c r="K1617" s="3">
        <v>39000</v>
      </c>
      <c r="L1617" t="s">
        <v>80</v>
      </c>
      <c r="M1617" t="s">
        <v>37</v>
      </c>
      <c r="N1617" t="s">
        <v>23</v>
      </c>
      <c r="O1617" t="s">
        <v>24</v>
      </c>
    </row>
    <row r="1618" spans="1:15" x14ac:dyDescent="0.35">
      <c r="A1618" t="s">
        <v>2647</v>
      </c>
      <c r="B1618" s="2">
        <v>46127</v>
      </c>
      <c r="C1618" t="s">
        <v>472</v>
      </c>
      <c r="D1618" t="s">
        <v>643</v>
      </c>
      <c r="E1618" t="s">
        <v>18</v>
      </c>
      <c r="F1618" t="s">
        <v>18</v>
      </c>
      <c r="G1618" t="s">
        <v>34</v>
      </c>
      <c r="H1618" t="s">
        <v>35</v>
      </c>
      <c r="I1618">
        <v>10</v>
      </c>
      <c r="J1618" s="3">
        <v>55000</v>
      </c>
      <c r="K1618" s="3">
        <v>37800</v>
      </c>
      <c r="L1618" t="s">
        <v>30</v>
      </c>
      <c r="M1618" t="s">
        <v>51</v>
      </c>
      <c r="N1618" t="s">
        <v>52</v>
      </c>
      <c r="O1618" t="s">
        <v>24</v>
      </c>
    </row>
    <row r="1619" spans="1:15" x14ac:dyDescent="0.35">
      <c r="A1619" t="s">
        <v>2648</v>
      </c>
      <c r="B1619" s="2">
        <v>46212</v>
      </c>
      <c r="C1619" t="s">
        <v>26</v>
      </c>
      <c r="D1619" t="s">
        <v>789</v>
      </c>
      <c r="E1619" t="s">
        <v>84</v>
      </c>
      <c r="F1619" t="s">
        <v>85</v>
      </c>
      <c r="G1619" t="s">
        <v>34</v>
      </c>
      <c r="H1619" t="s">
        <v>35</v>
      </c>
      <c r="I1619">
        <v>6</v>
      </c>
      <c r="J1619" s="3">
        <v>52200</v>
      </c>
      <c r="K1619" s="3">
        <v>37800</v>
      </c>
      <c r="L1619" t="s">
        <v>80</v>
      </c>
      <c r="M1619" t="s">
        <v>22</v>
      </c>
      <c r="N1619" t="s">
        <v>23</v>
      </c>
      <c r="O1619" t="s">
        <v>24</v>
      </c>
    </row>
    <row r="1620" spans="1:15" x14ac:dyDescent="0.35">
      <c r="A1620" t="s">
        <v>2649</v>
      </c>
      <c r="B1620" s="2">
        <v>46281</v>
      </c>
      <c r="C1620" t="s">
        <v>296</v>
      </c>
      <c r="D1620" t="s">
        <v>303</v>
      </c>
      <c r="E1620" t="s">
        <v>18</v>
      </c>
      <c r="F1620" t="s">
        <v>18</v>
      </c>
      <c r="G1620" t="s">
        <v>34</v>
      </c>
      <c r="H1620" t="s">
        <v>141</v>
      </c>
      <c r="I1620">
        <v>1</v>
      </c>
      <c r="J1620" s="3">
        <v>160000</v>
      </c>
      <c r="K1620" s="3">
        <v>123600</v>
      </c>
      <c r="L1620" t="s">
        <v>50</v>
      </c>
      <c r="M1620" t="s">
        <v>51</v>
      </c>
      <c r="N1620" t="s">
        <v>52</v>
      </c>
      <c r="O1620" t="s">
        <v>24</v>
      </c>
    </row>
    <row r="1621" spans="1:15" x14ac:dyDescent="0.35">
      <c r="A1621" t="s">
        <v>2650</v>
      </c>
      <c r="B1621" s="2">
        <v>46247</v>
      </c>
      <c r="C1621" t="s">
        <v>331</v>
      </c>
      <c r="D1621" t="s">
        <v>40</v>
      </c>
      <c r="E1621" t="s">
        <v>41</v>
      </c>
      <c r="F1621" t="s">
        <v>42</v>
      </c>
      <c r="G1621" t="s">
        <v>28</v>
      </c>
      <c r="H1621" t="s">
        <v>131</v>
      </c>
      <c r="I1621">
        <v>9</v>
      </c>
      <c r="J1621" s="3">
        <v>30000</v>
      </c>
      <c r="K1621" s="3">
        <v>19600</v>
      </c>
      <c r="L1621" t="s">
        <v>80</v>
      </c>
      <c r="M1621" t="s">
        <v>22</v>
      </c>
      <c r="N1621" t="s">
        <v>23</v>
      </c>
      <c r="O1621" t="s">
        <v>24</v>
      </c>
    </row>
    <row r="1622" spans="1:15" x14ac:dyDescent="0.35">
      <c r="A1622" t="s">
        <v>2651</v>
      </c>
      <c r="B1622" s="2">
        <v>46058</v>
      </c>
      <c r="C1622" t="s">
        <v>16</v>
      </c>
      <c r="D1622" t="s">
        <v>2652</v>
      </c>
      <c r="E1622" t="s">
        <v>18</v>
      </c>
      <c r="F1622" t="s">
        <v>18</v>
      </c>
      <c r="G1622" t="s">
        <v>19</v>
      </c>
      <c r="H1622" t="s">
        <v>61</v>
      </c>
      <c r="I1622">
        <v>1</v>
      </c>
      <c r="J1622" s="3">
        <v>209000</v>
      </c>
      <c r="K1622" s="3">
        <v>160000</v>
      </c>
      <c r="L1622" t="s">
        <v>96</v>
      </c>
      <c r="M1622" t="s">
        <v>37</v>
      </c>
      <c r="N1622" t="s">
        <v>87</v>
      </c>
      <c r="O1622" t="s">
        <v>24</v>
      </c>
    </row>
    <row r="1623" spans="1:15" x14ac:dyDescent="0.35">
      <c r="A1623" t="s">
        <v>2653</v>
      </c>
      <c r="B1623" s="2">
        <v>46210</v>
      </c>
      <c r="C1623" t="s">
        <v>1757</v>
      </c>
      <c r="D1623" t="s">
        <v>2184</v>
      </c>
      <c r="E1623" t="s">
        <v>77</v>
      </c>
      <c r="F1623" t="s">
        <v>78</v>
      </c>
      <c r="G1623" t="s">
        <v>43</v>
      </c>
      <c r="H1623" t="s">
        <v>79</v>
      </c>
      <c r="I1623">
        <v>9</v>
      </c>
      <c r="J1623" s="3">
        <v>5700</v>
      </c>
      <c r="K1623" s="3">
        <v>4200</v>
      </c>
      <c r="L1623" t="s">
        <v>30</v>
      </c>
      <c r="M1623" t="s">
        <v>51</v>
      </c>
      <c r="N1623" t="s">
        <v>23</v>
      </c>
      <c r="O1623" t="s">
        <v>91</v>
      </c>
    </row>
    <row r="1624" spans="1:15" x14ac:dyDescent="0.35">
      <c r="A1624" t="s">
        <v>2654</v>
      </c>
      <c r="B1624" s="2">
        <v>46160</v>
      </c>
      <c r="C1624" t="s">
        <v>548</v>
      </c>
      <c r="D1624" t="s">
        <v>215</v>
      </c>
      <c r="E1624" t="s">
        <v>190</v>
      </c>
      <c r="F1624" t="s">
        <v>191</v>
      </c>
      <c r="G1624" t="s">
        <v>19</v>
      </c>
      <c r="H1624" t="s">
        <v>112</v>
      </c>
      <c r="I1624">
        <v>5</v>
      </c>
      <c r="J1624" s="3">
        <v>85000</v>
      </c>
      <c r="K1624" s="3">
        <v>63900</v>
      </c>
      <c r="L1624" t="s">
        <v>50</v>
      </c>
      <c r="M1624" t="s">
        <v>37</v>
      </c>
      <c r="N1624" t="s">
        <v>23</v>
      </c>
      <c r="O1624" t="s">
        <v>45</v>
      </c>
    </row>
    <row r="1625" spans="1:15" x14ac:dyDescent="0.35">
      <c r="A1625" t="s">
        <v>2655</v>
      </c>
      <c r="B1625" s="2">
        <v>46304</v>
      </c>
      <c r="C1625" t="s">
        <v>225</v>
      </c>
      <c r="D1625" t="s">
        <v>1149</v>
      </c>
      <c r="E1625" t="s">
        <v>84</v>
      </c>
      <c r="F1625" t="s">
        <v>85</v>
      </c>
      <c r="G1625" t="s">
        <v>28</v>
      </c>
      <c r="H1625" t="s">
        <v>131</v>
      </c>
      <c r="I1625">
        <v>2</v>
      </c>
      <c r="J1625" s="3">
        <v>30000</v>
      </c>
      <c r="K1625" s="3">
        <v>18400</v>
      </c>
      <c r="L1625" t="s">
        <v>80</v>
      </c>
      <c r="M1625" t="s">
        <v>31</v>
      </c>
      <c r="N1625" t="s">
        <v>52</v>
      </c>
      <c r="O1625" t="s">
        <v>24</v>
      </c>
    </row>
    <row r="1626" spans="1:15" x14ac:dyDescent="0.35">
      <c r="A1626" t="s">
        <v>2656</v>
      </c>
      <c r="B1626" s="2">
        <v>46037</v>
      </c>
      <c r="C1626" t="s">
        <v>746</v>
      </c>
      <c r="D1626" t="s">
        <v>669</v>
      </c>
      <c r="E1626" t="s">
        <v>56</v>
      </c>
      <c r="F1626" t="s">
        <v>57</v>
      </c>
      <c r="G1626" t="s">
        <v>43</v>
      </c>
      <c r="H1626" t="s">
        <v>162</v>
      </c>
      <c r="I1626">
        <v>8</v>
      </c>
      <c r="J1626" s="3">
        <v>8400</v>
      </c>
      <c r="K1626" s="3">
        <v>5200</v>
      </c>
      <c r="L1626" t="s">
        <v>66</v>
      </c>
      <c r="M1626" t="s">
        <v>31</v>
      </c>
      <c r="N1626" t="s">
        <v>23</v>
      </c>
      <c r="O1626" t="s">
        <v>24</v>
      </c>
    </row>
    <row r="1627" spans="1:15" x14ac:dyDescent="0.35">
      <c r="A1627" t="s">
        <v>2657</v>
      </c>
      <c r="B1627" s="2">
        <v>46081</v>
      </c>
      <c r="C1627" t="s">
        <v>727</v>
      </c>
      <c r="D1627" t="s">
        <v>1403</v>
      </c>
      <c r="E1627" t="s">
        <v>77</v>
      </c>
      <c r="F1627" t="s">
        <v>78</v>
      </c>
      <c r="G1627" t="s">
        <v>34</v>
      </c>
      <c r="H1627" t="s">
        <v>35</v>
      </c>
      <c r="I1627">
        <v>1</v>
      </c>
      <c r="J1627" s="3">
        <v>52200</v>
      </c>
      <c r="K1627" s="3">
        <v>40200</v>
      </c>
      <c r="L1627" t="s">
        <v>30</v>
      </c>
      <c r="M1627" t="s">
        <v>31</v>
      </c>
      <c r="N1627" t="s">
        <v>23</v>
      </c>
      <c r="O1627" t="s">
        <v>24</v>
      </c>
    </row>
    <row r="1628" spans="1:15" x14ac:dyDescent="0.35">
      <c r="A1628" t="s">
        <v>2658</v>
      </c>
      <c r="B1628" s="2">
        <v>46341</v>
      </c>
      <c r="C1628" t="s">
        <v>1010</v>
      </c>
      <c r="D1628" t="s">
        <v>1923</v>
      </c>
      <c r="E1628" t="s">
        <v>190</v>
      </c>
      <c r="F1628" t="s">
        <v>191</v>
      </c>
      <c r="G1628" t="s">
        <v>34</v>
      </c>
      <c r="H1628" t="s">
        <v>158</v>
      </c>
      <c r="I1628">
        <v>10</v>
      </c>
      <c r="J1628" s="3">
        <v>90200</v>
      </c>
      <c r="K1628" s="3">
        <v>72100</v>
      </c>
      <c r="L1628" t="s">
        <v>36</v>
      </c>
      <c r="M1628" t="s">
        <v>22</v>
      </c>
      <c r="N1628" t="s">
        <v>87</v>
      </c>
      <c r="O1628" t="s">
        <v>24</v>
      </c>
    </row>
    <row r="1629" spans="1:15" x14ac:dyDescent="0.35">
      <c r="A1629" t="s">
        <v>2659</v>
      </c>
      <c r="B1629" s="2">
        <v>46248</v>
      </c>
      <c r="C1629" t="s">
        <v>1124</v>
      </c>
      <c r="D1629" t="s">
        <v>1427</v>
      </c>
      <c r="E1629" t="s">
        <v>156</v>
      </c>
      <c r="F1629" t="s">
        <v>170</v>
      </c>
      <c r="G1629" t="s">
        <v>43</v>
      </c>
      <c r="H1629" t="s">
        <v>177</v>
      </c>
      <c r="I1629">
        <v>1</v>
      </c>
      <c r="J1629" s="3">
        <v>18000</v>
      </c>
      <c r="K1629" s="3">
        <v>12100</v>
      </c>
      <c r="L1629" t="s">
        <v>66</v>
      </c>
      <c r="M1629" t="s">
        <v>37</v>
      </c>
      <c r="N1629" t="s">
        <v>52</v>
      </c>
      <c r="O1629" t="s">
        <v>24</v>
      </c>
    </row>
    <row r="1630" spans="1:15" x14ac:dyDescent="0.35">
      <c r="A1630" t="s">
        <v>2660</v>
      </c>
      <c r="B1630" s="2">
        <v>46361</v>
      </c>
      <c r="C1630" t="s">
        <v>495</v>
      </c>
      <c r="D1630" t="s">
        <v>2443</v>
      </c>
      <c r="E1630" t="s">
        <v>56</v>
      </c>
      <c r="F1630" t="s">
        <v>57</v>
      </c>
      <c r="G1630" t="s">
        <v>34</v>
      </c>
      <c r="H1630" t="s">
        <v>158</v>
      </c>
      <c r="I1630">
        <v>8</v>
      </c>
      <c r="J1630" s="3">
        <v>99800</v>
      </c>
      <c r="K1630" s="3">
        <v>72100</v>
      </c>
      <c r="L1630" t="s">
        <v>36</v>
      </c>
      <c r="M1630" t="s">
        <v>37</v>
      </c>
      <c r="N1630" t="s">
        <v>52</v>
      </c>
      <c r="O1630" t="s">
        <v>24</v>
      </c>
    </row>
    <row r="1631" spans="1:15" x14ac:dyDescent="0.35">
      <c r="A1631" t="s">
        <v>2661</v>
      </c>
      <c r="B1631" s="2">
        <v>46087</v>
      </c>
      <c r="C1631" t="s">
        <v>930</v>
      </c>
      <c r="D1631" t="s">
        <v>760</v>
      </c>
      <c r="E1631" t="s">
        <v>18</v>
      </c>
      <c r="F1631" t="s">
        <v>18</v>
      </c>
      <c r="G1631" t="s">
        <v>34</v>
      </c>
      <c r="H1631" t="s">
        <v>95</v>
      </c>
      <c r="I1631">
        <v>6</v>
      </c>
      <c r="J1631" s="3">
        <v>427500</v>
      </c>
      <c r="K1631" s="3">
        <v>381100</v>
      </c>
      <c r="L1631" t="s">
        <v>80</v>
      </c>
      <c r="M1631" t="s">
        <v>31</v>
      </c>
      <c r="N1631" t="s">
        <v>52</v>
      </c>
      <c r="O1631" t="s">
        <v>24</v>
      </c>
    </row>
    <row r="1632" spans="1:15" x14ac:dyDescent="0.35">
      <c r="A1632" t="s">
        <v>2662</v>
      </c>
      <c r="B1632" s="2">
        <v>46240</v>
      </c>
      <c r="C1632" t="s">
        <v>1658</v>
      </c>
      <c r="D1632" t="s">
        <v>291</v>
      </c>
      <c r="E1632" t="s">
        <v>70</v>
      </c>
      <c r="F1632" t="s">
        <v>71</v>
      </c>
      <c r="G1632" t="s">
        <v>34</v>
      </c>
      <c r="H1632" t="s">
        <v>141</v>
      </c>
      <c r="I1632">
        <v>2</v>
      </c>
      <c r="J1632" s="3">
        <v>160000</v>
      </c>
      <c r="K1632" s="3">
        <v>123600</v>
      </c>
      <c r="L1632" t="s">
        <v>66</v>
      </c>
      <c r="M1632" t="s">
        <v>22</v>
      </c>
      <c r="N1632" t="s">
        <v>52</v>
      </c>
      <c r="O1632" t="s">
        <v>91</v>
      </c>
    </row>
    <row r="1633" spans="1:15" x14ac:dyDescent="0.35">
      <c r="A1633" t="s">
        <v>2663</v>
      </c>
      <c r="B1633" s="2">
        <v>46173</v>
      </c>
      <c r="C1633" t="s">
        <v>1865</v>
      </c>
      <c r="D1633" t="s">
        <v>1942</v>
      </c>
      <c r="E1633" t="s">
        <v>190</v>
      </c>
      <c r="F1633" t="s">
        <v>191</v>
      </c>
      <c r="G1633" t="s">
        <v>28</v>
      </c>
      <c r="H1633" t="s">
        <v>72</v>
      </c>
      <c r="I1633">
        <v>10</v>
      </c>
      <c r="J1633" s="3">
        <v>10000</v>
      </c>
      <c r="K1633" s="3">
        <v>6200</v>
      </c>
      <c r="L1633" t="s">
        <v>21</v>
      </c>
      <c r="M1633" t="s">
        <v>37</v>
      </c>
      <c r="N1633" t="s">
        <v>23</v>
      </c>
      <c r="O1633" t="s">
        <v>45</v>
      </c>
    </row>
    <row r="1634" spans="1:15" x14ac:dyDescent="0.35">
      <c r="A1634" t="s">
        <v>2664</v>
      </c>
      <c r="B1634" s="2">
        <v>46339</v>
      </c>
      <c r="C1634" t="s">
        <v>148</v>
      </c>
      <c r="D1634" t="s">
        <v>287</v>
      </c>
      <c r="E1634" t="s">
        <v>18</v>
      </c>
      <c r="F1634" t="s">
        <v>18</v>
      </c>
      <c r="G1634" t="s">
        <v>19</v>
      </c>
      <c r="H1634" t="s">
        <v>166</v>
      </c>
      <c r="I1634">
        <v>5</v>
      </c>
      <c r="J1634" s="3">
        <v>140000</v>
      </c>
      <c r="K1634" s="3">
        <v>103000</v>
      </c>
      <c r="L1634" t="s">
        <v>96</v>
      </c>
      <c r="M1634" t="s">
        <v>37</v>
      </c>
      <c r="N1634" t="s">
        <v>23</v>
      </c>
      <c r="O1634" t="s">
        <v>24</v>
      </c>
    </row>
    <row r="1635" spans="1:15" x14ac:dyDescent="0.35">
      <c r="A1635" t="s">
        <v>2665</v>
      </c>
      <c r="B1635" s="2">
        <v>46206</v>
      </c>
      <c r="C1635" t="s">
        <v>995</v>
      </c>
      <c r="D1635" t="s">
        <v>1471</v>
      </c>
      <c r="E1635" t="s">
        <v>156</v>
      </c>
      <c r="F1635" t="s">
        <v>170</v>
      </c>
      <c r="G1635" t="s">
        <v>34</v>
      </c>
      <c r="H1635" t="s">
        <v>141</v>
      </c>
      <c r="I1635">
        <v>10</v>
      </c>
      <c r="J1635" s="3">
        <v>168000</v>
      </c>
      <c r="K1635" s="3">
        <v>116400</v>
      </c>
      <c r="L1635" t="s">
        <v>36</v>
      </c>
      <c r="M1635" t="s">
        <v>37</v>
      </c>
      <c r="N1635" t="s">
        <v>87</v>
      </c>
      <c r="O1635" t="s">
        <v>24</v>
      </c>
    </row>
    <row r="1636" spans="1:15" x14ac:dyDescent="0.35">
      <c r="A1636" t="s">
        <v>2666</v>
      </c>
      <c r="B1636" s="2">
        <v>46166</v>
      </c>
      <c r="C1636" t="s">
        <v>1509</v>
      </c>
      <c r="D1636" t="s">
        <v>511</v>
      </c>
      <c r="E1636" t="s">
        <v>56</v>
      </c>
      <c r="F1636" t="s">
        <v>57</v>
      </c>
      <c r="G1636" t="s">
        <v>34</v>
      </c>
      <c r="H1636" t="s">
        <v>158</v>
      </c>
      <c r="I1636">
        <v>1</v>
      </c>
      <c r="J1636" s="3">
        <v>95000</v>
      </c>
      <c r="K1636" s="3">
        <v>72100</v>
      </c>
      <c r="L1636" t="s">
        <v>96</v>
      </c>
      <c r="M1636" t="s">
        <v>51</v>
      </c>
      <c r="N1636" t="s">
        <v>23</v>
      </c>
      <c r="O1636" t="s">
        <v>24</v>
      </c>
    </row>
    <row r="1637" spans="1:15" x14ac:dyDescent="0.35">
      <c r="A1637" t="s">
        <v>2667</v>
      </c>
      <c r="B1637" s="2">
        <v>46025</v>
      </c>
      <c r="C1637" t="s">
        <v>1743</v>
      </c>
      <c r="D1637" t="s">
        <v>2461</v>
      </c>
      <c r="E1637" t="s">
        <v>18</v>
      </c>
      <c r="F1637" t="s">
        <v>18</v>
      </c>
      <c r="G1637" t="s">
        <v>34</v>
      </c>
      <c r="H1637" t="s">
        <v>86</v>
      </c>
      <c r="I1637">
        <v>5</v>
      </c>
      <c r="J1637" s="3">
        <v>171000</v>
      </c>
      <c r="K1637" s="3">
        <v>139000</v>
      </c>
      <c r="L1637" t="s">
        <v>66</v>
      </c>
      <c r="M1637" t="s">
        <v>37</v>
      </c>
      <c r="N1637" t="s">
        <v>23</v>
      </c>
      <c r="O1637" t="s">
        <v>91</v>
      </c>
    </row>
    <row r="1638" spans="1:15" x14ac:dyDescent="0.35">
      <c r="A1638" t="s">
        <v>2668</v>
      </c>
      <c r="B1638" s="2">
        <v>46244</v>
      </c>
      <c r="C1638" t="s">
        <v>1642</v>
      </c>
      <c r="D1638" t="s">
        <v>1117</v>
      </c>
      <c r="E1638" t="s">
        <v>41</v>
      </c>
      <c r="F1638" t="s">
        <v>42</v>
      </c>
      <c r="G1638" t="s">
        <v>43</v>
      </c>
      <c r="H1638" t="s">
        <v>162</v>
      </c>
      <c r="I1638">
        <v>7</v>
      </c>
      <c r="J1638" s="3">
        <v>8400</v>
      </c>
      <c r="K1638" s="3">
        <v>5000</v>
      </c>
      <c r="L1638" t="s">
        <v>73</v>
      </c>
      <c r="M1638" t="s">
        <v>51</v>
      </c>
      <c r="N1638" t="s">
        <v>23</v>
      </c>
      <c r="O1638" t="s">
        <v>24</v>
      </c>
    </row>
    <row r="1639" spans="1:15" x14ac:dyDescent="0.35">
      <c r="A1639" t="s">
        <v>2669</v>
      </c>
      <c r="B1639" s="2">
        <v>46384</v>
      </c>
      <c r="C1639" t="s">
        <v>1594</v>
      </c>
      <c r="D1639" t="s">
        <v>552</v>
      </c>
      <c r="E1639" t="s">
        <v>156</v>
      </c>
      <c r="F1639" t="s">
        <v>170</v>
      </c>
      <c r="G1639" t="s">
        <v>19</v>
      </c>
      <c r="H1639" t="s">
        <v>20</v>
      </c>
      <c r="I1639">
        <v>4</v>
      </c>
      <c r="J1639" s="3">
        <v>68200</v>
      </c>
      <c r="K1639" s="3">
        <v>45000</v>
      </c>
      <c r="L1639" t="s">
        <v>66</v>
      </c>
      <c r="M1639" t="s">
        <v>37</v>
      </c>
      <c r="N1639" t="s">
        <v>23</v>
      </c>
      <c r="O1639" t="s">
        <v>45</v>
      </c>
    </row>
    <row r="1640" spans="1:15" x14ac:dyDescent="0.35">
      <c r="A1640" t="s">
        <v>2670</v>
      </c>
      <c r="B1640" s="2">
        <v>46224</v>
      </c>
      <c r="C1640" t="s">
        <v>93</v>
      </c>
      <c r="D1640" t="s">
        <v>718</v>
      </c>
      <c r="E1640" t="s">
        <v>190</v>
      </c>
      <c r="F1640" t="s">
        <v>191</v>
      </c>
      <c r="G1640" t="s">
        <v>368</v>
      </c>
      <c r="H1640" t="s">
        <v>158</v>
      </c>
      <c r="I1640">
        <v>3</v>
      </c>
      <c r="J1640" s="3">
        <v>90200</v>
      </c>
      <c r="K1640" s="3">
        <v>72100</v>
      </c>
      <c r="L1640" t="s">
        <v>66</v>
      </c>
      <c r="M1640" t="s">
        <v>37</v>
      </c>
      <c r="N1640" t="s">
        <v>23</v>
      </c>
      <c r="O1640" t="s">
        <v>24</v>
      </c>
    </row>
    <row r="1641" spans="1:15" x14ac:dyDescent="0.35">
      <c r="A1641" t="s">
        <v>2671</v>
      </c>
      <c r="B1641" s="2">
        <v>46203</v>
      </c>
      <c r="C1641" t="s">
        <v>2672</v>
      </c>
      <c r="D1641" t="s">
        <v>1276</v>
      </c>
      <c r="E1641" t="s">
        <v>84</v>
      </c>
      <c r="F1641" t="s">
        <v>85</v>
      </c>
      <c r="G1641" t="s">
        <v>34</v>
      </c>
      <c r="H1641" t="s">
        <v>95</v>
      </c>
      <c r="I1641">
        <v>7</v>
      </c>
      <c r="J1641" s="3">
        <v>472500</v>
      </c>
      <c r="K1641" s="3">
        <v>370000</v>
      </c>
      <c r="L1641" t="s">
        <v>66</v>
      </c>
      <c r="M1641" t="s">
        <v>31</v>
      </c>
      <c r="N1641" t="s">
        <v>23</v>
      </c>
      <c r="O1641" t="s">
        <v>24</v>
      </c>
    </row>
    <row r="1642" spans="1:15" x14ac:dyDescent="0.35">
      <c r="A1642" t="s">
        <v>2673</v>
      </c>
      <c r="B1642" s="2">
        <v>46282</v>
      </c>
      <c r="C1642" t="s">
        <v>1283</v>
      </c>
      <c r="D1642" t="s">
        <v>631</v>
      </c>
      <c r="E1642" t="s">
        <v>84</v>
      </c>
      <c r="F1642" t="s">
        <v>85</v>
      </c>
      <c r="G1642" t="s">
        <v>34</v>
      </c>
      <c r="H1642" t="s">
        <v>158</v>
      </c>
      <c r="I1642">
        <v>4</v>
      </c>
      <c r="J1642" s="3">
        <v>99800</v>
      </c>
      <c r="K1642" s="3">
        <v>72100</v>
      </c>
      <c r="L1642" t="s">
        <v>50</v>
      </c>
      <c r="M1642" t="s">
        <v>51</v>
      </c>
      <c r="N1642" t="s">
        <v>52</v>
      </c>
      <c r="O1642" t="s">
        <v>24</v>
      </c>
    </row>
    <row r="1643" spans="1:15" x14ac:dyDescent="0.35">
      <c r="A1643" t="s">
        <v>2674</v>
      </c>
      <c r="B1643" s="2">
        <v>46263</v>
      </c>
      <c r="C1643" t="s">
        <v>246</v>
      </c>
      <c r="D1643" t="s">
        <v>969</v>
      </c>
      <c r="E1643" t="s">
        <v>156</v>
      </c>
      <c r="F1643" t="s">
        <v>170</v>
      </c>
      <c r="G1643" t="s">
        <v>34</v>
      </c>
      <c r="H1643" t="s">
        <v>158</v>
      </c>
      <c r="I1643">
        <v>1</v>
      </c>
      <c r="J1643" s="3">
        <v>90200</v>
      </c>
      <c r="K1643" s="3">
        <v>70000</v>
      </c>
      <c r="L1643" t="s">
        <v>66</v>
      </c>
      <c r="M1643" t="s">
        <v>22</v>
      </c>
      <c r="N1643" t="s">
        <v>52</v>
      </c>
      <c r="O1643" t="s">
        <v>24</v>
      </c>
    </row>
    <row r="1644" spans="1:15" x14ac:dyDescent="0.35">
      <c r="A1644" t="s">
        <v>2675</v>
      </c>
      <c r="B1644" s="2">
        <v>46252</v>
      </c>
      <c r="C1644" t="s">
        <v>1620</v>
      </c>
      <c r="D1644" t="s">
        <v>565</v>
      </c>
      <c r="E1644" t="s">
        <v>41</v>
      </c>
      <c r="F1644" t="s">
        <v>42</v>
      </c>
      <c r="G1644" t="s">
        <v>34</v>
      </c>
      <c r="H1644" t="s">
        <v>86</v>
      </c>
      <c r="I1644">
        <v>5</v>
      </c>
      <c r="J1644" s="3">
        <v>180000</v>
      </c>
      <c r="K1644" s="3">
        <v>135000</v>
      </c>
      <c r="L1644" t="s">
        <v>80</v>
      </c>
      <c r="M1644" t="s">
        <v>31</v>
      </c>
      <c r="N1644" t="s">
        <v>52</v>
      </c>
      <c r="O1644" t="s">
        <v>45</v>
      </c>
    </row>
    <row r="1645" spans="1:15" x14ac:dyDescent="0.35">
      <c r="A1645" t="s">
        <v>2676</v>
      </c>
      <c r="B1645" s="2">
        <v>46085</v>
      </c>
      <c r="C1645" t="s">
        <v>1446</v>
      </c>
      <c r="D1645" t="s">
        <v>1308</v>
      </c>
      <c r="E1645" t="s">
        <v>18</v>
      </c>
      <c r="F1645" t="s">
        <v>18</v>
      </c>
      <c r="G1645" t="s">
        <v>34</v>
      </c>
      <c r="H1645" t="s">
        <v>158</v>
      </c>
      <c r="I1645">
        <v>5</v>
      </c>
      <c r="J1645" s="3">
        <v>90200</v>
      </c>
      <c r="K1645" s="3">
        <v>67900</v>
      </c>
      <c r="L1645" t="s">
        <v>36</v>
      </c>
      <c r="M1645" t="s">
        <v>37</v>
      </c>
      <c r="N1645" t="s">
        <v>52</v>
      </c>
      <c r="O1645" t="s">
        <v>24</v>
      </c>
    </row>
    <row r="1646" spans="1:15" x14ac:dyDescent="0.35">
      <c r="A1646" t="s">
        <v>2677</v>
      </c>
      <c r="B1646" s="2">
        <v>46332</v>
      </c>
      <c r="C1646" t="s">
        <v>334</v>
      </c>
      <c r="D1646" t="s">
        <v>1384</v>
      </c>
      <c r="E1646" t="s">
        <v>18</v>
      </c>
      <c r="F1646" t="s">
        <v>18</v>
      </c>
      <c r="G1646" t="s">
        <v>43</v>
      </c>
      <c r="H1646" t="s">
        <v>177</v>
      </c>
      <c r="I1646">
        <v>8</v>
      </c>
      <c r="J1646" s="3">
        <v>17100</v>
      </c>
      <c r="K1646" s="3">
        <v>12900</v>
      </c>
      <c r="L1646" t="s">
        <v>73</v>
      </c>
      <c r="M1646" t="s">
        <v>31</v>
      </c>
      <c r="N1646" t="s">
        <v>87</v>
      </c>
      <c r="O1646" t="s">
        <v>45</v>
      </c>
    </row>
    <row r="1647" spans="1:15" x14ac:dyDescent="0.35">
      <c r="A1647" t="s">
        <v>2678</v>
      </c>
      <c r="B1647" s="2">
        <v>46157</v>
      </c>
      <c r="C1647" t="s">
        <v>1207</v>
      </c>
      <c r="D1647" t="s">
        <v>332</v>
      </c>
      <c r="E1647" t="s">
        <v>18</v>
      </c>
      <c r="F1647" t="s">
        <v>18</v>
      </c>
      <c r="G1647" t="s">
        <v>28</v>
      </c>
      <c r="H1647" t="s">
        <v>29</v>
      </c>
      <c r="I1647">
        <v>5</v>
      </c>
      <c r="J1647" s="3">
        <v>7000</v>
      </c>
      <c r="K1647" s="3">
        <v>3900</v>
      </c>
      <c r="L1647" t="s">
        <v>50</v>
      </c>
      <c r="M1647" t="s">
        <v>51</v>
      </c>
      <c r="N1647" t="s">
        <v>52</v>
      </c>
      <c r="O1647" t="s">
        <v>24</v>
      </c>
    </row>
    <row r="1648" spans="1:15" x14ac:dyDescent="0.35">
      <c r="A1648" t="s">
        <v>2679</v>
      </c>
      <c r="B1648" s="2">
        <v>46026</v>
      </c>
      <c r="C1648" t="s">
        <v>1759</v>
      </c>
      <c r="D1648" t="s">
        <v>530</v>
      </c>
      <c r="E1648" t="s">
        <v>156</v>
      </c>
      <c r="F1648" t="s">
        <v>170</v>
      </c>
      <c r="G1648" t="s">
        <v>28</v>
      </c>
      <c r="H1648" t="s">
        <v>72</v>
      </c>
      <c r="I1648">
        <v>5</v>
      </c>
      <c r="J1648" s="3">
        <v>10000</v>
      </c>
      <c r="K1648" s="3">
        <v>6400</v>
      </c>
      <c r="L1648" t="s">
        <v>96</v>
      </c>
      <c r="M1648" t="s">
        <v>31</v>
      </c>
      <c r="N1648" t="s">
        <v>52</v>
      </c>
      <c r="O1648" t="s">
        <v>45</v>
      </c>
    </row>
    <row r="1649" spans="1:15" x14ac:dyDescent="0.35">
      <c r="A1649" t="s">
        <v>2680</v>
      </c>
      <c r="B1649" s="2">
        <v>46115</v>
      </c>
      <c r="C1649" t="s">
        <v>1444</v>
      </c>
      <c r="D1649" t="s">
        <v>524</v>
      </c>
      <c r="E1649" t="s">
        <v>77</v>
      </c>
      <c r="F1649" t="s">
        <v>78</v>
      </c>
      <c r="G1649" t="s">
        <v>34</v>
      </c>
      <c r="H1649" t="s">
        <v>86</v>
      </c>
      <c r="I1649">
        <v>8</v>
      </c>
      <c r="J1649" s="3">
        <v>171000</v>
      </c>
      <c r="K1649" s="3">
        <v>139000</v>
      </c>
      <c r="L1649" t="s">
        <v>30</v>
      </c>
      <c r="M1649" t="s">
        <v>37</v>
      </c>
      <c r="N1649" t="s">
        <v>23</v>
      </c>
      <c r="O1649" t="s">
        <v>24</v>
      </c>
    </row>
    <row r="1650" spans="1:15" x14ac:dyDescent="0.35">
      <c r="A1650" t="s">
        <v>2681</v>
      </c>
      <c r="B1650" s="2">
        <v>46071</v>
      </c>
      <c r="C1650" t="s">
        <v>1424</v>
      </c>
      <c r="D1650" t="s">
        <v>2682</v>
      </c>
      <c r="E1650" t="s">
        <v>41</v>
      </c>
      <c r="F1650" t="s">
        <v>42</v>
      </c>
      <c r="G1650" t="s">
        <v>43</v>
      </c>
      <c r="H1650" t="s">
        <v>44</v>
      </c>
      <c r="I1650">
        <v>5</v>
      </c>
      <c r="J1650" s="3">
        <v>14200</v>
      </c>
      <c r="K1650" s="3">
        <v>9200</v>
      </c>
      <c r="L1650" t="s">
        <v>36</v>
      </c>
      <c r="M1650" t="s">
        <v>37</v>
      </c>
      <c r="N1650" t="s">
        <v>23</v>
      </c>
      <c r="O1650" t="s">
        <v>24</v>
      </c>
    </row>
    <row r="1651" spans="1:15" x14ac:dyDescent="0.35">
      <c r="A1651" t="s">
        <v>2683</v>
      </c>
      <c r="B1651" s="2">
        <v>46328</v>
      </c>
      <c r="C1651" t="s">
        <v>578</v>
      </c>
      <c r="D1651" t="s">
        <v>1303</v>
      </c>
      <c r="E1651" t="s">
        <v>84</v>
      </c>
      <c r="F1651" t="s">
        <v>85</v>
      </c>
      <c r="G1651" t="s">
        <v>34</v>
      </c>
      <c r="H1651" t="s">
        <v>86</v>
      </c>
      <c r="I1651">
        <v>7</v>
      </c>
      <c r="J1651" s="3">
        <v>180000</v>
      </c>
      <c r="K1651" s="3">
        <v>131000</v>
      </c>
      <c r="L1651" t="s">
        <v>96</v>
      </c>
      <c r="M1651" t="s">
        <v>37</v>
      </c>
      <c r="N1651" t="s">
        <v>23</v>
      </c>
      <c r="O1651" t="s">
        <v>24</v>
      </c>
    </row>
    <row r="1652" spans="1:15" x14ac:dyDescent="0.35">
      <c r="A1652" t="s">
        <v>2684</v>
      </c>
      <c r="B1652" s="2">
        <v>46083</v>
      </c>
      <c r="C1652" t="s">
        <v>1575</v>
      </c>
      <c r="D1652" t="s">
        <v>728</v>
      </c>
      <c r="E1652" t="s">
        <v>18</v>
      </c>
      <c r="F1652" t="s">
        <v>18</v>
      </c>
      <c r="G1652" t="s">
        <v>2685</v>
      </c>
      <c r="H1652" t="s">
        <v>131</v>
      </c>
      <c r="I1652">
        <v>1</v>
      </c>
      <c r="J1652" s="3">
        <v>31500</v>
      </c>
      <c r="K1652" s="3">
        <v>19600</v>
      </c>
      <c r="L1652" t="s">
        <v>66</v>
      </c>
      <c r="M1652" t="s">
        <v>37</v>
      </c>
      <c r="N1652" t="s">
        <v>23</v>
      </c>
      <c r="O1652" t="s">
        <v>24</v>
      </c>
    </row>
    <row r="1653" spans="1:15" x14ac:dyDescent="0.35">
      <c r="A1653" t="s">
        <v>2686</v>
      </c>
      <c r="B1653" s="2">
        <v>46136</v>
      </c>
      <c r="C1653" t="s">
        <v>997</v>
      </c>
      <c r="D1653" t="s">
        <v>570</v>
      </c>
      <c r="E1653" t="s">
        <v>77</v>
      </c>
      <c r="F1653" t="s">
        <v>78</v>
      </c>
      <c r="G1653" t="s">
        <v>43</v>
      </c>
      <c r="H1653" t="s">
        <v>79</v>
      </c>
      <c r="I1653">
        <v>5</v>
      </c>
      <c r="J1653" s="3">
        <v>6000</v>
      </c>
      <c r="K1653" s="3">
        <v>4100</v>
      </c>
      <c r="L1653" t="s">
        <v>50</v>
      </c>
      <c r="M1653" t="s">
        <v>51</v>
      </c>
      <c r="N1653" t="s">
        <v>87</v>
      </c>
      <c r="O1653" t="s">
        <v>24</v>
      </c>
    </row>
    <row r="1654" spans="1:15" x14ac:dyDescent="0.35">
      <c r="A1654" t="s">
        <v>2687</v>
      </c>
      <c r="B1654" s="2">
        <v>46380</v>
      </c>
      <c r="C1654" t="s">
        <v>2559</v>
      </c>
      <c r="D1654" t="s">
        <v>866</v>
      </c>
      <c r="E1654" t="s">
        <v>190</v>
      </c>
      <c r="F1654" t="s">
        <v>191</v>
      </c>
      <c r="G1654" t="s">
        <v>34</v>
      </c>
      <c r="H1654" t="s">
        <v>35</v>
      </c>
      <c r="I1654">
        <v>6</v>
      </c>
      <c r="J1654" s="3">
        <v>55000</v>
      </c>
      <c r="K1654" s="3">
        <v>39000</v>
      </c>
      <c r="L1654" t="s">
        <v>50</v>
      </c>
      <c r="M1654" t="s">
        <v>51</v>
      </c>
      <c r="N1654" t="s">
        <v>52</v>
      </c>
      <c r="O1654" t="s">
        <v>24</v>
      </c>
    </row>
    <row r="1655" spans="1:15" x14ac:dyDescent="0.35">
      <c r="A1655" t="s">
        <v>2688</v>
      </c>
      <c r="B1655" s="2">
        <v>46319</v>
      </c>
      <c r="C1655" t="s">
        <v>952</v>
      </c>
      <c r="D1655" t="s">
        <v>388</v>
      </c>
      <c r="E1655" t="s">
        <v>56</v>
      </c>
      <c r="F1655" t="s">
        <v>57</v>
      </c>
      <c r="G1655" t="s">
        <v>34</v>
      </c>
      <c r="H1655" t="s">
        <v>86</v>
      </c>
      <c r="I1655">
        <v>8</v>
      </c>
      <c r="J1655" s="3">
        <v>180000</v>
      </c>
      <c r="K1655" s="3">
        <v>131000</v>
      </c>
      <c r="L1655" t="s">
        <v>80</v>
      </c>
      <c r="M1655" t="s">
        <v>51</v>
      </c>
      <c r="N1655" t="s">
        <v>87</v>
      </c>
      <c r="O1655" t="s">
        <v>91</v>
      </c>
    </row>
    <row r="1656" spans="1:15" x14ac:dyDescent="0.35">
      <c r="A1656" t="s">
        <v>2689</v>
      </c>
      <c r="B1656" s="2">
        <v>46342</v>
      </c>
      <c r="C1656" t="s">
        <v>1076</v>
      </c>
      <c r="D1656" t="s">
        <v>969</v>
      </c>
      <c r="E1656" t="s">
        <v>56</v>
      </c>
      <c r="F1656" t="s">
        <v>57</v>
      </c>
      <c r="G1656" t="s">
        <v>34</v>
      </c>
      <c r="H1656" t="s">
        <v>35</v>
      </c>
      <c r="I1656">
        <v>9</v>
      </c>
      <c r="J1656" s="3">
        <v>55000</v>
      </c>
      <c r="K1656" s="3">
        <v>39000</v>
      </c>
      <c r="L1656" t="s">
        <v>36</v>
      </c>
      <c r="M1656" t="s">
        <v>31</v>
      </c>
      <c r="N1656" t="s">
        <v>52</v>
      </c>
      <c r="O1656" t="s">
        <v>45</v>
      </c>
    </row>
    <row r="1657" spans="1:15" x14ac:dyDescent="0.35">
      <c r="A1657" t="s">
        <v>2690</v>
      </c>
      <c r="B1657" s="2">
        <v>46272</v>
      </c>
      <c r="C1657" t="s">
        <v>759</v>
      </c>
      <c r="D1657" t="s">
        <v>1052</v>
      </c>
      <c r="E1657" t="s">
        <v>190</v>
      </c>
      <c r="F1657" t="s">
        <v>191</v>
      </c>
      <c r="G1657" t="s">
        <v>34</v>
      </c>
      <c r="H1657" t="s">
        <v>86</v>
      </c>
      <c r="I1657">
        <v>9</v>
      </c>
      <c r="J1657" s="3">
        <v>180000</v>
      </c>
      <c r="K1657" s="3">
        <v>135000</v>
      </c>
      <c r="L1657" t="s">
        <v>50</v>
      </c>
      <c r="M1657" t="s">
        <v>37</v>
      </c>
      <c r="N1657" t="s">
        <v>52</v>
      </c>
      <c r="O1657" t="s">
        <v>24</v>
      </c>
    </row>
    <row r="1658" spans="1:15" x14ac:dyDescent="0.35">
      <c r="A1658" t="s">
        <v>2691</v>
      </c>
      <c r="B1658" s="2">
        <v>46295</v>
      </c>
      <c r="C1658" t="s">
        <v>702</v>
      </c>
      <c r="D1658" t="s">
        <v>1384</v>
      </c>
      <c r="E1658" t="s">
        <v>77</v>
      </c>
      <c r="F1658" t="s">
        <v>78</v>
      </c>
      <c r="G1658" t="s">
        <v>28</v>
      </c>
      <c r="H1658" t="s">
        <v>131</v>
      </c>
      <c r="I1658">
        <v>3</v>
      </c>
      <c r="J1658" s="3">
        <v>31500</v>
      </c>
      <c r="K1658" s="3">
        <v>19600</v>
      </c>
      <c r="L1658" t="s">
        <v>21</v>
      </c>
      <c r="M1658" t="s">
        <v>31</v>
      </c>
      <c r="N1658" t="s">
        <v>52</v>
      </c>
      <c r="O1658" t="s">
        <v>45</v>
      </c>
    </row>
    <row r="1659" spans="1:15" x14ac:dyDescent="0.35">
      <c r="A1659" t="s">
        <v>2692</v>
      </c>
      <c r="B1659" s="2">
        <v>46347</v>
      </c>
      <c r="C1659" t="s">
        <v>795</v>
      </c>
      <c r="D1659" t="s">
        <v>241</v>
      </c>
      <c r="E1659" t="s">
        <v>70</v>
      </c>
      <c r="F1659" t="s">
        <v>71</v>
      </c>
      <c r="G1659" t="s">
        <v>34</v>
      </c>
      <c r="H1659" t="s">
        <v>35</v>
      </c>
      <c r="I1659">
        <v>2</v>
      </c>
      <c r="J1659" s="3">
        <v>55000</v>
      </c>
      <c r="K1659" s="3">
        <v>40200</v>
      </c>
      <c r="L1659" t="s">
        <v>21</v>
      </c>
      <c r="M1659" t="s">
        <v>37</v>
      </c>
      <c r="N1659" t="s">
        <v>87</v>
      </c>
      <c r="O1659" t="s">
        <v>24</v>
      </c>
    </row>
    <row r="1660" spans="1:15" x14ac:dyDescent="0.35">
      <c r="A1660" t="s">
        <v>2693</v>
      </c>
      <c r="B1660" s="2">
        <v>46332</v>
      </c>
      <c r="C1660" t="s">
        <v>2342</v>
      </c>
      <c r="D1660" t="s">
        <v>422</v>
      </c>
      <c r="E1660" t="s">
        <v>41</v>
      </c>
      <c r="F1660" t="s">
        <v>42</v>
      </c>
      <c r="G1660" t="s">
        <v>19</v>
      </c>
      <c r="H1660" t="s">
        <v>20</v>
      </c>
      <c r="I1660">
        <v>3</v>
      </c>
      <c r="J1660" s="3">
        <v>65000</v>
      </c>
      <c r="K1660" s="3">
        <v>43600</v>
      </c>
      <c r="L1660" t="s">
        <v>50</v>
      </c>
      <c r="M1660" t="s">
        <v>22</v>
      </c>
      <c r="N1660" t="s">
        <v>23</v>
      </c>
      <c r="O1660" t="s">
        <v>24</v>
      </c>
    </row>
    <row r="1661" spans="1:15" x14ac:dyDescent="0.35">
      <c r="A1661" t="s">
        <v>2694</v>
      </c>
      <c r="B1661" s="2">
        <v>46152</v>
      </c>
      <c r="C1661" t="s">
        <v>1356</v>
      </c>
      <c r="D1661" t="s">
        <v>203</v>
      </c>
      <c r="E1661" t="s">
        <v>77</v>
      </c>
      <c r="F1661" t="s">
        <v>78</v>
      </c>
      <c r="G1661" t="s">
        <v>43</v>
      </c>
      <c r="H1661" t="s">
        <v>177</v>
      </c>
      <c r="I1661">
        <v>1</v>
      </c>
      <c r="J1661" s="3">
        <v>18000</v>
      </c>
      <c r="K1661" s="3">
        <v>12500</v>
      </c>
      <c r="L1661" t="s">
        <v>30</v>
      </c>
      <c r="M1661" t="s">
        <v>37</v>
      </c>
      <c r="N1661" t="s">
        <v>87</v>
      </c>
      <c r="O1661" t="s">
        <v>24</v>
      </c>
    </row>
    <row r="1662" spans="1:15" x14ac:dyDescent="0.35">
      <c r="A1662" t="s">
        <v>2695</v>
      </c>
      <c r="B1662" s="2">
        <v>46233</v>
      </c>
      <c r="C1662" t="s">
        <v>2118</v>
      </c>
      <c r="D1662" t="s">
        <v>533</v>
      </c>
      <c r="E1662" t="s">
        <v>18</v>
      </c>
      <c r="F1662" t="s">
        <v>18</v>
      </c>
      <c r="G1662" t="s">
        <v>34</v>
      </c>
      <c r="H1662" t="s">
        <v>158</v>
      </c>
      <c r="I1662">
        <v>4</v>
      </c>
      <c r="J1662" s="3">
        <v>90200</v>
      </c>
      <c r="K1662" s="3">
        <v>70000</v>
      </c>
      <c r="L1662" t="s">
        <v>30</v>
      </c>
      <c r="M1662" t="s">
        <v>51</v>
      </c>
      <c r="N1662" t="s">
        <v>23</v>
      </c>
      <c r="O1662" t="s">
        <v>91</v>
      </c>
    </row>
    <row r="1663" spans="1:15" x14ac:dyDescent="0.35">
      <c r="A1663" t="s">
        <v>2696</v>
      </c>
      <c r="B1663" s="2">
        <v>46273</v>
      </c>
      <c r="C1663" t="s">
        <v>1353</v>
      </c>
      <c r="D1663" t="s">
        <v>149</v>
      </c>
      <c r="E1663" t="s">
        <v>18</v>
      </c>
      <c r="F1663" t="s">
        <v>18</v>
      </c>
      <c r="G1663" t="s">
        <v>28</v>
      </c>
      <c r="H1663" t="s">
        <v>72</v>
      </c>
      <c r="I1663">
        <v>5</v>
      </c>
      <c r="J1663" s="3">
        <v>10000</v>
      </c>
      <c r="K1663" s="3">
        <v>6200</v>
      </c>
      <c r="L1663" t="s">
        <v>80</v>
      </c>
      <c r="M1663" t="s">
        <v>37</v>
      </c>
      <c r="N1663" t="s">
        <v>52</v>
      </c>
      <c r="O1663" t="s">
        <v>24</v>
      </c>
    </row>
    <row r="1664" spans="1:15" x14ac:dyDescent="0.35">
      <c r="A1664" t="s">
        <v>2697</v>
      </c>
      <c r="B1664" s="2">
        <v>46059</v>
      </c>
      <c r="C1664" t="s">
        <v>2430</v>
      </c>
      <c r="D1664" t="s">
        <v>1330</v>
      </c>
      <c r="E1664" t="s">
        <v>70</v>
      </c>
      <c r="F1664" t="s">
        <v>71</v>
      </c>
      <c r="G1664" t="s">
        <v>34</v>
      </c>
      <c r="H1664" t="s">
        <v>86</v>
      </c>
      <c r="I1664">
        <v>5</v>
      </c>
      <c r="J1664" s="3">
        <v>189000</v>
      </c>
      <c r="K1664" s="3">
        <v>135000</v>
      </c>
      <c r="L1664" t="s">
        <v>30</v>
      </c>
      <c r="M1664" t="s">
        <v>37</v>
      </c>
      <c r="N1664" t="s">
        <v>23</v>
      </c>
      <c r="O1664" t="s">
        <v>24</v>
      </c>
    </row>
    <row r="1665" spans="1:15" x14ac:dyDescent="0.35">
      <c r="A1665" t="s">
        <v>2698</v>
      </c>
      <c r="B1665" s="2">
        <v>46346</v>
      </c>
      <c r="C1665" t="s">
        <v>638</v>
      </c>
      <c r="D1665" t="s">
        <v>291</v>
      </c>
      <c r="E1665" t="s">
        <v>156</v>
      </c>
      <c r="F1665" t="s">
        <v>157</v>
      </c>
      <c r="G1665" t="s">
        <v>28</v>
      </c>
      <c r="H1665" t="s">
        <v>248</v>
      </c>
      <c r="I1665">
        <v>9</v>
      </c>
      <c r="J1665" s="3">
        <v>25000</v>
      </c>
      <c r="K1665" s="3">
        <v>16500</v>
      </c>
      <c r="L1665" t="s">
        <v>30</v>
      </c>
      <c r="M1665" t="s">
        <v>37</v>
      </c>
      <c r="N1665" t="s">
        <v>23</v>
      </c>
      <c r="O1665" t="s">
        <v>24</v>
      </c>
    </row>
    <row r="1666" spans="1:15" x14ac:dyDescent="0.35">
      <c r="A1666" t="s">
        <v>2699</v>
      </c>
      <c r="B1666" s="2">
        <v>46281</v>
      </c>
      <c r="C1666" t="s">
        <v>1770</v>
      </c>
      <c r="D1666" t="s">
        <v>385</v>
      </c>
      <c r="E1666" t="s">
        <v>84</v>
      </c>
      <c r="F1666" t="s">
        <v>85</v>
      </c>
      <c r="G1666" t="s">
        <v>34</v>
      </c>
      <c r="H1666" t="s">
        <v>158</v>
      </c>
      <c r="I1666">
        <v>8</v>
      </c>
      <c r="J1666" s="3">
        <v>95000</v>
      </c>
      <c r="K1666" s="3">
        <v>72100</v>
      </c>
      <c r="L1666" t="s">
        <v>73</v>
      </c>
      <c r="M1666" t="s">
        <v>37</v>
      </c>
      <c r="N1666" t="s">
        <v>52</v>
      </c>
      <c r="O1666" t="s">
        <v>24</v>
      </c>
    </row>
    <row r="1667" spans="1:15" x14ac:dyDescent="0.35">
      <c r="A1667" t="s">
        <v>2700</v>
      </c>
      <c r="B1667" s="2">
        <v>46199</v>
      </c>
      <c r="C1667" t="s">
        <v>331</v>
      </c>
      <c r="D1667" t="s">
        <v>755</v>
      </c>
      <c r="E1667" t="s">
        <v>190</v>
      </c>
      <c r="F1667" t="s">
        <v>191</v>
      </c>
      <c r="G1667" t="s">
        <v>34</v>
      </c>
      <c r="H1667" t="s">
        <v>95</v>
      </c>
      <c r="I1667">
        <v>6</v>
      </c>
      <c r="J1667" s="3">
        <v>472500</v>
      </c>
      <c r="K1667" s="3">
        <v>370000</v>
      </c>
      <c r="L1667" t="s">
        <v>73</v>
      </c>
      <c r="M1667" t="s">
        <v>22</v>
      </c>
      <c r="N1667" t="s">
        <v>23</v>
      </c>
      <c r="O1667" t="s">
        <v>24</v>
      </c>
    </row>
    <row r="1668" spans="1:15" x14ac:dyDescent="0.35">
      <c r="A1668" t="s">
        <v>2701</v>
      </c>
      <c r="B1668" s="2">
        <v>46101</v>
      </c>
      <c r="C1668" t="s">
        <v>730</v>
      </c>
      <c r="D1668" t="s">
        <v>456</v>
      </c>
      <c r="E1668" t="s">
        <v>41</v>
      </c>
      <c r="F1668" t="s">
        <v>42</v>
      </c>
      <c r="G1668" t="s">
        <v>34</v>
      </c>
      <c r="H1668" t="s">
        <v>86</v>
      </c>
      <c r="I1668">
        <v>1</v>
      </c>
      <c r="J1668" s="3">
        <v>180000</v>
      </c>
      <c r="K1668" s="3">
        <v>131000</v>
      </c>
      <c r="L1668" t="s">
        <v>96</v>
      </c>
      <c r="M1668" t="s">
        <v>22</v>
      </c>
      <c r="N1668" t="s">
        <v>87</v>
      </c>
      <c r="O1668" t="s">
        <v>24</v>
      </c>
    </row>
    <row r="1669" spans="1:15" x14ac:dyDescent="0.35">
      <c r="A1669" t="s">
        <v>2702</v>
      </c>
      <c r="B1669" s="2">
        <v>46140</v>
      </c>
      <c r="C1669" t="s">
        <v>1465</v>
      </c>
      <c r="D1669" t="s">
        <v>244</v>
      </c>
      <c r="E1669" t="s">
        <v>18</v>
      </c>
      <c r="F1669" t="s">
        <v>18</v>
      </c>
      <c r="G1669" t="s">
        <v>43</v>
      </c>
      <c r="H1669" t="s">
        <v>177</v>
      </c>
      <c r="I1669">
        <v>1</v>
      </c>
      <c r="J1669" s="3">
        <v>18900</v>
      </c>
      <c r="K1669" s="3">
        <v>12900</v>
      </c>
      <c r="L1669" t="s">
        <v>30</v>
      </c>
      <c r="M1669" t="s">
        <v>31</v>
      </c>
      <c r="N1669" t="s">
        <v>23</v>
      </c>
      <c r="O1669" t="s">
        <v>45</v>
      </c>
    </row>
    <row r="1670" spans="1:15" x14ac:dyDescent="0.35">
      <c r="A1670" t="s">
        <v>2703</v>
      </c>
      <c r="B1670" s="2">
        <v>46246</v>
      </c>
      <c r="C1670" t="s">
        <v>2328</v>
      </c>
      <c r="D1670" t="s">
        <v>2461</v>
      </c>
      <c r="E1670" t="s">
        <v>70</v>
      </c>
      <c r="F1670" t="s">
        <v>71</v>
      </c>
      <c r="G1670" t="s">
        <v>34</v>
      </c>
      <c r="H1670" t="s">
        <v>158</v>
      </c>
      <c r="I1670">
        <v>2</v>
      </c>
      <c r="J1670" s="3">
        <v>90200</v>
      </c>
      <c r="K1670" s="3">
        <v>70000</v>
      </c>
      <c r="L1670" t="s">
        <v>50</v>
      </c>
      <c r="M1670" t="s">
        <v>31</v>
      </c>
      <c r="N1670" t="s">
        <v>52</v>
      </c>
      <c r="O1670" t="s">
        <v>24</v>
      </c>
    </row>
    <row r="1671" spans="1:15" x14ac:dyDescent="0.35">
      <c r="A1671" t="s">
        <v>2704</v>
      </c>
      <c r="B1671" s="2">
        <v>46276</v>
      </c>
      <c r="C1671" t="s">
        <v>1042</v>
      </c>
      <c r="D1671" t="s">
        <v>105</v>
      </c>
      <c r="E1671" t="s">
        <v>70</v>
      </c>
      <c r="F1671" t="s">
        <v>71</v>
      </c>
      <c r="G1671" t="s">
        <v>43</v>
      </c>
      <c r="H1671" t="s">
        <v>79</v>
      </c>
      <c r="I1671">
        <v>4</v>
      </c>
      <c r="J1671" s="3">
        <v>6000</v>
      </c>
      <c r="K1671" s="3">
        <v>4300</v>
      </c>
      <c r="L1671" t="s">
        <v>80</v>
      </c>
      <c r="M1671" t="s">
        <v>51</v>
      </c>
      <c r="N1671" t="s">
        <v>23</v>
      </c>
      <c r="O1671" t="s">
        <v>24</v>
      </c>
    </row>
    <row r="1672" spans="1:15" x14ac:dyDescent="0.35">
      <c r="A1672" t="s">
        <v>2705</v>
      </c>
      <c r="B1672" s="2">
        <v>46349</v>
      </c>
      <c r="C1672" t="s">
        <v>497</v>
      </c>
      <c r="D1672" t="s">
        <v>278</v>
      </c>
      <c r="E1672" t="s">
        <v>18</v>
      </c>
      <c r="F1672" t="s">
        <v>18</v>
      </c>
      <c r="G1672" t="s">
        <v>28</v>
      </c>
      <c r="H1672" t="s">
        <v>131</v>
      </c>
      <c r="I1672">
        <v>9</v>
      </c>
      <c r="J1672" s="3">
        <v>30000</v>
      </c>
      <c r="K1672" s="3">
        <v>19600</v>
      </c>
      <c r="L1672" t="s">
        <v>50</v>
      </c>
      <c r="M1672" t="s">
        <v>31</v>
      </c>
      <c r="N1672" t="s">
        <v>23</v>
      </c>
      <c r="O1672" t="s">
        <v>24</v>
      </c>
    </row>
    <row r="1673" spans="1:15" x14ac:dyDescent="0.35">
      <c r="A1673" t="s">
        <v>2706</v>
      </c>
      <c r="B1673" s="2">
        <v>46206</v>
      </c>
      <c r="C1673" t="s">
        <v>1085</v>
      </c>
      <c r="D1673" t="s">
        <v>1486</v>
      </c>
      <c r="E1673" t="s">
        <v>18</v>
      </c>
      <c r="F1673" t="s">
        <v>18</v>
      </c>
      <c r="G1673" t="s">
        <v>19</v>
      </c>
      <c r="H1673" t="s">
        <v>112</v>
      </c>
      <c r="J1673" s="3">
        <v>85000</v>
      </c>
      <c r="K1673" s="3">
        <v>63900</v>
      </c>
      <c r="L1673" t="s">
        <v>30</v>
      </c>
      <c r="M1673" t="s">
        <v>37</v>
      </c>
      <c r="N1673" t="s">
        <v>23</v>
      </c>
      <c r="O1673" t="s">
        <v>24</v>
      </c>
    </row>
    <row r="1674" spans="1:15" x14ac:dyDescent="0.35">
      <c r="A1674" t="s">
        <v>2707</v>
      </c>
      <c r="B1674" s="2">
        <v>46136</v>
      </c>
      <c r="C1674" t="s">
        <v>799</v>
      </c>
      <c r="D1674" t="s">
        <v>229</v>
      </c>
      <c r="E1674" t="s">
        <v>41</v>
      </c>
      <c r="F1674" t="s">
        <v>42</v>
      </c>
      <c r="G1674" t="s">
        <v>34</v>
      </c>
      <c r="H1674" t="s">
        <v>86</v>
      </c>
      <c r="I1674">
        <v>10</v>
      </c>
      <c r="J1674" s="3">
        <v>180000</v>
      </c>
      <c r="K1674" s="3">
        <v>131000</v>
      </c>
      <c r="L1674" t="s">
        <v>50</v>
      </c>
      <c r="M1674" t="s">
        <v>31</v>
      </c>
      <c r="N1674" t="s">
        <v>23</v>
      </c>
      <c r="O1674" t="s">
        <v>24</v>
      </c>
    </row>
    <row r="1675" spans="1:15" x14ac:dyDescent="0.35">
      <c r="A1675" t="s">
        <v>2708</v>
      </c>
      <c r="B1675" s="2">
        <v>46073</v>
      </c>
      <c r="C1675" t="s">
        <v>361</v>
      </c>
      <c r="D1675" t="s">
        <v>1551</v>
      </c>
      <c r="E1675" t="s">
        <v>41</v>
      </c>
      <c r="F1675" t="s">
        <v>42</v>
      </c>
      <c r="G1675" t="s">
        <v>28</v>
      </c>
      <c r="H1675" t="s">
        <v>72</v>
      </c>
      <c r="I1675">
        <v>1</v>
      </c>
      <c r="J1675" s="3">
        <v>10500</v>
      </c>
      <c r="K1675" s="3">
        <v>6400</v>
      </c>
      <c r="L1675" t="s">
        <v>80</v>
      </c>
      <c r="M1675" t="s">
        <v>31</v>
      </c>
      <c r="N1675" t="s">
        <v>23</v>
      </c>
      <c r="O1675" t="s">
        <v>24</v>
      </c>
    </row>
    <row r="1676" spans="1:15" x14ac:dyDescent="0.35">
      <c r="A1676" t="s">
        <v>2709</v>
      </c>
      <c r="B1676" s="2">
        <v>46154</v>
      </c>
      <c r="C1676" t="s">
        <v>2559</v>
      </c>
      <c r="D1676" t="s">
        <v>775</v>
      </c>
      <c r="E1676" t="s">
        <v>18</v>
      </c>
      <c r="F1676" t="s">
        <v>18</v>
      </c>
      <c r="G1676" t="s">
        <v>34</v>
      </c>
      <c r="H1676" t="s">
        <v>158</v>
      </c>
      <c r="I1676">
        <v>10</v>
      </c>
      <c r="J1676" s="3">
        <v>99800</v>
      </c>
      <c r="K1676" s="3">
        <v>67900</v>
      </c>
      <c r="L1676" t="s">
        <v>96</v>
      </c>
      <c r="M1676" t="s">
        <v>37</v>
      </c>
      <c r="N1676" t="s">
        <v>52</v>
      </c>
      <c r="O1676" t="s">
        <v>45</v>
      </c>
    </row>
    <row r="1677" spans="1:15" x14ac:dyDescent="0.35">
      <c r="A1677" t="s">
        <v>2710</v>
      </c>
      <c r="B1677" s="2">
        <v>46154</v>
      </c>
      <c r="C1677" t="s">
        <v>759</v>
      </c>
      <c r="D1677" t="s">
        <v>108</v>
      </c>
      <c r="E1677" t="s">
        <v>56</v>
      </c>
      <c r="F1677" t="s">
        <v>57</v>
      </c>
      <c r="G1677" t="s">
        <v>28</v>
      </c>
      <c r="H1677" t="s">
        <v>248</v>
      </c>
      <c r="I1677">
        <v>7</v>
      </c>
      <c r="J1677" s="3">
        <v>23800</v>
      </c>
      <c r="K1677" s="3">
        <v>16000</v>
      </c>
      <c r="L1677" t="s">
        <v>96</v>
      </c>
      <c r="M1677" t="s">
        <v>31</v>
      </c>
      <c r="N1677" t="s">
        <v>52</v>
      </c>
      <c r="O1677" t="s">
        <v>24</v>
      </c>
    </row>
    <row r="1678" spans="1:15" x14ac:dyDescent="0.35">
      <c r="A1678" t="s">
        <v>2711</v>
      </c>
      <c r="B1678" s="2">
        <v>46085</v>
      </c>
      <c r="C1678" t="s">
        <v>1437</v>
      </c>
      <c r="D1678" t="s">
        <v>1262</v>
      </c>
      <c r="E1678" t="s">
        <v>84</v>
      </c>
      <c r="F1678" t="s">
        <v>85</v>
      </c>
      <c r="G1678" t="s">
        <v>34</v>
      </c>
      <c r="H1678" t="s">
        <v>141</v>
      </c>
      <c r="I1678">
        <v>8</v>
      </c>
      <c r="J1678" s="3">
        <v>152000</v>
      </c>
      <c r="K1678" s="3">
        <v>123600</v>
      </c>
      <c r="L1678" t="s">
        <v>36</v>
      </c>
      <c r="M1678" t="s">
        <v>37</v>
      </c>
      <c r="N1678" t="s">
        <v>23</v>
      </c>
      <c r="O1678" t="s">
        <v>24</v>
      </c>
    </row>
    <row r="1679" spans="1:15" x14ac:dyDescent="0.35">
      <c r="A1679" t="s">
        <v>2712</v>
      </c>
      <c r="B1679" s="2">
        <v>46278</v>
      </c>
      <c r="C1679" t="s">
        <v>513</v>
      </c>
      <c r="D1679" t="s">
        <v>1956</v>
      </c>
      <c r="E1679" t="s">
        <v>190</v>
      </c>
      <c r="F1679" t="s">
        <v>191</v>
      </c>
      <c r="G1679" t="s">
        <v>19</v>
      </c>
      <c r="H1679" t="s">
        <v>112</v>
      </c>
      <c r="I1679">
        <v>5</v>
      </c>
      <c r="J1679" s="3">
        <v>85000</v>
      </c>
      <c r="K1679" s="3">
        <v>62000</v>
      </c>
      <c r="L1679" t="s">
        <v>21</v>
      </c>
      <c r="M1679" t="s">
        <v>37</v>
      </c>
      <c r="N1679" t="s">
        <v>87</v>
      </c>
      <c r="O1679" t="s">
        <v>24</v>
      </c>
    </row>
    <row r="1680" spans="1:15" x14ac:dyDescent="0.35">
      <c r="A1680" t="s">
        <v>2713</v>
      </c>
      <c r="B1680" s="2">
        <v>46341</v>
      </c>
      <c r="C1680" t="s">
        <v>446</v>
      </c>
      <c r="D1680" t="s">
        <v>1120</v>
      </c>
      <c r="E1680" t="s">
        <v>156</v>
      </c>
      <c r="F1680" t="s">
        <v>157</v>
      </c>
      <c r="G1680" t="s">
        <v>34</v>
      </c>
      <c r="H1680" t="s">
        <v>141</v>
      </c>
      <c r="I1680">
        <v>1</v>
      </c>
      <c r="J1680" s="3">
        <v>160000</v>
      </c>
      <c r="K1680" s="3">
        <v>120000</v>
      </c>
      <c r="L1680" t="s">
        <v>66</v>
      </c>
      <c r="M1680" t="s">
        <v>37</v>
      </c>
      <c r="N1680" t="s">
        <v>23</v>
      </c>
      <c r="O1680" t="s">
        <v>24</v>
      </c>
    </row>
    <row r="1681" spans="1:15" x14ac:dyDescent="0.35">
      <c r="A1681" t="s">
        <v>2714</v>
      </c>
      <c r="B1681" s="2">
        <v>46301</v>
      </c>
      <c r="C1681" t="s">
        <v>685</v>
      </c>
      <c r="D1681" t="s">
        <v>1299</v>
      </c>
      <c r="E1681" t="s">
        <v>41</v>
      </c>
      <c r="F1681" t="s">
        <v>42</v>
      </c>
      <c r="G1681" t="s">
        <v>28</v>
      </c>
      <c r="H1681" t="s">
        <v>131</v>
      </c>
      <c r="I1681">
        <v>9</v>
      </c>
      <c r="J1681" s="3">
        <v>30000</v>
      </c>
      <c r="K1681" s="3">
        <v>19600</v>
      </c>
      <c r="L1681" t="s">
        <v>73</v>
      </c>
      <c r="M1681" t="s">
        <v>51</v>
      </c>
      <c r="N1681" t="s">
        <v>87</v>
      </c>
      <c r="O1681" t="s">
        <v>24</v>
      </c>
    </row>
    <row r="1682" spans="1:15" x14ac:dyDescent="0.35">
      <c r="A1682" t="s">
        <v>2715</v>
      </c>
      <c r="B1682" s="2">
        <v>46079</v>
      </c>
      <c r="C1682" t="s">
        <v>1069</v>
      </c>
      <c r="D1682" t="s">
        <v>747</v>
      </c>
      <c r="E1682" t="s">
        <v>18</v>
      </c>
      <c r="F1682" t="s">
        <v>18</v>
      </c>
      <c r="G1682" t="s">
        <v>43</v>
      </c>
      <c r="H1682" t="s">
        <v>49</v>
      </c>
      <c r="I1682">
        <v>1</v>
      </c>
      <c r="J1682" s="3">
        <v>8600</v>
      </c>
      <c r="K1682" s="3">
        <v>5600</v>
      </c>
      <c r="L1682" t="s">
        <v>80</v>
      </c>
      <c r="M1682" t="s">
        <v>31</v>
      </c>
      <c r="N1682" t="s">
        <v>52</v>
      </c>
      <c r="O1682" t="s">
        <v>45</v>
      </c>
    </row>
    <row r="1683" spans="1:15" x14ac:dyDescent="0.35">
      <c r="A1683" t="s">
        <v>2716</v>
      </c>
      <c r="B1683" s="2">
        <v>46059</v>
      </c>
      <c r="C1683" t="s">
        <v>1237</v>
      </c>
      <c r="D1683" t="s">
        <v>189</v>
      </c>
      <c r="E1683" t="s">
        <v>70</v>
      </c>
      <c r="F1683" t="s">
        <v>71</v>
      </c>
      <c r="G1683" t="s">
        <v>19</v>
      </c>
      <c r="H1683" t="s">
        <v>166</v>
      </c>
      <c r="I1683">
        <v>9</v>
      </c>
      <c r="J1683" s="3">
        <v>133000</v>
      </c>
      <c r="K1683" s="3">
        <v>97000</v>
      </c>
      <c r="L1683" t="s">
        <v>66</v>
      </c>
      <c r="M1683" t="s">
        <v>31</v>
      </c>
      <c r="N1683" t="s">
        <v>52</v>
      </c>
      <c r="O1683" t="s">
        <v>24</v>
      </c>
    </row>
    <row r="1684" spans="1:15" x14ac:dyDescent="0.35">
      <c r="A1684" t="s">
        <v>2717</v>
      </c>
      <c r="B1684" s="2">
        <v>46090</v>
      </c>
      <c r="C1684" t="s">
        <v>311</v>
      </c>
      <c r="D1684" t="s">
        <v>1396</v>
      </c>
      <c r="E1684" t="s">
        <v>41</v>
      </c>
      <c r="F1684" t="s">
        <v>42</v>
      </c>
      <c r="G1684" t="s">
        <v>34</v>
      </c>
      <c r="H1684" t="s">
        <v>158</v>
      </c>
      <c r="I1684">
        <v>10</v>
      </c>
      <c r="J1684" s="3">
        <v>99800</v>
      </c>
      <c r="K1684" s="3">
        <v>72100</v>
      </c>
      <c r="L1684" t="s">
        <v>66</v>
      </c>
      <c r="M1684" t="s">
        <v>37</v>
      </c>
      <c r="N1684" t="s">
        <v>23</v>
      </c>
      <c r="O1684" t="s">
        <v>24</v>
      </c>
    </row>
    <row r="1685" spans="1:15" x14ac:dyDescent="0.35">
      <c r="A1685" t="s">
        <v>2718</v>
      </c>
      <c r="B1685" s="2">
        <v>46191</v>
      </c>
      <c r="C1685" t="s">
        <v>506</v>
      </c>
      <c r="D1685" t="s">
        <v>408</v>
      </c>
      <c r="E1685" t="s">
        <v>18</v>
      </c>
      <c r="F1685" t="s">
        <v>18</v>
      </c>
      <c r="G1685" t="s">
        <v>28</v>
      </c>
      <c r="H1685" t="s">
        <v>65</v>
      </c>
      <c r="I1685">
        <v>9</v>
      </c>
      <c r="J1685" s="3">
        <v>12000</v>
      </c>
      <c r="K1685" s="3">
        <v>7700</v>
      </c>
      <c r="L1685" t="s">
        <v>50</v>
      </c>
      <c r="M1685" t="s">
        <v>31</v>
      </c>
      <c r="N1685" t="s">
        <v>23</v>
      </c>
      <c r="O1685" t="s">
        <v>91</v>
      </c>
    </row>
    <row r="1686" spans="1:15" x14ac:dyDescent="0.35">
      <c r="A1686" t="s">
        <v>2719</v>
      </c>
      <c r="B1686" s="2">
        <v>46193</v>
      </c>
      <c r="C1686" t="s">
        <v>1509</v>
      </c>
      <c r="D1686" t="s">
        <v>667</v>
      </c>
      <c r="E1686" t="s">
        <v>77</v>
      </c>
      <c r="F1686" t="s">
        <v>78</v>
      </c>
      <c r="G1686" t="s">
        <v>19</v>
      </c>
      <c r="H1686" t="s">
        <v>112</v>
      </c>
      <c r="I1686">
        <v>2</v>
      </c>
      <c r="J1686" s="3">
        <v>80800</v>
      </c>
      <c r="K1686" s="3">
        <v>62000</v>
      </c>
      <c r="L1686" t="s">
        <v>50</v>
      </c>
      <c r="M1686" t="s">
        <v>37</v>
      </c>
      <c r="N1686" t="s">
        <v>23</v>
      </c>
      <c r="O1686" t="s">
        <v>45</v>
      </c>
    </row>
    <row r="1687" spans="1:15" x14ac:dyDescent="0.35">
      <c r="A1687" t="s">
        <v>2720</v>
      </c>
      <c r="B1687" s="2">
        <v>46097</v>
      </c>
      <c r="C1687" t="s">
        <v>179</v>
      </c>
      <c r="D1687" t="s">
        <v>2721</v>
      </c>
      <c r="E1687" t="s">
        <v>18</v>
      </c>
      <c r="F1687" t="s">
        <v>18</v>
      </c>
      <c r="G1687" t="s">
        <v>28</v>
      </c>
      <c r="H1687" t="s">
        <v>248</v>
      </c>
      <c r="I1687">
        <v>5</v>
      </c>
      <c r="J1687" s="3">
        <v>25000</v>
      </c>
      <c r="K1687" s="3">
        <v>16000</v>
      </c>
      <c r="L1687" t="s">
        <v>21</v>
      </c>
      <c r="M1687" t="s">
        <v>37</v>
      </c>
      <c r="N1687" t="s">
        <v>87</v>
      </c>
      <c r="O1687" t="s">
        <v>24</v>
      </c>
    </row>
    <row r="1688" spans="1:15" x14ac:dyDescent="0.35">
      <c r="A1688" t="s">
        <v>2722</v>
      </c>
      <c r="B1688" s="2">
        <v>46327</v>
      </c>
      <c r="C1688" t="s">
        <v>123</v>
      </c>
      <c r="D1688" t="s">
        <v>303</v>
      </c>
      <c r="E1688" t="s">
        <v>156</v>
      </c>
      <c r="F1688" t="s">
        <v>157</v>
      </c>
      <c r="G1688" t="s">
        <v>28</v>
      </c>
      <c r="H1688" t="s">
        <v>29</v>
      </c>
      <c r="I1688">
        <v>8</v>
      </c>
      <c r="J1688" s="3">
        <v>7000</v>
      </c>
      <c r="K1688" s="3">
        <v>4000</v>
      </c>
      <c r="L1688" t="s">
        <v>73</v>
      </c>
      <c r="M1688" t="s">
        <v>51</v>
      </c>
      <c r="N1688" t="s">
        <v>23</v>
      </c>
      <c r="O1688" t="s">
        <v>24</v>
      </c>
    </row>
    <row r="1689" spans="1:15" x14ac:dyDescent="0.35">
      <c r="A1689" t="s">
        <v>2723</v>
      </c>
      <c r="B1689" s="2">
        <v>46070</v>
      </c>
      <c r="C1689" t="s">
        <v>575</v>
      </c>
      <c r="D1689" t="s">
        <v>2724</v>
      </c>
      <c r="E1689" t="s">
        <v>70</v>
      </c>
      <c r="F1689" t="s">
        <v>71</v>
      </c>
      <c r="G1689" t="s">
        <v>34</v>
      </c>
      <c r="H1689" t="s">
        <v>35</v>
      </c>
      <c r="I1689">
        <v>3</v>
      </c>
      <c r="J1689" s="3">
        <v>55000</v>
      </c>
      <c r="K1689" s="3">
        <v>37800</v>
      </c>
      <c r="L1689" t="s">
        <v>96</v>
      </c>
      <c r="M1689" t="s">
        <v>37</v>
      </c>
      <c r="N1689" t="s">
        <v>52</v>
      </c>
      <c r="O1689" t="s">
        <v>45</v>
      </c>
    </row>
    <row r="1690" spans="1:15" x14ac:dyDescent="0.35">
      <c r="A1690" t="s">
        <v>2725</v>
      </c>
      <c r="B1690" s="2">
        <v>46167</v>
      </c>
      <c r="C1690" t="s">
        <v>1651</v>
      </c>
      <c r="D1690" t="s">
        <v>501</v>
      </c>
      <c r="E1690" t="s">
        <v>18</v>
      </c>
      <c r="F1690" t="s">
        <v>18</v>
      </c>
      <c r="G1690" t="s">
        <v>34</v>
      </c>
      <c r="H1690" t="s">
        <v>86</v>
      </c>
      <c r="I1690">
        <v>3</v>
      </c>
      <c r="J1690" s="3">
        <v>180000</v>
      </c>
      <c r="K1690" s="3">
        <v>131000</v>
      </c>
      <c r="L1690" t="s">
        <v>21</v>
      </c>
      <c r="M1690" t="s">
        <v>22</v>
      </c>
      <c r="N1690" t="s">
        <v>23</v>
      </c>
      <c r="O1690" t="s">
        <v>24</v>
      </c>
    </row>
    <row r="1691" spans="1:15" x14ac:dyDescent="0.35">
      <c r="A1691" t="s">
        <v>2726</v>
      </c>
      <c r="B1691" s="2">
        <v>46268</v>
      </c>
      <c r="C1691" t="s">
        <v>449</v>
      </c>
      <c r="D1691" t="s">
        <v>1276</v>
      </c>
      <c r="E1691" t="s">
        <v>18</v>
      </c>
      <c r="F1691" t="s">
        <v>18</v>
      </c>
      <c r="G1691" t="s">
        <v>43</v>
      </c>
      <c r="H1691" t="s">
        <v>79</v>
      </c>
      <c r="I1691">
        <v>8</v>
      </c>
      <c r="J1691" s="3">
        <v>6300</v>
      </c>
      <c r="K1691" s="3">
        <v>4100</v>
      </c>
      <c r="L1691" t="s">
        <v>73</v>
      </c>
      <c r="M1691" t="s">
        <v>37</v>
      </c>
      <c r="N1691" t="s">
        <v>23</v>
      </c>
      <c r="O1691" t="s">
        <v>91</v>
      </c>
    </row>
    <row r="1692" spans="1:15" x14ac:dyDescent="0.35">
      <c r="A1692" t="s">
        <v>2727</v>
      </c>
      <c r="B1692" s="2">
        <v>46084</v>
      </c>
      <c r="C1692" t="s">
        <v>598</v>
      </c>
      <c r="D1692" t="s">
        <v>83</v>
      </c>
      <c r="E1692" t="s">
        <v>190</v>
      </c>
      <c r="F1692" t="s">
        <v>191</v>
      </c>
      <c r="G1692" t="s">
        <v>34</v>
      </c>
      <c r="H1692" t="s">
        <v>86</v>
      </c>
      <c r="I1692">
        <v>1</v>
      </c>
      <c r="J1692" s="3">
        <v>189000</v>
      </c>
      <c r="K1692" s="3">
        <v>139000</v>
      </c>
      <c r="L1692" t="s">
        <v>50</v>
      </c>
      <c r="M1692" t="s">
        <v>37</v>
      </c>
      <c r="N1692" t="s">
        <v>52</v>
      </c>
      <c r="O1692" t="s">
        <v>24</v>
      </c>
    </row>
    <row r="1693" spans="1:15" x14ac:dyDescent="0.35">
      <c r="A1693" t="s">
        <v>2728</v>
      </c>
      <c r="B1693" s="2">
        <v>46357</v>
      </c>
      <c r="C1693" t="s">
        <v>1119</v>
      </c>
      <c r="D1693" t="s">
        <v>297</v>
      </c>
      <c r="E1693" t="s">
        <v>18</v>
      </c>
      <c r="F1693" t="s">
        <v>18</v>
      </c>
      <c r="G1693" t="s">
        <v>34</v>
      </c>
      <c r="H1693" t="s">
        <v>95</v>
      </c>
      <c r="I1693">
        <v>4</v>
      </c>
      <c r="J1693" s="3">
        <v>472500</v>
      </c>
      <c r="K1693" s="3">
        <v>358900</v>
      </c>
      <c r="L1693" t="s">
        <v>50</v>
      </c>
      <c r="M1693" t="s">
        <v>31</v>
      </c>
      <c r="N1693" t="s">
        <v>52</v>
      </c>
      <c r="O1693" t="s">
        <v>24</v>
      </c>
    </row>
    <row r="1694" spans="1:15" x14ac:dyDescent="0.35">
      <c r="A1694" t="s">
        <v>2729</v>
      </c>
      <c r="B1694" s="2">
        <v>46155</v>
      </c>
      <c r="C1694" t="s">
        <v>255</v>
      </c>
      <c r="D1694" t="s">
        <v>476</v>
      </c>
      <c r="E1694" t="s">
        <v>41</v>
      </c>
      <c r="F1694" t="s">
        <v>42</v>
      </c>
      <c r="G1694" t="s">
        <v>34</v>
      </c>
      <c r="H1694" t="s">
        <v>95</v>
      </c>
      <c r="I1694">
        <v>5</v>
      </c>
      <c r="J1694" s="3">
        <v>450000</v>
      </c>
      <c r="K1694" s="3">
        <v>381100</v>
      </c>
      <c r="L1694" t="s">
        <v>96</v>
      </c>
      <c r="M1694" t="s">
        <v>51</v>
      </c>
      <c r="N1694" t="s">
        <v>23</v>
      </c>
      <c r="O1694" t="s">
        <v>24</v>
      </c>
    </row>
    <row r="1695" spans="1:15" x14ac:dyDescent="0.35">
      <c r="A1695" t="s">
        <v>2730</v>
      </c>
      <c r="B1695" s="2">
        <v>46070</v>
      </c>
      <c r="C1695" t="s">
        <v>1124</v>
      </c>
      <c r="D1695" t="s">
        <v>1359</v>
      </c>
      <c r="E1695" t="s">
        <v>41</v>
      </c>
      <c r="F1695" t="s">
        <v>42</v>
      </c>
      <c r="G1695" t="s">
        <v>19</v>
      </c>
      <c r="H1695" t="s">
        <v>20</v>
      </c>
      <c r="I1695">
        <v>10</v>
      </c>
      <c r="J1695" s="3">
        <v>68200</v>
      </c>
      <c r="K1695" s="3">
        <v>43600</v>
      </c>
      <c r="L1695" t="s">
        <v>96</v>
      </c>
      <c r="M1695" t="s">
        <v>31</v>
      </c>
      <c r="N1695" t="s">
        <v>23</v>
      </c>
      <c r="O1695" t="s">
        <v>24</v>
      </c>
    </row>
    <row r="1696" spans="1:15" x14ac:dyDescent="0.35">
      <c r="A1696" t="s">
        <v>2731</v>
      </c>
      <c r="B1696" s="2">
        <v>46152</v>
      </c>
      <c r="C1696" t="s">
        <v>478</v>
      </c>
      <c r="D1696" t="s">
        <v>189</v>
      </c>
      <c r="E1696" t="s">
        <v>18</v>
      </c>
      <c r="F1696" t="s">
        <v>18</v>
      </c>
      <c r="G1696" t="s">
        <v>43</v>
      </c>
      <c r="H1696" t="s">
        <v>177</v>
      </c>
      <c r="I1696">
        <v>2</v>
      </c>
      <c r="J1696" s="3">
        <v>17100</v>
      </c>
      <c r="K1696" s="3">
        <v>12900</v>
      </c>
      <c r="L1696" t="s">
        <v>80</v>
      </c>
      <c r="M1696" t="s">
        <v>51</v>
      </c>
      <c r="N1696" t="s">
        <v>23</v>
      </c>
      <c r="O1696" t="s">
        <v>24</v>
      </c>
    </row>
    <row r="1697" spans="1:15" x14ac:dyDescent="0.35">
      <c r="A1697" t="s">
        <v>2732</v>
      </c>
      <c r="B1697" s="2">
        <v>46296</v>
      </c>
      <c r="C1697" t="s">
        <v>2115</v>
      </c>
      <c r="D1697" t="s">
        <v>176</v>
      </c>
      <c r="E1697" t="s">
        <v>77</v>
      </c>
      <c r="F1697" t="s">
        <v>78</v>
      </c>
      <c r="G1697" t="s">
        <v>34</v>
      </c>
      <c r="H1697" t="s">
        <v>95</v>
      </c>
      <c r="I1697">
        <v>3</v>
      </c>
      <c r="J1697" s="3">
        <v>427500</v>
      </c>
      <c r="K1697" s="3">
        <v>370000</v>
      </c>
      <c r="L1697" t="s">
        <v>96</v>
      </c>
      <c r="M1697" t="s">
        <v>37</v>
      </c>
      <c r="N1697" t="s">
        <v>23</v>
      </c>
      <c r="O1697" t="s">
        <v>24</v>
      </c>
    </row>
    <row r="1698" spans="1:15" x14ac:dyDescent="0.35">
      <c r="A1698" t="s">
        <v>2733</v>
      </c>
      <c r="B1698" s="2">
        <v>46284</v>
      </c>
      <c r="C1698" t="s">
        <v>1932</v>
      </c>
      <c r="D1698" t="s">
        <v>2443</v>
      </c>
      <c r="E1698" t="s">
        <v>156</v>
      </c>
      <c r="F1698" t="s">
        <v>157</v>
      </c>
      <c r="G1698" t="s">
        <v>28</v>
      </c>
      <c r="H1698" t="s">
        <v>29</v>
      </c>
      <c r="I1698">
        <v>1</v>
      </c>
      <c r="J1698" s="3">
        <v>7000</v>
      </c>
      <c r="K1698" s="3">
        <v>4100</v>
      </c>
      <c r="L1698" t="s">
        <v>66</v>
      </c>
      <c r="M1698" t="s">
        <v>37</v>
      </c>
      <c r="N1698" t="s">
        <v>23</v>
      </c>
      <c r="O1698" t="s">
        <v>45</v>
      </c>
    </row>
    <row r="1699" spans="1:15" x14ac:dyDescent="0.35">
      <c r="A1699" t="s">
        <v>2734</v>
      </c>
      <c r="B1699" s="2">
        <v>46182</v>
      </c>
      <c r="C1699" t="s">
        <v>2302</v>
      </c>
      <c r="D1699" t="s">
        <v>180</v>
      </c>
      <c r="E1699" t="s">
        <v>18</v>
      </c>
      <c r="F1699" t="s">
        <v>18</v>
      </c>
      <c r="G1699" t="s">
        <v>19</v>
      </c>
      <c r="H1699" t="s">
        <v>20</v>
      </c>
      <c r="I1699">
        <v>6</v>
      </c>
      <c r="J1699" s="3">
        <v>65000</v>
      </c>
      <c r="K1699" s="3">
        <v>46400</v>
      </c>
      <c r="L1699" t="s">
        <v>96</v>
      </c>
      <c r="M1699" t="s">
        <v>37</v>
      </c>
      <c r="N1699" t="s">
        <v>23</v>
      </c>
      <c r="O1699" t="s">
        <v>24</v>
      </c>
    </row>
    <row r="1700" spans="1:15" x14ac:dyDescent="0.35">
      <c r="A1700" t="s">
        <v>2735</v>
      </c>
      <c r="B1700" s="2">
        <v>46135</v>
      </c>
      <c r="C1700" t="s">
        <v>612</v>
      </c>
      <c r="D1700" t="s">
        <v>796</v>
      </c>
      <c r="E1700" t="s">
        <v>18</v>
      </c>
      <c r="F1700" t="s">
        <v>18</v>
      </c>
      <c r="G1700" t="s">
        <v>19</v>
      </c>
      <c r="H1700" t="s">
        <v>20</v>
      </c>
      <c r="I1700">
        <v>2</v>
      </c>
      <c r="J1700" s="3">
        <v>68200</v>
      </c>
      <c r="K1700" s="3">
        <v>46400</v>
      </c>
      <c r="L1700" t="s">
        <v>30</v>
      </c>
      <c r="M1700" t="s">
        <v>22</v>
      </c>
      <c r="N1700" t="s">
        <v>23</v>
      </c>
      <c r="O1700" t="s">
        <v>24</v>
      </c>
    </row>
    <row r="1701" spans="1:15" x14ac:dyDescent="0.35">
      <c r="A1701" t="s">
        <v>2736</v>
      </c>
      <c r="B1701" s="2">
        <v>46320</v>
      </c>
      <c r="C1701" t="s">
        <v>1651</v>
      </c>
      <c r="D1701" t="s">
        <v>1598</v>
      </c>
      <c r="E1701" t="s">
        <v>84</v>
      </c>
      <c r="F1701" t="s">
        <v>85</v>
      </c>
      <c r="G1701" t="s">
        <v>19</v>
      </c>
      <c r="H1701" t="s">
        <v>112</v>
      </c>
      <c r="I1701">
        <v>6</v>
      </c>
      <c r="J1701" s="3">
        <v>80800</v>
      </c>
      <c r="K1701" s="3">
        <v>60100</v>
      </c>
      <c r="L1701" t="s">
        <v>30</v>
      </c>
      <c r="M1701" t="s">
        <v>22</v>
      </c>
      <c r="N1701" t="s">
        <v>87</v>
      </c>
      <c r="O1701" t="s">
        <v>24</v>
      </c>
    </row>
    <row r="1702" spans="1:15" x14ac:dyDescent="0.35">
      <c r="A1702" t="s">
        <v>2737</v>
      </c>
      <c r="B1702" s="2">
        <v>46204</v>
      </c>
      <c r="C1702" t="s">
        <v>379</v>
      </c>
      <c r="D1702" t="s">
        <v>1997</v>
      </c>
      <c r="E1702" t="s">
        <v>18</v>
      </c>
      <c r="F1702" t="s">
        <v>18</v>
      </c>
      <c r="G1702" t="s">
        <v>28</v>
      </c>
      <c r="H1702" t="s">
        <v>131</v>
      </c>
      <c r="I1702">
        <v>3</v>
      </c>
      <c r="J1702" s="3">
        <v>31500</v>
      </c>
      <c r="K1702" s="3">
        <v>19000</v>
      </c>
      <c r="L1702" t="s">
        <v>96</v>
      </c>
      <c r="M1702" t="s">
        <v>37</v>
      </c>
      <c r="N1702" t="s">
        <v>87</v>
      </c>
      <c r="O1702" t="s">
        <v>24</v>
      </c>
    </row>
    <row r="1703" spans="1:15" x14ac:dyDescent="0.35">
      <c r="A1703" t="s">
        <v>2738</v>
      </c>
      <c r="B1703" s="2">
        <v>46203</v>
      </c>
      <c r="C1703" t="s">
        <v>1106</v>
      </c>
      <c r="D1703" t="s">
        <v>2451</v>
      </c>
      <c r="E1703" t="s">
        <v>156</v>
      </c>
      <c r="F1703" t="s">
        <v>157</v>
      </c>
      <c r="G1703" t="s">
        <v>34</v>
      </c>
      <c r="H1703" t="s">
        <v>95</v>
      </c>
      <c r="I1703">
        <v>5</v>
      </c>
      <c r="J1703" s="3">
        <v>450000</v>
      </c>
      <c r="K1703" s="3">
        <v>381100</v>
      </c>
      <c r="L1703" t="s">
        <v>36</v>
      </c>
      <c r="M1703" t="s">
        <v>37</v>
      </c>
      <c r="N1703" t="s">
        <v>52</v>
      </c>
      <c r="O1703" t="s">
        <v>91</v>
      </c>
    </row>
    <row r="1704" spans="1:15" x14ac:dyDescent="0.35">
      <c r="A1704" t="s">
        <v>2739</v>
      </c>
      <c r="B1704" s="2">
        <v>46170</v>
      </c>
      <c r="C1704" t="s">
        <v>299</v>
      </c>
      <c r="D1704" t="s">
        <v>2682</v>
      </c>
      <c r="E1704" t="s">
        <v>56</v>
      </c>
      <c r="F1704" t="s">
        <v>57</v>
      </c>
      <c r="G1704" t="s">
        <v>34</v>
      </c>
      <c r="H1704" t="s">
        <v>86</v>
      </c>
      <c r="I1704">
        <v>2</v>
      </c>
      <c r="J1704" s="3">
        <v>180000</v>
      </c>
      <c r="K1704" s="3">
        <v>131000</v>
      </c>
      <c r="L1704" t="s">
        <v>66</v>
      </c>
      <c r="M1704" t="s">
        <v>37</v>
      </c>
      <c r="N1704" t="s">
        <v>52</v>
      </c>
      <c r="O1704" t="s">
        <v>91</v>
      </c>
    </row>
    <row r="1705" spans="1:15" x14ac:dyDescent="0.35">
      <c r="A1705" t="s">
        <v>2740</v>
      </c>
      <c r="B1705" s="2">
        <v>46227</v>
      </c>
      <c r="C1705" t="s">
        <v>376</v>
      </c>
      <c r="D1705" t="s">
        <v>2110</v>
      </c>
      <c r="E1705" t="s">
        <v>18</v>
      </c>
      <c r="F1705" t="s">
        <v>18</v>
      </c>
      <c r="G1705" t="s">
        <v>28</v>
      </c>
      <c r="H1705" t="s">
        <v>248</v>
      </c>
      <c r="I1705">
        <v>9</v>
      </c>
      <c r="J1705" s="3">
        <v>25000</v>
      </c>
      <c r="K1705" s="3">
        <v>16000</v>
      </c>
      <c r="L1705" t="s">
        <v>80</v>
      </c>
      <c r="M1705" t="s">
        <v>51</v>
      </c>
      <c r="N1705" t="s">
        <v>23</v>
      </c>
      <c r="O1705" t="s">
        <v>24</v>
      </c>
    </row>
    <row r="1706" spans="1:15" x14ac:dyDescent="0.35">
      <c r="A1706" t="s">
        <v>2741</v>
      </c>
      <c r="B1706" s="2">
        <v>46255</v>
      </c>
      <c r="C1706" t="s">
        <v>231</v>
      </c>
      <c r="D1706" t="s">
        <v>1202</v>
      </c>
      <c r="E1706" t="s">
        <v>70</v>
      </c>
      <c r="F1706" t="s">
        <v>71</v>
      </c>
      <c r="G1706" t="s">
        <v>34</v>
      </c>
      <c r="H1706" t="s">
        <v>95</v>
      </c>
      <c r="I1706">
        <v>10</v>
      </c>
      <c r="J1706" s="3">
        <v>450000</v>
      </c>
      <c r="K1706" s="3">
        <v>381100</v>
      </c>
      <c r="L1706" t="s">
        <v>21</v>
      </c>
      <c r="M1706" t="s">
        <v>51</v>
      </c>
      <c r="N1706" t="s">
        <v>52</v>
      </c>
      <c r="O1706" t="s">
        <v>24</v>
      </c>
    </row>
    <row r="1707" spans="1:15" x14ac:dyDescent="0.35">
      <c r="A1707" t="s">
        <v>2742</v>
      </c>
      <c r="B1707" s="2">
        <v>46075</v>
      </c>
      <c r="C1707" t="s">
        <v>220</v>
      </c>
      <c r="D1707" t="s">
        <v>906</v>
      </c>
      <c r="E1707" t="s">
        <v>70</v>
      </c>
      <c r="F1707" t="s">
        <v>71</v>
      </c>
      <c r="G1707" t="s">
        <v>34</v>
      </c>
      <c r="H1707" t="s">
        <v>86</v>
      </c>
      <c r="I1707">
        <v>9</v>
      </c>
      <c r="J1707" s="3">
        <v>180000</v>
      </c>
      <c r="K1707" s="3">
        <v>131000</v>
      </c>
      <c r="L1707" t="s">
        <v>36</v>
      </c>
      <c r="M1707" t="s">
        <v>22</v>
      </c>
      <c r="N1707" t="s">
        <v>23</v>
      </c>
      <c r="O1707" t="s">
        <v>24</v>
      </c>
    </row>
    <row r="1708" spans="1:15" x14ac:dyDescent="0.35">
      <c r="A1708" t="s">
        <v>2743</v>
      </c>
      <c r="B1708" s="2">
        <v>46267</v>
      </c>
      <c r="C1708" t="s">
        <v>1597</v>
      </c>
      <c r="D1708" t="s">
        <v>340</v>
      </c>
      <c r="E1708" t="s">
        <v>156</v>
      </c>
      <c r="F1708" t="s">
        <v>170</v>
      </c>
      <c r="G1708" t="s">
        <v>28</v>
      </c>
      <c r="H1708" t="s">
        <v>131</v>
      </c>
      <c r="I1708">
        <v>6</v>
      </c>
      <c r="J1708" s="3">
        <v>30000</v>
      </c>
      <c r="K1708" s="3">
        <v>19600</v>
      </c>
      <c r="L1708" t="s">
        <v>96</v>
      </c>
      <c r="M1708" t="s">
        <v>51</v>
      </c>
      <c r="N1708" t="s">
        <v>52</v>
      </c>
      <c r="O1708" t="s">
        <v>24</v>
      </c>
    </row>
    <row r="1709" spans="1:15" x14ac:dyDescent="0.35">
      <c r="A1709" t="s">
        <v>2744</v>
      </c>
      <c r="B1709" s="2">
        <v>46161</v>
      </c>
      <c r="C1709" t="s">
        <v>2745</v>
      </c>
      <c r="D1709" t="s">
        <v>2451</v>
      </c>
      <c r="E1709" t="s">
        <v>156</v>
      </c>
      <c r="F1709" t="s">
        <v>157</v>
      </c>
      <c r="G1709" t="s">
        <v>43</v>
      </c>
      <c r="H1709" t="s">
        <v>162</v>
      </c>
      <c r="I1709">
        <v>9</v>
      </c>
      <c r="J1709" s="3">
        <v>8000</v>
      </c>
      <c r="K1709" s="3">
        <v>4800</v>
      </c>
      <c r="L1709" t="s">
        <v>66</v>
      </c>
      <c r="M1709" t="s">
        <v>37</v>
      </c>
      <c r="N1709" t="s">
        <v>23</v>
      </c>
      <c r="O1709" t="s">
        <v>45</v>
      </c>
    </row>
    <row r="1710" spans="1:15" x14ac:dyDescent="0.35">
      <c r="A1710" t="s">
        <v>2746</v>
      </c>
      <c r="B1710" s="2">
        <v>46265</v>
      </c>
      <c r="C1710" t="s">
        <v>1020</v>
      </c>
      <c r="D1710" t="s">
        <v>462</v>
      </c>
      <c r="E1710" t="s">
        <v>56</v>
      </c>
      <c r="F1710" t="s">
        <v>57</v>
      </c>
      <c r="G1710" t="s">
        <v>34</v>
      </c>
      <c r="H1710" t="s">
        <v>158</v>
      </c>
      <c r="I1710">
        <v>3</v>
      </c>
      <c r="J1710" s="3">
        <v>90200</v>
      </c>
      <c r="K1710" s="3">
        <v>72100</v>
      </c>
      <c r="L1710" t="s">
        <v>21</v>
      </c>
      <c r="M1710" t="s">
        <v>51</v>
      </c>
      <c r="N1710" t="s">
        <v>52</v>
      </c>
      <c r="O1710" t="s">
        <v>24</v>
      </c>
    </row>
    <row r="1711" spans="1:15" x14ac:dyDescent="0.35">
      <c r="A1711" t="s">
        <v>2747</v>
      </c>
      <c r="B1711" s="2">
        <v>46243</v>
      </c>
      <c r="C1711" t="s">
        <v>2074</v>
      </c>
      <c r="D1711" t="s">
        <v>546</v>
      </c>
      <c r="E1711" t="s">
        <v>18</v>
      </c>
      <c r="F1711" t="s">
        <v>18</v>
      </c>
      <c r="G1711" t="s">
        <v>43</v>
      </c>
      <c r="H1711" t="s">
        <v>162</v>
      </c>
      <c r="I1711">
        <v>6</v>
      </c>
      <c r="J1711" s="3">
        <v>8400</v>
      </c>
      <c r="K1711" s="3">
        <v>5200</v>
      </c>
      <c r="L1711" t="s">
        <v>73</v>
      </c>
      <c r="M1711" t="s">
        <v>51</v>
      </c>
      <c r="N1711" t="s">
        <v>87</v>
      </c>
      <c r="O1711" t="s">
        <v>24</v>
      </c>
    </row>
    <row r="1712" spans="1:15" x14ac:dyDescent="0.35">
      <c r="A1712" t="s">
        <v>2748</v>
      </c>
      <c r="B1712" s="2">
        <v>46232</v>
      </c>
      <c r="C1712" t="s">
        <v>1620</v>
      </c>
      <c r="D1712" t="s">
        <v>1382</v>
      </c>
      <c r="E1712" t="s">
        <v>41</v>
      </c>
      <c r="F1712" t="s">
        <v>42</v>
      </c>
      <c r="G1712" t="s">
        <v>19</v>
      </c>
      <c r="H1712" t="s">
        <v>61</v>
      </c>
      <c r="I1712">
        <v>6</v>
      </c>
      <c r="J1712" s="3">
        <v>220000</v>
      </c>
      <c r="K1712" s="3">
        <v>164800</v>
      </c>
      <c r="L1712" t="s">
        <v>80</v>
      </c>
      <c r="M1712" t="s">
        <v>37</v>
      </c>
      <c r="N1712" t="s">
        <v>23</v>
      </c>
      <c r="O1712" t="s">
        <v>24</v>
      </c>
    </row>
    <row r="1713" spans="1:15" x14ac:dyDescent="0.35">
      <c r="A1713" t="s">
        <v>2749</v>
      </c>
      <c r="B1713" s="2">
        <v>46125</v>
      </c>
      <c r="C1713" t="s">
        <v>26</v>
      </c>
      <c r="D1713" t="s">
        <v>1038</v>
      </c>
      <c r="E1713" t="s">
        <v>18</v>
      </c>
      <c r="F1713" t="s">
        <v>18</v>
      </c>
      <c r="G1713" t="s">
        <v>43</v>
      </c>
      <c r="H1713" t="s">
        <v>79</v>
      </c>
      <c r="I1713">
        <v>2</v>
      </c>
      <c r="J1713" s="3">
        <v>6000</v>
      </c>
      <c r="K1713" s="3">
        <v>4200</v>
      </c>
      <c r="L1713" t="s">
        <v>96</v>
      </c>
      <c r="M1713" t="s">
        <v>31</v>
      </c>
      <c r="N1713" t="s">
        <v>87</v>
      </c>
      <c r="O1713" t="s">
        <v>91</v>
      </c>
    </row>
    <row r="1714" spans="1:15" x14ac:dyDescent="0.35">
      <c r="A1714" t="s">
        <v>2750</v>
      </c>
      <c r="B1714" s="2">
        <v>46063</v>
      </c>
      <c r="C1714" t="s">
        <v>1732</v>
      </c>
      <c r="D1714" t="s">
        <v>705</v>
      </c>
      <c r="E1714" t="s">
        <v>18</v>
      </c>
      <c r="F1714" t="s">
        <v>18</v>
      </c>
      <c r="G1714" t="s">
        <v>34</v>
      </c>
      <c r="H1714" t="s">
        <v>141</v>
      </c>
      <c r="I1714">
        <v>1</v>
      </c>
      <c r="J1714" s="3">
        <v>160000</v>
      </c>
      <c r="K1714" s="3">
        <v>116400</v>
      </c>
      <c r="L1714" t="s">
        <v>36</v>
      </c>
      <c r="M1714" t="s">
        <v>37</v>
      </c>
      <c r="N1714" t="s">
        <v>52</v>
      </c>
      <c r="O1714" t="s">
        <v>24</v>
      </c>
    </row>
    <row r="1715" spans="1:15" x14ac:dyDescent="0.35">
      <c r="A1715" t="s">
        <v>2751</v>
      </c>
      <c r="B1715" s="2">
        <v>46371</v>
      </c>
      <c r="C1715" t="s">
        <v>1185</v>
      </c>
      <c r="D1715" t="s">
        <v>425</v>
      </c>
      <c r="E1715" t="s">
        <v>156</v>
      </c>
      <c r="F1715" t="s">
        <v>157</v>
      </c>
      <c r="G1715" t="s">
        <v>19</v>
      </c>
      <c r="H1715" t="s">
        <v>112</v>
      </c>
      <c r="I1715">
        <v>2</v>
      </c>
      <c r="J1715" s="3">
        <v>89200</v>
      </c>
      <c r="K1715" s="3">
        <v>62000</v>
      </c>
      <c r="L1715" t="s">
        <v>36</v>
      </c>
      <c r="M1715" t="s">
        <v>37</v>
      </c>
      <c r="N1715" t="s">
        <v>23</v>
      </c>
      <c r="O1715" t="s">
        <v>45</v>
      </c>
    </row>
    <row r="1716" spans="1:15" x14ac:dyDescent="0.35">
      <c r="A1716" t="s">
        <v>2752</v>
      </c>
      <c r="B1716" s="2">
        <v>46071</v>
      </c>
      <c r="C1716" t="s">
        <v>848</v>
      </c>
      <c r="D1716" t="s">
        <v>2631</v>
      </c>
      <c r="E1716" t="s">
        <v>84</v>
      </c>
      <c r="F1716" t="s">
        <v>85</v>
      </c>
      <c r="G1716" t="s">
        <v>34</v>
      </c>
      <c r="H1716" t="s">
        <v>86</v>
      </c>
      <c r="I1716">
        <v>7</v>
      </c>
      <c r="J1716" s="3">
        <v>180000</v>
      </c>
      <c r="K1716" s="3">
        <v>135000</v>
      </c>
      <c r="L1716" t="s">
        <v>21</v>
      </c>
      <c r="M1716" t="s">
        <v>51</v>
      </c>
      <c r="N1716" t="s">
        <v>52</v>
      </c>
      <c r="O1716" t="s">
        <v>24</v>
      </c>
    </row>
    <row r="1717" spans="1:15" x14ac:dyDescent="0.35">
      <c r="A1717" t="s">
        <v>2753</v>
      </c>
      <c r="B1717" s="2">
        <v>46114</v>
      </c>
      <c r="C1717" t="s">
        <v>220</v>
      </c>
      <c r="D1717" t="s">
        <v>48</v>
      </c>
      <c r="E1717" t="s">
        <v>70</v>
      </c>
      <c r="F1717" t="s">
        <v>71</v>
      </c>
      <c r="G1717" t="s">
        <v>19</v>
      </c>
      <c r="H1717" t="s">
        <v>61</v>
      </c>
      <c r="I1717">
        <v>8</v>
      </c>
      <c r="J1717" s="3">
        <v>209000</v>
      </c>
      <c r="K1717" s="3">
        <v>155200</v>
      </c>
      <c r="L1717" t="s">
        <v>50</v>
      </c>
      <c r="M1717" t="s">
        <v>51</v>
      </c>
      <c r="N1717" t="s">
        <v>23</v>
      </c>
      <c r="O1717" t="s">
        <v>24</v>
      </c>
    </row>
    <row r="1718" spans="1:15" x14ac:dyDescent="0.35">
      <c r="A1718" t="s">
        <v>2754</v>
      </c>
      <c r="B1718" s="2">
        <v>46174</v>
      </c>
      <c r="C1718" t="s">
        <v>455</v>
      </c>
      <c r="D1718" t="s">
        <v>184</v>
      </c>
      <c r="E1718" t="s">
        <v>156</v>
      </c>
      <c r="F1718" t="s">
        <v>170</v>
      </c>
      <c r="G1718" t="s">
        <v>34</v>
      </c>
      <c r="H1718" t="s">
        <v>95</v>
      </c>
      <c r="I1718">
        <v>2</v>
      </c>
      <c r="J1718" s="3">
        <v>472500</v>
      </c>
      <c r="K1718" s="3">
        <v>358900</v>
      </c>
      <c r="L1718" t="s">
        <v>96</v>
      </c>
      <c r="M1718" t="s">
        <v>22</v>
      </c>
      <c r="N1718" t="s">
        <v>23</v>
      </c>
      <c r="O1718" t="s">
        <v>24</v>
      </c>
    </row>
    <row r="1719" spans="1:15" x14ac:dyDescent="0.35">
      <c r="A1719" t="s">
        <v>2755</v>
      </c>
      <c r="B1719" s="2">
        <v>46214</v>
      </c>
      <c r="C1719" t="s">
        <v>1342</v>
      </c>
      <c r="D1719" t="s">
        <v>1157</v>
      </c>
      <c r="E1719" t="s">
        <v>190</v>
      </c>
      <c r="F1719" t="s">
        <v>191</v>
      </c>
      <c r="G1719" t="s">
        <v>19</v>
      </c>
      <c r="H1719" t="s">
        <v>20</v>
      </c>
      <c r="I1719">
        <v>9</v>
      </c>
      <c r="J1719" s="3">
        <v>68200</v>
      </c>
      <c r="K1719" s="3">
        <v>45000</v>
      </c>
      <c r="L1719" t="s">
        <v>36</v>
      </c>
      <c r="M1719" t="s">
        <v>37</v>
      </c>
      <c r="N1719" t="s">
        <v>23</v>
      </c>
      <c r="O1719" t="s">
        <v>91</v>
      </c>
    </row>
    <row r="1720" spans="1:15" x14ac:dyDescent="0.35">
      <c r="A1720" t="s">
        <v>2756</v>
      </c>
      <c r="B1720" s="2">
        <v>46251</v>
      </c>
      <c r="C1720" t="s">
        <v>486</v>
      </c>
      <c r="D1720" t="s">
        <v>711</v>
      </c>
      <c r="E1720" t="s">
        <v>18</v>
      </c>
      <c r="F1720" t="s">
        <v>18</v>
      </c>
      <c r="G1720" t="s">
        <v>28</v>
      </c>
      <c r="H1720" t="s">
        <v>65</v>
      </c>
      <c r="I1720">
        <v>1</v>
      </c>
      <c r="J1720" s="3">
        <v>11400</v>
      </c>
      <c r="K1720" s="3">
        <v>7700</v>
      </c>
      <c r="L1720" t="s">
        <v>50</v>
      </c>
      <c r="M1720" t="s">
        <v>31</v>
      </c>
      <c r="N1720" t="s">
        <v>23</v>
      </c>
      <c r="O1720" t="s">
        <v>24</v>
      </c>
    </row>
    <row r="1721" spans="1:15" x14ac:dyDescent="0.35">
      <c r="A1721" t="s">
        <v>2757</v>
      </c>
      <c r="B1721" s="2">
        <v>46356</v>
      </c>
      <c r="C1721" t="s">
        <v>452</v>
      </c>
      <c r="D1721" t="s">
        <v>180</v>
      </c>
      <c r="E1721" t="s">
        <v>70</v>
      </c>
      <c r="F1721" t="s">
        <v>71</v>
      </c>
      <c r="G1721" t="s">
        <v>34</v>
      </c>
      <c r="H1721" t="s">
        <v>158</v>
      </c>
      <c r="I1721">
        <v>3</v>
      </c>
      <c r="J1721" s="3">
        <v>95000</v>
      </c>
      <c r="K1721" s="3">
        <v>67900</v>
      </c>
      <c r="L1721" t="s">
        <v>96</v>
      </c>
      <c r="M1721" t="s">
        <v>37</v>
      </c>
      <c r="N1721" t="s">
        <v>23</v>
      </c>
      <c r="O1721" t="s">
        <v>24</v>
      </c>
    </row>
    <row r="1722" spans="1:15" x14ac:dyDescent="0.35">
      <c r="A1722" t="s">
        <v>2758</v>
      </c>
      <c r="B1722" s="2">
        <v>46375</v>
      </c>
      <c r="C1722" t="s">
        <v>393</v>
      </c>
      <c r="D1722" t="s">
        <v>197</v>
      </c>
      <c r="E1722" t="s">
        <v>18</v>
      </c>
      <c r="F1722" t="s">
        <v>18</v>
      </c>
      <c r="G1722" t="s">
        <v>28</v>
      </c>
      <c r="H1722" t="s">
        <v>65</v>
      </c>
      <c r="I1722">
        <v>1</v>
      </c>
      <c r="J1722" s="3">
        <v>12000</v>
      </c>
      <c r="K1722" s="3">
        <v>7700</v>
      </c>
      <c r="L1722" t="s">
        <v>21</v>
      </c>
      <c r="M1722" t="s">
        <v>37</v>
      </c>
      <c r="N1722" t="s">
        <v>23</v>
      </c>
      <c r="O1722" t="s">
        <v>24</v>
      </c>
    </row>
    <row r="1723" spans="1:15" x14ac:dyDescent="0.35">
      <c r="A1723" t="s">
        <v>2759</v>
      </c>
      <c r="B1723" s="2">
        <v>46193</v>
      </c>
      <c r="C1723" t="s">
        <v>1757</v>
      </c>
      <c r="D1723" t="s">
        <v>990</v>
      </c>
      <c r="E1723" t="s">
        <v>41</v>
      </c>
      <c r="F1723" t="s">
        <v>42</v>
      </c>
      <c r="G1723" t="s">
        <v>19</v>
      </c>
      <c r="H1723" t="s">
        <v>166</v>
      </c>
      <c r="I1723">
        <v>3</v>
      </c>
      <c r="J1723" s="3">
        <v>133000</v>
      </c>
      <c r="K1723" s="3">
        <v>100000</v>
      </c>
      <c r="L1723" t="s">
        <v>66</v>
      </c>
      <c r="M1723" t="s">
        <v>22</v>
      </c>
      <c r="N1723" t="s">
        <v>52</v>
      </c>
      <c r="O1723" t="s">
        <v>24</v>
      </c>
    </row>
    <row r="1724" spans="1:15" x14ac:dyDescent="0.35">
      <c r="A1724" t="s">
        <v>2760</v>
      </c>
      <c r="B1724" s="2">
        <v>46080</v>
      </c>
      <c r="C1724" t="s">
        <v>2761</v>
      </c>
      <c r="D1724" t="s">
        <v>2762</v>
      </c>
      <c r="E1724" t="s">
        <v>18</v>
      </c>
      <c r="F1724" t="s">
        <v>18</v>
      </c>
      <c r="G1724" t="s">
        <v>43</v>
      </c>
      <c r="H1724" t="s">
        <v>79</v>
      </c>
      <c r="I1724">
        <v>7</v>
      </c>
      <c r="J1724" s="3">
        <v>6000</v>
      </c>
      <c r="K1724" s="3">
        <v>4100</v>
      </c>
      <c r="L1724" t="s">
        <v>73</v>
      </c>
      <c r="M1724" t="s">
        <v>31</v>
      </c>
      <c r="N1724" t="s">
        <v>23</v>
      </c>
      <c r="O1724" t="s">
        <v>24</v>
      </c>
    </row>
    <row r="1725" spans="1:15" x14ac:dyDescent="0.35">
      <c r="A1725" t="s">
        <v>2763</v>
      </c>
      <c r="B1725" s="2">
        <v>46179</v>
      </c>
      <c r="C1725" t="s">
        <v>645</v>
      </c>
      <c r="D1725" t="s">
        <v>669</v>
      </c>
      <c r="E1725" t="s">
        <v>18</v>
      </c>
      <c r="F1725" t="s">
        <v>18</v>
      </c>
      <c r="G1725" t="s">
        <v>34</v>
      </c>
      <c r="H1725" t="s">
        <v>35</v>
      </c>
      <c r="I1725">
        <v>3</v>
      </c>
      <c r="J1725" s="3">
        <v>55000</v>
      </c>
      <c r="K1725" s="3">
        <v>40200</v>
      </c>
      <c r="L1725" t="s">
        <v>30</v>
      </c>
      <c r="M1725" t="s">
        <v>51</v>
      </c>
      <c r="N1725" t="s">
        <v>52</v>
      </c>
      <c r="O1725" t="s">
        <v>24</v>
      </c>
    </row>
    <row r="1726" spans="1:15" x14ac:dyDescent="0.35">
      <c r="A1726" t="s">
        <v>2764</v>
      </c>
      <c r="B1726" s="2">
        <v>46343</v>
      </c>
      <c r="C1726" t="s">
        <v>1501</v>
      </c>
      <c r="D1726" t="s">
        <v>1197</v>
      </c>
      <c r="E1726" t="s">
        <v>70</v>
      </c>
      <c r="F1726" t="s">
        <v>71</v>
      </c>
      <c r="G1726" t="s">
        <v>19</v>
      </c>
      <c r="H1726" t="s">
        <v>20</v>
      </c>
      <c r="I1726">
        <v>7</v>
      </c>
      <c r="J1726" s="3">
        <v>65000</v>
      </c>
      <c r="K1726" s="3">
        <v>43600</v>
      </c>
      <c r="L1726" t="s">
        <v>30</v>
      </c>
      <c r="M1726" t="s">
        <v>37</v>
      </c>
      <c r="N1726" t="s">
        <v>52</v>
      </c>
      <c r="O1726" t="s">
        <v>24</v>
      </c>
    </row>
    <row r="1727" spans="1:15" x14ac:dyDescent="0.35">
      <c r="A1727" t="s">
        <v>2765</v>
      </c>
      <c r="B1727" s="2">
        <v>46195</v>
      </c>
      <c r="C1727" t="s">
        <v>1076</v>
      </c>
      <c r="D1727" t="s">
        <v>1264</v>
      </c>
      <c r="E1727" t="s">
        <v>18</v>
      </c>
      <c r="F1727" t="s">
        <v>18</v>
      </c>
      <c r="G1727" t="s">
        <v>43</v>
      </c>
      <c r="H1727" t="s">
        <v>79</v>
      </c>
      <c r="I1727">
        <v>8</v>
      </c>
      <c r="J1727" s="3">
        <v>5700</v>
      </c>
      <c r="K1727" s="3">
        <v>4100</v>
      </c>
      <c r="L1727" t="s">
        <v>30</v>
      </c>
      <c r="M1727" t="s">
        <v>51</v>
      </c>
      <c r="N1727" t="s">
        <v>23</v>
      </c>
      <c r="O1727" t="s">
        <v>24</v>
      </c>
    </row>
    <row r="1728" spans="1:15" x14ac:dyDescent="0.35">
      <c r="A1728" t="s">
        <v>2766</v>
      </c>
      <c r="B1728" s="2">
        <v>46266</v>
      </c>
      <c r="C1728" t="s">
        <v>2021</v>
      </c>
      <c r="D1728" t="s">
        <v>1224</v>
      </c>
      <c r="E1728" t="s">
        <v>18</v>
      </c>
      <c r="F1728" t="s">
        <v>18</v>
      </c>
      <c r="G1728" t="s">
        <v>34</v>
      </c>
      <c r="H1728" t="s">
        <v>141</v>
      </c>
      <c r="I1728">
        <v>9</v>
      </c>
      <c r="J1728" s="3">
        <v>168000</v>
      </c>
      <c r="K1728" s="3">
        <v>120000</v>
      </c>
      <c r="L1728" t="s">
        <v>80</v>
      </c>
      <c r="M1728" t="s">
        <v>37</v>
      </c>
      <c r="N1728" t="s">
        <v>23</v>
      </c>
      <c r="O1728" t="s">
        <v>24</v>
      </c>
    </row>
    <row r="1729" spans="1:15" x14ac:dyDescent="0.35">
      <c r="A1729" t="s">
        <v>2767</v>
      </c>
      <c r="B1729" s="2">
        <v>46037</v>
      </c>
      <c r="C1729" t="s">
        <v>635</v>
      </c>
      <c r="D1729" t="s">
        <v>1689</v>
      </c>
      <c r="E1729" t="s">
        <v>56</v>
      </c>
      <c r="F1729" t="s">
        <v>57</v>
      </c>
      <c r="G1729" t="s">
        <v>43</v>
      </c>
      <c r="H1729" t="s">
        <v>177</v>
      </c>
      <c r="I1729">
        <v>8</v>
      </c>
      <c r="J1729" s="3">
        <v>18900</v>
      </c>
      <c r="K1729" s="3">
        <v>12100</v>
      </c>
      <c r="L1729" t="s">
        <v>96</v>
      </c>
      <c r="M1729" t="s">
        <v>37</v>
      </c>
      <c r="N1729" t="s">
        <v>52</v>
      </c>
      <c r="O1729" t="s">
        <v>24</v>
      </c>
    </row>
    <row r="1730" spans="1:15" x14ac:dyDescent="0.35">
      <c r="A1730" t="s">
        <v>2768</v>
      </c>
      <c r="B1730" s="2">
        <v>46132</v>
      </c>
      <c r="C1730" t="s">
        <v>269</v>
      </c>
      <c r="D1730" t="s">
        <v>1054</v>
      </c>
      <c r="E1730" t="s">
        <v>18</v>
      </c>
      <c r="F1730" t="s">
        <v>18</v>
      </c>
      <c r="G1730" t="s">
        <v>43</v>
      </c>
      <c r="H1730" t="s">
        <v>49</v>
      </c>
      <c r="I1730">
        <v>6</v>
      </c>
      <c r="J1730" s="3">
        <v>9000</v>
      </c>
      <c r="K1730" s="3">
        <v>5800</v>
      </c>
      <c r="L1730" t="s">
        <v>30</v>
      </c>
      <c r="M1730" t="s">
        <v>51</v>
      </c>
      <c r="N1730" t="s">
        <v>52</v>
      </c>
      <c r="O1730" t="s">
        <v>24</v>
      </c>
    </row>
    <row r="1731" spans="1:15" x14ac:dyDescent="0.35">
      <c r="A1731" t="s">
        <v>2769</v>
      </c>
      <c r="B1731" s="2">
        <v>46101</v>
      </c>
      <c r="C1731" t="s">
        <v>175</v>
      </c>
      <c r="D1731" t="s">
        <v>514</v>
      </c>
      <c r="E1731" t="s">
        <v>41</v>
      </c>
      <c r="F1731" t="s">
        <v>42</v>
      </c>
      <c r="G1731" t="s">
        <v>34</v>
      </c>
      <c r="H1731" t="s">
        <v>86</v>
      </c>
      <c r="I1731">
        <v>8</v>
      </c>
      <c r="J1731" s="3">
        <v>189000</v>
      </c>
      <c r="K1731" s="3">
        <v>135000</v>
      </c>
      <c r="L1731" t="s">
        <v>21</v>
      </c>
      <c r="M1731" t="s">
        <v>51</v>
      </c>
      <c r="N1731" t="s">
        <v>23</v>
      </c>
      <c r="O1731" t="s">
        <v>24</v>
      </c>
    </row>
    <row r="1732" spans="1:15" x14ac:dyDescent="0.35">
      <c r="A1732" t="s">
        <v>2770</v>
      </c>
      <c r="B1732" s="2">
        <v>46361</v>
      </c>
      <c r="C1732" t="s">
        <v>863</v>
      </c>
      <c r="D1732" t="s">
        <v>400</v>
      </c>
      <c r="E1732" t="s">
        <v>41</v>
      </c>
      <c r="F1732" t="s">
        <v>42</v>
      </c>
      <c r="G1732" t="s">
        <v>43</v>
      </c>
      <c r="H1732" t="s">
        <v>44</v>
      </c>
      <c r="I1732">
        <v>6</v>
      </c>
      <c r="J1732" s="3">
        <v>15000</v>
      </c>
      <c r="K1732" s="3">
        <v>9800</v>
      </c>
      <c r="L1732" t="s">
        <v>50</v>
      </c>
      <c r="M1732" t="s">
        <v>22</v>
      </c>
      <c r="N1732" t="s">
        <v>87</v>
      </c>
      <c r="O1732" t="s">
        <v>24</v>
      </c>
    </row>
    <row r="1733" spans="1:15" x14ac:dyDescent="0.35">
      <c r="A1733" t="s">
        <v>2771</v>
      </c>
      <c r="B1733" s="2">
        <v>46303</v>
      </c>
      <c r="C1733" t="s">
        <v>1416</v>
      </c>
      <c r="D1733" t="s">
        <v>1717</v>
      </c>
      <c r="E1733" t="s">
        <v>190</v>
      </c>
      <c r="F1733" t="s">
        <v>191</v>
      </c>
      <c r="G1733" t="s">
        <v>34</v>
      </c>
      <c r="H1733" t="s">
        <v>141</v>
      </c>
      <c r="I1733">
        <v>1</v>
      </c>
      <c r="J1733" s="3">
        <v>160000</v>
      </c>
      <c r="K1733" s="3">
        <v>116400</v>
      </c>
      <c r="L1733" t="s">
        <v>36</v>
      </c>
      <c r="M1733" t="s">
        <v>51</v>
      </c>
      <c r="N1733" t="s">
        <v>87</v>
      </c>
      <c r="O1733" t="s">
        <v>24</v>
      </c>
    </row>
    <row r="1734" spans="1:15" x14ac:dyDescent="0.35">
      <c r="A1734" t="s">
        <v>2772</v>
      </c>
      <c r="B1734" s="2">
        <v>46375</v>
      </c>
      <c r="C1734" t="s">
        <v>1076</v>
      </c>
      <c r="D1734" t="s">
        <v>1346</v>
      </c>
      <c r="E1734" t="s">
        <v>41</v>
      </c>
      <c r="F1734" t="s">
        <v>42</v>
      </c>
      <c r="G1734" t="s">
        <v>43</v>
      </c>
      <c r="H1734" t="s">
        <v>44</v>
      </c>
      <c r="I1734">
        <v>8</v>
      </c>
      <c r="J1734" s="3">
        <v>15000</v>
      </c>
      <c r="K1734" s="3">
        <v>9500</v>
      </c>
      <c r="L1734" t="s">
        <v>50</v>
      </c>
      <c r="M1734" t="s">
        <v>37</v>
      </c>
      <c r="N1734" t="s">
        <v>52</v>
      </c>
      <c r="O1734" t="s">
        <v>24</v>
      </c>
    </row>
    <row r="1735" spans="1:15" x14ac:dyDescent="0.35">
      <c r="A1735" t="s">
        <v>2773</v>
      </c>
      <c r="B1735" s="2">
        <v>46302</v>
      </c>
      <c r="C1735" t="s">
        <v>1414</v>
      </c>
      <c r="D1735" t="s">
        <v>1760</v>
      </c>
      <c r="E1735" t="s">
        <v>156</v>
      </c>
      <c r="F1735" t="s">
        <v>157</v>
      </c>
      <c r="G1735" t="s">
        <v>34</v>
      </c>
      <c r="H1735" t="s">
        <v>141</v>
      </c>
      <c r="I1735">
        <v>5</v>
      </c>
      <c r="J1735" s="3">
        <v>160000</v>
      </c>
      <c r="K1735" s="3">
        <v>116400</v>
      </c>
      <c r="L1735" t="s">
        <v>36</v>
      </c>
      <c r="M1735" t="s">
        <v>31</v>
      </c>
      <c r="N1735" t="s">
        <v>87</v>
      </c>
      <c r="O1735" t="s">
        <v>24</v>
      </c>
    </row>
    <row r="1736" spans="1:15" x14ac:dyDescent="0.35">
      <c r="A1736" t="s">
        <v>2774</v>
      </c>
      <c r="B1736" s="2">
        <v>46181</v>
      </c>
      <c r="C1736" t="s">
        <v>2775</v>
      </c>
      <c r="D1736" t="s">
        <v>1519</v>
      </c>
      <c r="E1736" t="s">
        <v>156</v>
      </c>
      <c r="F1736" t="s">
        <v>157</v>
      </c>
      <c r="G1736" t="s">
        <v>28</v>
      </c>
      <c r="H1736" t="s">
        <v>29</v>
      </c>
      <c r="I1736">
        <v>6</v>
      </c>
      <c r="J1736" s="3">
        <v>6600</v>
      </c>
      <c r="K1736" s="3">
        <v>4000</v>
      </c>
      <c r="L1736" t="s">
        <v>80</v>
      </c>
      <c r="M1736" t="s">
        <v>37</v>
      </c>
      <c r="N1736" t="s">
        <v>87</v>
      </c>
      <c r="O1736" t="s">
        <v>24</v>
      </c>
    </row>
    <row r="1737" spans="1:15" x14ac:dyDescent="0.35">
      <c r="A1737" t="s">
        <v>2776</v>
      </c>
      <c r="B1737" s="2">
        <v>46142</v>
      </c>
      <c r="C1737" t="s">
        <v>402</v>
      </c>
      <c r="D1737" t="s">
        <v>979</v>
      </c>
      <c r="E1737" t="s">
        <v>41</v>
      </c>
      <c r="F1737" t="s">
        <v>42</v>
      </c>
      <c r="G1737" t="s">
        <v>19</v>
      </c>
      <c r="H1737" t="s">
        <v>112</v>
      </c>
      <c r="I1737">
        <v>4</v>
      </c>
      <c r="J1737" s="3">
        <v>80800</v>
      </c>
      <c r="K1737" s="3">
        <v>62000</v>
      </c>
      <c r="L1737" t="s">
        <v>73</v>
      </c>
      <c r="M1737" t="s">
        <v>37</v>
      </c>
      <c r="N1737" t="s">
        <v>87</v>
      </c>
      <c r="O1737" t="s">
        <v>24</v>
      </c>
    </row>
    <row r="1738" spans="1:15" x14ac:dyDescent="0.35">
      <c r="A1738" t="s">
        <v>2777</v>
      </c>
      <c r="B1738" s="2">
        <v>46371</v>
      </c>
      <c r="C1738" t="s">
        <v>1527</v>
      </c>
      <c r="D1738" t="s">
        <v>806</v>
      </c>
      <c r="E1738" t="s">
        <v>18</v>
      </c>
      <c r="F1738" t="s">
        <v>18</v>
      </c>
      <c r="G1738" t="s">
        <v>34</v>
      </c>
      <c r="H1738" t="s">
        <v>95</v>
      </c>
      <c r="I1738">
        <v>1</v>
      </c>
      <c r="J1738" s="3">
        <v>450000</v>
      </c>
      <c r="K1738" s="3">
        <v>381100</v>
      </c>
      <c r="L1738" t="s">
        <v>96</v>
      </c>
      <c r="M1738" t="s">
        <v>22</v>
      </c>
      <c r="N1738" t="s">
        <v>52</v>
      </c>
      <c r="O1738" t="s">
        <v>91</v>
      </c>
    </row>
    <row r="1739" spans="1:15" x14ac:dyDescent="0.35">
      <c r="A1739" t="s">
        <v>2778</v>
      </c>
      <c r="B1739" s="2">
        <v>46368</v>
      </c>
      <c r="C1739" t="s">
        <v>240</v>
      </c>
      <c r="D1739" t="s">
        <v>1824</v>
      </c>
      <c r="E1739" t="s">
        <v>190</v>
      </c>
      <c r="F1739" t="s">
        <v>191</v>
      </c>
      <c r="G1739" t="s">
        <v>34</v>
      </c>
      <c r="H1739" t="s">
        <v>158</v>
      </c>
      <c r="I1739">
        <v>6</v>
      </c>
      <c r="J1739" s="3">
        <v>95000</v>
      </c>
      <c r="K1739" s="3">
        <v>67900</v>
      </c>
      <c r="L1739" t="s">
        <v>30</v>
      </c>
      <c r="M1739" t="s">
        <v>51</v>
      </c>
      <c r="N1739" t="s">
        <v>23</v>
      </c>
      <c r="O1739" t="s">
        <v>24</v>
      </c>
    </row>
    <row r="1740" spans="1:15" x14ac:dyDescent="0.35">
      <c r="A1740" t="s">
        <v>2779</v>
      </c>
      <c r="B1740" s="2">
        <v>46255</v>
      </c>
      <c r="C1740" t="s">
        <v>678</v>
      </c>
      <c r="D1740" t="s">
        <v>105</v>
      </c>
      <c r="E1740" t="s">
        <v>18</v>
      </c>
      <c r="F1740" t="s">
        <v>18</v>
      </c>
      <c r="G1740" t="s">
        <v>43</v>
      </c>
      <c r="H1740" t="s">
        <v>44</v>
      </c>
      <c r="I1740">
        <v>3</v>
      </c>
      <c r="J1740" s="3">
        <v>14200</v>
      </c>
      <c r="K1740" s="3">
        <v>9800</v>
      </c>
      <c r="L1740" t="s">
        <v>30</v>
      </c>
      <c r="M1740" t="s">
        <v>37</v>
      </c>
      <c r="N1740" t="s">
        <v>23</v>
      </c>
      <c r="O1740" t="s">
        <v>45</v>
      </c>
    </row>
    <row r="1741" spans="1:15" x14ac:dyDescent="0.35">
      <c r="A1741" t="s">
        <v>2780</v>
      </c>
      <c r="B1741" s="2">
        <v>46321</v>
      </c>
      <c r="C1741" t="s">
        <v>1509</v>
      </c>
      <c r="D1741" t="s">
        <v>1059</v>
      </c>
      <c r="E1741" t="s">
        <v>56</v>
      </c>
      <c r="F1741" t="s">
        <v>57</v>
      </c>
      <c r="G1741" t="s">
        <v>19</v>
      </c>
      <c r="H1741" t="s">
        <v>20</v>
      </c>
      <c r="I1741">
        <v>1</v>
      </c>
      <c r="J1741" s="3">
        <v>65000</v>
      </c>
      <c r="K1741" s="3">
        <v>43600</v>
      </c>
      <c r="L1741" t="s">
        <v>80</v>
      </c>
      <c r="M1741" t="s">
        <v>37</v>
      </c>
      <c r="N1741" t="s">
        <v>52</v>
      </c>
      <c r="O1741" t="s">
        <v>91</v>
      </c>
    </row>
    <row r="1742" spans="1:15" x14ac:dyDescent="0.35">
      <c r="A1742" t="s">
        <v>2781</v>
      </c>
      <c r="B1742" s="2">
        <v>46152</v>
      </c>
      <c r="C1742" t="s">
        <v>1524</v>
      </c>
      <c r="D1742" t="s">
        <v>1179</v>
      </c>
      <c r="E1742" t="s">
        <v>56</v>
      </c>
      <c r="F1742" t="s">
        <v>57</v>
      </c>
      <c r="G1742" t="s">
        <v>28</v>
      </c>
      <c r="H1742" t="s">
        <v>131</v>
      </c>
      <c r="I1742">
        <v>4</v>
      </c>
      <c r="J1742" s="3">
        <v>30000</v>
      </c>
      <c r="K1742" s="3">
        <v>19600</v>
      </c>
      <c r="L1742" t="s">
        <v>80</v>
      </c>
      <c r="M1742" t="s">
        <v>37</v>
      </c>
      <c r="N1742" t="s">
        <v>23</v>
      </c>
      <c r="O1742" t="s">
        <v>24</v>
      </c>
    </row>
    <row r="1743" spans="1:15" x14ac:dyDescent="0.35">
      <c r="A1743" t="s">
        <v>2782</v>
      </c>
      <c r="B1743" s="2">
        <v>46183</v>
      </c>
      <c r="C1743" t="s">
        <v>901</v>
      </c>
      <c r="D1743" t="s">
        <v>1559</v>
      </c>
      <c r="E1743" t="s">
        <v>56</v>
      </c>
      <c r="F1743" t="s">
        <v>57</v>
      </c>
      <c r="G1743" t="s">
        <v>34</v>
      </c>
      <c r="H1743" t="s">
        <v>95</v>
      </c>
      <c r="I1743">
        <v>8</v>
      </c>
      <c r="J1743" s="3">
        <v>450000</v>
      </c>
      <c r="K1743" s="3">
        <v>358900</v>
      </c>
      <c r="L1743" t="s">
        <v>80</v>
      </c>
      <c r="M1743" t="s">
        <v>37</v>
      </c>
      <c r="N1743" t="s">
        <v>23</v>
      </c>
      <c r="O1743" t="s">
        <v>24</v>
      </c>
    </row>
    <row r="1744" spans="1:15" x14ac:dyDescent="0.35">
      <c r="A1744" t="s">
        <v>2783</v>
      </c>
      <c r="B1744" s="2">
        <v>46192</v>
      </c>
      <c r="C1744" t="s">
        <v>399</v>
      </c>
      <c r="D1744" t="s">
        <v>2012</v>
      </c>
      <c r="E1744" t="s">
        <v>77</v>
      </c>
      <c r="F1744" t="s">
        <v>78</v>
      </c>
      <c r="G1744" t="s">
        <v>34</v>
      </c>
      <c r="H1744" t="s">
        <v>95</v>
      </c>
      <c r="I1744">
        <v>6</v>
      </c>
      <c r="J1744" s="3">
        <v>450000</v>
      </c>
      <c r="K1744" s="3">
        <v>358900</v>
      </c>
      <c r="L1744" t="s">
        <v>80</v>
      </c>
      <c r="M1744" t="s">
        <v>37</v>
      </c>
      <c r="N1744" t="s">
        <v>23</v>
      </c>
      <c r="O1744" t="s">
        <v>24</v>
      </c>
    </row>
    <row r="1745" spans="1:15" x14ac:dyDescent="0.35">
      <c r="A1745" t="s">
        <v>2784</v>
      </c>
      <c r="B1745" s="2">
        <v>46204</v>
      </c>
      <c r="C1745" t="s">
        <v>1243</v>
      </c>
      <c r="D1745" t="s">
        <v>1325</v>
      </c>
      <c r="E1745" t="s">
        <v>70</v>
      </c>
      <c r="F1745" t="s">
        <v>71</v>
      </c>
      <c r="G1745" t="s">
        <v>28</v>
      </c>
      <c r="H1745" t="s">
        <v>248</v>
      </c>
      <c r="I1745">
        <v>6</v>
      </c>
      <c r="J1745" s="3">
        <v>23800</v>
      </c>
      <c r="K1745" s="3">
        <v>15500</v>
      </c>
      <c r="L1745" t="s">
        <v>96</v>
      </c>
      <c r="M1745" t="s">
        <v>51</v>
      </c>
      <c r="N1745" t="s">
        <v>23</v>
      </c>
      <c r="O1745" t="s">
        <v>24</v>
      </c>
    </row>
    <row r="1746" spans="1:15" x14ac:dyDescent="0.35">
      <c r="A1746" t="s">
        <v>2785</v>
      </c>
      <c r="B1746" s="2">
        <v>46100</v>
      </c>
      <c r="C1746" t="s">
        <v>1757</v>
      </c>
      <c r="D1746" t="s">
        <v>1581</v>
      </c>
      <c r="E1746" t="s">
        <v>70</v>
      </c>
      <c r="F1746" t="s">
        <v>71</v>
      </c>
      <c r="G1746" t="s">
        <v>34</v>
      </c>
      <c r="H1746" t="s">
        <v>158</v>
      </c>
      <c r="I1746">
        <v>5</v>
      </c>
      <c r="J1746" s="3">
        <v>99800</v>
      </c>
      <c r="K1746" s="3">
        <v>72100</v>
      </c>
      <c r="L1746" t="s">
        <v>66</v>
      </c>
      <c r="M1746" t="s">
        <v>37</v>
      </c>
      <c r="N1746" t="s">
        <v>87</v>
      </c>
      <c r="O1746" t="s">
        <v>45</v>
      </c>
    </row>
    <row r="1747" spans="1:15" x14ac:dyDescent="0.35">
      <c r="A1747" t="s">
        <v>2786</v>
      </c>
      <c r="B1747" s="2">
        <v>46281</v>
      </c>
      <c r="C1747" t="s">
        <v>1524</v>
      </c>
      <c r="D1747" t="s">
        <v>1654</v>
      </c>
      <c r="E1747" t="s">
        <v>156</v>
      </c>
      <c r="F1747" t="s">
        <v>170</v>
      </c>
      <c r="G1747" t="s">
        <v>28</v>
      </c>
      <c r="H1747" t="s">
        <v>72</v>
      </c>
      <c r="I1747">
        <v>10</v>
      </c>
      <c r="J1747" s="3">
        <v>10000</v>
      </c>
      <c r="K1747" s="3">
        <v>6000</v>
      </c>
      <c r="L1747" t="s">
        <v>36</v>
      </c>
      <c r="M1747" t="s">
        <v>37</v>
      </c>
      <c r="N1747" t="s">
        <v>52</v>
      </c>
      <c r="O1747" t="s">
        <v>24</v>
      </c>
    </row>
    <row r="1748" spans="1:15" x14ac:dyDescent="0.35">
      <c r="A1748" t="s">
        <v>2787</v>
      </c>
      <c r="B1748" s="2">
        <v>46304</v>
      </c>
      <c r="C1748" t="s">
        <v>836</v>
      </c>
      <c r="D1748" t="s">
        <v>2788</v>
      </c>
      <c r="E1748" t="s">
        <v>70</v>
      </c>
      <c r="F1748" t="s">
        <v>71</v>
      </c>
      <c r="G1748" t="s">
        <v>43</v>
      </c>
      <c r="H1748" t="s">
        <v>79</v>
      </c>
      <c r="I1748">
        <v>6</v>
      </c>
      <c r="J1748" s="3">
        <v>6000</v>
      </c>
      <c r="K1748" s="3">
        <v>4300</v>
      </c>
      <c r="L1748" t="s">
        <v>21</v>
      </c>
      <c r="M1748" t="s">
        <v>37</v>
      </c>
      <c r="N1748" t="s">
        <v>87</v>
      </c>
      <c r="O1748" t="s">
        <v>24</v>
      </c>
    </row>
    <row r="1749" spans="1:15" x14ac:dyDescent="0.35">
      <c r="A1749" t="s">
        <v>2789</v>
      </c>
      <c r="B1749" s="2">
        <v>46095</v>
      </c>
      <c r="C1749" t="s">
        <v>1490</v>
      </c>
      <c r="D1749" t="s">
        <v>1141</v>
      </c>
      <c r="E1749" t="s">
        <v>70</v>
      </c>
      <c r="F1749" t="s">
        <v>71</v>
      </c>
      <c r="G1749" t="s">
        <v>43</v>
      </c>
      <c r="H1749" t="s">
        <v>49</v>
      </c>
      <c r="I1749">
        <v>10</v>
      </c>
      <c r="J1749" s="3">
        <v>9000</v>
      </c>
      <c r="K1749" s="3">
        <v>5600</v>
      </c>
      <c r="L1749" t="s">
        <v>80</v>
      </c>
      <c r="M1749" t="s">
        <v>37</v>
      </c>
      <c r="N1749" t="s">
        <v>52</v>
      </c>
      <c r="O1749" t="s">
        <v>45</v>
      </c>
    </row>
    <row r="1750" spans="1:15" x14ac:dyDescent="0.35">
      <c r="A1750" t="s">
        <v>2790</v>
      </c>
      <c r="B1750" s="2">
        <v>46242</v>
      </c>
      <c r="C1750" t="s">
        <v>1479</v>
      </c>
      <c r="D1750" t="s">
        <v>176</v>
      </c>
      <c r="E1750" t="s">
        <v>156</v>
      </c>
      <c r="F1750" t="s">
        <v>170</v>
      </c>
      <c r="G1750" t="s">
        <v>34</v>
      </c>
      <c r="H1750" t="s">
        <v>158</v>
      </c>
      <c r="I1750">
        <v>3</v>
      </c>
      <c r="J1750" s="3">
        <v>95000</v>
      </c>
      <c r="K1750" s="3">
        <v>67900</v>
      </c>
      <c r="L1750" t="s">
        <v>96</v>
      </c>
      <c r="M1750" t="s">
        <v>51</v>
      </c>
      <c r="N1750" t="s">
        <v>23</v>
      </c>
      <c r="O1750" t="s">
        <v>24</v>
      </c>
    </row>
    <row r="1751" spans="1:15" x14ac:dyDescent="0.35">
      <c r="A1751" t="s">
        <v>2791</v>
      </c>
      <c r="B1751" s="2">
        <v>46244</v>
      </c>
      <c r="C1751" t="s">
        <v>252</v>
      </c>
      <c r="D1751" t="s">
        <v>1325</v>
      </c>
      <c r="E1751" t="s">
        <v>41</v>
      </c>
      <c r="F1751" t="s">
        <v>42</v>
      </c>
      <c r="G1751" t="s">
        <v>34</v>
      </c>
      <c r="H1751" t="s">
        <v>95</v>
      </c>
      <c r="I1751">
        <v>3</v>
      </c>
      <c r="J1751" s="3">
        <v>450000</v>
      </c>
      <c r="K1751" s="3">
        <v>381100</v>
      </c>
      <c r="L1751" t="s">
        <v>73</v>
      </c>
      <c r="M1751" t="s">
        <v>22</v>
      </c>
      <c r="N1751" t="s">
        <v>23</v>
      </c>
      <c r="O1751" t="s">
        <v>24</v>
      </c>
    </row>
    <row r="1752" spans="1:15" x14ac:dyDescent="0.35">
      <c r="A1752" t="s">
        <v>2792</v>
      </c>
      <c r="B1752" s="2">
        <v>46223</v>
      </c>
      <c r="C1752" t="s">
        <v>2549</v>
      </c>
      <c r="D1752" t="s">
        <v>1308</v>
      </c>
      <c r="E1752" t="s">
        <v>156</v>
      </c>
      <c r="F1752" t="s">
        <v>157</v>
      </c>
      <c r="G1752" t="s">
        <v>34</v>
      </c>
      <c r="H1752" t="s">
        <v>86</v>
      </c>
      <c r="I1752">
        <v>1</v>
      </c>
      <c r="J1752" s="3">
        <v>189000</v>
      </c>
      <c r="K1752" s="3">
        <v>131000</v>
      </c>
      <c r="L1752" t="s">
        <v>50</v>
      </c>
      <c r="M1752" t="s">
        <v>37</v>
      </c>
      <c r="N1752" t="s">
        <v>52</v>
      </c>
      <c r="O1752" t="s">
        <v>24</v>
      </c>
    </row>
    <row r="1753" spans="1:15" x14ac:dyDescent="0.35">
      <c r="A1753" t="s">
        <v>2793</v>
      </c>
      <c r="B1753" s="2">
        <v>46120</v>
      </c>
      <c r="C1753" t="s">
        <v>1047</v>
      </c>
      <c r="D1753" t="s">
        <v>2631</v>
      </c>
      <c r="E1753" t="s">
        <v>156</v>
      </c>
      <c r="F1753" t="s">
        <v>170</v>
      </c>
      <c r="G1753" t="s">
        <v>28</v>
      </c>
      <c r="H1753" t="s">
        <v>72</v>
      </c>
      <c r="I1753">
        <v>9</v>
      </c>
      <c r="J1753" s="3">
        <v>10500</v>
      </c>
      <c r="K1753" s="3">
        <v>6400</v>
      </c>
      <c r="L1753" t="s">
        <v>80</v>
      </c>
      <c r="M1753" t="s">
        <v>22</v>
      </c>
      <c r="N1753" t="s">
        <v>23</v>
      </c>
      <c r="O1753" t="s">
        <v>24</v>
      </c>
    </row>
    <row r="1754" spans="1:15" x14ac:dyDescent="0.35">
      <c r="A1754" t="s">
        <v>2794</v>
      </c>
      <c r="B1754" s="2">
        <v>46236</v>
      </c>
      <c r="C1754" t="s">
        <v>472</v>
      </c>
      <c r="D1754" t="s">
        <v>650</v>
      </c>
      <c r="E1754" t="s">
        <v>70</v>
      </c>
      <c r="F1754" t="s">
        <v>71</v>
      </c>
      <c r="G1754" t="s">
        <v>19</v>
      </c>
      <c r="H1754" t="s">
        <v>112</v>
      </c>
      <c r="I1754">
        <v>4</v>
      </c>
      <c r="J1754" s="3">
        <v>85000</v>
      </c>
      <c r="K1754" s="3">
        <v>63900</v>
      </c>
      <c r="L1754" t="s">
        <v>36</v>
      </c>
      <c r="M1754" t="s">
        <v>37</v>
      </c>
      <c r="N1754" t="s">
        <v>23</v>
      </c>
      <c r="O1754" t="s">
        <v>24</v>
      </c>
    </row>
    <row r="1755" spans="1:15" x14ac:dyDescent="0.35">
      <c r="A1755" t="s">
        <v>2795</v>
      </c>
      <c r="B1755" s="2">
        <v>46109</v>
      </c>
      <c r="C1755" t="s">
        <v>1890</v>
      </c>
      <c r="D1755" t="s">
        <v>875</v>
      </c>
      <c r="E1755" t="s">
        <v>190</v>
      </c>
      <c r="F1755" t="s">
        <v>191</v>
      </c>
      <c r="G1755" t="s">
        <v>19</v>
      </c>
      <c r="H1755" t="s">
        <v>61</v>
      </c>
      <c r="I1755">
        <v>2</v>
      </c>
      <c r="J1755" s="3">
        <v>231000</v>
      </c>
      <c r="K1755" s="3">
        <v>160000</v>
      </c>
      <c r="L1755" t="s">
        <v>73</v>
      </c>
      <c r="M1755" t="s">
        <v>37</v>
      </c>
      <c r="N1755" t="s">
        <v>23</v>
      </c>
      <c r="O1755" t="s">
        <v>24</v>
      </c>
    </row>
    <row r="1756" spans="1:15" x14ac:dyDescent="0.35">
      <c r="A1756" t="s">
        <v>2796</v>
      </c>
      <c r="B1756" s="2">
        <v>46092</v>
      </c>
      <c r="C1756" t="s">
        <v>1390</v>
      </c>
      <c r="D1756" t="s">
        <v>105</v>
      </c>
      <c r="E1756" t="s">
        <v>56</v>
      </c>
      <c r="F1756" t="s">
        <v>57</v>
      </c>
      <c r="G1756" t="s">
        <v>34</v>
      </c>
      <c r="H1756" t="s">
        <v>158</v>
      </c>
      <c r="I1756">
        <v>3</v>
      </c>
      <c r="J1756" s="3">
        <v>95000</v>
      </c>
      <c r="K1756" s="3">
        <v>70000</v>
      </c>
      <c r="L1756" t="s">
        <v>80</v>
      </c>
      <c r="M1756" t="s">
        <v>51</v>
      </c>
      <c r="N1756" t="s">
        <v>23</v>
      </c>
      <c r="O1756" t="s">
        <v>24</v>
      </c>
    </row>
    <row r="1757" spans="1:15" x14ac:dyDescent="0.35">
      <c r="A1757" t="s">
        <v>2797</v>
      </c>
      <c r="B1757" s="2">
        <v>46028</v>
      </c>
      <c r="C1757" t="s">
        <v>683</v>
      </c>
      <c r="D1757" t="s">
        <v>572</v>
      </c>
      <c r="E1757" t="s">
        <v>156</v>
      </c>
      <c r="F1757" t="s">
        <v>170</v>
      </c>
      <c r="G1757" t="s">
        <v>28</v>
      </c>
      <c r="H1757" t="s">
        <v>248</v>
      </c>
      <c r="I1757">
        <v>10</v>
      </c>
      <c r="J1757" s="3">
        <v>26200</v>
      </c>
      <c r="K1757" s="3">
        <v>16000</v>
      </c>
      <c r="L1757" t="s">
        <v>66</v>
      </c>
      <c r="M1757" t="s">
        <v>37</v>
      </c>
      <c r="N1757" t="s">
        <v>52</v>
      </c>
      <c r="O1757" t="s">
        <v>24</v>
      </c>
    </row>
    <row r="1758" spans="1:15" x14ac:dyDescent="0.35">
      <c r="A1758" t="s">
        <v>2798</v>
      </c>
      <c r="B1758" s="2">
        <v>46386</v>
      </c>
      <c r="C1758" t="s">
        <v>500</v>
      </c>
      <c r="D1758" t="s">
        <v>226</v>
      </c>
      <c r="E1758" t="s">
        <v>84</v>
      </c>
      <c r="F1758" t="s">
        <v>85</v>
      </c>
      <c r="G1758" t="s">
        <v>28</v>
      </c>
      <c r="H1758" t="s">
        <v>29</v>
      </c>
      <c r="I1758">
        <v>6</v>
      </c>
      <c r="J1758" s="3">
        <v>6600</v>
      </c>
      <c r="K1758" s="3">
        <v>3900</v>
      </c>
      <c r="L1758" t="s">
        <v>73</v>
      </c>
      <c r="M1758" t="s">
        <v>37</v>
      </c>
      <c r="N1758" t="s">
        <v>87</v>
      </c>
      <c r="O1758" t="s">
        <v>24</v>
      </c>
    </row>
    <row r="1759" spans="1:15" x14ac:dyDescent="0.35">
      <c r="A1759" t="s">
        <v>2799</v>
      </c>
      <c r="B1759" s="2">
        <v>46382</v>
      </c>
      <c r="C1759" t="s">
        <v>199</v>
      </c>
      <c r="D1759" t="s">
        <v>218</v>
      </c>
      <c r="E1759" t="s">
        <v>41</v>
      </c>
      <c r="F1759" t="s">
        <v>42</v>
      </c>
      <c r="G1759" t="s">
        <v>43</v>
      </c>
      <c r="H1759" t="s">
        <v>44</v>
      </c>
      <c r="I1759">
        <v>9</v>
      </c>
      <c r="J1759" s="3">
        <v>14200</v>
      </c>
      <c r="K1759" s="3">
        <v>9200</v>
      </c>
      <c r="L1759" t="s">
        <v>73</v>
      </c>
      <c r="M1759" t="s">
        <v>37</v>
      </c>
      <c r="N1759" t="s">
        <v>52</v>
      </c>
      <c r="O1759" t="s">
        <v>24</v>
      </c>
    </row>
    <row r="1760" spans="1:15" x14ac:dyDescent="0.35">
      <c r="A1760" t="s">
        <v>2800</v>
      </c>
      <c r="B1760" s="2">
        <v>46348</v>
      </c>
      <c r="C1760" t="s">
        <v>1248</v>
      </c>
      <c r="D1760" t="s">
        <v>750</v>
      </c>
      <c r="E1760" t="s">
        <v>156</v>
      </c>
      <c r="F1760" t="s">
        <v>170</v>
      </c>
      <c r="G1760" t="s">
        <v>19</v>
      </c>
      <c r="H1760" t="s">
        <v>61</v>
      </c>
      <c r="I1760">
        <v>5</v>
      </c>
      <c r="J1760" s="3">
        <v>220000</v>
      </c>
      <c r="K1760" s="3">
        <v>164800</v>
      </c>
      <c r="L1760" t="s">
        <v>66</v>
      </c>
      <c r="M1760" t="s">
        <v>37</v>
      </c>
      <c r="N1760" t="s">
        <v>52</v>
      </c>
      <c r="O1760" t="s">
        <v>45</v>
      </c>
    </row>
    <row r="1761" spans="1:15" x14ac:dyDescent="0.35">
      <c r="A1761" t="s">
        <v>2801</v>
      </c>
      <c r="B1761" s="2">
        <v>46303</v>
      </c>
      <c r="C1761" t="s">
        <v>2802</v>
      </c>
      <c r="D1761" t="s">
        <v>1195</v>
      </c>
      <c r="E1761" t="s">
        <v>190</v>
      </c>
      <c r="F1761" t="s">
        <v>191</v>
      </c>
      <c r="G1761" t="s">
        <v>19</v>
      </c>
      <c r="H1761" t="s">
        <v>20</v>
      </c>
      <c r="I1761">
        <v>9</v>
      </c>
      <c r="J1761" s="3">
        <v>68200</v>
      </c>
      <c r="K1761" s="3">
        <v>45000</v>
      </c>
      <c r="L1761" t="s">
        <v>73</v>
      </c>
      <c r="M1761" t="s">
        <v>31</v>
      </c>
      <c r="N1761" t="s">
        <v>23</v>
      </c>
      <c r="O1761" t="s">
        <v>24</v>
      </c>
    </row>
    <row r="1762" spans="1:15" x14ac:dyDescent="0.35">
      <c r="A1762" t="s">
        <v>2803</v>
      </c>
      <c r="B1762" s="2">
        <v>46047</v>
      </c>
      <c r="C1762" t="s">
        <v>387</v>
      </c>
      <c r="D1762" t="s">
        <v>1542</v>
      </c>
      <c r="E1762" t="s">
        <v>156</v>
      </c>
      <c r="F1762" t="s">
        <v>157</v>
      </c>
      <c r="G1762" t="s">
        <v>43</v>
      </c>
      <c r="H1762" t="s">
        <v>79</v>
      </c>
      <c r="I1762">
        <v>10</v>
      </c>
      <c r="J1762" s="3">
        <v>5700</v>
      </c>
      <c r="K1762" s="3">
        <v>4200</v>
      </c>
      <c r="L1762" t="s">
        <v>50</v>
      </c>
      <c r="M1762" t="s">
        <v>22</v>
      </c>
      <c r="N1762" t="s">
        <v>52</v>
      </c>
      <c r="O1762" t="s">
        <v>24</v>
      </c>
    </row>
    <row r="1763" spans="1:15" x14ac:dyDescent="0.35">
      <c r="A1763" t="s">
        <v>2804</v>
      </c>
      <c r="B1763" s="2">
        <v>46299</v>
      </c>
      <c r="C1763" t="s">
        <v>1770</v>
      </c>
      <c r="D1763" t="s">
        <v>1149</v>
      </c>
      <c r="E1763" t="s">
        <v>18</v>
      </c>
      <c r="F1763" t="s">
        <v>18</v>
      </c>
      <c r="G1763" t="s">
        <v>19</v>
      </c>
      <c r="H1763" t="s">
        <v>166</v>
      </c>
      <c r="I1763">
        <v>7</v>
      </c>
      <c r="J1763" s="3">
        <v>140000</v>
      </c>
      <c r="K1763" s="3">
        <v>100000</v>
      </c>
      <c r="L1763" t="s">
        <v>36</v>
      </c>
      <c r="M1763" t="s">
        <v>37</v>
      </c>
      <c r="N1763" t="s">
        <v>87</v>
      </c>
      <c r="O1763" t="s">
        <v>24</v>
      </c>
    </row>
    <row r="1764" spans="1:15" x14ac:dyDescent="0.35">
      <c r="A1764" t="s">
        <v>2805</v>
      </c>
      <c r="B1764" s="2">
        <v>46348</v>
      </c>
      <c r="C1764" t="s">
        <v>2806</v>
      </c>
      <c r="D1764" t="s">
        <v>627</v>
      </c>
      <c r="E1764" t="s">
        <v>77</v>
      </c>
      <c r="F1764" t="s">
        <v>78</v>
      </c>
      <c r="G1764" t="s">
        <v>43</v>
      </c>
      <c r="H1764" t="s">
        <v>177</v>
      </c>
      <c r="I1764">
        <v>4</v>
      </c>
      <c r="J1764" s="3">
        <v>18000</v>
      </c>
      <c r="K1764" s="3">
        <v>12100</v>
      </c>
      <c r="L1764" t="s">
        <v>80</v>
      </c>
      <c r="M1764" t="s">
        <v>37</v>
      </c>
      <c r="N1764" t="s">
        <v>52</v>
      </c>
      <c r="O1764" t="s">
        <v>24</v>
      </c>
    </row>
    <row r="1765" spans="1:15" x14ac:dyDescent="0.35">
      <c r="A1765" t="s">
        <v>2807</v>
      </c>
      <c r="B1765" s="2">
        <v>46165</v>
      </c>
      <c r="C1765" t="s">
        <v>269</v>
      </c>
      <c r="D1765" t="s">
        <v>576</v>
      </c>
      <c r="E1765" t="s">
        <v>18</v>
      </c>
      <c r="F1765" t="s">
        <v>18</v>
      </c>
      <c r="G1765" t="s">
        <v>34</v>
      </c>
      <c r="H1765" t="s">
        <v>95</v>
      </c>
      <c r="I1765">
        <v>5</v>
      </c>
      <c r="J1765" s="3">
        <v>472500</v>
      </c>
      <c r="K1765" s="3">
        <v>381100</v>
      </c>
      <c r="L1765" t="s">
        <v>96</v>
      </c>
      <c r="M1765" t="s">
        <v>51</v>
      </c>
      <c r="N1765" t="s">
        <v>23</v>
      </c>
      <c r="O1765" t="s">
        <v>24</v>
      </c>
    </row>
    <row r="1766" spans="1:15" x14ac:dyDescent="0.35">
      <c r="A1766" t="s">
        <v>2808</v>
      </c>
      <c r="B1766" s="2">
        <v>46034</v>
      </c>
      <c r="C1766" t="s">
        <v>1214</v>
      </c>
      <c r="D1766" t="s">
        <v>1904</v>
      </c>
      <c r="E1766" t="s">
        <v>77</v>
      </c>
      <c r="F1766" t="s">
        <v>78</v>
      </c>
      <c r="G1766" t="s">
        <v>43</v>
      </c>
      <c r="H1766" t="s">
        <v>79</v>
      </c>
      <c r="I1766">
        <v>6</v>
      </c>
      <c r="J1766" s="3">
        <v>6000</v>
      </c>
      <c r="K1766" s="3">
        <v>4200</v>
      </c>
      <c r="L1766" t="s">
        <v>96</v>
      </c>
      <c r="M1766" t="s">
        <v>37</v>
      </c>
      <c r="N1766" t="s">
        <v>23</v>
      </c>
      <c r="O1766" t="s">
        <v>24</v>
      </c>
    </row>
    <row r="1767" spans="1:15" x14ac:dyDescent="0.35">
      <c r="A1767" t="s">
        <v>2809</v>
      </c>
      <c r="B1767" s="2">
        <v>46231</v>
      </c>
      <c r="C1767" t="s">
        <v>2021</v>
      </c>
      <c r="D1767" t="s">
        <v>108</v>
      </c>
      <c r="E1767" t="s">
        <v>41</v>
      </c>
      <c r="F1767" t="s">
        <v>42</v>
      </c>
      <c r="G1767" t="s">
        <v>19</v>
      </c>
      <c r="H1767" t="s">
        <v>166</v>
      </c>
      <c r="I1767">
        <v>6</v>
      </c>
      <c r="J1767" s="3">
        <v>140000</v>
      </c>
      <c r="K1767" s="3">
        <v>97000</v>
      </c>
      <c r="L1767" t="s">
        <v>30</v>
      </c>
      <c r="M1767" t="s">
        <v>37</v>
      </c>
      <c r="N1767" t="s">
        <v>23</v>
      </c>
      <c r="O1767" t="s">
        <v>24</v>
      </c>
    </row>
    <row r="1768" spans="1:15" x14ac:dyDescent="0.35">
      <c r="A1768" t="s">
        <v>2810</v>
      </c>
      <c r="B1768" s="2">
        <v>46227</v>
      </c>
      <c r="C1768" t="s">
        <v>874</v>
      </c>
      <c r="D1768" t="s">
        <v>869</v>
      </c>
      <c r="E1768" t="s">
        <v>70</v>
      </c>
      <c r="F1768" t="s">
        <v>71</v>
      </c>
      <c r="G1768" t="s">
        <v>34</v>
      </c>
      <c r="H1768" t="s">
        <v>95</v>
      </c>
      <c r="I1768">
        <v>1</v>
      </c>
      <c r="J1768" s="3">
        <v>472500</v>
      </c>
      <c r="K1768" s="3">
        <v>358900</v>
      </c>
      <c r="L1768" t="s">
        <v>36</v>
      </c>
      <c r="M1768" t="s">
        <v>37</v>
      </c>
      <c r="N1768" t="s">
        <v>52</v>
      </c>
      <c r="O1768" t="s">
        <v>45</v>
      </c>
    </row>
    <row r="1769" spans="1:15" x14ac:dyDescent="0.35">
      <c r="A1769" t="s">
        <v>2811</v>
      </c>
      <c r="B1769" s="2">
        <v>46346</v>
      </c>
      <c r="C1769" t="s">
        <v>1529</v>
      </c>
      <c r="D1769" t="s">
        <v>48</v>
      </c>
      <c r="E1769" t="s">
        <v>18</v>
      </c>
      <c r="F1769" t="s">
        <v>18</v>
      </c>
      <c r="G1769" t="s">
        <v>34</v>
      </c>
      <c r="H1769" t="s">
        <v>141</v>
      </c>
      <c r="I1769">
        <v>5</v>
      </c>
      <c r="J1769" s="3">
        <v>160000</v>
      </c>
      <c r="K1769" s="3">
        <v>120000</v>
      </c>
      <c r="L1769" t="s">
        <v>30</v>
      </c>
      <c r="M1769" t="s">
        <v>51</v>
      </c>
      <c r="N1769" t="s">
        <v>52</v>
      </c>
      <c r="O1769" t="s">
        <v>24</v>
      </c>
    </row>
    <row r="1770" spans="1:15" x14ac:dyDescent="0.35">
      <c r="A1770" t="s">
        <v>2812</v>
      </c>
      <c r="B1770" s="2">
        <v>46084</v>
      </c>
      <c r="C1770" t="s">
        <v>523</v>
      </c>
      <c r="D1770" t="s">
        <v>2813</v>
      </c>
      <c r="E1770" t="s">
        <v>156</v>
      </c>
      <c r="F1770" t="s">
        <v>170</v>
      </c>
      <c r="G1770" t="s">
        <v>28</v>
      </c>
      <c r="H1770" t="s">
        <v>248</v>
      </c>
      <c r="I1770">
        <v>5</v>
      </c>
      <c r="J1770" s="3">
        <v>26200</v>
      </c>
      <c r="K1770" s="3">
        <v>16500</v>
      </c>
      <c r="L1770" t="s">
        <v>73</v>
      </c>
      <c r="M1770" t="s">
        <v>51</v>
      </c>
      <c r="N1770" t="s">
        <v>23</v>
      </c>
      <c r="O1770" t="s">
        <v>24</v>
      </c>
    </row>
    <row r="1771" spans="1:15" x14ac:dyDescent="0.35">
      <c r="A1771" t="s">
        <v>2814</v>
      </c>
      <c r="B1771" s="2">
        <v>46317</v>
      </c>
      <c r="C1771" t="s">
        <v>1166</v>
      </c>
      <c r="D1771" t="s">
        <v>859</v>
      </c>
      <c r="E1771" t="s">
        <v>41</v>
      </c>
      <c r="F1771" t="s">
        <v>42</v>
      </c>
      <c r="G1771" t="s">
        <v>43</v>
      </c>
      <c r="H1771" t="s">
        <v>49</v>
      </c>
      <c r="I1771">
        <v>8</v>
      </c>
      <c r="J1771" s="3">
        <v>9400</v>
      </c>
      <c r="K1771" s="3">
        <v>5800</v>
      </c>
      <c r="L1771" t="s">
        <v>96</v>
      </c>
      <c r="M1771" t="s">
        <v>37</v>
      </c>
      <c r="N1771" t="s">
        <v>52</v>
      </c>
      <c r="O1771" t="s">
        <v>24</v>
      </c>
    </row>
    <row r="1772" spans="1:15" x14ac:dyDescent="0.35">
      <c r="A1772" t="s">
        <v>2815</v>
      </c>
      <c r="B1772" s="2">
        <v>46124</v>
      </c>
      <c r="C1772" t="s">
        <v>664</v>
      </c>
      <c r="D1772" t="s">
        <v>1204</v>
      </c>
      <c r="E1772" t="s">
        <v>56</v>
      </c>
      <c r="F1772" t="s">
        <v>57</v>
      </c>
      <c r="G1772" t="s">
        <v>28</v>
      </c>
      <c r="H1772" t="s">
        <v>65</v>
      </c>
      <c r="I1772">
        <v>10</v>
      </c>
      <c r="J1772" s="3">
        <v>12000</v>
      </c>
      <c r="K1772" s="3">
        <v>7700</v>
      </c>
      <c r="L1772" t="s">
        <v>73</v>
      </c>
      <c r="M1772" t="s">
        <v>37</v>
      </c>
      <c r="N1772" t="s">
        <v>23</v>
      </c>
      <c r="O1772" t="s">
        <v>24</v>
      </c>
    </row>
    <row r="1773" spans="1:15" x14ac:dyDescent="0.35">
      <c r="A1773" t="s">
        <v>2816</v>
      </c>
      <c r="B1773" s="2">
        <v>46203</v>
      </c>
      <c r="C1773" t="s">
        <v>16</v>
      </c>
      <c r="D1773" t="s">
        <v>303</v>
      </c>
      <c r="E1773" t="s">
        <v>84</v>
      </c>
      <c r="F1773" t="s">
        <v>85</v>
      </c>
      <c r="G1773" t="s">
        <v>34</v>
      </c>
      <c r="H1773" t="s">
        <v>95</v>
      </c>
      <c r="I1773">
        <v>8</v>
      </c>
      <c r="J1773" s="3">
        <v>450000</v>
      </c>
      <c r="K1773" s="3">
        <v>381100</v>
      </c>
      <c r="L1773" t="s">
        <v>21</v>
      </c>
      <c r="M1773" t="s">
        <v>37</v>
      </c>
      <c r="N1773" t="s">
        <v>87</v>
      </c>
      <c r="O1773" t="s">
        <v>24</v>
      </c>
    </row>
    <row r="1774" spans="1:15" x14ac:dyDescent="0.35">
      <c r="A1774" t="s">
        <v>2817</v>
      </c>
      <c r="B1774" s="2">
        <v>46226</v>
      </c>
      <c r="C1774" t="s">
        <v>478</v>
      </c>
      <c r="D1774" t="s">
        <v>747</v>
      </c>
      <c r="E1774" t="s">
        <v>18</v>
      </c>
      <c r="F1774" t="s">
        <v>18</v>
      </c>
      <c r="G1774" t="s">
        <v>34</v>
      </c>
      <c r="H1774" t="s">
        <v>158</v>
      </c>
      <c r="I1774">
        <v>6</v>
      </c>
      <c r="J1774" s="3">
        <v>90200</v>
      </c>
      <c r="K1774" s="3">
        <v>67900</v>
      </c>
      <c r="L1774" t="s">
        <v>36</v>
      </c>
      <c r="M1774" t="s">
        <v>37</v>
      </c>
      <c r="N1774" t="s">
        <v>23</v>
      </c>
      <c r="O1774" t="s">
        <v>24</v>
      </c>
    </row>
    <row r="1775" spans="1:15" x14ac:dyDescent="0.35">
      <c r="A1775" t="s">
        <v>2818</v>
      </c>
      <c r="B1775" s="2">
        <v>46332</v>
      </c>
      <c r="C1775" t="s">
        <v>82</v>
      </c>
      <c r="D1775" t="s">
        <v>1059</v>
      </c>
      <c r="E1775" t="s">
        <v>18</v>
      </c>
      <c r="F1775" t="s">
        <v>18</v>
      </c>
      <c r="G1775" t="s">
        <v>34</v>
      </c>
      <c r="H1775" t="s">
        <v>95</v>
      </c>
      <c r="I1775">
        <v>8</v>
      </c>
      <c r="J1775" s="3">
        <v>450000</v>
      </c>
      <c r="K1775" s="3">
        <v>381100</v>
      </c>
      <c r="L1775" t="s">
        <v>80</v>
      </c>
      <c r="M1775" t="s">
        <v>22</v>
      </c>
      <c r="N1775" t="s">
        <v>52</v>
      </c>
      <c r="O1775" t="s">
        <v>24</v>
      </c>
    </row>
    <row r="1776" spans="1:15" x14ac:dyDescent="0.35">
      <c r="A1776" t="s">
        <v>2819</v>
      </c>
      <c r="B1776" s="2">
        <v>46374</v>
      </c>
      <c r="C1776" t="s">
        <v>916</v>
      </c>
      <c r="D1776" t="s">
        <v>2046</v>
      </c>
      <c r="E1776" t="s">
        <v>18</v>
      </c>
      <c r="F1776" t="s">
        <v>18</v>
      </c>
      <c r="G1776" t="s">
        <v>43</v>
      </c>
      <c r="H1776" t="s">
        <v>44</v>
      </c>
      <c r="I1776">
        <v>3</v>
      </c>
      <c r="J1776" s="3">
        <v>15000</v>
      </c>
      <c r="K1776" s="3">
        <v>9200</v>
      </c>
      <c r="L1776" t="s">
        <v>80</v>
      </c>
      <c r="M1776" t="s">
        <v>37</v>
      </c>
      <c r="N1776" t="s">
        <v>52</v>
      </c>
      <c r="O1776" t="s">
        <v>91</v>
      </c>
    </row>
    <row r="1777" spans="1:15" x14ac:dyDescent="0.35">
      <c r="A1777" t="s">
        <v>2820</v>
      </c>
      <c r="B1777" s="2">
        <v>46134</v>
      </c>
      <c r="C1777" t="s">
        <v>2622</v>
      </c>
      <c r="D1777" t="s">
        <v>2721</v>
      </c>
      <c r="E1777" t="s">
        <v>18</v>
      </c>
      <c r="F1777" t="s">
        <v>18</v>
      </c>
      <c r="G1777" t="s">
        <v>28</v>
      </c>
      <c r="H1777" t="s">
        <v>29</v>
      </c>
      <c r="I1777">
        <v>7</v>
      </c>
      <c r="J1777" s="3">
        <v>6600</v>
      </c>
      <c r="K1777" s="3">
        <v>4000</v>
      </c>
      <c r="L1777" t="s">
        <v>73</v>
      </c>
      <c r="M1777" t="s">
        <v>31</v>
      </c>
      <c r="N1777" t="s">
        <v>23</v>
      </c>
      <c r="O1777" t="s">
        <v>24</v>
      </c>
    </row>
    <row r="1778" spans="1:15" x14ac:dyDescent="0.35">
      <c r="A1778" t="s">
        <v>2821</v>
      </c>
      <c r="B1778" s="2">
        <v>46168</v>
      </c>
      <c r="C1778" t="s">
        <v>126</v>
      </c>
      <c r="D1778" t="s">
        <v>406</v>
      </c>
      <c r="E1778" t="s">
        <v>56</v>
      </c>
      <c r="F1778" t="s">
        <v>57</v>
      </c>
      <c r="G1778" t="s">
        <v>28</v>
      </c>
      <c r="H1778" t="s">
        <v>248</v>
      </c>
      <c r="I1778">
        <v>3</v>
      </c>
      <c r="J1778" s="3">
        <v>25000</v>
      </c>
      <c r="K1778" s="3">
        <v>16000</v>
      </c>
      <c r="L1778" t="s">
        <v>21</v>
      </c>
      <c r="M1778" t="s">
        <v>51</v>
      </c>
      <c r="N1778" t="s">
        <v>52</v>
      </c>
      <c r="O1778" t="s">
        <v>45</v>
      </c>
    </row>
    <row r="1779" spans="1:15" x14ac:dyDescent="0.35">
      <c r="A1779" t="s">
        <v>2822</v>
      </c>
      <c r="B1779" s="2">
        <v>46095</v>
      </c>
      <c r="C1779" t="s">
        <v>702</v>
      </c>
      <c r="D1779" t="s">
        <v>549</v>
      </c>
      <c r="E1779" t="s">
        <v>18</v>
      </c>
      <c r="F1779" t="s">
        <v>18</v>
      </c>
      <c r="G1779" t="s">
        <v>43</v>
      </c>
      <c r="H1779" t="s">
        <v>177</v>
      </c>
      <c r="I1779">
        <v>6</v>
      </c>
      <c r="J1779" s="3">
        <v>18900</v>
      </c>
      <c r="K1779" s="3">
        <v>12100</v>
      </c>
      <c r="L1779" t="s">
        <v>21</v>
      </c>
      <c r="M1779" t="s">
        <v>51</v>
      </c>
      <c r="N1779" t="s">
        <v>87</v>
      </c>
      <c r="O1779" t="s">
        <v>24</v>
      </c>
    </row>
    <row r="1780" spans="1:15" x14ac:dyDescent="0.35">
      <c r="A1780" t="s">
        <v>2823</v>
      </c>
      <c r="B1780" s="2">
        <v>46284</v>
      </c>
      <c r="C1780" t="s">
        <v>1539</v>
      </c>
      <c r="D1780" t="s">
        <v>639</v>
      </c>
      <c r="E1780" t="s">
        <v>56</v>
      </c>
      <c r="F1780" t="s">
        <v>57</v>
      </c>
      <c r="G1780" t="s">
        <v>28</v>
      </c>
      <c r="H1780" t="s">
        <v>65</v>
      </c>
      <c r="I1780">
        <v>10</v>
      </c>
      <c r="J1780" s="3">
        <v>12000</v>
      </c>
      <c r="K1780" s="3">
        <v>7500</v>
      </c>
      <c r="L1780" t="s">
        <v>21</v>
      </c>
      <c r="M1780" t="s">
        <v>31</v>
      </c>
      <c r="N1780" t="s">
        <v>23</v>
      </c>
      <c r="O1780" t="s">
        <v>24</v>
      </c>
    </row>
    <row r="1781" spans="1:15" x14ac:dyDescent="0.35">
      <c r="A1781" t="s">
        <v>2824</v>
      </c>
      <c r="B1781" s="2">
        <v>46180</v>
      </c>
      <c r="C1781" t="s">
        <v>1045</v>
      </c>
      <c r="D1781" t="s">
        <v>601</v>
      </c>
      <c r="E1781" t="s">
        <v>18</v>
      </c>
      <c r="F1781" t="s">
        <v>18</v>
      </c>
      <c r="G1781" t="s">
        <v>34</v>
      </c>
      <c r="H1781" t="s">
        <v>86</v>
      </c>
      <c r="I1781">
        <v>2</v>
      </c>
      <c r="J1781" s="3">
        <v>189000</v>
      </c>
      <c r="K1781" s="3">
        <v>131000</v>
      </c>
      <c r="L1781" t="s">
        <v>96</v>
      </c>
      <c r="M1781" t="s">
        <v>31</v>
      </c>
      <c r="N1781" t="s">
        <v>52</v>
      </c>
      <c r="O1781" t="s">
        <v>24</v>
      </c>
    </row>
    <row r="1782" spans="1:15" x14ac:dyDescent="0.35">
      <c r="A1782" t="s">
        <v>2825</v>
      </c>
      <c r="B1782" s="2">
        <v>46063</v>
      </c>
      <c r="C1782" t="s">
        <v>2503</v>
      </c>
      <c r="D1782" t="s">
        <v>1126</v>
      </c>
      <c r="E1782" t="s">
        <v>77</v>
      </c>
      <c r="F1782" t="s">
        <v>78</v>
      </c>
      <c r="G1782" t="s">
        <v>43</v>
      </c>
      <c r="H1782" t="s">
        <v>79</v>
      </c>
      <c r="I1782">
        <v>10</v>
      </c>
      <c r="J1782" s="3">
        <v>6300</v>
      </c>
      <c r="K1782" s="3">
        <v>4100</v>
      </c>
      <c r="L1782" t="s">
        <v>21</v>
      </c>
      <c r="M1782" t="s">
        <v>51</v>
      </c>
      <c r="N1782" t="s">
        <v>87</v>
      </c>
      <c r="O1782" t="s">
        <v>24</v>
      </c>
    </row>
    <row r="1783" spans="1:15" x14ac:dyDescent="0.35">
      <c r="A1783" t="s">
        <v>2826</v>
      </c>
      <c r="B1783" s="2">
        <v>46166</v>
      </c>
      <c r="C1783" t="s">
        <v>1020</v>
      </c>
      <c r="D1783" t="s">
        <v>594</v>
      </c>
      <c r="E1783" t="s">
        <v>77</v>
      </c>
      <c r="F1783" t="s">
        <v>78</v>
      </c>
      <c r="G1783" t="s">
        <v>34</v>
      </c>
      <c r="H1783" t="s">
        <v>35</v>
      </c>
      <c r="I1783">
        <v>6</v>
      </c>
      <c r="J1783" s="3">
        <v>57800</v>
      </c>
      <c r="K1783" s="3">
        <v>39000</v>
      </c>
      <c r="L1783" t="s">
        <v>30</v>
      </c>
      <c r="M1783" t="s">
        <v>37</v>
      </c>
      <c r="N1783" t="s">
        <v>23</v>
      </c>
      <c r="O1783" t="s">
        <v>45</v>
      </c>
    </row>
    <row r="1784" spans="1:15" x14ac:dyDescent="0.35">
      <c r="A1784" t="s">
        <v>2827</v>
      </c>
      <c r="B1784" s="2">
        <v>46060</v>
      </c>
      <c r="C1784" t="s">
        <v>591</v>
      </c>
      <c r="D1784" t="s">
        <v>303</v>
      </c>
      <c r="E1784" t="s">
        <v>18</v>
      </c>
      <c r="F1784" t="s">
        <v>18</v>
      </c>
      <c r="G1784" t="s">
        <v>43</v>
      </c>
      <c r="H1784" t="s">
        <v>49</v>
      </c>
      <c r="I1784">
        <v>10</v>
      </c>
      <c r="J1784" s="3">
        <v>8600</v>
      </c>
      <c r="K1784" s="3">
        <v>5600</v>
      </c>
      <c r="L1784" t="s">
        <v>30</v>
      </c>
      <c r="M1784" t="s">
        <v>37</v>
      </c>
      <c r="N1784" t="s">
        <v>23</v>
      </c>
      <c r="O1784" t="s">
        <v>24</v>
      </c>
    </row>
    <row r="1785" spans="1:15" x14ac:dyDescent="0.35">
      <c r="A1785" t="s">
        <v>2828</v>
      </c>
      <c r="B1785" s="2">
        <v>46203</v>
      </c>
      <c r="C1785" t="s">
        <v>1747</v>
      </c>
      <c r="D1785" t="s">
        <v>1581</v>
      </c>
      <c r="E1785" t="s">
        <v>41</v>
      </c>
      <c r="F1785" t="s">
        <v>42</v>
      </c>
      <c r="G1785" t="s">
        <v>34</v>
      </c>
      <c r="H1785" t="s">
        <v>141</v>
      </c>
      <c r="I1785">
        <v>9</v>
      </c>
      <c r="J1785" s="3">
        <v>160000</v>
      </c>
      <c r="K1785" s="3">
        <v>116400</v>
      </c>
      <c r="L1785" t="s">
        <v>50</v>
      </c>
      <c r="M1785" t="s">
        <v>37</v>
      </c>
      <c r="N1785" t="s">
        <v>87</v>
      </c>
      <c r="O1785" t="s">
        <v>45</v>
      </c>
    </row>
    <row r="1786" spans="1:15" x14ac:dyDescent="0.35">
      <c r="A1786" t="s">
        <v>2829</v>
      </c>
      <c r="B1786" s="2">
        <v>46327</v>
      </c>
      <c r="C1786" t="s">
        <v>413</v>
      </c>
      <c r="D1786" t="s">
        <v>1335</v>
      </c>
      <c r="E1786" t="s">
        <v>84</v>
      </c>
      <c r="F1786" t="s">
        <v>85</v>
      </c>
      <c r="G1786" t="s">
        <v>34</v>
      </c>
      <c r="H1786" t="s">
        <v>158</v>
      </c>
      <c r="I1786">
        <v>4</v>
      </c>
      <c r="J1786" s="3">
        <v>90200</v>
      </c>
      <c r="K1786" s="3">
        <v>72100</v>
      </c>
      <c r="L1786" t="s">
        <v>66</v>
      </c>
      <c r="M1786" t="s">
        <v>37</v>
      </c>
      <c r="N1786" t="s">
        <v>52</v>
      </c>
      <c r="O1786" t="s">
        <v>24</v>
      </c>
    </row>
    <row r="1787" spans="1:15" x14ac:dyDescent="0.35">
      <c r="A1787" t="s">
        <v>2830</v>
      </c>
      <c r="B1787" s="2">
        <v>46191</v>
      </c>
      <c r="C1787" t="s">
        <v>172</v>
      </c>
      <c r="D1787" t="s">
        <v>278</v>
      </c>
      <c r="E1787" t="s">
        <v>77</v>
      </c>
      <c r="F1787" t="s">
        <v>78</v>
      </c>
      <c r="G1787" t="s">
        <v>19</v>
      </c>
      <c r="H1787" t="s">
        <v>112</v>
      </c>
      <c r="I1787">
        <v>5</v>
      </c>
      <c r="J1787" s="3">
        <v>80800</v>
      </c>
      <c r="K1787" s="3">
        <v>60100</v>
      </c>
      <c r="L1787" t="s">
        <v>36</v>
      </c>
      <c r="M1787" t="s">
        <v>31</v>
      </c>
      <c r="N1787" t="s">
        <v>23</v>
      </c>
      <c r="O1787" t="s">
        <v>24</v>
      </c>
    </row>
    <row r="1788" spans="1:15" x14ac:dyDescent="0.35">
      <c r="A1788" t="s">
        <v>2831</v>
      </c>
      <c r="B1788" s="2">
        <v>46311</v>
      </c>
      <c r="C1788" t="s">
        <v>699</v>
      </c>
      <c r="D1788" t="s">
        <v>215</v>
      </c>
      <c r="E1788" t="s">
        <v>190</v>
      </c>
      <c r="F1788" t="s">
        <v>191</v>
      </c>
      <c r="G1788" t="s">
        <v>34</v>
      </c>
      <c r="H1788" t="s">
        <v>35</v>
      </c>
      <c r="I1788">
        <v>7</v>
      </c>
      <c r="J1788" s="3">
        <v>52200</v>
      </c>
      <c r="K1788" s="3">
        <v>40200</v>
      </c>
      <c r="L1788" t="s">
        <v>21</v>
      </c>
      <c r="M1788" t="s">
        <v>37</v>
      </c>
      <c r="N1788" t="s">
        <v>23</v>
      </c>
      <c r="O1788" t="s">
        <v>24</v>
      </c>
    </row>
    <row r="1789" spans="1:15" x14ac:dyDescent="0.35">
      <c r="A1789" t="s">
        <v>2832</v>
      </c>
      <c r="B1789" s="2">
        <v>46353</v>
      </c>
      <c r="C1789" t="s">
        <v>903</v>
      </c>
      <c r="D1789" t="s">
        <v>208</v>
      </c>
      <c r="E1789" t="s">
        <v>156</v>
      </c>
      <c r="F1789" t="s">
        <v>170</v>
      </c>
      <c r="G1789" t="s">
        <v>34</v>
      </c>
      <c r="H1789" t="s">
        <v>95</v>
      </c>
      <c r="I1789">
        <v>6</v>
      </c>
      <c r="J1789" s="3">
        <v>450000</v>
      </c>
      <c r="K1789" s="3">
        <v>381100</v>
      </c>
      <c r="L1789" t="s">
        <v>50</v>
      </c>
      <c r="M1789" t="s">
        <v>22</v>
      </c>
      <c r="N1789" t="s">
        <v>87</v>
      </c>
      <c r="O1789" t="s">
        <v>24</v>
      </c>
    </row>
    <row r="1790" spans="1:15" x14ac:dyDescent="0.35">
      <c r="A1790" t="s">
        <v>2833</v>
      </c>
      <c r="B1790" s="2">
        <v>46367</v>
      </c>
      <c r="C1790" t="s">
        <v>2034</v>
      </c>
      <c r="D1790" t="s">
        <v>922</v>
      </c>
      <c r="E1790" t="s">
        <v>18</v>
      </c>
      <c r="F1790" t="s">
        <v>18</v>
      </c>
      <c r="G1790" t="s">
        <v>34</v>
      </c>
      <c r="H1790" t="s">
        <v>86</v>
      </c>
      <c r="I1790">
        <v>1</v>
      </c>
      <c r="J1790" s="3">
        <v>189000</v>
      </c>
      <c r="K1790" s="3">
        <v>139000</v>
      </c>
      <c r="L1790" t="s">
        <v>66</v>
      </c>
      <c r="M1790" t="s">
        <v>37</v>
      </c>
      <c r="N1790" t="s">
        <v>23</v>
      </c>
      <c r="O1790" t="s">
        <v>24</v>
      </c>
    </row>
    <row r="1791" spans="1:15" x14ac:dyDescent="0.35">
      <c r="A1791" t="s">
        <v>2834</v>
      </c>
      <c r="B1791" s="2">
        <v>46044</v>
      </c>
      <c r="C1791" t="s">
        <v>997</v>
      </c>
      <c r="D1791" t="s">
        <v>718</v>
      </c>
      <c r="E1791" t="s">
        <v>77</v>
      </c>
      <c r="F1791" t="s">
        <v>78</v>
      </c>
      <c r="G1791" t="s">
        <v>34</v>
      </c>
      <c r="H1791" t="s">
        <v>95</v>
      </c>
      <c r="I1791">
        <v>10</v>
      </c>
      <c r="J1791" s="3">
        <v>450000</v>
      </c>
      <c r="K1791" s="3">
        <v>370000</v>
      </c>
      <c r="L1791" t="s">
        <v>21</v>
      </c>
      <c r="M1791" t="s">
        <v>22</v>
      </c>
      <c r="N1791" t="s">
        <v>23</v>
      </c>
      <c r="O1791" t="s">
        <v>24</v>
      </c>
    </row>
    <row r="1792" spans="1:15" x14ac:dyDescent="0.35">
      <c r="A1792" t="s">
        <v>2835</v>
      </c>
      <c r="B1792" s="2">
        <v>46069</v>
      </c>
      <c r="C1792" t="s">
        <v>2270</v>
      </c>
      <c r="D1792" t="s">
        <v>986</v>
      </c>
      <c r="E1792" t="s">
        <v>84</v>
      </c>
      <c r="F1792" t="s">
        <v>85</v>
      </c>
      <c r="G1792" t="s">
        <v>19</v>
      </c>
      <c r="H1792" t="s">
        <v>20</v>
      </c>
      <c r="I1792">
        <v>9</v>
      </c>
      <c r="J1792" s="3">
        <v>65000</v>
      </c>
      <c r="K1792" s="3">
        <v>46400</v>
      </c>
      <c r="L1792" t="s">
        <v>36</v>
      </c>
      <c r="M1792" t="s">
        <v>37</v>
      </c>
      <c r="N1792" t="s">
        <v>23</v>
      </c>
      <c r="O1792" t="s">
        <v>24</v>
      </c>
    </row>
    <row r="1793" spans="1:15" x14ac:dyDescent="0.35">
      <c r="A1793" t="s">
        <v>2836</v>
      </c>
      <c r="B1793" s="2">
        <v>46311</v>
      </c>
      <c r="C1793" t="s">
        <v>955</v>
      </c>
      <c r="D1793" t="s">
        <v>176</v>
      </c>
      <c r="E1793" t="s">
        <v>18</v>
      </c>
      <c r="F1793" t="s">
        <v>18</v>
      </c>
      <c r="G1793" t="s">
        <v>43</v>
      </c>
      <c r="H1793" t="s">
        <v>79</v>
      </c>
      <c r="I1793">
        <v>4</v>
      </c>
      <c r="J1793" s="3">
        <v>6000</v>
      </c>
      <c r="K1793" s="3">
        <v>4100</v>
      </c>
      <c r="L1793" t="s">
        <v>50</v>
      </c>
      <c r="M1793" t="s">
        <v>51</v>
      </c>
      <c r="N1793" t="s">
        <v>52</v>
      </c>
      <c r="O1793" t="s">
        <v>24</v>
      </c>
    </row>
    <row r="1794" spans="1:15" x14ac:dyDescent="0.35">
      <c r="A1794" t="s">
        <v>2837</v>
      </c>
      <c r="B1794" s="2">
        <v>46329</v>
      </c>
      <c r="C1794" t="s">
        <v>234</v>
      </c>
      <c r="D1794" t="s">
        <v>48</v>
      </c>
      <c r="E1794" t="s">
        <v>56</v>
      </c>
      <c r="F1794" t="s">
        <v>57</v>
      </c>
      <c r="G1794" t="s">
        <v>28</v>
      </c>
      <c r="H1794" t="s">
        <v>65</v>
      </c>
      <c r="I1794">
        <v>1</v>
      </c>
      <c r="J1794" s="3">
        <v>12600</v>
      </c>
      <c r="K1794" s="3">
        <v>7700</v>
      </c>
      <c r="L1794" t="s">
        <v>36</v>
      </c>
      <c r="M1794" t="s">
        <v>31</v>
      </c>
      <c r="N1794" t="s">
        <v>52</v>
      </c>
      <c r="O1794" t="s">
        <v>24</v>
      </c>
    </row>
    <row r="1795" spans="1:15" x14ac:dyDescent="0.35">
      <c r="A1795" t="s">
        <v>2838</v>
      </c>
      <c r="B1795" s="2">
        <v>46172</v>
      </c>
      <c r="C1795" t="s">
        <v>1793</v>
      </c>
      <c r="D1795" t="s">
        <v>90</v>
      </c>
      <c r="E1795" t="s">
        <v>190</v>
      </c>
      <c r="F1795" t="s">
        <v>191</v>
      </c>
      <c r="G1795" t="s">
        <v>34</v>
      </c>
      <c r="H1795" t="s">
        <v>158</v>
      </c>
      <c r="I1795">
        <v>5</v>
      </c>
      <c r="J1795" s="3">
        <v>90200</v>
      </c>
      <c r="K1795" s="3">
        <v>70000</v>
      </c>
      <c r="L1795" t="s">
        <v>96</v>
      </c>
      <c r="M1795" t="s">
        <v>51</v>
      </c>
      <c r="N1795" t="s">
        <v>87</v>
      </c>
      <c r="O1795" t="s">
        <v>24</v>
      </c>
    </row>
    <row r="1796" spans="1:15" x14ac:dyDescent="0.35">
      <c r="A1796" t="s">
        <v>2839</v>
      </c>
      <c r="B1796" s="2">
        <v>46070</v>
      </c>
      <c r="C1796" t="s">
        <v>489</v>
      </c>
      <c r="D1796" t="s">
        <v>473</v>
      </c>
      <c r="E1796" t="s">
        <v>18</v>
      </c>
      <c r="F1796" t="s">
        <v>18</v>
      </c>
      <c r="G1796" t="s">
        <v>19</v>
      </c>
      <c r="H1796" t="s">
        <v>112</v>
      </c>
      <c r="I1796">
        <v>3</v>
      </c>
      <c r="J1796" s="3">
        <v>85000</v>
      </c>
      <c r="K1796" s="3">
        <v>60100</v>
      </c>
      <c r="L1796" t="s">
        <v>66</v>
      </c>
      <c r="M1796" t="s">
        <v>51</v>
      </c>
      <c r="N1796" t="s">
        <v>23</v>
      </c>
      <c r="O1796" t="s">
        <v>24</v>
      </c>
    </row>
    <row r="1797" spans="1:15" x14ac:dyDescent="0.35">
      <c r="A1797" t="s">
        <v>2840</v>
      </c>
      <c r="B1797" s="2">
        <v>46139</v>
      </c>
      <c r="C1797" t="s">
        <v>210</v>
      </c>
      <c r="D1797" t="s">
        <v>992</v>
      </c>
      <c r="E1797" t="s">
        <v>70</v>
      </c>
      <c r="F1797" t="s">
        <v>71</v>
      </c>
      <c r="G1797" t="s">
        <v>28</v>
      </c>
      <c r="H1797" t="s">
        <v>248</v>
      </c>
      <c r="I1797">
        <v>4</v>
      </c>
      <c r="J1797" s="3">
        <v>25000</v>
      </c>
      <c r="K1797" s="3">
        <v>16500</v>
      </c>
      <c r="L1797" t="s">
        <v>66</v>
      </c>
      <c r="M1797" t="s">
        <v>31</v>
      </c>
      <c r="N1797" t="s">
        <v>52</v>
      </c>
      <c r="O1797" t="s">
        <v>91</v>
      </c>
    </row>
    <row r="1798" spans="1:15" x14ac:dyDescent="0.35">
      <c r="A1798" t="s">
        <v>2841</v>
      </c>
      <c r="B1798" s="2">
        <v>46038</v>
      </c>
      <c r="C1798" t="s">
        <v>1865</v>
      </c>
      <c r="D1798" t="s">
        <v>1559</v>
      </c>
      <c r="E1798" t="s">
        <v>84</v>
      </c>
      <c r="F1798" t="s">
        <v>85</v>
      </c>
      <c r="G1798" t="s">
        <v>34</v>
      </c>
      <c r="H1798" t="s">
        <v>86</v>
      </c>
      <c r="I1798">
        <v>1</v>
      </c>
      <c r="J1798" s="3">
        <v>189000</v>
      </c>
      <c r="K1798" s="3">
        <v>131000</v>
      </c>
      <c r="L1798" t="s">
        <v>21</v>
      </c>
      <c r="M1798" t="s">
        <v>51</v>
      </c>
      <c r="N1798" t="s">
        <v>23</v>
      </c>
      <c r="O1798" t="s">
        <v>45</v>
      </c>
    </row>
    <row r="1799" spans="1:15" x14ac:dyDescent="0.35">
      <c r="A1799" t="s">
        <v>2842</v>
      </c>
      <c r="B1799" s="2">
        <v>46248</v>
      </c>
      <c r="C1799" t="s">
        <v>783</v>
      </c>
      <c r="D1799" t="s">
        <v>425</v>
      </c>
      <c r="E1799" t="s">
        <v>70</v>
      </c>
      <c r="F1799" t="s">
        <v>71</v>
      </c>
      <c r="G1799" t="s">
        <v>34</v>
      </c>
      <c r="H1799" t="s">
        <v>86</v>
      </c>
      <c r="I1799">
        <v>7</v>
      </c>
      <c r="J1799" s="3">
        <v>171000</v>
      </c>
      <c r="K1799" s="3">
        <v>139000</v>
      </c>
      <c r="L1799" t="s">
        <v>21</v>
      </c>
      <c r="M1799" t="s">
        <v>51</v>
      </c>
      <c r="N1799" t="s">
        <v>23</v>
      </c>
      <c r="O1799" t="s">
        <v>24</v>
      </c>
    </row>
    <row r="1800" spans="1:15" x14ac:dyDescent="0.35">
      <c r="A1800" t="s">
        <v>2843</v>
      </c>
      <c r="B1800" s="2">
        <v>46036</v>
      </c>
      <c r="C1800" t="s">
        <v>68</v>
      </c>
      <c r="D1800" t="s">
        <v>27</v>
      </c>
      <c r="E1800" t="s">
        <v>84</v>
      </c>
      <c r="F1800" t="s">
        <v>85</v>
      </c>
      <c r="G1800" t="s">
        <v>19</v>
      </c>
      <c r="H1800" t="s">
        <v>20</v>
      </c>
      <c r="I1800">
        <v>9</v>
      </c>
      <c r="J1800" s="3">
        <v>65000</v>
      </c>
      <c r="K1800" s="3">
        <v>46400</v>
      </c>
      <c r="L1800" t="s">
        <v>50</v>
      </c>
      <c r="M1800" t="s">
        <v>37</v>
      </c>
      <c r="N1800" t="s">
        <v>23</v>
      </c>
      <c r="O1800" t="s">
        <v>24</v>
      </c>
    </row>
    <row r="1801" spans="1:15" x14ac:dyDescent="0.35">
      <c r="A1801" t="s">
        <v>2844</v>
      </c>
      <c r="B1801" s="2">
        <v>46272</v>
      </c>
      <c r="C1801" t="s">
        <v>645</v>
      </c>
      <c r="D1801" t="s">
        <v>2845</v>
      </c>
      <c r="E1801" t="s">
        <v>18</v>
      </c>
      <c r="F1801" t="s">
        <v>18</v>
      </c>
      <c r="G1801" t="s">
        <v>34</v>
      </c>
      <c r="H1801" t="s">
        <v>86</v>
      </c>
      <c r="I1801">
        <v>10</v>
      </c>
      <c r="J1801" s="3">
        <v>189000</v>
      </c>
      <c r="K1801" s="3">
        <v>135000</v>
      </c>
      <c r="L1801" t="s">
        <v>30</v>
      </c>
      <c r="M1801" t="s">
        <v>22</v>
      </c>
      <c r="N1801" t="s">
        <v>23</v>
      </c>
      <c r="O1801" t="s">
        <v>45</v>
      </c>
    </row>
    <row r="1802" spans="1:15" x14ac:dyDescent="0.35">
      <c r="A1802" t="s">
        <v>2846</v>
      </c>
      <c r="B1802" s="2">
        <v>46387</v>
      </c>
      <c r="C1802" t="s">
        <v>2512</v>
      </c>
      <c r="D1802" t="s">
        <v>601</v>
      </c>
      <c r="E1802" t="s">
        <v>18</v>
      </c>
      <c r="F1802" t="s">
        <v>18</v>
      </c>
      <c r="G1802" t="s">
        <v>34</v>
      </c>
      <c r="H1802" t="s">
        <v>86</v>
      </c>
      <c r="I1802">
        <v>10</v>
      </c>
      <c r="J1802" s="3">
        <v>180000</v>
      </c>
      <c r="K1802" s="3">
        <v>139000</v>
      </c>
      <c r="L1802" t="s">
        <v>30</v>
      </c>
      <c r="M1802" t="s">
        <v>51</v>
      </c>
      <c r="N1802" t="s">
        <v>23</v>
      </c>
      <c r="O1802" t="s">
        <v>24</v>
      </c>
    </row>
    <row r="1803" spans="1:15" x14ac:dyDescent="0.35">
      <c r="A1803" t="s">
        <v>2847</v>
      </c>
      <c r="B1803" s="2">
        <v>46125</v>
      </c>
      <c r="C1803" t="s">
        <v>302</v>
      </c>
      <c r="D1803" t="s">
        <v>643</v>
      </c>
      <c r="E1803" t="s">
        <v>18</v>
      </c>
      <c r="F1803" t="s">
        <v>18</v>
      </c>
      <c r="G1803" t="s">
        <v>34</v>
      </c>
      <c r="H1803" t="s">
        <v>95</v>
      </c>
      <c r="I1803">
        <v>5</v>
      </c>
      <c r="J1803" s="3">
        <v>427500</v>
      </c>
      <c r="K1803" s="3">
        <v>370000</v>
      </c>
      <c r="L1803" t="s">
        <v>36</v>
      </c>
      <c r="M1803" t="s">
        <v>51</v>
      </c>
      <c r="N1803" t="s">
        <v>23</v>
      </c>
      <c r="O1803" t="s">
        <v>24</v>
      </c>
    </row>
    <row r="1804" spans="1:15" x14ac:dyDescent="0.35">
      <c r="A1804" t="s">
        <v>2848</v>
      </c>
      <c r="B1804" s="2">
        <v>46082</v>
      </c>
      <c r="C1804" t="s">
        <v>427</v>
      </c>
      <c r="D1804" t="s">
        <v>1377</v>
      </c>
      <c r="E1804" t="s">
        <v>18</v>
      </c>
      <c r="F1804" t="s">
        <v>18</v>
      </c>
      <c r="G1804" t="s">
        <v>28</v>
      </c>
      <c r="H1804" t="s">
        <v>131</v>
      </c>
      <c r="I1804">
        <v>3</v>
      </c>
      <c r="J1804" s="3">
        <v>30000</v>
      </c>
      <c r="K1804" s="3">
        <v>19600</v>
      </c>
      <c r="L1804" t="s">
        <v>96</v>
      </c>
      <c r="M1804" t="s">
        <v>37</v>
      </c>
      <c r="N1804" t="s">
        <v>52</v>
      </c>
      <c r="O1804" t="s">
        <v>45</v>
      </c>
    </row>
    <row r="1805" spans="1:15" x14ac:dyDescent="0.35">
      <c r="A1805" t="s">
        <v>2849</v>
      </c>
      <c r="B1805" s="2">
        <v>46255</v>
      </c>
      <c r="C1805" t="s">
        <v>148</v>
      </c>
      <c r="D1805" t="s">
        <v>1439</v>
      </c>
      <c r="E1805" t="s">
        <v>18</v>
      </c>
      <c r="F1805" t="s">
        <v>18</v>
      </c>
      <c r="G1805" t="s">
        <v>19</v>
      </c>
      <c r="H1805" t="s">
        <v>61</v>
      </c>
      <c r="I1805">
        <v>10</v>
      </c>
      <c r="J1805" s="3">
        <v>231000</v>
      </c>
      <c r="K1805" s="3">
        <v>164800</v>
      </c>
      <c r="L1805" t="s">
        <v>30</v>
      </c>
      <c r="M1805" t="s">
        <v>51</v>
      </c>
      <c r="N1805" t="s">
        <v>87</v>
      </c>
      <c r="O1805" t="s">
        <v>24</v>
      </c>
    </row>
    <row r="1806" spans="1:15" x14ac:dyDescent="0.35">
      <c r="A1806" t="s">
        <v>2850</v>
      </c>
      <c r="B1806" s="2">
        <v>46368</v>
      </c>
      <c r="C1806" t="s">
        <v>2851</v>
      </c>
      <c r="D1806" t="s">
        <v>806</v>
      </c>
      <c r="E1806" t="s">
        <v>18</v>
      </c>
      <c r="F1806" t="s">
        <v>18</v>
      </c>
      <c r="G1806" t="s">
        <v>28</v>
      </c>
      <c r="H1806" t="s">
        <v>65</v>
      </c>
      <c r="I1806">
        <v>5</v>
      </c>
      <c r="J1806" s="3">
        <v>12000</v>
      </c>
      <c r="K1806" s="3">
        <v>7300</v>
      </c>
      <c r="L1806" t="s">
        <v>73</v>
      </c>
      <c r="M1806" t="s">
        <v>31</v>
      </c>
      <c r="N1806" t="s">
        <v>23</v>
      </c>
      <c r="O1806" t="s">
        <v>24</v>
      </c>
    </row>
    <row r="1807" spans="1:15" x14ac:dyDescent="0.35">
      <c r="A1807" t="s">
        <v>2852</v>
      </c>
      <c r="B1807" s="2">
        <v>46179</v>
      </c>
      <c r="C1807" t="s">
        <v>1119</v>
      </c>
      <c r="D1807" t="s">
        <v>650</v>
      </c>
      <c r="E1807" t="s">
        <v>70</v>
      </c>
      <c r="F1807" t="s">
        <v>71</v>
      </c>
      <c r="G1807" t="s">
        <v>43</v>
      </c>
      <c r="H1807" t="s">
        <v>79</v>
      </c>
      <c r="I1807">
        <v>2</v>
      </c>
      <c r="J1807" s="3">
        <v>6300</v>
      </c>
      <c r="K1807" s="3">
        <v>4300</v>
      </c>
      <c r="L1807" t="s">
        <v>30</v>
      </c>
      <c r="M1807" t="s">
        <v>37</v>
      </c>
      <c r="N1807" t="s">
        <v>52</v>
      </c>
      <c r="O1807" t="s">
        <v>24</v>
      </c>
    </row>
    <row r="1808" spans="1:15" x14ac:dyDescent="0.35">
      <c r="A1808" t="s">
        <v>2853</v>
      </c>
      <c r="B1808" s="2">
        <v>46309</v>
      </c>
      <c r="C1808" t="s">
        <v>1255</v>
      </c>
      <c r="D1808" t="s">
        <v>731</v>
      </c>
      <c r="E1808" t="s">
        <v>70</v>
      </c>
      <c r="F1808" t="s">
        <v>71</v>
      </c>
      <c r="G1808" t="s">
        <v>43</v>
      </c>
      <c r="H1808" t="s">
        <v>44</v>
      </c>
      <c r="I1808">
        <v>3</v>
      </c>
      <c r="J1808" s="3">
        <v>15000</v>
      </c>
      <c r="K1808" s="3">
        <v>9200</v>
      </c>
      <c r="L1808" t="s">
        <v>73</v>
      </c>
      <c r="M1808" t="s">
        <v>31</v>
      </c>
      <c r="N1808" t="s">
        <v>23</v>
      </c>
      <c r="O1808" t="s">
        <v>24</v>
      </c>
    </row>
    <row r="1809" spans="1:15" x14ac:dyDescent="0.35">
      <c r="A1809" t="s">
        <v>2854</v>
      </c>
      <c r="B1809" s="2">
        <v>46258</v>
      </c>
      <c r="C1809" t="s">
        <v>664</v>
      </c>
      <c r="D1809" t="s">
        <v>1128</v>
      </c>
      <c r="E1809" t="s">
        <v>18</v>
      </c>
      <c r="F1809" t="s">
        <v>18</v>
      </c>
      <c r="G1809" t="s">
        <v>43</v>
      </c>
      <c r="H1809" t="s">
        <v>79</v>
      </c>
      <c r="I1809">
        <v>10</v>
      </c>
      <c r="J1809" s="3">
        <v>6300</v>
      </c>
      <c r="K1809" s="3">
        <v>4200</v>
      </c>
      <c r="L1809" t="s">
        <v>66</v>
      </c>
      <c r="M1809" t="s">
        <v>37</v>
      </c>
      <c r="N1809" t="s">
        <v>87</v>
      </c>
      <c r="O1809" t="s">
        <v>24</v>
      </c>
    </row>
    <row r="1810" spans="1:15" x14ac:dyDescent="0.35">
      <c r="A1810" t="s">
        <v>2855</v>
      </c>
      <c r="B1810" s="2">
        <v>46070</v>
      </c>
      <c r="C1810" t="s">
        <v>687</v>
      </c>
      <c r="D1810" t="s">
        <v>235</v>
      </c>
      <c r="E1810" t="s">
        <v>18</v>
      </c>
      <c r="F1810" t="s">
        <v>18</v>
      </c>
      <c r="G1810" t="s">
        <v>34</v>
      </c>
      <c r="H1810" t="s">
        <v>95</v>
      </c>
      <c r="I1810">
        <v>2</v>
      </c>
      <c r="J1810" s="3">
        <v>472500</v>
      </c>
      <c r="K1810" s="3">
        <v>358900</v>
      </c>
      <c r="L1810" t="s">
        <v>80</v>
      </c>
      <c r="M1810" t="s">
        <v>37</v>
      </c>
      <c r="N1810" t="s">
        <v>52</v>
      </c>
      <c r="O1810" t="s">
        <v>24</v>
      </c>
    </row>
    <row r="1811" spans="1:15" x14ac:dyDescent="0.35">
      <c r="A1811" t="s">
        <v>2856</v>
      </c>
      <c r="B1811" s="2">
        <v>46093</v>
      </c>
      <c r="C1811" t="s">
        <v>350</v>
      </c>
      <c r="D1811" t="s">
        <v>374</v>
      </c>
      <c r="E1811" t="s">
        <v>18</v>
      </c>
      <c r="F1811" t="s">
        <v>18</v>
      </c>
      <c r="G1811" t="s">
        <v>34</v>
      </c>
      <c r="H1811" t="s">
        <v>158</v>
      </c>
      <c r="I1811">
        <v>5</v>
      </c>
      <c r="J1811" s="3">
        <v>99800</v>
      </c>
      <c r="K1811" s="3">
        <v>67900</v>
      </c>
      <c r="L1811" t="s">
        <v>66</v>
      </c>
      <c r="M1811" t="s">
        <v>31</v>
      </c>
      <c r="N1811" t="s">
        <v>23</v>
      </c>
      <c r="O1811" t="s">
        <v>24</v>
      </c>
    </row>
    <row r="1812" spans="1:15" x14ac:dyDescent="0.35">
      <c r="A1812" t="s">
        <v>2857</v>
      </c>
      <c r="B1812" s="2">
        <v>46351</v>
      </c>
      <c r="C1812" t="s">
        <v>1386</v>
      </c>
      <c r="D1812" t="s">
        <v>1906</v>
      </c>
      <c r="E1812" t="s">
        <v>18</v>
      </c>
      <c r="F1812" t="s">
        <v>18</v>
      </c>
      <c r="G1812" t="s">
        <v>19</v>
      </c>
      <c r="H1812" t="s">
        <v>20</v>
      </c>
      <c r="I1812">
        <v>9</v>
      </c>
      <c r="J1812" s="3">
        <v>65000</v>
      </c>
      <c r="K1812" s="3">
        <v>45000</v>
      </c>
      <c r="L1812" t="s">
        <v>66</v>
      </c>
      <c r="M1812" t="s">
        <v>37</v>
      </c>
      <c r="N1812" t="s">
        <v>23</v>
      </c>
      <c r="O1812" t="s">
        <v>24</v>
      </c>
    </row>
    <row r="1813" spans="1:15" x14ac:dyDescent="0.35">
      <c r="A1813" t="s">
        <v>2858</v>
      </c>
      <c r="B1813" s="2">
        <v>46053</v>
      </c>
      <c r="C1813" t="s">
        <v>1253</v>
      </c>
      <c r="D1813" t="s">
        <v>137</v>
      </c>
      <c r="E1813" t="s">
        <v>18</v>
      </c>
      <c r="F1813" t="s">
        <v>18</v>
      </c>
      <c r="G1813" t="s">
        <v>34</v>
      </c>
      <c r="H1813" t="s">
        <v>95</v>
      </c>
      <c r="I1813">
        <v>9</v>
      </c>
      <c r="J1813" s="3">
        <v>427500</v>
      </c>
      <c r="K1813" s="3">
        <v>370000</v>
      </c>
      <c r="L1813" t="s">
        <v>66</v>
      </c>
      <c r="M1813" t="s">
        <v>22</v>
      </c>
      <c r="N1813" t="s">
        <v>23</v>
      </c>
      <c r="O1813" t="s">
        <v>24</v>
      </c>
    </row>
    <row r="1814" spans="1:15" x14ac:dyDescent="0.35">
      <c r="A1814" t="s">
        <v>2859</v>
      </c>
      <c r="B1814" s="2">
        <v>46214</v>
      </c>
      <c r="C1814" t="s">
        <v>2218</v>
      </c>
      <c r="D1814" t="s">
        <v>2223</v>
      </c>
      <c r="E1814" t="s">
        <v>77</v>
      </c>
      <c r="F1814" t="s">
        <v>78</v>
      </c>
      <c r="G1814" t="s">
        <v>34</v>
      </c>
      <c r="H1814" t="s">
        <v>86</v>
      </c>
      <c r="I1814">
        <v>10</v>
      </c>
      <c r="J1814" s="3">
        <v>189000</v>
      </c>
      <c r="K1814" s="3">
        <v>131000</v>
      </c>
      <c r="L1814" t="s">
        <v>66</v>
      </c>
      <c r="M1814" t="s">
        <v>37</v>
      </c>
      <c r="N1814" t="s">
        <v>52</v>
      </c>
      <c r="O1814" t="s">
        <v>24</v>
      </c>
    </row>
    <row r="1815" spans="1:15" x14ac:dyDescent="0.35">
      <c r="A1815" t="s">
        <v>2860</v>
      </c>
      <c r="B1815" s="2">
        <v>46146</v>
      </c>
      <c r="C1815" t="s">
        <v>484</v>
      </c>
      <c r="D1815" t="s">
        <v>1947</v>
      </c>
      <c r="E1815" t="s">
        <v>156</v>
      </c>
      <c r="F1815" t="s">
        <v>170</v>
      </c>
      <c r="G1815" t="s">
        <v>34</v>
      </c>
      <c r="H1815" t="s">
        <v>86</v>
      </c>
      <c r="I1815">
        <v>10</v>
      </c>
      <c r="J1815" s="3">
        <v>180000</v>
      </c>
      <c r="K1815" s="3">
        <v>139000</v>
      </c>
      <c r="L1815" t="s">
        <v>73</v>
      </c>
      <c r="M1815" t="s">
        <v>51</v>
      </c>
      <c r="N1815" t="s">
        <v>52</v>
      </c>
      <c r="O1815" t="s">
        <v>24</v>
      </c>
    </row>
    <row r="1816" spans="1:15" x14ac:dyDescent="0.35">
      <c r="A1816" t="s">
        <v>2861</v>
      </c>
      <c r="B1816" s="2">
        <v>46186</v>
      </c>
      <c r="C1816" t="s">
        <v>1506</v>
      </c>
      <c r="D1816" t="s">
        <v>1262</v>
      </c>
      <c r="E1816" t="s">
        <v>41</v>
      </c>
      <c r="F1816" t="s">
        <v>42</v>
      </c>
      <c r="G1816" t="s">
        <v>34</v>
      </c>
      <c r="H1816" t="s">
        <v>35</v>
      </c>
      <c r="I1816">
        <v>9</v>
      </c>
      <c r="J1816" s="3">
        <v>55000</v>
      </c>
      <c r="K1816" s="3">
        <v>37800</v>
      </c>
      <c r="L1816" t="s">
        <v>36</v>
      </c>
      <c r="M1816" t="s">
        <v>37</v>
      </c>
      <c r="N1816" t="s">
        <v>23</v>
      </c>
      <c r="O1816" t="s">
        <v>45</v>
      </c>
    </row>
    <row r="1817" spans="1:15" x14ac:dyDescent="0.35">
      <c r="A1817" t="s">
        <v>2862</v>
      </c>
      <c r="B1817" s="2">
        <v>46197</v>
      </c>
      <c r="C1817" t="s">
        <v>2107</v>
      </c>
      <c r="D1817" t="s">
        <v>137</v>
      </c>
      <c r="E1817" t="s">
        <v>84</v>
      </c>
      <c r="F1817" t="s">
        <v>85</v>
      </c>
      <c r="G1817" t="s">
        <v>43</v>
      </c>
      <c r="H1817" t="s">
        <v>44</v>
      </c>
      <c r="I1817">
        <v>10</v>
      </c>
      <c r="J1817" s="3">
        <v>14200</v>
      </c>
      <c r="K1817" s="3">
        <v>9500</v>
      </c>
      <c r="L1817" t="s">
        <v>73</v>
      </c>
      <c r="M1817" t="s">
        <v>37</v>
      </c>
      <c r="N1817" t="s">
        <v>23</v>
      </c>
      <c r="O1817" t="s">
        <v>24</v>
      </c>
    </row>
    <row r="1818" spans="1:15" x14ac:dyDescent="0.35">
      <c r="A1818" t="s">
        <v>2863</v>
      </c>
      <c r="B1818" s="2">
        <v>46084</v>
      </c>
      <c r="C1818" t="s">
        <v>759</v>
      </c>
      <c r="D1818" t="s">
        <v>1311</v>
      </c>
      <c r="E1818" t="s">
        <v>41</v>
      </c>
      <c r="F1818" t="s">
        <v>42</v>
      </c>
      <c r="G1818" t="s">
        <v>34</v>
      </c>
      <c r="H1818" t="s">
        <v>158</v>
      </c>
      <c r="I1818">
        <v>9</v>
      </c>
      <c r="J1818" s="3">
        <v>95000</v>
      </c>
      <c r="K1818" s="3">
        <v>72100</v>
      </c>
      <c r="L1818" t="s">
        <v>21</v>
      </c>
      <c r="M1818" t="s">
        <v>51</v>
      </c>
      <c r="N1818" t="s">
        <v>52</v>
      </c>
      <c r="O1818" t="s">
        <v>24</v>
      </c>
    </row>
    <row r="1819" spans="1:15" x14ac:dyDescent="0.35">
      <c r="A1819" t="s">
        <v>2864</v>
      </c>
      <c r="B1819" s="2">
        <v>46166</v>
      </c>
      <c r="C1819" t="s">
        <v>2806</v>
      </c>
      <c r="D1819" t="s">
        <v>990</v>
      </c>
      <c r="E1819" t="s">
        <v>190</v>
      </c>
      <c r="F1819" t="s">
        <v>191</v>
      </c>
      <c r="G1819" t="s">
        <v>43</v>
      </c>
      <c r="H1819" t="s">
        <v>79</v>
      </c>
      <c r="I1819">
        <v>5</v>
      </c>
      <c r="J1819" s="3">
        <v>5700</v>
      </c>
      <c r="K1819" s="3">
        <v>4200</v>
      </c>
      <c r="L1819" t="s">
        <v>21</v>
      </c>
      <c r="M1819" t="s">
        <v>37</v>
      </c>
      <c r="N1819" t="s">
        <v>23</v>
      </c>
      <c r="O1819" t="s">
        <v>91</v>
      </c>
    </row>
    <row r="1820" spans="1:15" x14ac:dyDescent="0.35">
      <c r="A1820" t="s">
        <v>2865</v>
      </c>
      <c r="B1820" s="2">
        <v>46273</v>
      </c>
      <c r="C1820" t="s">
        <v>33</v>
      </c>
      <c r="D1820" t="s">
        <v>1228</v>
      </c>
      <c r="E1820" t="s">
        <v>18</v>
      </c>
      <c r="F1820" t="s">
        <v>18</v>
      </c>
      <c r="G1820" t="s">
        <v>43</v>
      </c>
      <c r="H1820" t="s">
        <v>49</v>
      </c>
      <c r="I1820">
        <v>4</v>
      </c>
      <c r="J1820" s="3">
        <v>9400</v>
      </c>
      <c r="K1820" s="3">
        <v>5600</v>
      </c>
      <c r="L1820" t="s">
        <v>96</v>
      </c>
      <c r="M1820" t="s">
        <v>37</v>
      </c>
      <c r="N1820" t="s">
        <v>87</v>
      </c>
      <c r="O1820" t="s">
        <v>24</v>
      </c>
    </row>
    <row r="1821" spans="1:15" x14ac:dyDescent="0.35">
      <c r="A1821" t="s">
        <v>2866</v>
      </c>
      <c r="B1821" s="2">
        <v>46030</v>
      </c>
      <c r="C1821" t="s">
        <v>2489</v>
      </c>
      <c r="D1821" t="s">
        <v>476</v>
      </c>
      <c r="E1821" t="s">
        <v>70</v>
      </c>
      <c r="F1821" t="s">
        <v>71</v>
      </c>
      <c r="G1821" t="s">
        <v>43</v>
      </c>
      <c r="H1821" t="s">
        <v>177</v>
      </c>
      <c r="I1821">
        <v>3</v>
      </c>
      <c r="J1821" s="3">
        <v>18900</v>
      </c>
      <c r="K1821" s="3">
        <v>12100</v>
      </c>
      <c r="L1821" t="s">
        <v>80</v>
      </c>
      <c r="M1821" t="s">
        <v>51</v>
      </c>
      <c r="N1821" t="s">
        <v>23</v>
      </c>
      <c r="O1821" t="s">
        <v>24</v>
      </c>
    </row>
    <row r="1822" spans="1:15" x14ac:dyDescent="0.35">
      <c r="A1822" t="s">
        <v>2867</v>
      </c>
      <c r="B1822" s="2">
        <v>46212</v>
      </c>
      <c r="C1822" t="s">
        <v>593</v>
      </c>
      <c r="D1822" t="s">
        <v>306</v>
      </c>
      <c r="E1822" t="s">
        <v>190</v>
      </c>
      <c r="F1822" t="s">
        <v>191</v>
      </c>
      <c r="G1822" t="s">
        <v>19</v>
      </c>
      <c r="H1822" t="s">
        <v>112</v>
      </c>
      <c r="I1822">
        <v>8</v>
      </c>
      <c r="J1822" s="3">
        <v>85000</v>
      </c>
      <c r="K1822" s="3">
        <v>63900</v>
      </c>
      <c r="L1822" t="s">
        <v>36</v>
      </c>
      <c r="M1822" t="s">
        <v>22</v>
      </c>
      <c r="N1822" t="s">
        <v>52</v>
      </c>
      <c r="O1822" t="s">
        <v>24</v>
      </c>
    </row>
    <row r="1823" spans="1:15" x14ac:dyDescent="0.35">
      <c r="A1823" t="s">
        <v>2868</v>
      </c>
      <c r="B1823" s="2">
        <v>46099</v>
      </c>
      <c r="C1823" t="s">
        <v>1064</v>
      </c>
      <c r="D1823" t="s">
        <v>524</v>
      </c>
      <c r="E1823" t="s">
        <v>56</v>
      </c>
      <c r="F1823" t="s">
        <v>57</v>
      </c>
      <c r="G1823" t="s">
        <v>34</v>
      </c>
      <c r="H1823" t="s">
        <v>95</v>
      </c>
      <c r="I1823">
        <v>1</v>
      </c>
      <c r="J1823" s="3">
        <v>472500</v>
      </c>
      <c r="K1823" s="3">
        <v>381100</v>
      </c>
      <c r="L1823" t="s">
        <v>50</v>
      </c>
      <c r="M1823" t="s">
        <v>37</v>
      </c>
      <c r="N1823" t="s">
        <v>52</v>
      </c>
      <c r="O1823" t="s">
        <v>45</v>
      </c>
    </row>
    <row r="1824" spans="1:15" x14ac:dyDescent="0.35">
      <c r="A1824" t="s">
        <v>2869</v>
      </c>
      <c r="B1824" s="2">
        <v>46230</v>
      </c>
      <c r="C1824" t="s">
        <v>858</v>
      </c>
      <c r="D1824" t="s">
        <v>17</v>
      </c>
      <c r="E1824" t="s">
        <v>18</v>
      </c>
      <c r="F1824" t="s">
        <v>18</v>
      </c>
      <c r="G1824" t="s">
        <v>19</v>
      </c>
      <c r="H1824" t="s">
        <v>20</v>
      </c>
      <c r="I1824">
        <v>3</v>
      </c>
      <c r="J1824" s="3">
        <v>65000</v>
      </c>
      <c r="K1824" s="3">
        <v>45000</v>
      </c>
      <c r="L1824" t="s">
        <v>36</v>
      </c>
      <c r="M1824" t="s">
        <v>37</v>
      </c>
      <c r="N1824" t="s">
        <v>23</v>
      </c>
      <c r="O1824" t="s">
        <v>24</v>
      </c>
    </row>
    <row r="1825" spans="1:15" x14ac:dyDescent="0.35">
      <c r="A1825" t="s">
        <v>2870</v>
      </c>
      <c r="B1825" s="2">
        <v>46375</v>
      </c>
      <c r="C1825" t="s">
        <v>39</v>
      </c>
      <c r="D1825" t="s">
        <v>1136</v>
      </c>
      <c r="E1825" t="s">
        <v>18</v>
      </c>
      <c r="F1825" t="s">
        <v>18</v>
      </c>
      <c r="G1825" t="s">
        <v>19</v>
      </c>
      <c r="H1825" t="s">
        <v>61</v>
      </c>
      <c r="I1825">
        <v>4</v>
      </c>
      <c r="J1825" s="3">
        <v>220000</v>
      </c>
      <c r="K1825" s="3">
        <v>155200</v>
      </c>
      <c r="L1825" t="s">
        <v>30</v>
      </c>
      <c r="M1825" t="s">
        <v>31</v>
      </c>
      <c r="N1825" t="s">
        <v>52</v>
      </c>
      <c r="O1825" t="s">
        <v>24</v>
      </c>
    </row>
    <row r="1826" spans="1:15" x14ac:dyDescent="0.35">
      <c r="A1826" t="s">
        <v>2871</v>
      </c>
      <c r="B1826" s="2">
        <v>46297</v>
      </c>
      <c r="C1826" t="s">
        <v>1156</v>
      </c>
      <c r="D1826" t="s">
        <v>854</v>
      </c>
      <c r="E1826" t="s">
        <v>18</v>
      </c>
      <c r="F1826" t="s">
        <v>18</v>
      </c>
      <c r="G1826" t="s">
        <v>43</v>
      </c>
      <c r="H1826" t="s">
        <v>44</v>
      </c>
      <c r="I1826">
        <v>1</v>
      </c>
      <c r="J1826" s="3">
        <v>15000</v>
      </c>
      <c r="K1826" s="3">
        <v>9200</v>
      </c>
      <c r="L1826" t="s">
        <v>80</v>
      </c>
      <c r="M1826" t="s">
        <v>31</v>
      </c>
      <c r="N1826" t="s">
        <v>52</v>
      </c>
      <c r="O1826" t="s">
        <v>24</v>
      </c>
    </row>
    <row r="1827" spans="1:15" x14ac:dyDescent="0.35">
      <c r="A1827" t="s">
        <v>2872</v>
      </c>
      <c r="B1827" s="2">
        <v>46228</v>
      </c>
      <c r="C1827" t="s">
        <v>63</v>
      </c>
      <c r="D1827" t="s">
        <v>1836</v>
      </c>
      <c r="E1827" t="s">
        <v>156</v>
      </c>
      <c r="F1827" t="s">
        <v>157</v>
      </c>
      <c r="G1827" t="s">
        <v>34</v>
      </c>
      <c r="H1827" t="s">
        <v>35</v>
      </c>
      <c r="I1827">
        <v>3</v>
      </c>
      <c r="J1827" s="3">
        <v>55000</v>
      </c>
      <c r="K1827" s="3">
        <v>37800</v>
      </c>
      <c r="L1827" t="s">
        <v>21</v>
      </c>
      <c r="M1827" t="s">
        <v>31</v>
      </c>
      <c r="N1827" t="s">
        <v>23</v>
      </c>
      <c r="O1827" t="s">
        <v>24</v>
      </c>
    </row>
    <row r="1828" spans="1:15" x14ac:dyDescent="0.35">
      <c r="A1828" t="s">
        <v>2873</v>
      </c>
      <c r="B1828" s="2">
        <v>46211</v>
      </c>
      <c r="C1828" t="s">
        <v>1007</v>
      </c>
      <c r="D1828" t="s">
        <v>422</v>
      </c>
      <c r="E1828" t="s">
        <v>41</v>
      </c>
      <c r="F1828" t="s">
        <v>42</v>
      </c>
      <c r="G1828" t="s">
        <v>19</v>
      </c>
      <c r="H1828" t="s">
        <v>20</v>
      </c>
      <c r="I1828">
        <v>3</v>
      </c>
      <c r="J1828" s="3">
        <v>65000</v>
      </c>
      <c r="K1828" s="3">
        <v>43600</v>
      </c>
      <c r="L1828" t="s">
        <v>73</v>
      </c>
      <c r="M1828" t="s">
        <v>31</v>
      </c>
      <c r="N1828" t="s">
        <v>52</v>
      </c>
      <c r="O1828" t="s">
        <v>24</v>
      </c>
    </row>
    <row r="1829" spans="1:15" x14ac:dyDescent="0.35">
      <c r="A1829" t="s">
        <v>2874</v>
      </c>
      <c r="B1829" s="2">
        <v>46089</v>
      </c>
      <c r="C1829" t="s">
        <v>446</v>
      </c>
      <c r="D1829" t="s">
        <v>69</v>
      </c>
      <c r="E1829" t="s">
        <v>18</v>
      </c>
      <c r="F1829" t="s">
        <v>18</v>
      </c>
      <c r="G1829" t="s">
        <v>19</v>
      </c>
      <c r="H1829" t="s">
        <v>112</v>
      </c>
      <c r="I1829">
        <v>5</v>
      </c>
      <c r="J1829" s="3">
        <v>80800</v>
      </c>
      <c r="K1829" s="3">
        <v>62000</v>
      </c>
      <c r="L1829" t="s">
        <v>96</v>
      </c>
      <c r="M1829" t="s">
        <v>37</v>
      </c>
      <c r="N1829" t="s">
        <v>23</v>
      </c>
      <c r="O1829" t="s">
        <v>24</v>
      </c>
    </row>
    <row r="1830" spans="1:15" x14ac:dyDescent="0.35">
      <c r="A1830" t="s">
        <v>2875</v>
      </c>
      <c r="B1830" s="2">
        <v>46126</v>
      </c>
      <c r="C1830" t="s">
        <v>212</v>
      </c>
      <c r="D1830" t="s">
        <v>1202</v>
      </c>
      <c r="E1830" t="s">
        <v>156</v>
      </c>
      <c r="F1830" t="s">
        <v>170</v>
      </c>
      <c r="G1830" t="s">
        <v>34</v>
      </c>
      <c r="H1830" t="s">
        <v>141</v>
      </c>
      <c r="I1830">
        <v>3</v>
      </c>
      <c r="J1830" s="3">
        <v>168000</v>
      </c>
      <c r="K1830" s="3">
        <v>116400</v>
      </c>
      <c r="L1830" t="s">
        <v>36</v>
      </c>
      <c r="M1830" t="s">
        <v>31</v>
      </c>
      <c r="N1830" t="s">
        <v>23</v>
      </c>
      <c r="O1830" t="s">
        <v>24</v>
      </c>
    </row>
    <row r="1831" spans="1:15" x14ac:dyDescent="0.35">
      <c r="A1831" t="s">
        <v>2876</v>
      </c>
      <c r="B1831" s="2">
        <v>46305</v>
      </c>
      <c r="C1831" t="s">
        <v>825</v>
      </c>
      <c r="D1831" t="s">
        <v>501</v>
      </c>
      <c r="E1831" t="s">
        <v>18</v>
      </c>
      <c r="F1831" t="s">
        <v>18</v>
      </c>
      <c r="G1831" t="s">
        <v>43</v>
      </c>
      <c r="H1831" t="s">
        <v>44</v>
      </c>
      <c r="I1831">
        <v>4</v>
      </c>
      <c r="J1831" s="3">
        <v>15000</v>
      </c>
      <c r="K1831" s="3">
        <v>9200</v>
      </c>
      <c r="L1831" t="s">
        <v>21</v>
      </c>
      <c r="M1831" t="s">
        <v>22</v>
      </c>
      <c r="N1831" t="s">
        <v>23</v>
      </c>
      <c r="O1831" t="s">
        <v>24</v>
      </c>
    </row>
    <row r="1832" spans="1:15" x14ac:dyDescent="0.35">
      <c r="A1832" t="s">
        <v>2877</v>
      </c>
      <c r="B1832" s="2">
        <v>46154</v>
      </c>
      <c r="C1832" t="s">
        <v>205</v>
      </c>
      <c r="D1832" t="s">
        <v>1000</v>
      </c>
      <c r="E1832" t="s">
        <v>77</v>
      </c>
      <c r="F1832" t="s">
        <v>78</v>
      </c>
      <c r="G1832" t="s">
        <v>34</v>
      </c>
      <c r="H1832" t="s">
        <v>158</v>
      </c>
      <c r="I1832">
        <v>4</v>
      </c>
      <c r="J1832" s="3">
        <v>90200</v>
      </c>
      <c r="K1832" s="3">
        <v>72100</v>
      </c>
      <c r="L1832" t="s">
        <v>36</v>
      </c>
      <c r="M1832" t="s">
        <v>31</v>
      </c>
      <c r="N1832" t="s">
        <v>23</v>
      </c>
      <c r="O1832" t="s">
        <v>24</v>
      </c>
    </row>
    <row r="1833" spans="1:15" x14ac:dyDescent="0.35">
      <c r="A1833" t="s">
        <v>2878</v>
      </c>
      <c r="B1833" s="2">
        <v>46255</v>
      </c>
      <c r="C1833" t="s">
        <v>638</v>
      </c>
      <c r="D1833" t="s">
        <v>2213</v>
      </c>
      <c r="E1833" t="s">
        <v>156</v>
      </c>
      <c r="F1833" t="s">
        <v>157</v>
      </c>
      <c r="G1833" t="s">
        <v>34</v>
      </c>
      <c r="H1833" t="s">
        <v>158</v>
      </c>
      <c r="I1833">
        <v>6</v>
      </c>
      <c r="J1833" s="3">
        <v>95000</v>
      </c>
      <c r="K1833" s="3">
        <v>67900</v>
      </c>
      <c r="L1833" t="s">
        <v>21</v>
      </c>
      <c r="M1833" t="s">
        <v>37</v>
      </c>
      <c r="N1833" t="s">
        <v>87</v>
      </c>
      <c r="O1833" t="s">
        <v>45</v>
      </c>
    </row>
    <row r="1834" spans="1:15" x14ac:dyDescent="0.35">
      <c r="A1834" t="s">
        <v>2879</v>
      </c>
      <c r="B1834" s="2">
        <v>46191</v>
      </c>
      <c r="C1834" t="s">
        <v>612</v>
      </c>
      <c r="D1834" t="s">
        <v>1954</v>
      </c>
      <c r="E1834" t="s">
        <v>18</v>
      </c>
      <c r="F1834" t="s">
        <v>18</v>
      </c>
      <c r="G1834" t="s">
        <v>43</v>
      </c>
      <c r="H1834" t="s">
        <v>49</v>
      </c>
      <c r="I1834">
        <v>6</v>
      </c>
      <c r="J1834" s="3">
        <v>9000</v>
      </c>
      <c r="K1834" s="3">
        <v>5800</v>
      </c>
      <c r="L1834" t="s">
        <v>36</v>
      </c>
      <c r="M1834" t="s">
        <v>37</v>
      </c>
      <c r="N1834" t="s">
        <v>87</v>
      </c>
      <c r="O1834" t="s">
        <v>24</v>
      </c>
    </row>
    <row r="1835" spans="1:15" x14ac:dyDescent="0.35">
      <c r="A1835" t="s">
        <v>2880</v>
      </c>
      <c r="B1835" s="2">
        <v>46285</v>
      </c>
      <c r="C1835" t="s">
        <v>1701</v>
      </c>
      <c r="D1835" t="s">
        <v>1689</v>
      </c>
      <c r="E1835" t="s">
        <v>18</v>
      </c>
      <c r="F1835" t="s">
        <v>18</v>
      </c>
      <c r="G1835" t="s">
        <v>34</v>
      </c>
      <c r="H1835" t="s">
        <v>141</v>
      </c>
      <c r="I1835">
        <v>1</v>
      </c>
      <c r="J1835" s="3">
        <v>152000</v>
      </c>
      <c r="K1835" s="3">
        <v>123600</v>
      </c>
      <c r="L1835" t="s">
        <v>80</v>
      </c>
      <c r="M1835" t="s">
        <v>37</v>
      </c>
      <c r="N1835" t="s">
        <v>23</v>
      </c>
      <c r="O1835" t="s">
        <v>45</v>
      </c>
    </row>
    <row r="1836" spans="1:15" x14ac:dyDescent="0.35">
      <c r="A1836" t="s">
        <v>2881</v>
      </c>
      <c r="B1836" s="2">
        <v>46300</v>
      </c>
      <c r="C1836" t="s">
        <v>148</v>
      </c>
      <c r="D1836" t="s">
        <v>2517</v>
      </c>
      <c r="E1836" t="s">
        <v>41</v>
      </c>
      <c r="F1836" t="s">
        <v>42</v>
      </c>
      <c r="G1836" t="s">
        <v>34</v>
      </c>
      <c r="H1836" t="s">
        <v>95</v>
      </c>
      <c r="I1836">
        <v>6</v>
      </c>
      <c r="J1836" s="3">
        <v>450000</v>
      </c>
      <c r="K1836" s="3">
        <v>358900</v>
      </c>
      <c r="L1836" t="s">
        <v>80</v>
      </c>
      <c r="M1836" t="s">
        <v>31</v>
      </c>
      <c r="N1836" t="s">
        <v>52</v>
      </c>
      <c r="O1836" t="s">
        <v>24</v>
      </c>
    </row>
    <row r="1837" spans="1:15" x14ac:dyDescent="0.35">
      <c r="A1837" t="s">
        <v>2882</v>
      </c>
      <c r="B1837" s="2">
        <v>46124</v>
      </c>
      <c r="C1837" t="s">
        <v>1340</v>
      </c>
      <c r="D1837" t="s">
        <v>2682</v>
      </c>
      <c r="E1837" t="s">
        <v>18</v>
      </c>
      <c r="F1837" t="s">
        <v>18</v>
      </c>
      <c r="G1837" t="s">
        <v>28</v>
      </c>
      <c r="H1837" t="s">
        <v>65</v>
      </c>
      <c r="I1837">
        <v>1</v>
      </c>
      <c r="J1837" s="3">
        <v>12000</v>
      </c>
      <c r="K1837" s="3">
        <v>7500</v>
      </c>
      <c r="L1837" t="s">
        <v>96</v>
      </c>
      <c r="M1837" t="s">
        <v>37</v>
      </c>
      <c r="N1837" t="s">
        <v>52</v>
      </c>
      <c r="O1837" t="s">
        <v>24</v>
      </c>
    </row>
    <row r="1838" spans="1:15" x14ac:dyDescent="0.35">
      <c r="A1838" t="s">
        <v>2883</v>
      </c>
      <c r="B1838" s="2">
        <v>46344</v>
      </c>
      <c r="C1838" t="s">
        <v>664</v>
      </c>
      <c r="D1838" t="s">
        <v>1258</v>
      </c>
      <c r="E1838" t="s">
        <v>41</v>
      </c>
      <c r="F1838" t="s">
        <v>42</v>
      </c>
      <c r="G1838" t="s">
        <v>19</v>
      </c>
      <c r="H1838" t="s">
        <v>20</v>
      </c>
      <c r="I1838">
        <v>10</v>
      </c>
      <c r="J1838" s="3">
        <v>61800</v>
      </c>
      <c r="K1838" s="3">
        <v>43600</v>
      </c>
      <c r="L1838" t="s">
        <v>30</v>
      </c>
      <c r="M1838" t="s">
        <v>22</v>
      </c>
      <c r="N1838" t="s">
        <v>52</v>
      </c>
      <c r="O1838" t="s">
        <v>91</v>
      </c>
    </row>
    <row r="1839" spans="1:15" x14ac:dyDescent="0.35">
      <c r="A1839" t="s">
        <v>2884</v>
      </c>
      <c r="B1839" s="2">
        <v>46259</v>
      </c>
      <c r="C1839" t="s">
        <v>205</v>
      </c>
      <c r="D1839" t="s">
        <v>276</v>
      </c>
      <c r="E1839" t="s">
        <v>18</v>
      </c>
      <c r="F1839" t="s">
        <v>18</v>
      </c>
      <c r="G1839" t="s">
        <v>43</v>
      </c>
      <c r="H1839" t="s">
        <v>162</v>
      </c>
      <c r="I1839">
        <v>1</v>
      </c>
      <c r="J1839" s="3">
        <v>7600</v>
      </c>
      <c r="K1839" s="3">
        <v>5200</v>
      </c>
      <c r="L1839" t="s">
        <v>80</v>
      </c>
      <c r="M1839" t="s">
        <v>37</v>
      </c>
      <c r="N1839" t="s">
        <v>23</v>
      </c>
      <c r="O1839" t="s">
        <v>91</v>
      </c>
    </row>
    <row r="1840" spans="1:15" x14ac:dyDescent="0.35">
      <c r="A1840" t="s">
        <v>2885</v>
      </c>
      <c r="B1840" s="2">
        <v>46180</v>
      </c>
      <c r="C1840" t="s">
        <v>1673</v>
      </c>
      <c r="D1840" t="s">
        <v>76</v>
      </c>
      <c r="E1840" t="s">
        <v>190</v>
      </c>
      <c r="F1840" t="s">
        <v>191</v>
      </c>
      <c r="G1840" t="s">
        <v>19</v>
      </c>
      <c r="H1840" t="s">
        <v>112</v>
      </c>
      <c r="I1840">
        <v>6</v>
      </c>
      <c r="J1840" s="3">
        <v>89200</v>
      </c>
      <c r="K1840" s="3">
        <v>62000</v>
      </c>
      <c r="L1840" t="s">
        <v>36</v>
      </c>
      <c r="M1840" t="s">
        <v>37</v>
      </c>
      <c r="N1840" t="s">
        <v>87</v>
      </c>
      <c r="O1840" t="s">
        <v>24</v>
      </c>
    </row>
    <row r="1841" spans="1:15" x14ac:dyDescent="0.35">
      <c r="A1841" t="s">
        <v>2886</v>
      </c>
      <c r="B1841" s="2">
        <v>46343</v>
      </c>
      <c r="C1841" t="s">
        <v>1653</v>
      </c>
      <c r="D1841" t="s">
        <v>1219</v>
      </c>
      <c r="E1841" t="s">
        <v>56</v>
      </c>
      <c r="F1841" t="s">
        <v>57</v>
      </c>
      <c r="G1841" t="s">
        <v>28</v>
      </c>
      <c r="H1841" t="s">
        <v>131</v>
      </c>
      <c r="I1841">
        <v>4</v>
      </c>
      <c r="J1841" s="3">
        <v>30000</v>
      </c>
      <c r="K1841" s="3">
        <v>19600</v>
      </c>
      <c r="L1841" t="s">
        <v>30</v>
      </c>
      <c r="M1841" t="s">
        <v>37</v>
      </c>
      <c r="N1841" t="s">
        <v>87</v>
      </c>
      <c r="O1841" t="s">
        <v>24</v>
      </c>
    </row>
    <row r="1842" spans="1:15" x14ac:dyDescent="0.35">
      <c r="A1842" t="s">
        <v>2887</v>
      </c>
      <c r="B1842" s="2">
        <v>46256</v>
      </c>
      <c r="C1842" t="s">
        <v>481</v>
      </c>
      <c r="D1842" t="s">
        <v>155</v>
      </c>
      <c r="E1842" t="s">
        <v>18</v>
      </c>
      <c r="F1842" t="s">
        <v>18</v>
      </c>
      <c r="G1842" t="s">
        <v>43</v>
      </c>
      <c r="H1842" t="s">
        <v>177</v>
      </c>
      <c r="I1842">
        <v>10</v>
      </c>
      <c r="J1842" s="3">
        <v>18000</v>
      </c>
      <c r="K1842" s="3">
        <v>12500</v>
      </c>
      <c r="L1842" t="s">
        <v>96</v>
      </c>
      <c r="M1842" t="s">
        <v>37</v>
      </c>
      <c r="N1842" t="s">
        <v>23</v>
      </c>
      <c r="O1842" t="s">
        <v>24</v>
      </c>
    </row>
    <row r="1843" spans="1:15" x14ac:dyDescent="0.35">
      <c r="A1843" t="s">
        <v>2888</v>
      </c>
      <c r="B1843" s="2">
        <v>46256</v>
      </c>
      <c r="C1843" t="s">
        <v>836</v>
      </c>
      <c r="D1843" t="s">
        <v>1299</v>
      </c>
      <c r="E1843" t="s">
        <v>77</v>
      </c>
      <c r="F1843" t="s">
        <v>78</v>
      </c>
      <c r="G1843" t="s">
        <v>34</v>
      </c>
      <c r="H1843" t="s">
        <v>141</v>
      </c>
      <c r="I1843">
        <v>1</v>
      </c>
      <c r="J1843" s="3">
        <v>152000</v>
      </c>
      <c r="K1843" s="3">
        <v>116400</v>
      </c>
      <c r="L1843" t="s">
        <v>73</v>
      </c>
      <c r="M1843" t="s">
        <v>37</v>
      </c>
      <c r="N1843" t="s">
        <v>52</v>
      </c>
      <c r="O1843" t="s">
        <v>24</v>
      </c>
    </row>
    <row r="1844" spans="1:15" x14ac:dyDescent="0.35">
      <c r="A1844" t="s">
        <v>2889</v>
      </c>
      <c r="B1844" s="2">
        <v>46223</v>
      </c>
      <c r="C1844" t="s">
        <v>916</v>
      </c>
      <c r="D1844" t="s">
        <v>2890</v>
      </c>
      <c r="E1844" t="s">
        <v>156</v>
      </c>
      <c r="F1844" t="s">
        <v>170</v>
      </c>
      <c r="G1844" t="s">
        <v>28</v>
      </c>
      <c r="H1844" t="s">
        <v>29</v>
      </c>
      <c r="I1844">
        <v>10</v>
      </c>
      <c r="J1844" s="3">
        <v>6600</v>
      </c>
      <c r="K1844" s="3">
        <v>4000</v>
      </c>
      <c r="L1844" t="s">
        <v>96</v>
      </c>
      <c r="M1844" t="s">
        <v>31</v>
      </c>
      <c r="N1844" t="s">
        <v>87</v>
      </c>
      <c r="O1844" t="s">
        <v>24</v>
      </c>
    </row>
    <row r="1845" spans="1:15" x14ac:dyDescent="0.35">
      <c r="A1845" t="s">
        <v>2891</v>
      </c>
      <c r="B1845" s="2">
        <v>46027</v>
      </c>
      <c r="C1845" t="s">
        <v>578</v>
      </c>
      <c r="D1845" t="s">
        <v>986</v>
      </c>
      <c r="E1845" t="s">
        <v>18</v>
      </c>
      <c r="F1845" t="s">
        <v>18</v>
      </c>
      <c r="G1845" t="s">
        <v>28</v>
      </c>
      <c r="H1845" t="s">
        <v>131</v>
      </c>
      <c r="I1845">
        <v>2</v>
      </c>
      <c r="J1845" s="3">
        <v>30000</v>
      </c>
      <c r="K1845" s="3">
        <v>19000</v>
      </c>
      <c r="L1845" t="s">
        <v>73</v>
      </c>
      <c r="M1845" t="s">
        <v>31</v>
      </c>
      <c r="N1845" t="s">
        <v>52</v>
      </c>
      <c r="O1845" t="s">
        <v>24</v>
      </c>
    </row>
    <row r="1846" spans="1:15" x14ac:dyDescent="0.35">
      <c r="A1846" t="s">
        <v>2892</v>
      </c>
      <c r="B1846" s="2">
        <v>46305</v>
      </c>
      <c r="C1846" t="s">
        <v>2457</v>
      </c>
      <c r="D1846" t="s">
        <v>984</v>
      </c>
      <c r="E1846" t="s">
        <v>41</v>
      </c>
      <c r="F1846" t="s">
        <v>42</v>
      </c>
      <c r="G1846" t="s">
        <v>34</v>
      </c>
      <c r="H1846" t="s">
        <v>35</v>
      </c>
      <c r="I1846">
        <v>3</v>
      </c>
      <c r="J1846" s="3">
        <v>55000</v>
      </c>
      <c r="K1846" s="3">
        <v>37800</v>
      </c>
      <c r="L1846" t="s">
        <v>66</v>
      </c>
      <c r="M1846" t="s">
        <v>37</v>
      </c>
      <c r="N1846" t="s">
        <v>23</v>
      </c>
      <c r="O1846" t="s">
        <v>91</v>
      </c>
    </row>
    <row r="1847" spans="1:15" x14ac:dyDescent="0.35">
      <c r="A1847" t="s">
        <v>2893</v>
      </c>
      <c r="B1847" s="2">
        <v>46228</v>
      </c>
      <c r="C1847" t="s">
        <v>1201</v>
      </c>
      <c r="D1847" t="s">
        <v>1048</v>
      </c>
      <c r="E1847" t="s">
        <v>56</v>
      </c>
      <c r="F1847" t="s">
        <v>57</v>
      </c>
      <c r="G1847" t="s">
        <v>43</v>
      </c>
      <c r="H1847" t="s">
        <v>49</v>
      </c>
      <c r="I1847">
        <v>6</v>
      </c>
      <c r="J1847" s="3">
        <v>9000</v>
      </c>
      <c r="K1847" s="3">
        <v>5800</v>
      </c>
      <c r="L1847" t="s">
        <v>73</v>
      </c>
      <c r="M1847" t="s">
        <v>31</v>
      </c>
      <c r="N1847" t="s">
        <v>23</v>
      </c>
      <c r="O1847" t="s">
        <v>24</v>
      </c>
    </row>
    <row r="1848" spans="1:15" x14ac:dyDescent="0.35">
      <c r="A1848" t="s">
        <v>2894</v>
      </c>
      <c r="B1848" s="2">
        <v>46127</v>
      </c>
      <c r="C1848" t="s">
        <v>2584</v>
      </c>
      <c r="D1848" t="s">
        <v>747</v>
      </c>
      <c r="E1848" t="s">
        <v>70</v>
      </c>
      <c r="F1848" t="s">
        <v>71</v>
      </c>
      <c r="G1848" t="s">
        <v>34</v>
      </c>
      <c r="H1848" t="s">
        <v>141</v>
      </c>
      <c r="I1848">
        <v>1</v>
      </c>
      <c r="J1848" s="3">
        <v>152000</v>
      </c>
      <c r="K1848" s="3">
        <v>123600</v>
      </c>
      <c r="L1848" t="s">
        <v>73</v>
      </c>
      <c r="M1848" t="s">
        <v>51</v>
      </c>
      <c r="N1848" t="s">
        <v>52</v>
      </c>
      <c r="O1848" t="s">
        <v>24</v>
      </c>
    </row>
    <row r="1849" spans="1:15" x14ac:dyDescent="0.35">
      <c r="A1849" t="s">
        <v>2895</v>
      </c>
      <c r="B1849" s="2">
        <v>46238</v>
      </c>
      <c r="C1849" t="s">
        <v>727</v>
      </c>
      <c r="D1849" t="s">
        <v>1181</v>
      </c>
      <c r="E1849" t="s">
        <v>190</v>
      </c>
      <c r="F1849" t="s">
        <v>191</v>
      </c>
      <c r="G1849" t="s">
        <v>28</v>
      </c>
      <c r="H1849" t="s">
        <v>131</v>
      </c>
      <c r="I1849">
        <v>1</v>
      </c>
      <c r="J1849" s="3">
        <v>30000</v>
      </c>
      <c r="K1849" s="3">
        <v>19600</v>
      </c>
      <c r="L1849" t="s">
        <v>96</v>
      </c>
      <c r="M1849" t="s">
        <v>51</v>
      </c>
      <c r="N1849" t="s">
        <v>23</v>
      </c>
      <c r="O1849" t="s">
        <v>45</v>
      </c>
    </row>
    <row r="1850" spans="1:15" x14ac:dyDescent="0.35">
      <c r="A1850" t="s">
        <v>2896</v>
      </c>
      <c r="B1850" s="2">
        <v>46248</v>
      </c>
      <c r="C1850" t="s">
        <v>1040</v>
      </c>
      <c r="D1850" t="s">
        <v>294</v>
      </c>
      <c r="E1850" t="s">
        <v>84</v>
      </c>
      <c r="F1850" t="s">
        <v>85</v>
      </c>
      <c r="G1850" t="s">
        <v>19</v>
      </c>
      <c r="H1850" t="s">
        <v>166</v>
      </c>
      <c r="I1850">
        <v>1</v>
      </c>
      <c r="J1850" s="3">
        <v>140000</v>
      </c>
      <c r="K1850" s="3">
        <v>100000</v>
      </c>
      <c r="L1850" t="s">
        <v>66</v>
      </c>
      <c r="M1850" t="s">
        <v>51</v>
      </c>
      <c r="N1850" t="s">
        <v>87</v>
      </c>
      <c r="O1850" t="s">
        <v>45</v>
      </c>
    </row>
    <row r="1851" spans="1:15" x14ac:dyDescent="0.35">
      <c r="A1851" t="s">
        <v>2897</v>
      </c>
      <c r="B1851" s="2">
        <v>46372</v>
      </c>
      <c r="C1851" t="s">
        <v>1201</v>
      </c>
      <c r="D1851" t="s">
        <v>2213</v>
      </c>
      <c r="E1851" t="s">
        <v>56</v>
      </c>
      <c r="F1851" t="s">
        <v>57</v>
      </c>
      <c r="G1851" t="s">
        <v>28</v>
      </c>
      <c r="H1851" t="s">
        <v>65</v>
      </c>
      <c r="I1851">
        <v>6</v>
      </c>
      <c r="J1851" s="3">
        <v>12000</v>
      </c>
      <c r="K1851" s="3">
        <v>7700</v>
      </c>
      <c r="L1851" t="s">
        <v>73</v>
      </c>
      <c r="M1851" t="s">
        <v>51</v>
      </c>
      <c r="N1851" t="s">
        <v>87</v>
      </c>
      <c r="O1851" t="s">
        <v>45</v>
      </c>
    </row>
    <row r="1852" spans="1:15" x14ac:dyDescent="0.35">
      <c r="A1852" t="s">
        <v>2898</v>
      </c>
      <c r="B1852" s="2">
        <v>46325</v>
      </c>
      <c r="C1852" t="s">
        <v>1192</v>
      </c>
      <c r="D1852" t="s">
        <v>406</v>
      </c>
      <c r="E1852" t="s">
        <v>190</v>
      </c>
      <c r="F1852" t="s">
        <v>191</v>
      </c>
      <c r="G1852" t="s">
        <v>43</v>
      </c>
      <c r="H1852" t="s">
        <v>79</v>
      </c>
      <c r="I1852">
        <v>5</v>
      </c>
      <c r="J1852" s="3">
        <v>6000</v>
      </c>
      <c r="K1852" s="3">
        <v>4200</v>
      </c>
      <c r="L1852" t="s">
        <v>30</v>
      </c>
      <c r="M1852" t="s">
        <v>37</v>
      </c>
      <c r="N1852" t="s">
        <v>23</v>
      </c>
      <c r="O1852" t="s">
        <v>24</v>
      </c>
    </row>
    <row r="1853" spans="1:15" x14ac:dyDescent="0.35">
      <c r="A1853" t="s">
        <v>2899</v>
      </c>
      <c r="B1853" s="2">
        <v>46060</v>
      </c>
      <c r="C1853" t="s">
        <v>733</v>
      </c>
      <c r="D1853" t="s">
        <v>1954</v>
      </c>
      <c r="E1853" t="s">
        <v>77</v>
      </c>
      <c r="F1853" t="s">
        <v>78</v>
      </c>
      <c r="G1853" t="s">
        <v>34</v>
      </c>
      <c r="H1853" t="s">
        <v>95</v>
      </c>
      <c r="I1853">
        <v>4</v>
      </c>
      <c r="J1853" s="3">
        <v>472500</v>
      </c>
      <c r="K1853" s="3">
        <v>370000</v>
      </c>
      <c r="L1853" t="s">
        <v>96</v>
      </c>
      <c r="M1853" t="s">
        <v>37</v>
      </c>
      <c r="N1853" t="s">
        <v>87</v>
      </c>
      <c r="O1853" t="s">
        <v>91</v>
      </c>
    </row>
    <row r="1854" spans="1:15" x14ac:dyDescent="0.35">
      <c r="A1854" t="s">
        <v>2900</v>
      </c>
      <c r="B1854" s="2">
        <v>46262</v>
      </c>
      <c r="C1854" t="s">
        <v>730</v>
      </c>
      <c r="D1854" t="s">
        <v>507</v>
      </c>
      <c r="E1854" t="s">
        <v>18</v>
      </c>
      <c r="F1854" t="s">
        <v>18</v>
      </c>
      <c r="G1854" t="s">
        <v>34</v>
      </c>
      <c r="H1854" t="s">
        <v>141</v>
      </c>
      <c r="I1854">
        <v>7</v>
      </c>
      <c r="J1854" s="3">
        <v>160000</v>
      </c>
      <c r="K1854" s="3">
        <v>120000</v>
      </c>
      <c r="L1854" t="s">
        <v>21</v>
      </c>
      <c r="M1854" t="s">
        <v>37</v>
      </c>
      <c r="N1854" t="s">
        <v>23</v>
      </c>
      <c r="O1854" t="s">
        <v>24</v>
      </c>
    </row>
    <row r="1855" spans="1:15" x14ac:dyDescent="0.35">
      <c r="A1855" t="s">
        <v>2901</v>
      </c>
      <c r="B1855" s="2">
        <v>46177</v>
      </c>
      <c r="C1855" t="s">
        <v>1446</v>
      </c>
      <c r="D1855" t="s">
        <v>507</v>
      </c>
      <c r="E1855" t="s">
        <v>18</v>
      </c>
      <c r="F1855" t="s">
        <v>18</v>
      </c>
      <c r="G1855" t="s">
        <v>34</v>
      </c>
      <c r="H1855" t="s">
        <v>86</v>
      </c>
      <c r="I1855">
        <v>7</v>
      </c>
      <c r="J1855" s="3">
        <v>171000</v>
      </c>
      <c r="K1855" s="3">
        <v>131000</v>
      </c>
      <c r="L1855" t="s">
        <v>21</v>
      </c>
      <c r="M1855" t="s">
        <v>51</v>
      </c>
      <c r="N1855" t="s">
        <v>52</v>
      </c>
      <c r="O1855" t="s">
        <v>91</v>
      </c>
    </row>
    <row r="1856" spans="1:15" x14ac:dyDescent="0.35">
      <c r="A1856" t="s">
        <v>2902</v>
      </c>
      <c r="B1856" s="2">
        <v>46046</v>
      </c>
      <c r="C1856" t="s">
        <v>1642</v>
      </c>
      <c r="D1856" t="s">
        <v>504</v>
      </c>
      <c r="E1856" t="s">
        <v>84</v>
      </c>
      <c r="F1856" t="s">
        <v>85</v>
      </c>
      <c r="G1856" t="s">
        <v>19</v>
      </c>
      <c r="H1856" t="s">
        <v>20</v>
      </c>
      <c r="I1856">
        <v>4</v>
      </c>
      <c r="J1856" s="3">
        <v>61800</v>
      </c>
      <c r="K1856" s="3">
        <v>46400</v>
      </c>
      <c r="L1856" t="s">
        <v>30</v>
      </c>
      <c r="M1856" t="s">
        <v>22</v>
      </c>
      <c r="N1856" t="s">
        <v>23</v>
      </c>
      <c r="O1856" t="s">
        <v>24</v>
      </c>
    </row>
    <row r="1857" spans="1:15" x14ac:dyDescent="0.35">
      <c r="A1857" t="s">
        <v>2903</v>
      </c>
      <c r="B1857" s="2">
        <v>46282</v>
      </c>
      <c r="C1857" t="s">
        <v>2904</v>
      </c>
      <c r="D1857" t="s">
        <v>540</v>
      </c>
      <c r="E1857" t="s">
        <v>56</v>
      </c>
      <c r="F1857" t="s">
        <v>57</v>
      </c>
      <c r="G1857" t="s">
        <v>43</v>
      </c>
      <c r="H1857" t="s">
        <v>49</v>
      </c>
      <c r="I1857">
        <v>2</v>
      </c>
      <c r="J1857" s="3">
        <v>9400</v>
      </c>
      <c r="K1857" s="3">
        <v>6000</v>
      </c>
      <c r="L1857" t="s">
        <v>66</v>
      </c>
      <c r="M1857" t="s">
        <v>51</v>
      </c>
      <c r="N1857" t="s">
        <v>23</v>
      </c>
      <c r="O1857" t="s">
        <v>91</v>
      </c>
    </row>
    <row r="1858" spans="1:15" x14ac:dyDescent="0.35">
      <c r="A1858" t="s">
        <v>2905</v>
      </c>
      <c r="B1858" s="2">
        <v>46280</v>
      </c>
      <c r="C1858" t="s">
        <v>183</v>
      </c>
      <c r="D1858" t="s">
        <v>514</v>
      </c>
      <c r="E1858" t="s">
        <v>18</v>
      </c>
      <c r="F1858" t="s">
        <v>18</v>
      </c>
      <c r="G1858" t="s">
        <v>34</v>
      </c>
      <c r="H1858" t="s">
        <v>86</v>
      </c>
      <c r="I1858">
        <v>10</v>
      </c>
      <c r="J1858" s="3">
        <v>171000</v>
      </c>
      <c r="K1858" s="3">
        <v>131000</v>
      </c>
      <c r="L1858" t="s">
        <v>96</v>
      </c>
      <c r="M1858" t="s">
        <v>37</v>
      </c>
      <c r="N1858" t="s">
        <v>87</v>
      </c>
      <c r="O1858" t="s">
        <v>24</v>
      </c>
    </row>
    <row r="1859" spans="1:15" x14ac:dyDescent="0.35">
      <c r="A1859" t="s">
        <v>2906</v>
      </c>
      <c r="B1859" s="2">
        <v>46156</v>
      </c>
      <c r="C1859" t="s">
        <v>1143</v>
      </c>
      <c r="D1859" t="s">
        <v>1908</v>
      </c>
      <c r="E1859" t="s">
        <v>41</v>
      </c>
      <c r="F1859" t="s">
        <v>42</v>
      </c>
      <c r="G1859" t="s">
        <v>19</v>
      </c>
      <c r="H1859" t="s">
        <v>112</v>
      </c>
      <c r="I1859">
        <v>4</v>
      </c>
      <c r="J1859" s="3">
        <v>89200</v>
      </c>
      <c r="K1859" s="3">
        <v>60100</v>
      </c>
      <c r="L1859" t="s">
        <v>96</v>
      </c>
      <c r="M1859" t="s">
        <v>37</v>
      </c>
      <c r="N1859" t="s">
        <v>52</v>
      </c>
      <c r="O1859" t="s">
        <v>24</v>
      </c>
    </row>
    <row r="1860" spans="1:15" x14ac:dyDescent="0.35">
      <c r="A1860" t="s">
        <v>2907</v>
      </c>
      <c r="B1860" s="2">
        <v>46215</v>
      </c>
      <c r="C1860" t="s">
        <v>1463</v>
      </c>
      <c r="D1860" t="s">
        <v>356</v>
      </c>
      <c r="E1860" t="s">
        <v>190</v>
      </c>
      <c r="F1860" t="s">
        <v>191</v>
      </c>
      <c r="G1860" t="s">
        <v>19</v>
      </c>
      <c r="H1860" t="s">
        <v>112</v>
      </c>
      <c r="I1860">
        <v>8</v>
      </c>
      <c r="J1860" s="3">
        <v>85000</v>
      </c>
      <c r="K1860" s="3">
        <v>62000</v>
      </c>
      <c r="L1860" t="s">
        <v>66</v>
      </c>
      <c r="M1860" t="s">
        <v>31</v>
      </c>
      <c r="N1860" t="s">
        <v>23</v>
      </c>
      <c r="O1860" t="s">
        <v>45</v>
      </c>
    </row>
    <row r="1861" spans="1:15" x14ac:dyDescent="0.35">
      <c r="A1861" t="s">
        <v>2908</v>
      </c>
      <c r="B1861" s="2">
        <v>46368</v>
      </c>
      <c r="C1861" t="s">
        <v>2909</v>
      </c>
      <c r="D1861" t="s">
        <v>1591</v>
      </c>
      <c r="E1861" t="s">
        <v>190</v>
      </c>
      <c r="F1861" t="s">
        <v>191</v>
      </c>
      <c r="G1861" t="s">
        <v>34</v>
      </c>
      <c r="H1861" t="s">
        <v>95</v>
      </c>
      <c r="I1861">
        <v>9</v>
      </c>
      <c r="J1861" s="3">
        <v>450000</v>
      </c>
      <c r="K1861" s="3">
        <v>381100</v>
      </c>
      <c r="L1861" t="s">
        <v>36</v>
      </c>
      <c r="M1861" t="s">
        <v>37</v>
      </c>
      <c r="N1861" t="s">
        <v>23</v>
      </c>
      <c r="O1861" t="s">
        <v>24</v>
      </c>
    </row>
    <row r="1862" spans="1:15" x14ac:dyDescent="0.35">
      <c r="A1862" t="s">
        <v>2910</v>
      </c>
      <c r="B1862" s="2">
        <v>46223</v>
      </c>
      <c r="C1862" t="s">
        <v>193</v>
      </c>
      <c r="D1862" t="s">
        <v>2245</v>
      </c>
      <c r="E1862" t="s">
        <v>84</v>
      </c>
      <c r="F1862" t="s">
        <v>85</v>
      </c>
      <c r="G1862" t="s">
        <v>19</v>
      </c>
      <c r="H1862" t="s">
        <v>20</v>
      </c>
      <c r="I1862">
        <v>3</v>
      </c>
      <c r="J1862" s="3">
        <v>65000</v>
      </c>
      <c r="K1862" s="3">
        <v>43600</v>
      </c>
      <c r="L1862" t="s">
        <v>80</v>
      </c>
      <c r="M1862" t="s">
        <v>31</v>
      </c>
      <c r="N1862" t="s">
        <v>23</v>
      </c>
      <c r="O1862" t="s">
        <v>24</v>
      </c>
    </row>
    <row r="1863" spans="1:15" x14ac:dyDescent="0.35">
      <c r="A1863" t="s">
        <v>2911</v>
      </c>
      <c r="B1863" s="2">
        <v>46266</v>
      </c>
      <c r="C1863" t="s">
        <v>2559</v>
      </c>
      <c r="D1863" t="s">
        <v>213</v>
      </c>
      <c r="E1863" t="s">
        <v>56</v>
      </c>
      <c r="F1863" t="s">
        <v>57</v>
      </c>
      <c r="G1863" t="s">
        <v>19</v>
      </c>
      <c r="H1863" t="s">
        <v>61</v>
      </c>
      <c r="I1863">
        <v>10</v>
      </c>
      <c r="J1863" s="3">
        <v>220000</v>
      </c>
      <c r="K1863" s="3">
        <v>155200</v>
      </c>
      <c r="L1863" t="s">
        <v>30</v>
      </c>
      <c r="M1863" t="s">
        <v>31</v>
      </c>
      <c r="N1863" t="s">
        <v>52</v>
      </c>
      <c r="O1863" t="s">
        <v>24</v>
      </c>
    </row>
    <row r="1864" spans="1:15" x14ac:dyDescent="0.35">
      <c r="A1864" t="s">
        <v>2912</v>
      </c>
      <c r="B1864" s="2">
        <v>46320</v>
      </c>
      <c r="C1864" t="s">
        <v>1237</v>
      </c>
      <c r="D1864" t="s">
        <v>922</v>
      </c>
      <c r="E1864" t="s">
        <v>18</v>
      </c>
      <c r="F1864" t="s">
        <v>18</v>
      </c>
      <c r="G1864" t="s">
        <v>43</v>
      </c>
      <c r="H1864" t="s">
        <v>79</v>
      </c>
      <c r="I1864">
        <v>3</v>
      </c>
      <c r="J1864" s="3">
        <v>6300</v>
      </c>
      <c r="K1864" s="3">
        <v>4100</v>
      </c>
      <c r="L1864" t="s">
        <v>96</v>
      </c>
      <c r="M1864" t="s">
        <v>31</v>
      </c>
      <c r="N1864" t="s">
        <v>87</v>
      </c>
      <c r="O1864" t="s">
        <v>91</v>
      </c>
    </row>
    <row r="1865" spans="1:15" x14ac:dyDescent="0.35">
      <c r="A1865" t="s">
        <v>2913</v>
      </c>
      <c r="B1865" s="2">
        <v>46358</v>
      </c>
      <c r="C1865" t="s">
        <v>261</v>
      </c>
      <c r="D1865" t="s">
        <v>388</v>
      </c>
      <c r="E1865" t="s">
        <v>70</v>
      </c>
      <c r="F1865" t="s">
        <v>71</v>
      </c>
      <c r="G1865" t="s">
        <v>19</v>
      </c>
      <c r="H1865" t="s">
        <v>112</v>
      </c>
      <c r="I1865">
        <v>4</v>
      </c>
      <c r="J1865" s="3">
        <v>85000</v>
      </c>
      <c r="K1865" s="3">
        <v>60100</v>
      </c>
      <c r="L1865" t="s">
        <v>80</v>
      </c>
      <c r="M1865" t="s">
        <v>37</v>
      </c>
      <c r="N1865" t="s">
        <v>52</v>
      </c>
      <c r="O1865" t="s">
        <v>24</v>
      </c>
    </row>
    <row r="1866" spans="1:15" x14ac:dyDescent="0.35">
      <c r="A1866" t="s">
        <v>2914</v>
      </c>
      <c r="B1866" s="2">
        <v>46267</v>
      </c>
      <c r="C1866" t="s">
        <v>605</v>
      </c>
      <c r="D1866" t="s">
        <v>83</v>
      </c>
      <c r="E1866" t="s">
        <v>156</v>
      </c>
      <c r="F1866" t="s">
        <v>157</v>
      </c>
      <c r="G1866" t="s">
        <v>19</v>
      </c>
      <c r="H1866" t="s">
        <v>112</v>
      </c>
      <c r="I1866">
        <v>3</v>
      </c>
      <c r="J1866" s="3">
        <v>89200</v>
      </c>
      <c r="K1866" s="3">
        <v>60100</v>
      </c>
      <c r="L1866" t="s">
        <v>21</v>
      </c>
      <c r="M1866" t="s">
        <v>51</v>
      </c>
      <c r="N1866" t="s">
        <v>23</v>
      </c>
      <c r="O1866" t="s">
        <v>24</v>
      </c>
    </row>
    <row r="1867" spans="1:15" x14ac:dyDescent="0.35">
      <c r="A1867" t="s">
        <v>2915</v>
      </c>
      <c r="B1867" s="2">
        <v>46213</v>
      </c>
      <c r="C1867" t="s">
        <v>825</v>
      </c>
      <c r="D1867" t="s">
        <v>1157</v>
      </c>
      <c r="E1867" t="s">
        <v>18</v>
      </c>
      <c r="F1867" t="s">
        <v>18</v>
      </c>
      <c r="G1867" t="s">
        <v>34</v>
      </c>
      <c r="H1867" t="s">
        <v>141</v>
      </c>
      <c r="I1867">
        <v>3</v>
      </c>
      <c r="J1867" s="3">
        <v>160000</v>
      </c>
      <c r="K1867" s="3">
        <v>120000</v>
      </c>
      <c r="L1867" t="s">
        <v>36</v>
      </c>
      <c r="M1867" t="s">
        <v>37</v>
      </c>
      <c r="N1867" t="s">
        <v>52</v>
      </c>
      <c r="O1867" t="s">
        <v>24</v>
      </c>
    </row>
    <row r="1868" spans="1:15" x14ac:dyDescent="0.35">
      <c r="A1868" t="s">
        <v>2916</v>
      </c>
      <c r="B1868" s="2">
        <v>46143</v>
      </c>
      <c r="C1868" t="s">
        <v>671</v>
      </c>
      <c r="D1868" t="s">
        <v>397</v>
      </c>
      <c r="E1868" t="s">
        <v>41</v>
      </c>
      <c r="F1868" t="s">
        <v>42</v>
      </c>
      <c r="G1868" t="s">
        <v>19</v>
      </c>
      <c r="H1868" t="s">
        <v>166</v>
      </c>
      <c r="I1868">
        <v>5</v>
      </c>
      <c r="J1868" s="3">
        <v>147000</v>
      </c>
      <c r="K1868" s="3">
        <v>100000</v>
      </c>
      <c r="L1868" t="s">
        <v>36</v>
      </c>
      <c r="M1868" t="s">
        <v>51</v>
      </c>
      <c r="N1868" t="s">
        <v>23</v>
      </c>
      <c r="O1868" t="s">
        <v>24</v>
      </c>
    </row>
    <row r="1869" spans="1:15" x14ac:dyDescent="0.35">
      <c r="A1869" t="s">
        <v>2917</v>
      </c>
      <c r="B1869" s="2">
        <v>46228</v>
      </c>
      <c r="C1869" t="s">
        <v>1879</v>
      </c>
      <c r="D1869" t="s">
        <v>2098</v>
      </c>
      <c r="E1869" t="s">
        <v>18</v>
      </c>
      <c r="F1869" t="s">
        <v>18</v>
      </c>
      <c r="G1869" t="s">
        <v>34</v>
      </c>
      <c r="H1869" t="s">
        <v>35</v>
      </c>
      <c r="I1869">
        <v>6</v>
      </c>
      <c r="J1869" s="3">
        <v>57800</v>
      </c>
      <c r="K1869" s="3">
        <v>37800</v>
      </c>
      <c r="L1869" t="s">
        <v>96</v>
      </c>
      <c r="M1869" t="s">
        <v>31</v>
      </c>
      <c r="N1869" t="s">
        <v>23</v>
      </c>
      <c r="O1869" t="s">
        <v>24</v>
      </c>
    </row>
    <row r="1870" spans="1:15" x14ac:dyDescent="0.35">
      <c r="A1870" t="s">
        <v>2918</v>
      </c>
      <c r="B1870" s="2">
        <v>46268</v>
      </c>
      <c r="C1870" t="s">
        <v>621</v>
      </c>
      <c r="D1870" t="s">
        <v>501</v>
      </c>
      <c r="E1870" t="s">
        <v>18</v>
      </c>
      <c r="F1870" t="s">
        <v>18</v>
      </c>
      <c r="G1870" t="s">
        <v>34</v>
      </c>
      <c r="H1870" t="s">
        <v>35</v>
      </c>
      <c r="I1870">
        <v>5</v>
      </c>
      <c r="J1870" s="3">
        <v>52200</v>
      </c>
      <c r="K1870" s="3">
        <v>39000</v>
      </c>
      <c r="L1870" t="s">
        <v>50</v>
      </c>
      <c r="M1870" t="s">
        <v>37</v>
      </c>
      <c r="N1870" t="s">
        <v>52</v>
      </c>
      <c r="O1870" t="s">
        <v>24</v>
      </c>
    </row>
    <row r="1871" spans="1:15" x14ac:dyDescent="0.35">
      <c r="A1871" t="s">
        <v>2919</v>
      </c>
      <c r="B1871" s="2">
        <v>46049</v>
      </c>
      <c r="C1871" t="s">
        <v>877</v>
      </c>
      <c r="D1871" t="s">
        <v>1760</v>
      </c>
      <c r="E1871" t="s">
        <v>56</v>
      </c>
      <c r="F1871" t="s">
        <v>57</v>
      </c>
      <c r="G1871" t="s">
        <v>34</v>
      </c>
      <c r="H1871" t="s">
        <v>86</v>
      </c>
      <c r="I1871">
        <v>4</v>
      </c>
      <c r="J1871" s="3">
        <v>189000</v>
      </c>
      <c r="K1871" s="3">
        <v>131000</v>
      </c>
      <c r="L1871" t="s">
        <v>30</v>
      </c>
      <c r="M1871" t="s">
        <v>37</v>
      </c>
      <c r="N1871" t="s">
        <v>23</v>
      </c>
      <c r="O1871" t="s">
        <v>24</v>
      </c>
    </row>
    <row r="1872" spans="1:15" x14ac:dyDescent="0.35">
      <c r="A1872" t="s">
        <v>2920</v>
      </c>
      <c r="B1872" s="2">
        <v>46175</v>
      </c>
      <c r="C1872" t="s">
        <v>361</v>
      </c>
      <c r="D1872" t="s">
        <v>144</v>
      </c>
      <c r="E1872" t="s">
        <v>77</v>
      </c>
      <c r="F1872" t="s">
        <v>78</v>
      </c>
      <c r="G1872" t="s">
        <v>34</v>
      </c>
      <c r="H1872" t="s">
        <v>35</v>
      </c>
      <c r="I1872">
        <v>5</v>
      </c>
      <c r="J1872" s="3">
        <v>52200</v>
      </c>
      <c r="K1872" s="3">
        <v>39000</v>
      </c>
      <c r="L1872" t="s">
        <v>80</v>
      </c>
      <c r="M1872" t="s">
        <v>37</v>
      </c>
      <c r="N1872" t="s">
        <v>23</v>
      </c>
      <c r="O1872" t="s">
        <v>45</v>
      </c>
    </row>
    <row r="1873" spans="1:15" x14ac:dyDescent="0.35">
      <c r="A1873" t="s">
        <v>2921</v>
      </c>
      <c r="B1873" s="2">
        <v>46086</v>
      </c>
      <c r="C1873" t="s">
        <v>976</v>
      </c>
      <c r="D1873" t="s">
        <v>1077</v>
      </c>
      <c r="E1873" t="s">
        <v>41</v>
      </c>
      <c r="F1873" t="s">
        <v>42</v>
      </c>
      <c r="G1873" t="s">
        <v>19</v>
      </c>
      <c r="H1873" t="s">
        <v>166</v>
      </c>
      <c r="I1873">
        <v>4</v>
      </c>
      <c r="J1873" s="3">
        <v>133000</v>
      </c>
      <c r="K1873" s="3">
        <v>97000</v>
      </c>
      <c r="L1873" t="s">
        <v>36</v>
      </c>
      <c r="M1873" t="s">
        <v>51</v>
      </c>
      <c r="N1873" t="s">
        <v>87</v>
      </c>
      <c r="O1873" t="s">
        <v>24</v>
      </c>
    </row>
    <row r="1874" spans="1:15" x14ac:dyDescent="0.35">
      <c r="A1874" t="s">
        <v>2922</v>
      </c>
      <c r="B1874" s="2">
        <v>46333</v>
      </c>
      <c r="C1874" t="s">
        <v>853</v>
      </c>
      <c r="D1874" t="s">
        <v>703</v>
      </c>
      <c r="E1874" t="s">
        <v>18</v>
      </c>
      <c r="F1874" t="s">
        <v>18</v>
      </c>
      <c r="G1874" t="s">
        <v>43</v>
      </c>
      <c r="H1874" t="s">
        <v>177</v>
      </c>
      <c r="I1874">
        <v>10</v>
      </c>
      <c r="J1874" s="3">
        <v>18000</v>
      </c>
      <c r="K1874" s="3">
        <v>12100</v>
      </c>
      <c r="L1874" t="s">
        <v>96</v>
      </c>
      <c r="M1874" t="s">
        <v>37</v>
      </c>
      <c r="N1874" t="s">
        <v>23</v>
      </c>
      <c r="O1874" t="s">
        <v>24</v>
      </c>
    </row>
    <row r="1875" spans="1:15" x14ac:dyDescent="0.35">
      <c r="A1875" t="s">
        <v>2923</v>
      </c>
      <c r="B1875" s="2">
        <v>46210</v>
      </c>
      <c r="C1875" t="s">
        <v>196</v>
      </c>
      <c r="D1875" t="s">
        <v>435</v>
      </c>
      <c r="E1875" t="s">
        <v>190</v>
      </c>
      <c r="F1875" t="s">
        <v>191</v>
      </c>
      <c r="G1875" t="s">
        <v>19</v>
      </c>
      <c r="H1875" t="s">
        <v>166</v>
      </c>
      <c r="I1875">
        <v>1</v>
      </c>
      <c r="J1875" s="3">
        <v>140000</v>
      </c>
      <c r="K1875" s="3">
        <v>97000</v>
      </c>
      <c r="L1875" t="s">
        <v>50</v>
      </c>
      <c r="M1875" t="s">
        <v>51</v>
      </c>
      <c r="N1875" t="s">
        <v>87</v>
      </c>
      <c r="O1875" t="s">
        <v>24</v>
      </c>
    </row>
    <row r="1876" spans="1:15" x14ac:dyDescent="0.35">
      <c r="A1876" t="s">
        <v>2924</v>
      </c>
      <c r="B1876" s="2">
        <v>46351</v>
      </c>
      <c r="C1876" t="s">
        <v>799</v>
      </c>
      <c r="D1876" t="s">
        <v>1171</v>
      </c>
      <c r="E1876" t="s">
        <v>156</v>
      </c>
      <c r="F1876" t="s">
        <v>157</v>
      </c>
      <c r="G1876" t="s">
        <v>34</v>
      </c>
      <c r="H1876" t="s">
        <v>35</v>
      </c>
      <c r="I1876">
        <v>7</v>
      </c>
      <c r="J1876" s="3">
        <v>57800</v>
      </c>
      <c r="K1876" s="3">
        <v>40200</v>
      </c>
      <c r="L1876" t="s">
        <v>36</v>
      </c>
      <c r="M1876" t="s">
        <v>37</v>
      </c>
      <c r="N1876" t="s">
        <v>23</v>
      </c>
      <c r="O1876" t="s">
        <v>24</v>
      </c>
    </row>
    <row r="1877" spans="1:15" x14ac:dyDescent="0.35">
      <c r="A1877" t="s">
        <v>2925</v>
      </c>
      <c r="B1877" s="2">
        <v>46093</v>
      </c>
      <c r="C1877" t="s">
        <v>437</v>
      </c>
      <c r="D1877" t="s">
        <v>414</v>
      </c>
      <c r="E1877" t="s">
        <v>41</v>
      </c>
      <c r="F1877" t="s">
        <v>42</v>
      </c>
      <c r="G1877" t="s">
        <v>34</v>
      </c>
      <c r="H1877" t="s">
        <v>86</v>
      </c>
      <c r="I1877">
        <v>4</v>
      </c>
      <c r="J1877" s="3">
        <v>171000</v>
      </c>
      <c r="K1877" s="3">
        <v>131000</v>
      </c>
      <c r="L1877" t="s">
        <v>30</v>
      </c>
      <c r="M1877" t="s">
        <v>37</v>
      </c>
      <c r="N1877" t="s">
        <v>87</v>
      </c>
      <c r="O1877" t="s">
        <v>45</v>
      </c>
    </row>
    <row r="1878" spans="1:15" x14ac:dyDescent="0.35">
      <c r="A1878" t="s">
        <v>2926</v>
      </c>
      <c r="B1878" s="2">
        <v>46376</v>
      </c>
      <c r="C1878" t="s">
        <v>825</v>
      </c>
      <c r="D1878" t="s">
        <v>2174</v>
      </c>
      <c r="E1878" t="s">
        <v>156</v>
      </c>
      <c r="F1878" t="s">
        <v>170</v>
      </c>
      <c r="G1878" t="s">
        <v>19</v>
      </c>
      <c r="H1878" t="s">
        <v>20</v>
      </c>
      <c r="I1878">
        <v>9</v>
      </c>
      <c r="J1878" s="3">
        <v>61800</v>
      </c>
      <c r="K1878" s="3">
        <v>46400</v>
      </c>
      <c r="L1878" t="s">
        <v>96</v>
      </c>
      <c r="M1878" t="s">
        <v>22</v>
      </c>
      <c r="N1878" t="s">
        <v>23</v>
      </c>
      <c r="O1878" t="s">
        <v>24</v>
      </c>
    </row>
    <row r="1879" spans="1:15" x14ac:dyDescent="0.35">
      <c r="A1879" t="s">
        <v>2927</v>
      </c>
      <c r="B1879" s="2">
        <v>46175</v>
      </c>
      <c r="C1879" t="s">
        <v>319</v>
      </c>
      <c r="D1879" t="s">
        <v>974</v>
      </c>
      <c r="E1879" t="s">
        <v>18</v>
      </c>
      <c r="F1879" t="s">
        <v>18</v>
      </c>
      <c r="G1879" t="s">
        <v>34</v>
      </c>
      <c r="H1879" t="s">
        <v>141</v>
      </c>
      <c r="I1879">
        <v>8</v>
      </c>
      <c r="J1879" s="3">
        <v>160000</v>
      </c>
      <c r="K1879" s="3">
        <v>123600</v>
      </c>
      <c r="L1879" t="s">
        <v>96</v>
      </c>
      <c r="M1879" t="s">
        <v>22</v>
      </c>
      <c r="N1879" t="s">
        <v>23</v>
      </c>
      <c r="O1879" t="s">
        <v>24</v>
      </c>
    </row>
    <row r="1880" spans="1:15" x14ac:dyDescent="0.35">
      <c r="A1880" t="s">
        <v>2928</v>
      </c>
      <c r="B1880" s="2">
        <v>46061</v>
      </c>
      <c r="C1880" t="s">
        <v>503</v>
      </c>
      <c r="D1880" t="s">
        <v>650</v>
      </c>
      <c r="E1880" t="s">
        <v>18</v>
      </c>
      <c r="F1880" t="s">
        <v>18</v>
      </c>
      <c r="G1880" t="s">
        <v>19</v>
      </c>
      <c r="H1880" t="s">
        <v>166</v>
      </c>
      <c r="I1880">
        <v>8</v>
      </c>
      <c r="J1880" s="3">
        <v>140000</v>
      </c>
      <c r="K1880" s="3">
        <v>103000</v>
      </c>
      <c r="L1880" t="s">
        <v>50</v>
      </c>
      <c r="M1880" t="s">
        <v>37</v>
      </c>
      <c r="N1880" t="s">
        <v>87</v>
      </c>
      <c r="O1880" t="s">
        <v>24</v>
      </c>
    </row>
    <row r="1881" spans="1:15" x14ac:dyDescent="0.35">
      <c r="A1881" t="s">
        <v>2929</v>
      </c>
      <c r="B1881" s="2">
        <v>46083</v>
      </c>
      <c r="C1881" t="s">
        <v>210</v>
      </c>
      <c r="D1881" t="s">
        <v>1598</v>
      </c>
      <c r="E1881" t="s">
        <v>18</v>
      </c>
      <c r="F1881" t="s">
        <v>18</v>
      </c>
      <c r="G1881" t="s">
        <v>34</v>
      </c>
      <c r="H1881" t="s">
        <v>141</v>
      </c>
      <c r="I1881">
        <v>7</v>
      </c>
      <c r="J1881" s="3">
        <v>168000</v>
      </c>
      <c r="K1881" s="3">
        <v>116400</v>
      </c>
      <c r="L1881" t="s">
        <v>80</v>
      </c>
      <c r="M1881" t="s">
        <v>51</v>
      </c>
      <c r="N1881" t="s">
        <v>52</v>
      </c>
      <c r="O1881" t="s">
        <v>45</v>
      </c>
    </row>
    <row r="1882" spans="1:15" x14ac:dyDescent="0.35">
      <c r="A1882" t="s">
        <v>2930</v>
      </c>
      <c r="B1882" s="2">
        <v>46245</v>
      </c>
      <c r="C1882" t="s">
        <v>431</v>
      </c>
      <c r="D1882" t="s">
        <v>1276</v>
      </c>
      <c r="E1882" t="s">
        <v>41</v>
      </c>
      <c r="F1882" t="s">
        <v>42</v>
      </c>
      <c r="G1882" t="s">
        <v>28</v>
      </c>
      <c r="H1882" t="s">
        <v>131</v>
      </c>
      <c r="I1882">
        <v>6</v>
      </c>
      <c r="J1882" s="3">
        <v>31500</v>
      </c>
      <c r="K1882" s="3">
        <v>19000</v>
      </c>
      <c r="L1882" t="s">
        <v>21</v>
      </c>
      <c r="M1882" t="s">
        <v>31</v>
      </c>
      <c r="N1882" t="s">
        <v>52</v>
      </c>
      <c r="O1882" t="s">
        <v>24</v>
      </c>
    </row>
    <row r="1883" spans="1:15" x14ac:dyDescent="0.35">
      <c r="A1883" t="s">
        <v>2931</v>
      </c>
      <c r="B1883" s="2">
        <v>46280</v>
      </c>
      <c r="C1883" t="s">
        <v>1143</v>
      </c>
      <c r="D1883" t="s">
        <v>672</v>
      </c>
      <c r="E1883" t="s">
        <v>70</v>
      </c>
      <c r="F1883" t="s">
        <v>71</v>
      </c>
      <c r="G1883" t="s">
        <v>43</v>
      </c>
      <c r="H1883" t="s">
        <v>44</v>
      </c>
      <c r="I1883">
        <v>7</v>
      </c>
      <c r="J1883" s="3">
        <v>14200</v>
      </c>
      <c r="K1883" s="3">
        <v>9500</v>
      </c>
      <c r="L1883" t="s">
        <v>80</v>
      </c>
      <c r="M1883" t="s">
        <v>51</v>
      </c>
      <c r="N1883" t="s">
        <v>52</v>
      </c>
      <c r="O1883" t="s">
        <v>45</v>
      </c>
    </row>
    <row r="1884" spans="1:15" x14ac:dyDescent="0.35">
      <c r="A1884" t="s">
        <v>2932</v>
      </c>
      <c r="B1884" s="2">
        <v>46283</v>
      </c>
      <c r="C1884" t="s">
        <v>730</v>
      </c>
      <c r="D1884" t="s">
        <v>340</v>
      </c>
      <c r="E1884" t="s">
        <v>41</v>
      </c>
      <c r="F1884" t="s">
        <v>42</v>
      </c>
      <c r="G1884" t="s">
        <v>34</v>
      </c>
      <c r="H1884" t="s">
        <v>158</v>
      </c>
      <c r="I1884">
        <v>1</v>
      </c>
      <c r="J1884" s="3">
        <v>95000</v>
      </c>
      <c r="K1884" s="3">
        <v>72100</v>
      </c>
      <c r="L1884" t="s">
        <v>73</v>
      </c>
      <c r="M1884" t="s">
        <v>51</v>
      </c>
      <c r="N1884" t="s">
        <v>23</v>
      </c>
      <c r="O1884" t="s">
        <v>24</v>
      </c>
    </row>
    <row r="1885" spans="1:15" x14ac:dyDescent="0.35">
      <c r="A1885" t="s">
        <v>2933</v>
      </c>
      <c r="B1885" s="2">
        <v>46202</v>
      </c>
      <c r="C1885" t="s">
        <v>995</v>
      </c>
      <c r="D1885" t="s">
        <v>540</v>
      </c>
      <c r="E1885" t="s">
        <v>18</v>
      </c>
      <c r="F1885" t="s">
        <v>18</v>
      </c>
      <c r="G1885" t="s">
        <v>34</v>
      </c>
      <c r="H1885" t="s">
        <v>158</v>
      </c>
      <c r="I1885">
        <v>6</v>
      </c>
      <c r="J1885" s="3">
        <v>99800</v>
      </c>
      <c r="K1885" s="3">
        <v>67900</v>
      </c>
      <c r="L1885" t="s">
        <v>21</v>
      </c>
      <c r="M1885" t="s">
        <v>31</v>
      </c>
      <c r="N1885" t="s">
        <v>23</v>
      </c>
      <c r="O1885" t="s">
        <v>24</v>
      </c>
    </row>
    <row r="1886" spans="1:15" x14ac:dyDescent="0.35">
      <c r="A1886" t="s">
        <v>2934</v>
      </c>
      <c r="B1886" s="2">
        <v>46321</v>
      </c>
      <c r="C1886" t="s">
        <v>1857</v>
      </c>
      <c r="D1886" t="s">
        <v>189</v>
      </c>
      <c r="E1886" t="s">
        <v>84</v>
      </c>
      <c r="F1886" t="s">
        <v>85</v>
      </c>
      <c r="G1886" t="s">
        <v>34</v>
      </c>
      <c r="H1886" t="s">
        <v>141</v>
      </c>
      <c r="I1886">
        <v>6</v>
      </c>
      <c r="J1886" s="3">
        <v>160000</v>
      </c>
      <c r="K1886" s="3">
        <v>116400</v>
      </c>
      <c r="L1886" t="s">
        <v>21</v>
      </c>
      <c r="M1886" t="s">
        <v>37</v>
      </c>
      <c r="N1886" t="s">
        <v>52</v>
      </c>
      <c r="O1886" t="s">
        <v>45</v>
      </c>
    </row>
    <row r="1887" spans="1:15" x14ac:dyDescent="0.35">
      <c r="A1887" t="s">
        <v>2935</v>
      </c>
      <c r="B1887" s="2">
        <v>46263</v>
      </c>
      <c r="C1887" t="s">
        <v>2011</v>
      </c>
      <c r="D1887" t="s">
        <v>403</v>
      </c>
      <c r="E1887" t="s">
        <v>41</v>
      </c>
      <c r="F1887" t="s">
        <v>42</v>
      </c>
      <c r="G1887" t="s">
        <v>28</v>
      </c>
      <c r="H1887" t="s">
        <v>65</v>
      </c>
      <c r="I1887">
        <v>6</v>
      </c>
      <c r="J1887" s="3">
        <v>12000</v>
      </c>
      <c r="K1887" s="3">
        <v>7500</v>
      </c>
      <c r="L1887" t="s">
        <v>50</v>
      </c>
      <c r="M1887" t="s">
        <v>51</v>
      </c>
      <c r="N1887" t="s">
        <v>52</v>
      </c>
      <c r="O1887" t="s">
        <v>24</v>
      </c>
    </row>
    <row r="1888" spans="1:15" x14ac:dyDescent="0.35">
      <c r="A1888" t="s">
        <v>2936</v>
      </c>
      <c r="B1888" s="2">
        <v>46298</v>
      </c>
      <c r="C1888" t="s">
        <v>1051</v>
      </c>
      <c r="D1888" t="s">
        <v>2016</v>
      </c>
      <c r="E1888" t="s">
        <v>41</v>
      </c>
      <c r="F1888" t="s">
        <v>42</v>
      </c>
      <c r="G1888" t="s">
        <v>34</v>
      </c>
      <c r="H1888" t="s">
        <v>95</v>
      </c>
      <c r="I1888">
        <v>7</v>
      </c>
      <c r="J1888" s="3">
        <v>450000</v>
      </c>
      <c r="K1888" s="3">
        <v>381100</v>
      </c>
      <c r="L1888" t="s">
        <v>50</v>
      </c>
      <c r="M1888" t="s">
        <v>51</v>
      </c>
      <c r="N1888" t="s">
        <v>52</v>
      </c>
      <c r="O1888" t="s">
        <v>45</v>
      </c>
    </row>
    <row r="1889" spans="1:15" x14ac:dyDescent="0.35">
      <c r="A1889" t="s">
        <v>2937</v>
      </c>
      <c r="B1889" s="2">
        <v>46375</v>
      </c>
      <c r="C1889" t="s">
        <v>1788</v>
      </c>
      <c r="D1889" t="s">
        <v>1038</v>
      </c>
      <c r="E1889" t="s">
        <v>56</v>
      </c>
      <c r="F1889" t="s">
        <v>57</v>
      </c>
      <c r="G1889" t="s">
        <v>19</v>
      </c>
      <c r="H1889" t="s">
        <v>20</v>
      </c>
      <c r="I1889">
        <v>3</v>
      </c>
      <c r="J1889" s="3">
        <v>68200</v>
      </c>
      <c r="K1889" s="3">
        <v>43600</v>
      </c>
      <c r="L1889" t="s">
        <v>73</v>
      </c>
      <c r="M1889" t="s">
        <v>37</v>
      </c>
      <c r="N1889" t="s">
        <v>52</v>
      </c>
      <c r="O1889" t="s">
        <v>45</v>
      </c>
    </row>
    <row r="1890" spans="1:15" x14ac:dyDescent="0.35">
      <c r="A1890" t="s">
        <v>2938</v>
      </c>
      <c r="B1890" s="2">
        <v>46095</v>
      </c>
      <c r="C1890" t="s">
        <v>791</v>
      </c>
      <c r="D1890" t="s">
        <v>152</v>
      </c>
      <c r="E1890" t="s">
        <v>18</v>
      </c>
      <c r="F1890" t="s">
        <v>18</v>
      </c>
      <c r="G1890" t="s">
        <v>34</v>
      </c>
      <c r="H1890" t="s">
        <v>35</v>
      </c>
      <c r="I1890">
        <v>7</v>
      </c>
      <c r="J1890" s="3">
        <v>52200</v>
      </c>
      <c r="K1890" s="3">
        <v>37800</v>
      </c>
      <c r="L1890" t="s">
        <v>80</v>
      </c>
      <c r="M1890" t="s">
        <v>22</v>
      </c>
      <c r="N1890" t="s">
        <v>23</v>
      </c>
      <c r="O1890" t="s">
        <v>24</v>
      </c>
    </row>
    <row r="1891" spans="1:15" x14ac:dyDescent="0.35">
      <c r="A1891" t="s">
        <v>2939</v>
      </c>
      <c r="B1891" s="2">
        <v>46182</v>
      </c>
      <c r="C1891" t="s">
        <v>908</v>
      </c>
      <c r="D1891" t="s">
        <v>986</v>
      </c>
      <c r="E1891" t="s">
        <v>18</v>
      </c>
      <c r="F1891" t="s">
        <v>18</v>
      </c>
      <c r="G1891" t="s">
        <v>19</v>
      </c>
      <c r="H1891" t="s">
        <v>112</v>
      </c>
      <c r="I1891">
        <v>10</v>
      </c>
      <c r="J1891" s="3">
        <v>89200</v>
      </c>
      <c r="K1891" s="3">
        <v>60100</v>
      </c>
      <c r="L1891" t="s">
        <v>30</v>
      </c>
      <c r="M1891" t="s">
        <v>37</v>
      </c>
      <c r="N1891" t="s">
        <v>52</v>
      </c>
      <c r="O1891" t="s">
        <v>24</v>
      </c>
    </row>
    <row r="1892" spans="1:15" x14ac:dyDescent="0.35">
      <c r="A1892" t="s">
        <v>2940</v>
      </c>
      <c r="B1892" s="2">
        <v>46035</v>
      </c>
      <c r="C1892" t="s">
        <v>172</v>
      </c>
      <c r="D1892" t="s">
        <v>1126</v>
      </c>
      <c r="E1892" t="s">
        <v>18</v>
      </c>
      <c r="F1892" t="s">
        <v>18</v>
      </c>
      <c r="G1892" t="s">
        <v>34</v>
      </c>
      <c r="H1892" t="s">
        <v>158</v>
      </c>
      <c r="I1892">
        <v>5</v>
      </c>
      <c r="J1892" s="3">
        <v>95000</v>
      </c>
      <c r="K1892" s="3">
        <v>70000</v>
      </c>
      <c r="L1892" t="s">
        <v>50</v>
      </c>
      <c r="M1892" t="s">
        <v>37</v>
      </c>
      <c r="N1892" t="s">
        <v>23</v>
      </c>
      <c r="O1892" t="s">
        <v>45</v>
      </c>
    </row>
    <row r="1893" spans="1:15" x14ac:dyDescent="0.35">
      <c r="A1893" t="s">
        <v>2941</v>
      </c>
      <c r="B1893" s="2">
        <v>46225</v>
      </c>
      <c r="C1893" t="s">
        <v>1448</v>
      </c>
      <c r="D1893" t="s">
        <v>2443</v>
      </c>
      <c r="E1893" t="s">
        <v>18</v>
      </c>
      <c r="F1893" t="s">
        <v>18</v>
      </c>
      <c r="G1893" t="s">
        <v>19</v>
      </c>
      <c r="H1893" t="s">
        <v>112</v>
      </c>
      <c r="I1893">
        <v>6</v>
      </c>
      <c r="J1893" s="3">
        <v>85000</v>
      </c>
      <c r="K1893" s="3">
        <v>63900</v>
      </c>
      <c r="L1893" t="s">
        <v>73</v>
      </c>
      <c r="M1893" t="s">
        <v>51</v>
      </c>
      <c r="N1893" t="s">
        <v>52</v>
      </c>
      <c r="O1893" t="s">
        <v>24</v>
      </c>
    </row>
    <row r="1894" spans="1:15" x14ac:dyDescent="0.35">
      <c r="A1894" t="s">
        <v>2942</v>
      </c>
      <c r="B1894" s="2">
        <v>46101</v>
      </c>
      <c r="C1894" t="s">
        <v>1185</v>
      </c>
      <c r="D1894" t="s">
        <v>1921</v>
      </c>
      <c r="E1894" t="s">
        <v>41</v>
      </c>
      <c r="F1894" t="s">
        <v>42</v>
      </c>
      <c r="G1894" t="s">
        <v>34</v>
      </c>
      <c r="H1894" t="s">
        <v>86</v>
      </c>
      <c r="I1894">
        <v>8</v>
      </c>
      <c r="J1894" s="3">
        <v>189000</v>
      </c>
      <c r="K1894" s="3">
        <v>135000</v>
      </c>
      <c r="L1894" t="s">
        <v>50</v>
      </c>
      <c r="M1894" t="s">
        <v>37</v>
      </c>
      <c r="N1894" t="s">
        <v>52</v>
      </c>
      <c r="O1894" t="s">
        <v>24</v>
      </c>
    </row>
    <row r="1895" spans="1:15" x14ac:dyDescent="0.35">
      <c r="A1895" t="s">
        <v>2943</v>
      </c>
      <c r="B1895" s="2">
        <v>46032</v>
      </c>
      <c r="C1895" t="s">
        <v>212</v>
      </c>
      <c r="D1895" t="s">
        <v>1839</v>
      </c>
      <c r="E1895" t="s">
        <v>77</v>
      </c>
      <c r="F1895" t="s">
        <v>78</v>
      </c>
      <c r="G1895" t="s">
        <v>43</v>
      </c>
      <c r="H1895" t="s">
        <v>79</v>
      </c>
      <c r="I1895">
        <v>3</v>
      </c>
      <c r="J1895" s="3">
        <v>6000</v>
      </c>
      <c r="K1895" s="3">
        <v>4100</v>
      </c>
      <c r="L1895" t="s">
        <v>80</v>
      </c>
      <c r="M1895" t="s">
        <v>51</v>
      </c>
      <c r="N1895" t="s">
        <v>23</v>
      </c>
      <c r="O1895" t="s">
        <v>24</v>
      </c>
    </row>
    <row r="1896" spans="1:15" x14ac:dyDescent="0.35">
      <c r="A1896" t="s">
        <v>2944</v>
      </c>
      <c r="B1896" s="2">
        <v>46241</v>
      </c>
      <c r="C1896" t="s">
        <v>290</v>
      </c>
      <c r="D1896" t="s">
        <v>889</v>
      </c>
      <c r="E1896" t="s">
        <v>84</v>
      </c>
      <c r="F1896" t="s">
        <v>85</v>
      </c>
      <c r="G1896" t="s">
        <v>43</v>
      </c>
      <c r="H1896" t="s">
        <v>79</v>
      </c>
      <c r="I1896">
        <v>4</v>
      </c>
      <c r="J1896" s="3">
        <v>6300</v>
      </c>
      <c r="K1896" s="3">
        <v>4200</v>
      </c>
      <c r="L1896" t="s">
        <v>66</v>
      </c>
      <c r="M1896" t="s">
        <v>51</v>
      </c>
      <c r="N1896" t="s">
        <v>52</v>
      </c>
      <c r="O1896" t="s">
        <v>24</v>
      </c>
    </row>
    <row r="1897" spans="1:15" x14ac:dyDescent="0.35">
      <c r="A1897" t="s">
        <v>2945</v>
      </c>
      <c r="B1897" s="2">
        <v>46067</v>
      </c>
      <c r="C1897" t="s">
        <v>353</v>
      </c>
      <c r="D1897" t="s">
        <v>1052</v>
      </c>
      <c r="E1897" t="s">
        <v>84</v>
      </c>
      <c r="F1897" t="s">
        <v>85</v>
      </c>
      <c r="G1897" t="s">
        <v>34</v>
      </c>
      <c r="H1897" t="s">
        <v>86</v>
      </c>
      <c r="I1897">
        <v>10</v>
      </c>
      <c r="J1897" s="3">
        <v>180000</v>
      </c>
      <c r="K1897" s="3">
        <v>131000</v>
      </c>
      <c r="L1897" t="s">
        <v>80</v>
      </c>
      <c r="M1897" t="s">
        <v>51</v>
      </c>
      <c r="N1897" t="s">
        <v>23</v>
      </c>
      <c r="O1897" t="s">
        <v>24</v>
      </c>
    </row>
    <row r="1898" spans="1:15" x14ac:dyDescent="0.35">
      <c r="A1898" t="s">
        <v>2946</v>
      </c>
      <c r="B1898" s="2">
        <v>46115</v>
      </c>
      <c r="C1898" t="s">
        <v>730</v>
      </c>
      <c r="D1898" t="s">
        <v>627</v>
      </c>
      <c r="E1898" t="s">
        <v>84</v>
      </c>
      <c r="F1898" t="s">
        <v>85</v>
      </c>
      <c r="G1898" t="s">
        <v>19</v>
      </c>
      <c r="H1898" t="s">
        <v>20</v>
      </c>
      <c r="I1898">
        <v>7</v>
      </c>
      <c r="J1898" s="3">
        <v>65000</v>
      </c>
      <c r="K1898" s="3">
        <v>45000</v>
      </c>
      <c r="L1898" t="s">
        <v>36</v>
      </c>
      <c r="M1898" t="s">
        <v>22</v>
      </c>
      <c r="N1898" t="s">
        <v>87</v>
      </c>
      <c r="O1898" t="s">
        <v>24</v>
      </c>
    </row>
    <row r="1899" spans="1:15" x14ac:dyDescent="0.35">
      <c r="A1899" t="s">
        <v>2947</v>
      </c>
      <c r="B1899" s="2">
        <v>46078</v>
      </c>
      <c r="C1899" t="s">
        <v>413</v>
      </c>
      <c r="D1899" t="s">
        <v>1094</v>
      </c>
      <c r="E1899" t="s">
        <v>190</v>
      </c>
      <c r="F1899" t="s">
        <v>191</v>
      </c>
      <c r="G1899" t="s">
        <v>19</v>
      </c>
      <c r="H1899" t="s">
        <v>166</v>
      </c>
      <c r="I1899">
        <v>6</v>
      </c>
      <c r="J1899" s="3">
        <v>147000</v>
      </c>
      <c r="K1899" s="3">
        <v>100000</v>
      </c>
      <c r="L1899" t="s">
        <v>36</v>
      </c>
      <c r="M1899" t="s">
        <v>22</v>
      </c>
      <c r="N1899" t="s">
        <v>52</v>
      </c>
      <c r="O1899" t="s">
        <v>24</v>
      </c>
    </row>
    <row r="1900" spans="1:15" x14ac:dyDescent="0.35">
      <c r="A1900" t="s">
        <v>2948</v>
      </c>
      <c r="B1900" s="2">
        <v>46368</v>
      </c>
      <c r="C1900" t="s">
        <v>863</v>
      </c>
      <c r="D1900" t="s">
        <v>646</v>
      </c>
      <c r="E1900" t="s">
        <v>18</v>
      </c>
      <c r="F1900" t="s">
        <v>18</v>
      </c>
      <c r="G1900" t="s">
        <v>34</v>
      </c>
      <c r="H1900" t="s">
        <v>35</v>
      </c>
      <c r="I1900">
        <v>7</v>
      </c>
      <c r="J1900" s="3">
        <v>52200</v>
      </c>
      <c r="K1900" s="3">
        <v>39000</v>
      </c>
      <c r="L1900" t="s">
        <v>73</v>
      </c>
      <c r="M1900" t="s">
        <v>31</v>
      </c>
      <c r="N1900" t="s">
        <v>23</v>
      </c>
      <c r="O1900" t="s">
        <v>45</v>
      </c>
    </row>
    <row r="1901" spans="1:15" x14ac:dyDescent="0.35">
      <c r="A1901" t="s">
        <v>2949</v>
      </c>
      <c r="B1901" s="2">
        <v>46124</v>
      </c>
      <c r="C1901" t="s">
        <v>621</v>
      </c>
      <c r="D1901" t="s">
        <v>665</v>
      </c>
      <c r="E1901" t="s">
        <v>84</v>
      </c>
      <c r="F1901" t="s">
        <v>85</v>
      </c>
      <c r="G1901" t="s">
        <v>34</v>
      </c>
      <c r="H1901" t="s">
        <v>86</v>
      </c>
      <c r="I1901">
        <v>5</v>
      </c>
      <c r="J1901" s="3">
        <v>180000</v>
      </c>
      <c r="K1901" s="3">
        <v>139000</v>
      </c>
      <c r="L1901" t="s">
        <v>96</v>
      </c>
      <c r="M1901" t="s">
        <v>31</v>
      </c>
      <c r="N1901" t="s">
        <v>23</v>
      </c>
      <c r="O1901" t="s">
        <v>91</v>
      </c>
    </row>
    <row r="1902" spans="1:15" x14ac:dyDescent="0.35">
      <c r="A1902" t="s">
        <v>2950</v>
      </c>
      <c r="B1902" s="2">
        <v>46230</v>
      </c>
      <c r="C1902" t="s">
        <v>110</v>
      </c>
      <c r="D1902" t="s">
        <v>1262</v>
      </c>
      <c r="E1902" t="s">
        <v>18</v>
      </c>
      <c r="F1902" t="s">
        <v>18</v>
      </c>
      <c r="G1902" t="s">
        <v>34</v>
      </c>
      <c r="H1902" t="s">
        <v>95</v>
      </c>
      <c r="I1902">
        <v>2</v>
      </c>
      <c r="J1902" s="3">
        <v>427500</v>
      </c>
      <c r="K1902" s="3">
        <v>370000</v>
      </c>
      <c r="L1902" t="s">
        <v>80</v>
      </c>
      <c r="M1902" t="s">
        <v>22</v>
      </c>
      <c r="N1902" t="s">
        <v>52</v>
      </c>
      <c r="O1902" t="s">
        <v>91</v>
      </c>
    </row>
    <row r="1903" spans="1:15" x14ac:dyDescent="0.35">
      <c r="A1903" t="s">
        <v>2951</v>
      </c>
      <c r="B1903" s="2">
        <v>46240</v>
      </c>
      <c r="C1903" t="s">
        <v>104</v>
      </c>
      <c r="D1903" t="s">
        <v>667</v>
      </c>
      <c r="E1903" t="s">
        <v>56</v>
      </c>
      <c r="F1903" t="s">
        <v>57</v>
      </c>
      <c r="G1903" t="s">
        <v>43</v>
      </c>
      <c r="H1903" t="s">
        <v>44</v>
      </c>
      <c r="I1903">
        <v>2</v>
      </c>
      <c r="J1903" s="3">
        <v>15800</v>
      </c>
      <c r="K1903" s="3">
        <v>9800</v>
      </c>
      <c r="L1903" t="s">
        <v>50</v>
      </c>
      <c r="M1903" t="s">
        <v>51</v>
      </c>
      <c r="N1903" t="s">
        <v>87</v>
      </c>
      <c r="O1903" t="s">
        <v>91</v>
      </c>
    </row>
    <row r="1904" spans="1:15" x14ac:dyDescent="0.35">
      <c r="A1904" t="s">
        <v>2952</v>
      </c>
      <c r="B1904" s="2">
        <v>46225</v>
      </c>
      <c r="C1904" t="s">
        <v>2107</v>
      </c>
      <c r="D1904" t="s">
        <v>979</v>
      </c>
      <c r="E1904" t="s">
        <v>18</v>
      </c>
      <c r="F1904" t="s">
        <v>18</v>
      </c>
      <c r="G1904" t="s">
        <v>28</v>
      </c>
      <c r="H1904" t="s">
        <v>72</v>
      </c>
      <c r="I1904">
        <v>5</v>
      </c>
      <c r="J1904" s="3">
        <v>10500</v>
      </c>
      <c r="K1904" s="3">
        <v>6200</v>
      </c>
      <c r="L1904" t="s">
        <v>96</v>
      </c>
      <c r="M1904" t="s">
        <v>22</v>
      </c>
      <c r="N1904" t="s">
        <v>87</v>
      </c>
      <c r="O1904" t="s">
        <v>91</v>
      </c>
    </row>
    <row r="1905" spans="1:15" x14ac:dyDescent="0.35">
      <c r="A1905" t="s">
        <v>2953</v>
      </c>
      <c r="B1905" s="2">
        <v>46142</v>
      </c>
      <c r="C1905" t="s">
        <v>791</v>
      </c>
      <c r="D1905" t="s">
        <v>1913</v>
      </c>
      <c r="E1905" t="s">
        <v>77</v>
      </c>
      <c r="F1905" t="s">
        <v>78</v>
      </c>
      <c r="G1905" t="s">
        <v>34</v>
      </c>
      <c r="H1905" t="s">
        <v>141</v>
      </c>
      <c r="I1905">
        <v>10</v>
      </c>
      <c r="J1905" s="3">
        <v>152000</v>
      </c>
      <c r="K1905" s="3">
        <v>116400</v>
      </c>
      <c r="L1905" t="s">
        <v>80</v>
      </c>
      <c r="M1905" t="s">
        <v>51</v>
      </c>
      <c r="N1905" t="s">
        <v>23</v>
      </c>
      <c r="O1905" t="s">
        <v>91</v>
      </c>
    </row>
    <row r="1906" spans="1:15" x14ac:dyDescent="0.35">
      <c r="A1906" t="s">
        <v>2954</v>
      </c>
      <c r="B1906" s="2">
        <v>46269</v>
      </c>
      <c r="C1906" t="s">
        <v>868</v>
      </c>
      <c r="D1906" t="s">
        <v>1262</v>
      </c>
      <c r="E1906" t="s">
        <v>190</v>
      </c>
      <c r="F1906" t="s">
        <v>191</v>
      </c>
      <c r="G1906" t="s">
        <v>34</v>
      </c>
      <c r="H1906" t="s">
        <v>86</v>
      </c>
      <c r="I1906">
        <v>5</v>
      </c>
      <c r="J1906" s="3">
        <v>189000</v>
      </c>
      <c r="K1906" s="3">
        <v>135000</v>
      </c>
      <c r="L1906" t="s">
        <v>96</v>
      </c>
      <c r="M1906" t="s">
        <v>51</v>
      </c>
      <c r="N1906" t="s">
        <v>52</v>
      </c>
      <c r="O1906" t="s">
        <v>24</v>
      </c>
    </row>
    <row r="1907" spans="1:15" x14ac:dyDescent="0.35">
      <c r="A1907" t="s">
        <v>2955</v>
      </c>
      <c r="B1907" s="2">
        <v>46372</v>
      </c>
      <c r="C1907" t="s">
        <v>916</v>
      </c>
      <c r="D1907" t="s">
        <v>1120</v>
      </c>
      <c r="E1907" t="s">
        <v>18</v>
      </c>
      <c r="F1907" t="s">
        <v>18</v>
      </c>
      <c r="G1907" t="s">
        <v>19</v>
      </c>
      <c r="H1907" t="s">
        <v>112</v>
      </c>
      <c r="I1907">
        <v>9</v>
      </c>
      <c r="J1907" s="3">
        <v>85000</v>
      </c>
      <c r="K1907" s="3">
        <v>62000</v>
      </c>
      <c r="L1907" t="s">
        <v>80</v>
      </c>
      <c r="M1907" t="s">
        <v>22</v>
      </c>
      <c r="N1907" t="s">
        <v>23</v>
      </c>
      <c r="O1907" t="s">
        <v>24</v>
      </c>
    </row>
    <row r="1908" spans="1:15" x14ac:dyDescent="0.35">
      <c r="A1908" t="s">
        <v>2956</v>
      </c>
      <c r="B1908" s="2">
        <v>46068</v>
      </c>
      <c r="C1908" t="s">
        <v>1575</v>
      </c>
      <c r="D1908" t="s">
        <v>1132</v>
      </c>
      <c r="E1908" t="s">
        <v>18</v>
      </c>
      <c r="F1908" t="s">
        <v>18</v>
      </c>
      <c r="G1908" t="s">
        <v>28</v>
      </c>
      <c r="H1908" t="s">
        <v>65</v>
      </c>
      <c r="I1908">
        <v>4</v>
      </c>
      <c r="J1908" s="3">
        <v>11400</v>
      </c>
      <c r="K1908" s="3">
        <v>7500</v>
      </c>
      <c r="L1908" t="s">
        <v>36</v>
      </c>
      <c r="M1908" t="s">
        <v>37</v>
      </c>
      <c r="N1908" t="s">
        <v>52</v>
      </c>
      <c r="O1908" t="s">
        <v>24</v>
      </c>
    </row>
    <row r="1909" spans="1:15" x14ac:dyDescent="0.35">
      <c r="A1909" t="s">
        <v>2957</v>
      </c>
      <c r="B1909" s="2">
        <v>46220</v>
      </c>
      <c r="C1909" t="s">
        <v>2620</v>
      </c>
      <c r="D1909" t="s">
        <v>669</v>
      </c>
      <c r="E1909" t="s">
        <v>18</v>
      </c>
      <c r="F1909" t="s">
        <v>18</v>
      </c>
      <c r="G1909" t="s">
        <v>34</v>
      </c>
      <c r="H1909" t="s">
        <v>86</v>
      </c>
      <c r="I1909">
        <v>9</v>
      </c>
      <c r="J1909" s="3">
        <v>171000</v>
      </c>
      <c r="K1909" s="3">
        <v>135000</v>
      </c>
      <c r="L1909" t="s">
        <v>50</v>
      </c>
      <c r="M1909" t="s">
        <v>51</v>
      </c>
      <c r="N1909" t="s">
        <v>23</v>
      </c>
      <c r="O1909" t="s">
        <v>24</v>
      </c>
    </row>
    <row r="1910" spans="1:15" x14ac:dyDescent="0.35">
      <c r="A1910" t="s">
        <v>2958</v>
      </c>
      <c r="B1910" s="2">
        <v>46222</v>
      </c>
      <c r="C1910" t="s">
        <v>2107</v>
      </c>
      <c r="D1910" t="s">
        <v>1120</v>
      </c>
      <c r="E1910" t="s">
        <v>18</v>
      </c>
      <c r="F1910" t="s">
        <v>18</v>
      </c>
      <c r="G1910" t="s">
        <v>28</v>
      </c>
      <c r="H1910" t="s">
        <v>248</v>
      </c>
      <c r="I1910">
        <v>8</v>
      </c>
      <c r="J1910" s="3">
        <v>26200</v>
      </c>
      <c r="K1910" s="3">
        <v>16000</v>
      </c>
      <c r="L1910" t="s">
        <v>50</v>
      </c>
      <c r="M1910" t="s">
        <v>37</v>
      </c>
      <c r="N1910" t="s">
        <v>52</v>
      </c>
      <c r="O1910" t="s">
        <v>24</v>
      </c>
    </row>
    <row r="1911" spans="1:15" x14ac:dyDescent="0.35">
      <c r="A1911" t="s">
        <v>2959</v>
      </c>
      <c r="B1911" s="2">
        <v>46332</v>
      </c>
      <c r="C1911" t="s">
        <v>1321</v>
      </c>
      <c r="D1911" t="s">
        <v>2012</v>
      </c>
      <c r="E1911" t="s">
        <v>84</v>
      </c>
      <c r="F1911" t="s">
        <v>85</v>
      </c>
      <c r="G1911" t="s">
        <v>34</v>
      </c>
      <c r="H1911" t="s">
        <v>35</v>
      </c>
      <c r="I1911">
        <v>1</v>
      </c>
      <c r="J1911" s="3">
        <v>55000</v>
      </c>
      <c r="K1911" s="3">
        <v>39000</v>
      </c>
      <c r="L1911" t="s">
        <v>36</v>
      </c>
      <c r="M1911" t="s">
        <v>37</v>
      </c>
      <c r="N1911" t="s">
        <v>23</v>
      </c>
      <c r="O1911" t="s">
        <v>45</v>
      </c>
    </row>
    <row r="1912" spans="1:15" x14ac:dyDescent="0.35">
      <c r="A1912" t="s">
        <v>2960</v>
      </c>
      <c r="B1912" s="2">
        <v>46373</v>
      </c>
      <c r="C1912" t="s">
        <v>727</v>
      </c>
      <c r="D1912" t="s">
        <v>276</v>
      </c>
      <c r="E1912" t="s">
        <v>190</v>
      </c>
      <c r="F1912" t="s">
        <v>191</v>
      </c>
      <c r="G1912" t="s">
        <v>19</v>
      </c>
      <c r="H1912" t="s">
        <v>61</v>
      </c>
      <c r="I1912">
        <v>9</v>
      </c>
      <c r="J1912" s="3">
        <v>231000</v>
      </c>
      <c r="K1912" s="3">
        <v>160000</v>
      </c>
      <c r="L1912" t="s">
        <v>21</v>
      </c>
      <c r="M1912" t="s">
        <v>31</v>
      </c>
      <c r="N1912" t="s">
        <v>23</v>
      </c>
      <c r="O1912" t="s">
        <v>24</v>
      </c>
    </row>
    <row r="1913" spans="1:15" x14ac:dyDescent="0.35">
      <c r="A1913" t="s">
        <v>2961</v>
      </c>
      <c r="B1913" s="2">
        <v>46198</v>
      </c>
      <c r="C1913" t="s">
        <v>1410</v>
      </c>
      <c r="D1913" t="s">
        <v>1954</v>
      </c>
      <c r="E1913" t="s">
        <v>156</v>
      </c>
      <c r="F1913" t="s">
        <v>157</v>
      </c>
      <c r="G1913" t="s">
        <v>19</v>
      </c>
      <c r="H1913" t="s">
        <v>112</v>
      </c>
      <c r="I1913">
        <v>4</v>
      </c>
      <c r="J1913" s="3">
        <v>85000</v>
      </c>
      <c r="K1913" s="3">
        <v>60100</v>
      </c>
      <c r="L1913" t="s">
        <v>30</v>
      </c>
      <c r="M1913" t="s">
        <v>51</v>
      </c>
      <c r="N1913" t="s">
        <v>23</v>
      </c>
      <c r="O1913" t="s">
        <v>24</v>
      </c>
    </row>
    <row r="1914" spans="1:15" x14ac:dyDescent="0.35">
      <c r="A1914" t="s">
        <v>2962</v>
      </c>
      <c r="B1914" s="2">
        <v>46155</v>
      </c>
      <c r="C1914" t="s">
        <v>908</v>
      </c>
      <c r="D1914" t="s">
        <v>2174</v>
      </c>
      <c r="E1914" t="s">
        <v>190</v>
      </c>
      <c r="F1914" t="s">
        <v>191</v>
      </c>
      <c r="G1914" t="s">
        <v>19</v>
      </c>
      <c r="H1914" t="s">
        <v>61</v>
      </c>
      <c r="I1914">
        <v>8</v>
      </c>
      <c r="J1914" s="3">
        <v>209000</v>
      </c>
      <c r="K1914" s="3">
        <v>155200</v>
      </c>
      <c r="L1914" t="s">
        <v>36</v>
      </c>
      <c r="M1914" t="s">
        <v>31</v>
      </c>
      <c r="N1914" t="s">
        <v>23</v>
      </c>
      <c r="O1914" t="s">
        <v>45</v>
      </c>
    </row>
    <row r="1915" spans="1:15" x14ac:dyDescent="0.35">
      <c r="A1915" t="s">
        <v>2963</v>
      </c>
      <c r="B1915" s="2">
        <v>46128</v>
      </c>
      <c r="C1915" t="s">
        <v>908</v>
      </c>
      <c r="D1915" t="s">
        <v>2721</v>
      </c>
      <c r="E1915" t="s">
        <v>18</v>
      </c>
      <c r="F1915" t="s">
        <v>18</v>
      </c>
      <c r="G1915" t="s">
        <v>28</v>
      </c>
      <c r="H1915" t="s">
        <v>131</v>
      </c>
      <c r="I1915">
        <v>4</v>
      </c>
      <c r="J1915" s="3">
        <v>31500</v>
      </c>
      <c r="K1915" s="3">
        <v>19000</v>
      </c>
      <c r="L1915" t="s">
        <v>66</v>
      </c>
      <c r="M1915" t="s">
        <v>51</v>
      </c>
      <c r="N1915" t="s">
        <v>23</v>
      </c>
      <c r="O1915" t="s">
        <v>24</v>
      </c>
    </row>
    <row r="1916" spans="1:15" x14ac:dyDescent="0.35">
      <c r="A1916" t="s">
        <v>2964</v>
      </c>
      <c r="B1916" s="2">
        <v>46362</v>
      </c>
      <c r="C1916" t="s">
        <v>2965</v>
      </c>
      <c r="D1916" t="s">
        <v>27</v>
      </c>
      <c r="E1916" t="s">
        <v>18</v>
      </c>
      <c r="F1916" t="s">
        <v>18</v>
      </c>
      <c r="G1916" t="s">
        <v>19</v>
      </c>
      <c r="H1916" t="s">
        <v>112</v>
      </c>
      <c r="I1916">
        <v>10</v>
      </c>
      <c r="J1916" s="3">
        <v>80800</v>
      </c>
      <c r="K1916" s="3">
        <v>60100</v>
      </c>
      <c r="L1916" t="s">
        <v>66</v>
      </c>
      <c r="M1916" t="s">
        <v>51</v>
      </c>
      <c r="N1916" t="s">
        <v>23</v>
      </c>
      <c r="O1916" t="s">
        <v>24</v>
      </c>
    </row>
    <row r="1917" spans="1:15" x14ac:dyDescent="0.35">
      <c r="A1917" t="s">
        <v>2966</v>
      </c>
      <c r="B1917" s="2">
        <v>46372</v>
      </c>
      <c r="C1917" t="s">
        <v>1759</v>
      </c>
      <c r="D1917" t="s">
        <v>990</v>
      </c>
      <c r="E1917" t="s">
        <v>18</v>
      </c>
      <c r="F1917" t="s">
        <v>18</v>
      </c>
      <c r="G1917" t="s">
        <v>34</v>
      </c>
      <c r="H1917" t="s">
        <v>141</v>
      </c>
      <c r="I1917">
        <v>9</v>
      </c>
      <c r="J1917" s="3">
        <v>160000</v>
      </c>
      <c r="K1917" s="3">
        <v>116400</v>
      </c>
      <c r="L1917" t="s">
        <v>21</v>
      </c>
      <c r="M1917" t="s">
        <v>51</v>
      </c>
      <c r="N1917" t="s">
        <v>23</v>
      </c>
      <c r="O1917" t="s">
        <v>24</v>
      </c>
    </row>
    <row r="1918" spans="1:15" x14ac:dyDescent="0.35">
      <c r="A1918" t="s">
        <v>2967</v>
      </c>
      <c r="B1918" s="2">
        <v>46370</v>
      </c>
      <c r="C1918" t="s">
        <v>202</v>
      </c>
      <c r="D1918" t="s">
        <v>1699</v>
      </c>
      <c r="E1918" t="s">
        <v>41</v>
      </c>
      <c r="F1918" t="s">
        <v>42</v>
      </c>
      <c r="G1918" t="s">
        <v>19</v>
      </c>
      <c r="H1918" t="s">
        <v>112</v>
      </c>
      <c r="I1918">
        <v>2</v>
      </c>
      <c r="J1918" s="3">
        <v>80800</v>
      </c>
      <c r="K1918" s="3">
        <v>62000</v>
      </c>
      <c r="L1918" t="s">
        <v>36</v>
      </c>
      <c r="M1918" t="s">
        <v>37</v>
      </c>
      <c r="N1918" t="s">
        <v>23</v>
      </c>
      <c r="O1918" t="s">
        <v>24</v>
      </c>
    </row>
    <row r="1919" spans="1:15" x14ac:dyDescent="0.35">
      <c r="A1919" t="s">
        <v>2968</v>
      </c>
      <c r="B1919" s="2">
        <v>46268</v>
      </c>
      <c r="C1919" t="s">
        <v>707</v>
      </c>
      <c r="D1919" t="s">
        <v>371</v>
      </c>
      <c r="E1919" t="s">
        <v>41</v>
      </c>
      <c r="F1919" t="s">
        <v>42</v>
      </c>
      <c r="G1919" t="s">
        <v>34</v>
      </c>
      <c r="H1919" t="s">
        <v>86</v>
      </c>
      <c r="I1919">
        <v>4</v>
      </c>
      <c r="J1919" s="3">
        <v>180000</v>
      </c>
      <c r="K1919" s="3">
        <v>139000</v>
      </c>
      <c r="L1919" t="s">
        <v>30</v>
      </c>
      <c r="M1919" t="s">
        <v>37</v>
      </c>
      <c r="N1919" t="s">
        <v>52</v>
      </c>
      <c r="O1919" t="s">
        <v>24</v>
      </c>
    </row>
    <row r="1920" spans="1:15" x14ac:dyDescent="0.35">
      <c r="A1920" t="s">
        <v>2969</v>
      </c>
      <c r="B1920" s="2">
        <v>46195</v>
      </c>
      <c r="C1920" t="s">
        <v>962</v>
      </c>
      <c r="D1920" t="s">
        <v>715</v>
      </c>
      <c r="E1920" t="s">
        <v>70</v>
      </c>
      <c r="F1920" t="s">
        <v>71</v>
      </c>
      <c r="G1920" t="s">
        <v>34</v>
      </c>
      <c r="H1920" t="s">
        <v>141</v>
      </c>
      <c r="I1920">
        <v>6</v>
      </c>
      <c r="J1920" s="3">
        <v>168000</v>
      </c>
      <c r="K1920" s="3">
        <v>116400</v>
      </c>
      <c r="L1920" t="s">
        <v>36</v>
      </c>
      <c r="M1920" t="s">
        <v>37</v>
      </c>
      <c r="N1920" t="s">
        <v>87</v>
      </c>
      <c r="O1920" t="s">
        <v>24</v>
      </c>
    </row>
    <row r="1921" spans="1:15" x14ac:dyDescent="0.35">
      <c r="A1921" t="s">
        <v>2970</v>
      </c>
      <c r="B1921" s="2">
        <v>46275</v>
      </c>
      <c r="C1921" t="s">
        <v>334</v>
      </c>
      <c r="D1921" t="s">
        <v>284</v>
      </c>
      <c r="E1921" t="s">
        <v>84</v>
      </c>
      <c r="F1921" t="s">
        <v>85</v>
      </c>
      <c r="G1921" t="s">
        <v>34</v>
      </c>
      <c r="H1921" t="s">
        <v>35</v>
      </c>
      <c r="I1921">
        <v>3</v>
      </c>
      <c r="J1921" s="3">
        <v>52200</v>
      </c>
      <c r="K1921" s="3">
        <v>37800</v>
      </c>
      <c r="L1921" t="s">
        <v>50</v>
      </c>
      <c r="M1921" t="s">
        <v>37</v>
      </c>
      <c r="N1921" t="s">
        <v>52</v>
      </c>
      <c r="O1921" t="s">
        <v>24</v>
      </c>
    </row>
    <row r="1922" spans="1:15" x14ac:dyDescent="0.35">
      <c r="A1922" t="s">
        <v>2971</v>
      </c>
      <c r="B1922" s="2">
        <v>46158</v>
      </c>
      <c r="C1922" t="s">
        <v>1327</v>
      </c>
      <c r="D1922" t="s">
        <v>1189</v>
      </c>
      <c r="E1922" t="s">
        <v>18</v>
      </c>
      <c r="F1922" t="s">
        <v>18</v>
      </c>
      <c r="G1922" t="s">
        <v>34</v>
      </c>
      <c r="H1922" t="s">
        <v>158</v>
      </c>
      <c r="I1922">
        <v>5</v>
      </c>
      <c r="J1922" s="3">
        <v>90200</v>
      </c>
      <c r="K1922" s="3">
        <v>72100</v>
      </c>
      <c r="L1922" t="s">
        <v>36</v>
      </c>
      <c r="M1922" t="s">
        <v>51</v>
      </c>
      <c r="N1922" t="s">
        <v>52</v>
      </c>
      <c r="O1922" t="s">
        <v>45</v>
      </c>
    </row>
    <row r="1923" spans="1:15" x14ac:dyDescent="0.35">
      <c r="A1923" t="s">
        <v>2972</v>
      </c>
      <c r="B1923" s="2">
        <v>46023</v>
      </c>
      <c r="C1923" t="s">
        <v>1446</v>
      </c>
      <c r="D1923" t="s">
        <v>1686</v>
      </c>
      <c r="E1923" t="s">
        <v>84</v>
      </c>
      <c r="F1923" t="s">
        <v>85</v>
      </c>
      <c r="G1923" t="s">
        <v>43</v>
      </c>
      <c r="H1923" t="s">
        <v>162</v>
      </c>
      <c r="I1923">
        <v>9</v>
      </c>
      <c r="J1923" s="3">
        <v>8000</v>
      </c>
      <c r="K1923" s="3">
        <v>5000</v>
      </c>
      <c r="L1923" t="s">
        <v>36</v>
      </c>
      <c r="M1923" t="s">
        <v>31</v>
      </c>
      <c r="N1923" t="s">
        <v>87</v>
      </c>
      <c r="O1923" t="s">
        <v>24</v>
      </c>
    </row>
    <row r="1924" spans="1:15" x14ac:dyDescent="0.35">
      <c r="A1924" t="s">
        <v>2973</v>
      </c>
      <c r="B1924" s="2">
        <v>46207</v>
      </c>
      <c r="C1924" t="s">
        <v>68</v>
      </c>
      <c r="D1924" t="s">
        <v>76</v>
      </c>
      <c r="E1924" t="s">
        <v>41</v>
      </c>
      <c r="F1924" t="s">
        <v>42</v>
      </c>
      <c r="G1924" t="s">
        <v>19</v>
      </c>
      <c r="H1924" t="s">
        <v>20</v>
      </c>
      <c r="I1924">
        <v>9</v>
      </c>
      <c r="J1924" s="3">
        <v>65000</v>
      </c>
      <c r="K1924" s="3">
        <v>45000</v>
      </c>
      <c r="L1924" t="s">
        <v>50</v>
      </c>
      <c r="M1924" t="s">
        <v>37</v>
      </c>
      <c r="N1924" t="s">
        <v>52</v>
      </c>
      <c r="O1924" t="s">
        <v>24</v>
      </c>
    </row>
    <row r="1925" spans="1:15" x14ac:dyDescent="0.35">
      <c r="A1925" t="s">
        <v>2974</v>
      </c>
      <c r="B1925" s="2">
        <v>46272</v>
      </c>
      <c r="C1925" t="s">
        <v>853</v>
      </c>
      <c r="D1925" t="s">
        <v>688</v>
      </c>
      <c r="E1925" t="s">
        <v>84</v>
      </c>
      <c r="F1925" t="s">
        <v>85</v>
      </c>
      <c r="G1925" t="s">
        <v>34</v>
      </c>
      <c r="H1925" t="s">
        <v>95</v>
      </c>
      <c r="I1925">
        <v>5</v>
      </c>
      <c r="J1925" s="3">
        <v>450000</v>
      </c>
      <c r="K1925" s="3">
        <v>381100</v>
      </c>
      <c r="L1925" t="s">
        <v>36</v>
      </c>
      <c r="M1925" t="s">
        <v>37</v>
      </c>
      <c r="N1925" t="s">
        <v>23</v>
      </c>
      <c r="O1925" t="s">
        <v>24</v>
      </c>
    </row>
    <row r="1926" spans="1:15" x14ac:dyDescent="0.35">
      <c r="A1926" t="s">
        <v>2975</v>
      </c>
      <c r="B1926" s="2">
        <v>46269</v>
      </c>
      <c r="C1926" t="s">
        <v>1642</v>
      </c>
      <c r="D1926" t="s">
        <v>1313</v>
      </c>
      <c r="E1926" t="s">
        <v>18</v>
      </c>
      <c r="F1926" t="s">
        <v>18</v>
      </c>
      <c r="G1926" t="s">
        <v>34</v>
      </c>
      <c r="H1926" t="s">
        <v>35</v>
      </c>
      <c r="I1926">
        <v>6</v>
      </c>
      <c r="J1926" s="3">
        <v>55000</v>
      </c>
      <c r="K1926" s="3">
        <v>39000</v>
      </c>
      <c r="L1926" t="s">
        <v>50</v>
      </c>
      <c r="M1926" t="s">
        <v>37</v>
      </c>
      <c r="N1926" t="s">
        <v>87</v>
      </c>
      <c r="O1926" t="s">
        <v>24</v>
      </c>
    </row>
    <row r="1927" spans="1:15" x14ac:dyDescent="0.35">
      <c r="A1927" t="s">
        <v>2976</v>
      </c>
      <c r="B1927" s="2">
        <v>46303</v>
      </c>
      <c r="C1927" t="s">
        <v>472</v>
      </c>
      <c r="D1927" t="s">
        <v>1217</v>
      </c>
      <c r="E1927" t="s">
        <v>70</v>
      </c>
      <c r="F1927" t="s">
        <v>71</v>
      </c>
      <c r="G1927" t="s">
        <v>43</v>
      </c>
      <c r="H1927" t="s">
        <v>177</v>
      </c>
      <c r="I1927">
        <v>5</v>
      </c>
      <c r="J1927" s="3">
        <v>18000</v>
      </c>
      <c r="K1927" s="3">
        <v>12900</v>
      </c>
      <c r="L1927" t="s">
        <v>80</v>
      </c>
      <c r="M1927" t="s">
        <v>51</v>
      </c>
      <c r="N1927" t="s">
        <v>23</v>
      </c>
      <c r="O1927" t="s">
        <v>91</v>
      </c>
    </row>
    <row r="1928" spans="1:15" x14ac:dyDescent="0.35">
      <c r="A1928" t="s">
        <v>2977</v>
      </c>
      <c r="B1928" s="2">
        <v>46206</v>
      </c>
      <c r="C1928" t="s">
        <v>1527</v>
      </c>
      <c r="D1928" t="s">
        <v>581</v>
      </c>
      <c r="E1928" t="s">
        <v>18</v>
      </c>
      <c r="F1928" t="s">
        <v>18</v>
      </c>
      <c r="G1928" t="s">
        <v>34</v>
      </c>
      <c r="H1928" t="s">
        <v>86</v>
      </c>
      <c r="I1928">
        <v>5</v>
      </c>
      <c r="J1928" s="3">
        <v>180000</v>
      </c>
      <c r="K1928" s="3">
        <v>135000</v>
      </c>
      <c r="L1928" t="s">
        <v>36</v>
      </c>
      <c r="M1928" t="s">
        <v>37</v>
      </c>
      <c r="N1928" t="s">
        <v>23</v>
      </c>
      <c r="O1928" t="s">
        <v>45</v>
      </c>
    </row>
    <row r="1929" spans="1:15" x14ac:dyDescent="0.35">
      <c r="A1929" t="s">
        <v>2978</v>
      </c>
      <c r="B1929" s="2">
        <v>46267</v>
      </c>
      <c r="C1929" t="s">
        <v>1658</v>
      </c>
      <c r="D1929" t="s">
        <v>1396</v>
      </c>
      <c r="E1929" t="s">
        <v>56</v>
      </c>
      <c r="F1929" t="s">
        <v>57</v>
      </c>
      <c r="G1929" t="s">
        <v>19</v>
      </c>
      <c r="H1929" t="s">
        <v>112</v>
      </c>
      <c r="I1929">
        <v>7</v>
      </c>
      <c r="J1929" s="3">
        <v>85000</v>
      </c>
      <c r="K1929" s="3">
        <v>60100</v>
      </c>
      <c r="L1929" t="s">
        <v>21</v>
      </c>
      <c r="M1929" t="s">
        <v>37</v>
      </c>
      <c r="N1929" t="s">
        <v>87</v>
      </c>
      <c r="O1929" t="s">
        <v>24</v>
      </c>
    </row>
    <row r="1930" spans="1:15" x14ac:dyDescent="0.35">
      <c r="A1930" t="s">
        <v>2979</v>
      </c>
      <c r="B1930" s="2">
        <v>46325</v>
      </c>
      <c r="C1930" t="s">
        <v>2457</v>
      </c>
      <c r="D1930" t="s">
        <v>1906</v>
      </c>
      <c r="E1930" t="s">
        <v>156</v>
      </c>
      <c r="F1930" t="s">
        <v>157</v>
      </c>
      <c r="G1930" t="s">
        <v>34</v>
      </c>
      <c r="H1930" t="s">
        <v>141</v>
      </c>
      <c r="I1930">
        <v>10</v>
      </c>
      <c r="J1930" s="3">
        <v>160000</v>
      </c>
      <c r="K1930" s="3">
        <v>116400</v>
      </c>
      <c r="L1930" t="s">
        <v>50</v>
      </c>
      <c r="M1930" t="s">
        <v>22</v>
      </c>
      <c r="N1930" t="s">
        <v>23</v>
      </c>
      <c r="O1930" t="s">
        <v>24</v>
      </c>
    </row>
    <row r="1931" spans="1:15" x14ac:dyDescent="0.35">
      <c r="A1931" t="s">
        <v>2980</v>
      </c>
      <c r="B1931" s="2">
        <v>46247</v>
      </c>
      <c r="C1931" t="s">
        <v>746</v>
      </c>
      <c r="D1931" t="s">
        <v>814</v>
      </c>
      <c r="E1931" t="s">
        <v>156</v>
      </c>
      <c r="F1931" t="s">
        <v>170</v>
      </c>
      <c r="G1931" t="s">
        <v>34</v>
      </c>
      <c r="H1931" t="s">
        <v>141</v>
      </c>
      <c r="I1931">
        <v>3</v>
      </c>
      <c r="J1931" s="3">
        <v>152000</v>
      </c>
      <c r="K1931" s="3">
        <v>116400</v>
      </c>
      <c r="L1931" t="s">
        <v>96</v>
      </c>
      <c r="M1931" t="s">
        <v>51</v>
      </c>
      <c r="N1931" t="s">
        <v>23</v>
      </c>
      <c r="O1931" t="s">
        <v>24</v>
      </c>
    </row>
    <row r="1932" spans="1:15" x14ac:dyDescent="0.35">
      <c r="A1932" t="s">
        <v>2981</v>
      </c>
      <c r="B1932" s="2">
        <v>46074</v>
      </c>
      <c r="C1932" t="s">
        <v>302</v>
      </c>
      <c r="D1932" t="s">
        <v>2133</v>
      </c>
      <c r="E1932" t="s">
        <v>156</v>
      </c>
      <c r="F1932" t="s">
        <v>170</v>
      </c>
      <c r="G1932" t="s">
        <v>43</v>
      </c>
      <c r="H1932" t="s">
        <v>162</v>
      </c>
      <c r="I1932">
        <v>1</v>
      </c>
      <c r="J1932" s="3">
        <v>8400</v>
      </c>
      <c r="K1932" s="3">
        <v>5000</v>
      </c>
      <c r="L1932" t="s">
        <v>36</v>
      </c>
      <c r="M1932" t="s">
        <v>51</v>
      </c>
      <c r="N1932" t="s">
        <v>87</v>
      </c>
      <c r="O1932" t="s">
        <v>91</v>
      </c>
    </row>
    <row r="1933" spans="1:15" x14ac:dyDescent="0.35">
      <c r="A1933" t="s">
        <v>2982</v>
      </c>
      <c r="B1933" s="2">
        <v>46239</v>
      </c>
      <c r="C1933" t="s">
        <v>164</v>
      </c>
      <c r="D1933" t="s">
        <v>2890</v>
      </c>
      <c r="E1933" t="s">
        <v>18</v>
      </c>
      <c r="F1933" t="s">
        <v>18</v>
      </c>
      <c r="G1933" t="s">
        <v>28</v>
      </c>
      <c r="H1933" t="s">
        <v>131</v>
      </c>
      <c r="I1933">
        <v>7</v>
      </c>
      <c r="J1933" s="3">
        <v>28500</v>
      </c>
      <c r="K1933" s="3">
        <v>18400</v>
      </c>
      <c r="L1933" t="s">
        <v>80</v>
      </c>
      <c r="M1933" t="s">
        <v>37</v>
      </c>
      <c r="N1933" t="s">
        <v>87</v>
      </c>
      <c r="O1933" t="s">
        <v>24</v>
      </c>
    </row>
    <row r="1934" spans="1:15" x14ac:dyDescent="0.35">
      <c r="A1934" t="s">
        <v>2983</v>
      </c>
      <c r="B1934" s="2">
        <v>46318</v>
      </c>
      <c r="C1934" t="s">
        <v>458</v>
      </c>
      <c r="D1934" t="s">
        <v>203</v>
      </c>
      <c r="E1934" t="s">
        <v>18</v>
      </c>
      <c r="F1934" t="s">
        <v>18</v>
      </c>
      <c r="G1934" t="s">
        <v>34</v>
      </c>
      <c r="H1934" t="s">
        <v>35</v>
      </c>
      <c r="I1934">
        <v>4</v>
      </c>
      <c r="J1934" s="3">
        <v>52200</v>
      </c>
      <c r="K1934" s="3">
        <v>39000</v>
      </c>
      <c r="L1934" t="s">
        <v>66</v>
      </c>
      <c r="M1934" t="s">
        <v>37</v>
      </c>
      <c r="N1934" t="s">
        <v>23</v>
      </c>
      <c r="O1934" t="s">
        <v>24</v>
      </c>
    </row>
    <row r="1935" spans="1:15" x14ac:dyDescent="0.35">
      <c r="A1935" t="s">
        <v>2984</v>
      </c>
      <c r="B1935" s="2">
        <v>46380</v>
      </c>
      <c r="C1935" t="s">
        <v>234</v>
      </c>
      <c r="D1935" t="s">
        <v>650</v>
      </c>
      <c r="E1935" t="s">
        <v>77</v>
      </c>
      <c r="F1935" t="s">
        <v>78</v>
      </c>
      <c r="G1935" t="s">
        <v>34</v>
      </c>
      <c r="H1935" t="s">
        <v>95</v>
      </c>
      <c r="I1935">
        <v>3</v>
      </c>
      <c r="J1935" s="3">
        <v>450000</v>
      </c>
      <c r="K1935" s="3">
        <v>358900</v>
      </c>
      <c r="M1935" t="s">
        <v>37</v>
      </c>
      <c r="N1935" t="s">
        <v>23</v>
      </c>
      <c r="O1935" t="s">
        <v>91</v>
      </c>
    </row>
    <row r="1936" spans="1:15" x14ac:dyDescent="0.35">
      <c r="A1936" t="s">
        <v>2985</v>
      </c>
      <c r="B1936" s="2">
        <v>46142</v>
      </c>
      <c r="C1936" t="s">
        <v>364</v>
      </c>
      <c r="D1936" t="s">
        <v>1141</v>
      </c>
      <c r="E1936" t="s">
        <v>41</v>
      </c>
      <c r="F1936" t="s">
        <v>42</v>
      </c>
      <c r="G1936" t="s">
        <v>28</v>
      </c>
      <c r="H1936" t="s">
        <v>248</v>
      </c>
      <c r="I1936">
        <v>9</v>
      </c>
      <c r="J1936" s="3">
        <v>25000</v>
      </c>
      <c r="K1936" s="3">
        <v>16500</v>
      </c>
      <c r="L1936" t="s">
        <v>50</v>
      </c>
      <c r="M1936" t="s">
        <v>51</v>
      </c>
      <c r="N1936" t="s">
        <v>23</v>
      </c>
      <c r="O1936" t="s">
        <v>24</v>
      </c>
    </row>
    <row r="1937" spans="1:15" x14ac:dyDescent="0.35">
      <c r="A1937" t="s">
        <v>2986</v>
      </c>
      <c r="B1937" s="2">
        <v>46073</v>
      </c>
      <c r="C1937" t="s">
        <v>334</v>
      </c>
      <c r="D1937" t="s">
        <v>340</v>
      </c>
      <c r="E1937" t="s">
        <v>18</v>
      </c>
      <c r="F1937" t="s">
        <v>18</v>
      </c>
      <c r="G1937" t="s">
        <v>43</v>
      </c>
      <c r="H1937" t="s">
        <v>162</v>
      </c>
      <c r="I1937">
        <v>10</v>
      </c>
      <c r="J1937" s="3">
        <v>8000</v>
      </c>
      <c r="K1937" s="3">
        <v>5000</v>
      </c>
      <c r="L1937" t="s">
        <v>96</v>
      </c>
      <c r="M1937" t="s">
        <v>51</v>
      </c>
      <c r="N1937" t="s">
        <v>87</v>
      </c>
      <c r="O1937" t="s">
        <v>91</v>
      </c>
    </row>
    <row r="1938" spans="1:15" x14ac:dyDescent="0.35">
      <c r="A1938" t="s">
        <v>2987</v>
      </c>
      <c r="B1938" s="2">
        <v>46285</v>
      </c>
      <c r="C1938" t="s">
        <v>246</v>
      </c>
      <c r="D1938" t="s">
        <v>391</v>
      </c>
      <c r="E1938" t="s">
        <v>70</v>
      </c>
      <c r="F1938" t="s">
        <v>71</v>
      </c>
      <c r="G1938" t="s">
        <v>34</v>
      </c>
      <c r="H1938" t="s">
        <v>158</v>
      </c>
      <c r="I1938">
        <v>9</v>
      </c>
      <c r="J1938" s="3">
        <v>90200</v>
      </c>
      <c r="K1938" s="3">
        <v>72100</v>
      </c>
      <c r="L1938" t="s">
        <v>50</v>
      </c>
      <c r="M1938" t="s">
        <v>51</v>
      </c>
      <c r="N1938" t="s">
        <v>23</v>
      </c>
      <c r="O1938" t="s">
        <v>91</v>
      </c>
    </row>
    <row r="1939" spans="1:15" x14ac:dyDescent="0.35">
      <c r="A1939" t="s">
        <v>2988</v>
      </c>
      <c r="B1939" s="2">
        <v>46258</v>
      </c>
      <c r="C1939" t="s">
        <v>1882</v>
      </c>
      <c r="D1939" t="s">
        <v>1546</v>
      </c>
      <c r="E1939" t="s">
        <v>70</v>
      </c>
      <c r="F1939" t="s">
        <v>71</v>
      </c>
      <c r="G1939" t="s">
        <v>43</v>
      </c>
      <c r="H1939" t="s">
        <v>79</v>
      </c>
      <c r="I1939">
        <v>1</v>
      </c>
      <c r="J1939" s="3">
        <v>6000</v>
      </c>
      <c r="K1939" s="3">
        <v>4300</v>
      </c>
      <c r="L1939" t="s">
        <v>50</v>
      </c>
      <c r="M1939" t="s">
        <v>37</v>
      </c>
      <c r="N1939" t="s">
        <v>52</v>
      </c>
      <c r="O1939" t="s">
        <v>24</v>
      </c>
    </row>
    <row r="1940" spans="1:15" x14ac:dyDescent="0.35">
      <c r="A1940" t="s">
        <v>2989</v>
      </c>
      <c r="B1940" s="2">
        <v>46252</v>
      </c>
      <c r="C1940" t="s">
        <v>217</v>
      </c>
      <c r="D1940" t="s">
        <v>2535</v>
      </c>
      <c r="E1940" t="s">
        <v>18</v>
      </c>
      <c r="F1940" t="s">
        <v>18</v>
      </c>
      <c r="G1940" t="s">
        <v>19</v>
      </c>
      <c r="H1940" t="s">
        <v>112</v>
      </c>
      <c r="I1940">
        <v>4</v>
      </c>
      <c r="J1940" s="3">
        <v>89200</v>
      </c>
      <c r="K1940" s="3">
        <v>63900</v>
      </c>
      <c r="L1940" t="s">
        <v>21</v>
      </c>
      <c r="M1940" t="s">
        <v>37</v>
      </c>
      <c r="N1940" t="s">
        <v>23</v>
      </c>
      <c r="O1940" t="s">
        <v>24</v>
      </c>
    </row>
    <row r="1941" spans="1:15" x14ac:dyDescent="0.35">
      <c r="A1941" t="s">
        <v>2990</v>
      </c>
      <c r="B1941" s="2">
        <v>46275</v>
      </c>
      <c r="C1941" t="s">
        <v>757</v>
      </c>
      <c r="D1941" t="s">
        <v>83</v>
      </c>
      <c r="E1941" t="s">
        <v>190</v>
      </c>
      <c r="F1941" t="s">
        <v>191</v>
      </c>
      <c r="G1941" t="s">
        <v>34</v>
      </c>
      <c r="H1941" t="s">
        <v>86</v>
      </c>
      <c r="I1941">
        <v>6</v>
      </c>
      <c r="J1941" s="3">
        <v>171000</v>
      </c>
      <c r="K1941" s="3">
        <v>139000</v>
      </c>
      <c r="L1941" t="s">
        <v>50</v>
      </c>
      <c r="M1941" t="s">
        <v>37</v>
      </c>
      <c r="N1941" t="s">
        <v>23</v>
      </c>
      <c r="O1941" t="s">
        <v>45</v>
      </c>
    </row>
    <row r="1942" spans="1:15" x14ac:dyDescent="0.35">
      <c r="A1942" t="s">
        <v>2991</v>
      </c>
      <c r="B1942" s="2">
        <v>46295</v>
      </c>
      <c r="C1942" t="s">
        <v>2745</v>
      </c>
      <c r="D1942" t="s">
        <v>294</v>
      </c>
      <c r="E1942" t="s">
        <v>70</v>
      </c>
      <c r="F1942" t="s">
        <v>71</v>
      </c>
      <c r="G1942" t="s">
        <v>43</v>
      </c>
      <c r="H1942" t="s">
        <v>49</v>
      </c>
      <c r="I1942">
        <v>10</v>
      </c>
      <c r="J1942" s="3">
        <v>9400</v>
      </c>
      <c r="K1942" s="3">
        <v>5600</v>
      </c>
      <c r="L1942" t="s">
        <v>21</v>
      </c>
      <c r="M1942" t="s">
        <v>37</v>
      </c>
      <c r="N1942" t="s">
        <v>23</v>
      </c>
      <c r="O1942" t="s">
        <v>91</v>
      </c>
    </row>
    <row r="1943" spans="1:15" x14ac:dyDescent="0.35">
      <c r="A1943" t="s">
        <v>2992</v>
      </c>
      <c r="B1943" s="2">
        <v>46211</v>
      </c>
      <c r="C1943" t="s">
        <v>945</v>
      </c>
      <c r="D1943" t="s">
        <v>1382</v>
      </c>
      <c r="E1943" t="s">
        <v>41</v>
      </c>
      <c r="F1943" t="s">
        <v>42</v>
      </c>
      <c r="G1943" t="s">
        <v>43</v>
      </c>
      <c r="H1943" t="s">
        <v>49</v>
      </c>
      <c r="I1943">
        <v>9</v>
      </c>
      <c r="J1943" s="3">
        <v>9400</v>
      </c>
      <c r="K1943" s="3">
        <v>5600</v>
      </c>
      <c r="L1943" t="s">
        <v>50</v>
      </c>
      <c r="M1943" t="s">
        <v>22</v>
      </c>
      <c r="N1943" t="s">
        <v>52</v>
      </c>
      <c r="O1943" t="s">
        <v>24</v>
      </c>
    </row>
    <row r="1944" spans="1:15" x14ac:dyDescent="0.35">
      <c r="A1944" t="s">
        <v>2993</v>
      </c>
      <c r="B1944" s="2">
        <v>46110</v>
      </c>
      <c r="C1944" t="s">
        <v>486</v>
      </c>
      <c r="D1944" t="s">
        <v>2213</v>
      </c>
      <c r="E1944" t="s">
        <v>156</v>
      </c>
      <c r="F1944" t="s">
        <v>170</v>
      </c>
      <c r="G1944" t="s">
        <v>34</v>
      </c>
      <c r="H1944" t="s">
        <v>95</v>
      </c>
      <c r="I1944">
        <v>1</v>
      </c>
      <c r="J1944" s="3">
        <v>450000</v>
      </c>
      <c r="K1944" s="3">
        <v>370000</v>
      </c>
      <c r="L1944" t="s">
        <v>21</v>
      </c>
      <c r="M1944" t="s">
        <v>37</v>
      </c>
      <c r="N1944" t="s">
        <v>52</v>
      </c>
      <c r="O1944" t="s">
        <v>91</v>
      </c>
    </row>
    <row r="1945" spans="1:15" x14ac:dyDescent="0.35">
      <c r="A1945" t="s">
        <v>2994</v>
      </c>
      <c r="B1945" s="2">
        <v>46286</v>
      </c>
      <c r="C1945" t="s">
        <v>1371</v>
      </c>
      <c r="D1945" t="s">
        <v>1913</v>
      </c>
      <c r="E1945" t="s">
        <v>190</v>
      </c>
      <c r="F1945" t="s">
        <v>191</v>
      </c>
      <c r="G1945" t="s">
        <v>34</v>
      </c>
      <c r="H1945" t="s">
        <v>158</v>
      </c>
      <c r="I1945">
        <v>8</v>
      </c>
      <c r="J1945" s="3">
        <v>95000</v>
      </c>
      <c r="K1945" s="3">
        <v>67900</v>
      </c>
      <c r="L1945" t="s">
        <v>36</v>
      </c>
      <c r="M1945" t="s">
        <v>31</v>
      </c>
      <c r="N1945" t="s">
        <v>23</v>
      </c>
      <c r="O1945" t="s">
        <v>24</v>
      </c>
    </row>
    <row r="1946" spans="1:15" x14ac:dyDescent="0.35">
      <c r="A1946" t="s">
        <v>2995</v>
      </c>
      <c r="B1946" s="2">
        <v>46146</v>
      </c>
      <c r="C1946" t="s">
        <v>2205</v>
      </c>
      <c r="D1946" t="s">
        <v>1836</v>
      </c>
      <c r="E1946" t="s">
        <v>77</v>
      </c>
      <c r="F1946" t="s">
        <v>78</v>
      </c>
      <c r="G1946" t="s">
        <v>34</v>
      </c>
      <c r="H1946" t="s">
        <v>86</v>
      </c>
      <c r="I1946">
        <v>10</v>
      </c>
      <c r="J1946" s="3">
        <v>180000</v>
      </c>
      <c r="K1946" s="3">
        <v>131000</v>
      </c>
      <c r="L1946" t="s">
        <v>66</v>
      </c>
      <c r="M1946" t="s">
        <v>37</v>
      </c>
      <c r="N1946" t="s">
        <v>87</v>
      </c>
      <c r="O1946" t="s">
        <v>24</v>
      </c>
    </row>
    <row r="1947" spans="1:15" x14ac:dyDescent="0.35">
      <c r="A1947" t="s">
        <v>2996</v>
      </c>
      <c r="B1947" s="2">
        <v>46226</v>
      </c>
      <c r="C1947" t="s">
        <v>2107</v>
      </c>
      <c r="D1947" t="s">
        <v>2087</v>
      </c>
      <c r="E1947" t="s">
        <v>84</v>
      </c>
      <c r="F1947" t="s">
        <v>85</v>
      </c>
      <c r="G1947" t="s">
        <v>19</v>
      </c>
      <c r="H1947" t="s">
        <v>166</v>
      </c>
      <c r="I1947">
        <v>8</v>
      </c>
      <c r="J1947" s="3">
        <v>133000</v>
      </c>
      <c r="K1947" s="3">
        <v>103000</v>
      </c>
      <c r="L1947" t="s">
        <v>30</v>
      </c>
      <c r="M1947" t="s">
        <v>31</v>
      </c>
      <c r="N1947" t="s">
        <v>52</v>
      </c>
      <c r="O1947" t="s">
        <v>24</v>
      </c>
    </row>
    <row r="1948" spans="1:15" x14ac:dyDescent="0.35">
      <c r="A1948" t="s">
        <v>2997</v>
      </c>
      <c r="B1948" s="2">
        <v>46369</v>
      </c>
      <c r="C1948" t="s">
        <v>33</v>
      </c>
      <c r="D1948" t="s">
        <v>1219</v>
      </c>
      <c r="E1948" t="s">
        <v>84</v>
      </c>
      <c r="F1948" t="s">
        <v>85</v>
      </c>
      <c r="G1948" t="s">
        <v>34</v>
      </c>
      <c r="H1948" t="s">
        <v>86</v>
      </c>
      <c r="I1948">
        <v>3</v>
      </c>
      <c r="J1948" s="3">
        <v>189000</v>
      </c>
      <c r="K1948" s="3">
        <v>131000</v>
      </c>
      <c r="L1948" t="s">
        <v>66</v>
      </c>
      <c r="M1948" t="s">
        <v>51</v>
      </c>
      <c r="N1948" t="s">
        <v>23</v>
      </c>
      <c r="O1948" t="s">
        <v>24</v>
      </c>
    </row>
    <row r="1949" spans="1:15" x14ac:dyDescent="0.35">
      <c r="A1949" t="s">
        <v>2998</v>
      </c>
      <c r="B1949" s="2">
        <v>46341</v>
      </c>
      <c r="C1949" t="s">
        <v>945</v>
      </c>
      <c r="D1949" t="s">
        <v>665</v>
      </c>
      <c r="E1949" t="s">
        <v>41</v>
      </c>
      <c r="F1949" t="s">
        <v>42</v>
      </c>
      <c r="G1949" t="s">
        <v>43</v>
      </c>
      <c r="H1949" t="s">
        <v>162</v>
      </c>
      <c r="I1949">
        <v>2</v>
      </c>
      <c r="J1949" s="3">
        <v>8400</v>
      </c>
      <c r="K1949" s="3">
        <v>4800</v>
      </c>
      <c r="L1949" t="s">
        <v>50</v>
      </c>
      <c r="M1949" t="s">
        <v>51</v>
      </c>
      <c r="N1949" t="s">
        <v>23</v>
      </c>
      <c r="O1949" t="s">
        <v>45</v>
      </c>
    </row>
    <row r="1950" spans="1:15" x14ac:dyDescent="0.35">
      <c r="A1950" t="s">
        <v>2999</v>
      </c>
      <c r="B1950" s="2">
        <v>46171</v>
      </c>
      <c r="C1950" t="s">
        <v>2466</v>
      </c>
      <c r="D1950" t="s">
        <v>241</v>
      </c>
      <c r="E1950" t="s">
        <v>56</v>
      </c>
      <c r="F1950" t="s">
        <v>57</v>
      </c>
      <c r="G1950" t="s">
        <v>34</v>
      </c>
      <c r="H1950" t="s">
        <v>158</v>
      </c>
      <c r="I1950">
        <v>6</v>
      </c>
      <c r="J1950" s="3">
        <v>95000</v>
      </c>
      <c r="K1950" s="3">
        <v>67900</v>
      </c>
      <c r="L1950" t="s">
        <v>50</v>
      </c>
      <c r="M1950" t="s">
        <v>37</v>
      </c>
      <c r="N1950" t="s">
        <v>23</v>
      </c>
      <c r="O1950" t="s">
        <v>24</v>
      </c>
    </row>
    <row r="1951" spans="1:15" x14ac:dyDescent="0.35">
      <c r="A1951" t="s">
        <v>3000</v>
      </c>
      <c r="B1951" s="2">
        <v>46282</v>
      </c>
      <c r="C1951" t="s">
        <v>1348</v>
      </c>
      <c r="D1951" t="s">
        <v>391</v>
      </c>
      <c r="E1951" t="s">
        <v>18</v>
      </c>
      <c r="F1951" t="s">
        <v>18</v>
      </c>
      <c r="G1951" t="s">
        <v>28</v>
      </c>
      <c r="H1951" t="s">
        <v>29</v>
      </c>
      <c r="I1951">
        <v>2</v>
      </c>
      <c r="J1951" s="3">
        <v>6600</v>
      </c>
      <c r="K1951" s="3">
        <v>4100</v>
      </c>
      <c r="L1951" t="s">
        <v>36</v>
      </c>
      <c r="M1951" t="s">
        <v>51</v>
      </c>
      <c r="N1951" t="s">
        <v>52</v>
      </c>
      <c r="O1951" t="s">
        <v>24</v>
      </c>
    </row>
    <row r="1952" spans="1:15" x14ac:dyDescent="0.35">
      <c r="A1952" t="s">
        <v>3001</v>
      </c>
      <c r="B1952" s="2">
        <v>46059</v>
      </c>
      <c r="C1952" t="s">
        <v>1152</v>
      </c>
      <c r="D1952" t="s">
        <v>1276</v>
      </c>
      <c r="E1952" t="s">
        <v>84</v>
      </c>
      <c r="F1952" t="s">
        <v>85</v>
      </c>
      <c r="G1952" t="s">
        <v>43</v>
      </c>
      <c r="H1952" t="s">
        <v>49</v>
      </c>
      <c r="I1952">
        <v>8</v>
      </c>
      <c r="J1952" s="3">
        <v>9000</v>
      </c>
      <c r="K1952" s="3">
        <v>5600</v>
      </c>
      <c r="L1952" t="s">
        <v>66</v>
      </c>
      <c r="M1952" t="s">
        <v>51</v>
      </c>
      <c r="N1952" t="s">
        <v>23</v>
      </c>
      <c r="O1952" t="s">
        <v>24</v>
      </c>
    </row>
    <row r="1953" spans="1:15" x14ac:dyDescent="0.35">
      <c r="A1953" t="s">
        <v>3002</v>
      </c>
      <c r="B1953" s="2">
        <v>46208</v>
      </c>
      <c r="C1953" t="s">
        <v>1248</v>
      </c>
      <c r="D1953" t="s">
        <v>1091</v>
      </c>
      <c r="E1953" t="s">
        <v>18</v>
      </c>
      <c r="F1953" t="s">
        <v>18</v>
      </c>
      <c r="G1953" t="s">
        <v>34</v>
      </c>
      <c r="H1953" t="s">
        <v>35</v>
      </c>
      <c r="I1953">
        <v>6</v>
      </c>
      <c r="J1953" s="3">
        <v>52200</v>
      </c>
      <c r="K1953" s="3">
        <v>40200</v>
      </c>
      <c r="L1953" t="s">
        <v>73</v>
      </c>
      <c r="M1953" t="s">
        <v>51</v>
      </c>
      <c r="N1953" t="s">
        <v>52</v>
      </c>
      <c r="O1953" t="s">
        <v>24</v>
      </c>
    </row>
    <row r="1954" spans="1:15" x14ac:dyDescent="0.35">
      <c r="A1954" t="s">
        <v>3003</v>
      </c>
      <c r="B1954" s="2">
        <v>46163</v>
      </c>
      <c r="C1954" t="s">
        <v>886</v>
      </c>
      <c r="D1954" t="s">
        <v>1380</v>
      </c>
      <c r="E1954" t="s">
        <v>18</v>
      </c>
      <c r="F1954" t="s">
        <v>18</v>
      </c>
      <c r="G1954" t="s">
        <v>34</v>
      </c>
      <c r="H1954" t="s">
        <v>141</v>
      </c>
      <c r="I1954">
        <v>7</v>
      </c>
      <c r="J1954" s="3">
        <v>168000</v>
      </c>
      <c r="K1954" s="3">
        <v>116400</v>
      </c>
      <c r="L1954" t="s">
        <v>66</v>
      </c>
      <c r="M1954" t="s">
        <v>51</v>
      </c>
      <c r="N1954" t="s">
        <v>52</v>
      </c>
      <c r="O1954" t="s">
        <v>24</v>
      </c>
    </row>
    <row r="1955" spans="1:15" x14ac:dyDescent="0.35">
      <c r="A1955" t="s">
        <v>3004</v>
      </c>
      <c r="B1955" s="2">
        <v>46261</v>
      </c>
      <c r="C1955" t="s">
        <v>151</v>
      </c>
      <c r="D1955" t="s">
        <v>1375</v>
      </c>
      <c r="E1955" t="s">
        <v>41</v>
      </c>
      <c r="F1955" t="s">
        <v>42</v>
      </c>
      <c r="G1955" t="s">
        <v>43</v>
      </c>
      <c r="H1955" t="s">
        <v>44</v>
      </c>
      <c r="I1955">
        <v>6</v>
      </c>
      <c r="J1955" s="3">
        <v>15000</v>
      </c>
      <c r="K1955" s="3">
        <v>9500</v>
      </c>
      <c r="L1955" t="s">
        <v>80</v>
      </c>
      <c r="M1955" t="s">
        <v>51</v>
      </c>
      <c r="N1955" t="s">
        <v>23</v>
      </c>
      <c r="O1955" t="s">
        <v>24</v>
      </c>
    </row>
    <row r="1956" spans="1:15" x14ac:dyDescent="0.35">
      <c r="A1956" t="s">
        <v>3005</v>
      </c>
      <c r="B1956" s="2">
        <v>46289</v>
      </c>
      <c r="C1956" t="s">
        <v>941</v>
      </c>
      <c r="D1956" t="s">
        <v>1241</v>
      </c>
      <c r="E1956" t="s">
        <v>70</v>
      </c>
      <c r="F1956" t="s">
        <v>71</v>
      </c>
      <c r="G1956" t="s">
        <v>34</v>
      </c>
      <c r="H1956" t="s">
        <v>95</v>
      </c>
      <c r="I1956">
        <v>2</v>
      </c>
      <c r="J1956" s="3">
        <v>450000</v>
      </c>
      <c r="K1956" s="3">
        <v>381100</v>
      </c>
      <c r="L1956" t="s">
        <v>80</v>
      </c>
      <c r="M1956" t="s">
        <v>22</v>
      </c>
      <c r="N1956" t="s">
        <v>52</v>
      </c>
      <c r="O1956" t="s">
        <v>24</v>
      </c>
    </row>
    <row r="1957" spans="1:15" x14ac:dyDescent="0.35">
      <c r="A1957" t="s">
        <v>3006</v>
      </c>
      <c r="B1957" s="2">
        <v>46297</v>
      </c>
      <c r="C1957" t="s">
        <v>154</v>
      </c>
      <c r="D1957" t="s">
        <v>1181</v>
      </c>
      <c r="E1957" t="s">
        <v>18</v>
      </c>
      <c r="F1957" t="s">
        <v>18</v>
      </c>
      <c r="G1957" t="s">
        <v>34</v>
      </c>
      <c r="H1957" t="s">
        <v>141</v>
      </c>
      <c r="I1957">
        <v>9</v>
      </c>
      <c r="J1957" s="3">
        <v>168000</v>
      </c>
      <c r="K1957" s="3">
        <v>116400</v>
      </c>
      <c r="L1957" t="s">
        <v>66</v>
      </c>
      <c r="M1957" t="s">
        <v>51</v>
      </c>
      <c r="N1957" t="s">
        <v>52</v>
      </c>
      <c r="O1957" t="s">
        <v>24</v>
      </c>
    </row>
    <row r="1958" spans="1:15" x14ac:dyDescent="0.35">
      <c r="A1958" t="s">
        <v>3007</v>
      </c>
      <c r="B1958" s="2">
        <v>46060</v>
      </c>
      <c r="C1958" t="s">
        <v>419</v>
      </c>
      <c r="D1958" t="s">
        <v>276</v>
      </c>
      <c r="E1958" t="s">
        <v>84</v>
      </c>
      <c r="F1958" t="s">
        <v>85</v>
      </c>
      <c r="G1958" t="s">
        <v>19</v>
      </c>
      <c r="H1958" t="s">
        <v>20</v>
      </c>
      <c r="I1958">
        <v>8</v>
      </c>
      <c r="J1958" s="3">
        <v>61800</v>
      </c>
      <c r="K1958" s="3">
        <v>43600</v>
      </c>
      <c r="L1958" t="s">
        <v>80</v>
      </c>
      <c r="M1958" t="s">
        <v>51</v>
      </c>
      <c r="N1958" t="s">
        <v>52</v>
      </c>
      <c r="O1958" t="s">
        <v>24</v>
      </c>
    </row>
    <row r="1959" spans="1:15" x14ac:dyDescent="0.35">
      <c r="A1959" t="s">
        <v>3008</v>
      </c>
      <c r="B1959" s="2">
        <v>46061</v>
      </c>
      <c r="C1959" t="s">
        <v>523</v>
      </c>
      <c r="D1959" t="s">
        <v>738</v>
      </c>
      <c r="E1959" t="s">
        <v>190</v>
      </c>
      <c r="F1959" t="s">
        <v>191</v>
      </c>
      <c r="G1959" t="s">
        <v>28</v>
      </c>
      <c r="H1959" t="s">
        <v>29</v>
      </c>
      <c r="I1959">
        <v>1</v>
      </c>
      <c r="J1959" s="3">
        <v>7000</v>
      </c>
      <c r="K1959" s="3">
        <v>3900</v>
      </c>
      <c r="L1959" t="s">
        <v>21</v>
      </c>
      <c r="M1959" t="s">
        <v>22</v>
      </c>
      <c r="N1959" t="s">
        <v>23</v>
      </c>
      <c r="O1959" t="s">
        <v>45</v>
      </c>
    </row>
    <row r="1960" spans="1:15" x14ac:dyDescent="0.35">
      <c r="A1960" t="s">
        <v>3009</v>
      </c>
      <c r="B1960" s="2">
        <v>46377</v>
      </c>
      <c r="C1960" t="s">
        <v>901</v>
      </c>
      <c r="D1960" t="s">
        <v>1794</v>
      </c>
      <c r="E1960" t="s">
        <v>156</v>
      </c>
      <c r="F1960" t="s">
        <v>170</v>
      </c>
      <c r="G1960" t="s">
        <v>34</v>
      </c>
      <c r="H1960" t="s">
        <v>86</v>
      </c>
      <c r="I1960">
        <v>1</v>
      </c>
      <c r="J1960" s="3">
        <v>171000</v>
      </c>
      <c r="K1960" s="3">
        <v>139000</v>
      </c>
      <c r="L1960" t="s">
        <v>96</v>
      </c>
      <c r="M1960" t="s">
        <v>37</v>
      </c>
      <c r="N1960" t="s">
        <v>87</v>
      </c>
      <c r="O1960" t="s">
        <v>24</v>
      </c>
    </row>
    <row r="1961" spans="1:15" x14ac:dyDescent="0.35">
      <c r="A1961" t="s">
        <v>3010</v>
      </c>
      <c r="B1961" s="2">
        <v>46160</v>
      </c>
      <c r="C1961" t="s">
        <v>1047</v>
      </c>
      <c r="D1961" t="s">
        <v>846</v>
      </c>
      <c r="E1961" t="s">
        <v>156</v>
      </c>
      <c r="F1961" t="s">
        <v>170</v>
      </c>
      <c r="G1961" t="s">
        <v>34</v>
      </c>
      <c r="H1961" t="s">
        <v>86</v>
      </c>
      <c r="I1961">
        <v>10</v>
      </c>
      <c r="J1961" s="3">
        <v>180000</v>
      </c>
      <c r="K1961" s="3">
        <v>135000</v>
      </c>
      <c r="L1961" t="s">
        <v>50</v>
      </c>
      <c r="M1961" t="s">
        <v>51</v>
      </c>
      <c r="N1961" t="s">
        <v>23</v>
      </c>
      <c r="O1961" t="s">
        <v>24</v>
      </c>
    </row>
    <row r="1962" spans="1:15" x14ac:dyDescent="0.35">
      <c r="A1962" t="s">
        <v>3011</v>
      </c>
      <c r="B1962" s="2">
        <v>46232</v>
      </c>
      <c r="C1962" t="s">
        <v>2342</v>
      </c>
      <c r="D1962" t="s">
        <v>3012</v>
      </c>
      <c r="E1962" t="s">
        <v>156</v>
      </c>
      <c r="F1962" t="s">
        <v>157</v>
      </c>
      <c r="G1962" t="s">
        <v>28</v>
      </c>
      <c r="H1962" t="s">
        <v>72</v>
      </c>
      <c r="I1962">
        <v>9</v>
      </c>
      <c r="J1962" s="3">
        <v>9500</v>
      </c>
      <c r="K1962" s="3">
        <v>6200</v>
      </c>
      <c r="L1962" t="s">
        <v>66</v>
      </c>
      <c r="M1962" t="s">
        <v>22</v>
      </c>
      <c r="N1962" t="s">
        <v>52</v>
      </c>
      <c r="O1962" t="s">
        <v>24</v>
      </c>
    </row>
    <row r="1963" spans="1:15" x14ac:dyDescent="0.35">
      <c r="A1963" t="s">
        <v>3013</v>
      </c>
      <c r="B1963" s="2">
        <v>46384</v>
      </c>
      <c r="C1963" t="s">
        <v>1567</v>
      </c>
      <c r="D1963" t="s">
        <v>2443</v>
      </c>
      <c r="E1963" t="s">
        <v>18</v>
      </c>
      <c r="F1963" t="s">
        <v>18</v>
      </c>
      <c r="G1963" t="s">
        <v>19</v>
      </c>
      <c r="H1963" t="s">
        <v>61</v>
      </c>
      <c r="I1963">
        <v>8</v>
      </c>
      <c r="J1963" s="3">
        <v>220000</v>
      </c>
      <c r="K1963" s="3">
        <v>155200</v>
      </c>
      <c r="L1963" t="s">
        <v>30</v>
      </c>
      <c r="M1963" t="s">
        <v>37</v>
      </c>
      <c r="N1963" t="s">
        <v>52</v>
      </c>
      <c r="O1963" t="s">
        <v>24</v>
      </c>
    </row>
    <row r="1964" spans="1:15" x14ac:dyDescent="0.35">
      <c r="A1964" t="s">
        <v>3014</v>
      </c>
      <c r="B1964" s="2">
        <v>46220</v>
      </c>
      <c r="C1964" t="s">
        <v>26</v>
      </c>
      <c r="D1964" t="s">
        <v>194</v>
      </c>
      <c r="E1964" t="s">
        <v>70</v>
      </c>
      <c r="F1964" t="s">
        <v>71</v>
      </c>
      <c r="G1964" t="s">
        <v>28</v>
      </c>
      <c r="H1964" t="s">
        <v>29</v>
      </c>
      <c r="I1964">
        <v>2</v>
      </c>
      <c r="J1964" s="3">
        <v>7400</v>
      </c>
      <c r="K1964" s="3">
        <v>4100</v>
      </c>
      <c r="L1964" t="s">
        <v>73</v>
      </c>
      <c r="M1964" t="s">
        <v>51</v>
      </c>
      <c r="N1964" t="s">
        <v>52</v>
      </c>
      <c r="O1964" t="s">
        <v>45</v>
      </c>
    </row>
    <row r="1965" spans="1:15" x14ac:dyDescent="0.35">
      <c r="A1965" t="s">
        <v>3015</v>
      </c>
      <c r="B1965" s="2">
        <v>46063</v>
      </c>
      <c r="C1965" t="s">
        <v>353</v>
      </c>
      <c r="D1965" t="s">
        <v>438</v>
      </c>
      <c r="E1965" t="s">
        <v>70</v>
      </c>
      <c r="F1965" t="s">
        <v>71</v>
      </c>
      <c r="G1965" t="s">
        <v>19</v>
      </c>
      <c r="H1965" t="s">
        <v>166</v>
      </c>
      <c r="I1965">
        <v>1</v>
      </c>
      <c r="J1965" s="3">
        <v>133000</v>
      </c>
      <c r="K1965" s="3">
        <v>100000</v>
      </c>
      <c r="L1965" t="s">
        <v>73</v>
      </c>
      <c r="M1965" t="s">
        <v>31</v>
      </c>
      <c r="N1965" t="s">
        <v>23</v>
      </c>
      <c r="O1965" t="s">
        <v>24</v>
      </c>
    </row>
    <row r="1966" spans="1:15" x14ac:dyDescent="0.35">
      <c r="A1966" t="s">
        <v>3016</v>
      </c>
      <c r="B1966" s="2">
        <v>46322</v>
      </c>
      <c r="C1966" t="s">
        <v>777</v>
      </c>
      <c r="D1966" t="s">
        <v>1908</v>
      </c>
      <c r="E1966" t="s">
        <v>41</v>
      </c>
      <c r="F1966" t="s">
        <v>42</v>
      </c>
      <c r="G1966" t="s">
        <v>43</v>
      </c>
      <c r="H1966" t="s">
        <v>162</v>
      </c>
      <c r="I1966">
        <v>4</v>
      </c>
      <c r="J1966" s="3">
        <v>8000</v>
      </c>
      <c r="K1966" s="3">
        <v>4800</v>
      </c>
      <c r="L1966" t="s">
        <v>66</v>
      </c>
      <c r="M1966" t="s">
        <v>37</v>
      </c>
      <c r="N1966" t="s">
        <v>23</v>
      </c>
      <c r="O1966" t="s">
        <v>24</v>
      </c>
    </row>
    <row r="1967" spans="1:15" x14ac:dyDescent="0.35">
      <c r="A1967" t="s">
        <v>3017</v>
      </c>
      <c r="B1967" s="2">
        <v>46347</v>
      </c>
      <c r="C1967" t="s">
        <v>1503</v>
      </c>
      <c r="D1967" t="s">
        <v>2174</v>
      </c>
      <c r="E1967" t="s">
        <v>156</v>
      </c>
      <c r="F1967" t="s">
        <v>170</v>
      </c>
      <c r="G1967" t="s">
        <v>34</v>
      </c>
      <c r="H1967" t="s">
        <v>35</v>
      </c>
      <c r="I1967">
        <v>1</v>
      </c>
      <c r="J1967" s="3">
        <v>57800</v>
      </c>
      <c r="K1967" s="3">
        <v>39000</v>
      </c>
      <c r="L1967" t="s">
        <v>21</v>
      </c>
      <c r="M1967" t="s">
        <v>51</v>
      </c>
      <c r="N1967" t="s">
        <v>23</v>
      </c>
      <c r="O1967" t="s">
        <v>24</v>
      </c>
    </row>
    <row r="1968" spans="1:15" x14ac:dyDescent="0.35">
      <c r="A1968" t="s">
        <v>3018</v>
      </c>
      <c r="B1968" s="2">
        <v>46259</v>
      </c>
      <c r="C1968" t="s">
        <v>1353</v>
      </c>
      <c r="D1968" t="s">
        <v>1195</v>
      </c>
      <c r="E1968" t="s">
        <v>56</v>
      </c>
      <c r="F1968" t="s">
        <v>57</v>
      </c>
      <c r="G1968" t="s">
        <v>34</v>
      </c>
      <c r="H1968" t="s">
        <v>86</v>
      </c>
      <c r="I1968">
        <v>1</v>
      </c>
      <c r="J1968" s="3">
        <v>180000</v>
      </c>
      <c r="K1968" s="3">
        <v>131000</v>
      </c>
      <c r="L1968" t="s">
        <v>36</v>
      </c>
      <c r="M1968" t="s">
        <v>31</v>
      </c>
      <c r="N1968" t="s">
        <v>52</v>
      </c>
      <c r="O1968" t="s">
        <v>24</v>
      </c>
    </row>
    <row r="1969" spans="1:15" x14ac:dyDescent="0.35">
      <c r="A1969" t="s">
        <v>3019</v>
      </c>
      <c r="B1969" s="2">
        <v>46181</v>
      </c>
      <c r="C1969" t="s">
        <v>101</v>
      </c>
      <c r="D1969" t="s">
        <v>2046</v>
      </c>
      <c r="E1969" t="s">
        <v>156</v>
      </c>
      <c r="F1969" t="s">
        <v>157</v>
      </c>
      <c r="G1969" t="s">
        <v>34</v>
      </c>
      <c r="H1969" t="s">
        <v>158</v>
      </c>
      <c r="I1969">
        <v>4</v>
      </c>
      <c r="J1969" s="3">
        <v>95000</v>
      </c>
      <c r="K1969" s="3">
        <v>70000</v>
      </c>
      <c r="L1969" t="s">
        <v>30</v>
      </c>
      <c r="M1969" t="s">
        <v>51</v>
      </c>
      <c r="N1969" t="s">
        <v>52</v>
      </c>
      <c r="O1969" t="s">
        <v>24</v>
      </c>
    </row>
    <row r="1970" spans="1:15" x14ac:dyDescent="0.35">
      <c r="A1970" t="s">
        <v>3020</v>
      </c>
      <c r="B1970" s="2">
        <v>46173</v>
      </c>
      <c r="C1970" t="s">
        <v>1160</v>
      </c>
      <c r="D1970" t="s">
        <v>1012</v>
      </c>
      <c r="E1970" t="s">
        <v>18</v>
      </c>
      <c r="F1970" t="s">
        <v>18</v>
      </c>
      <c r="G1970" t="s">
        <v>34</v>
      </c>
      <c r="H1970" t="s">
        <v>95</v>
      </c>
      <c r="I1970">
        <v>10</v>
      </c>
      <c r="J1970" s="3">
        <v>450000</v>
      </c>
      <c r="K1970" s="3">
        <v>358900</v>
      </c>
      <c r="L1970" t="s">
        <v>73</v>
      </c>
      <c r="M1970" t="s">
        <v>51</v>
      </c>
      <c r="N1970" t="s">
        <v>52</v>
      </c>
      <c r="O1970" t="s">
        <v>24</v>
      </c>
    </row>
    <row r="1971" spans="1:15" x14ac:dyDescent="0.35">
      <c r="A1971" t="s">
        <v>3021</v>
      </c>
      <c r="B1971" s="2">
        <v>46345</v>
      </c>
      <c r="C1971" t="s">
        <v>685</v>
      </c>
      <c r="D1971" t="s">
        <v>327</v>
      </c>
      <c r="E1971" t="s">
        <v>18</v>
      </c>
      <c r="F1971" t="s">
        <v>18</v>
      </c>
      <c r="G1971" t="s">
        <v>43</v>
      </c>
      <c r="H1971" t="s">
        <v>162</v>
      </c>
      <c r="I1971">
        <v>3</v>
      </c>
      <c r="J1971" s="3">
        <v>8000</v>
      </c>
      <c r="K1971" s="3">
        <v>5200</v>
      </c>
      <c r="L1971" t="s">
        <v>30</v>
      </c>
      <c r="M1971" t="s">
        <v>22</v>
      </c>
      <c r="N1971" t="s">
        <v>52</v>
      </c>
      <c r="O1971" t="s">
        <v>24</v>
      </c>
    </row>
    <row r="1972" spans="1:15" x14ac:dyDescent="0.35">
      <c r="A1972" t="s">
        <v>3022</v>
      </c>
      <c r="B1972" s="2">
        <v>46090</v>
      </c>
      <c r="C1972" t="s">
        <v>1609</v>
      </c>
      <c r="D1972" t="s">
        <v>385</v>
      </c>
      <c r="E1972" t="s">
        <v>41</v>
      </c>
      <c r="F1972" t="s">
        <v>42</v>
      </c>
      <c r="G1972" t="s">
        <v>34</v>
      </c>
      <c r="H1972" t="s">
        <v>35</v>
      </c>
      <c r="I1972">
        <v>9</v>
      </c>
      <c r="J1972" s="3">
        <v>52200</v>
      </c>
      <c r="K1972" s="3">
        <v>40200</v>
      </c>
      <c r="L1972" t="s">
        <v>73</v>
      </c>
      <c r="M1972" t="s">
        <v>37</v>
      </c>
      <c r="N1972" t="s">
        <v>52</v>
      </c>
      <c r="O1972" t="s">
        <v>91</v>
      </c>
    </row>
    <row r="1973" spans="1:15" x14ac:dyDescent="0.35">
      <c r="A1973" t="s">
        <v>3023</v>
      </c>
      <c r="B1973" s="2">
        <v>46286</v>
      </c>
      <c r="C1973" t="s">
        <v>1051</v>
      </c>
      <c r="D1973" t="s">
        <v>1246</v>
      </c>
      <c r="E1973" t="s">
        <v>18</v>
      </c>
      <c r="F1973" t="s">
        <v>18</v>
      </c>
      <c r="G1973" t="s">
        <v>43</v>
      </c>
      <c r="H1973" t="s">
        <v>49</v>
      </c>
      <c r="I1973">
        <v>2</v>
      </c>
      <c r="J1973" s="3">
        <v>8600</v>
      </c>
      <c r="K1973" s="3">
        <v>6000</v>
      </c>
      <c r="L1973" t="s">
        <v>73</v>
      </c>
      <c r="M1973" t="s">
        <v>22</v>
      </c>
      <c r="N1973" t="s">
        <v>52</v>
      </c>
      <c r="O1973" t="s">
        <v>91</v>
      </c>
    </row>
    <row r="1974" spans="1:15" x14ac:dyDescent="0.35">
      <c r="A1974" t="s">
        <v>3024</v>
      </c>
      <c r="B1974" s="2">
        <v>46250</v>
      </c>
      <c r="C1974" t="s">
        <v>995</v>
      </c>
      <c r="D1974" t="s">
        <v>435</v>
      </c>
      <c r="E1974" t="s">
        <v>156</v>
      </c>
      <c r="F1974" t="s">
        <v>170</v>
      </c>
      <c r="G1974" t="s">
        <v>34</v>
      </c>
      <c r="H1974" t="s">
        <v>141</v>
      </c>
      <c r="I1974">
        <v>7</v>
      </c>
      <c r="J1974" s="3">
        <v>160000</v>
      </c>
      <c r="K1974" s="3">
        <v>116400</v>
      </c>
      <c r="L1974" t="s">
        <v>96</v>
      </c>
      <c r="M1974" t="s">
        <v>31</v>
      </c>
      <c r="N1974" t="s">
        <v>23</v>
      </c>
      <c r="O1974" t="s">
        <v>45</v>
      </c>
    </row>
    <row r="1975" spans="1:15" x14ac:dyDescent="0.35">
      <c r="A1975" t="s">
        <v>3025</v>
      </c>
      <c r="B1975" s="2">
        <v>46303</v>
      </c>
      <c r="C1975" t="s">
        <v>2545</v>
      </c>
      <c r="D1975" t="s">
        <v>1217</v>
      </c>
      <c r="E1975" t="s">
        <v>18</v>
      </c>
      <c r="F1975" t="s">
        <v>18</v>
      </c>
      <c r="G1975" t="s">
        <v>34</v>
      </c>
      <c r="H1975" t="s">
        <v>95</v>
      </c>
      <c r="I1975">
        <v>3</v>
      </c>
      <c r="J1975" s="3">
        <v>450000</v>
      </c>
      <c r="K1975" s="3">
        <v>381100</v>
      </c>
      <c r="L1975" t="s">
        <v>36</v>
      </c>
      <c r="M1975" t="s">
        <v>37</v>
      </c>
      <c r="N1975" t="s">
        <v>23</v>
      </c>
      <c r="O1975" t="s">
        <v>24</v>
      </c>
    </row>
    <row r="1976" spans="1:15" x14ac:dyDescent="0.35">
      <c r="A1976" t="s">
        <v>3026</v>
      </c>
      <c r="B1976" s="2">
        <v>46325</v>
      </c>
      <c r="C1976" t="s">
        <v>1869</v>
      </c>
      <c r="D1976" t="s">
        <v>631</v>
      </c>
      <c r="E1976" t="s">
        <v>56</v>
      </c>
      <c r="F1976" t="s">
        <v>57</v>
      </c>
      <c r="G1976" t="s">
        <v>19</v>
      </c>
      <c r="H1976" t="s">
        <v>166</v>
      </c>
      <c r="I1976">
        <v>7</v>
      </c>
      <c r="J1976" s="3">
        <v>140000</v>
      </c>
      <c r="K1976" s="3">
        <v>97000</v>
      </c>
      <c r="L1976" t="s">
        <v>30</v>
      </c>
      <c r="M1976" t="s">
        <v>51</v>
      </c>
      <c r="N1976" t="s">
        <v>23</v>
      </c>
      <c r="O1976" t="s">
        <v>24</v>
      </c>
    </row>
    <row r="1977" spans="1:15" x14ac:dyDescent="0.35">
      <c r="A1977" t="s">
        <v>3027</v>
      </c>
      <c r="B1977" s="2">
        <v>46316</v>
      </c>
      <c r="C1977" t="s">
        <v>478</v>
      </c>
      <c r="D1977" t="s">
        <v>674</v>
      </c>
      <c r="E1977" t="s">
        <v>18</v>
      </c>
      <c r="F1977" t="s">
        <v>18</v>
      </c>
      <c r="G1977" t="s">
        <v>34</v>
      </c>
      <c r="H1977" t="s">
        <v>95</v>
      </c>
      <c r="I1977">
        <v>9</v>
      </c>
      <c r="J1977" s="3">
        <v>450000</v>
      </c>
      <c r="K1977" s="3">
        <v>370000</v>
      </c>
      <c r="L1977" t="s">
        <v>96</v>
      </c>
      <c r="M1977" t="s">
        <v>31</v>
      </c>
      <c r="N1977" t="s">
        <v>87</v>
      </c>
      <c r="O1977" t="s">
        <v>24</v>
      </c>
    </row>
    <row r="1978" spans="1:15" x14ac:dyDescent="0.35">
      <c r="A1978" t="s">
        <v>3028</v>
      </c>
      <c r="B1978" s="2">
        <v>46232</v>
      </c>
      <c r="C1978" t="s">
        <v>89</v>
      </c>
      <c r="D1978" t="s">
        <v>1122</v>
      </c>
      <c r="E1978" t="s">
        <v>77</v>
      </c>
      <c r="F1978" t="s">
        <v>78</v>
      </c>
      <c r="G1978" t="s">
        <v>28</v>
      </c>
      <c r="H1978" t="s">
        <v>248</v>
      </c>
      <c r="I1978">
        <v>10</v>
      </c>
      <c r="J1978" s="3">
        <v>23800</v>
      </c>
      <c r="K1978" s="3">
        <v>15500</v>
      </c>
      <c r="L1978" t="s">
        <v>30</v>
      </c>
      <c r="M1978" t="s">
        <v>31</v>
      </c>
      <c r="N1978" t="s">
        <v>52</v>
      </c>
      <c r="O1978" t="s">
        <v>91</v>
      </c>
    </row>
    <row r="1979" spans="1:15" x14ac:dyDescent="0.35">
      <c r="A1979" t="s">
        <v>3029</v>
      </c>
      <c r="B1979" s="2">
        <v>46124</v>
      </c>
      <c r="C1979" t="s">
        <v>1106</v>
      </c>
      <c r="D1979" t="s">
        <v>988</v>
      </c>
      <c r="E1979" t="s">
        <v>84</v>
      </c>
      <c r="F1979" t="s">
        <v>85</v>
      </c>
      <c r="G1979" t="s">
        <v>34</v>
      </c>
      <c r="H1979" t="s">
        <v>141</v>
      </c>
      <c r="I1979">
        <v>2</v>
      </c>
      <c r="J1979" s="3">
        <v>160000</v>
      </c>
      <c r="K1979" s="3">
        <v>123600</v>
      </c>
      <c r="L1979" t="s">
        <v>21</v>
      </c>
      <c r="M1979" t="s">
        <v>37</v>
      </c>
      <c r="N1979" t="s">
        <v>23</v>
      </c>
      <c r="O1979" t="s">
        <v>24</v>
      </c>
    </row>
    <row r="1980" spans="1:15" x14ac:dyDescent="0.35">
      <c r="A1980" t="s">
        <v>3030</v>
      </c>
      <c r="B1980" s="2">
        <v>46300</v>
      </c>
      <c r="C1980" t="s">
        <v>413</v>
      </c>
      <c r="D1980" t="s">
        <v>1396</v>
      </c>
      <c r="E1980" t="s">
        <v>70</v>
      </c>
      <c r="F1980" t="s">
        <v>71</v>
      </c>
      <c r="G1980" t="s">
        <v>43</v>
      </c>
      <c r="H1980" t="s">
        <v>44</v>
      </c>
      <c r="I1980">
        <v>2</v>
      </c>
      <c r="J1980" s="3">
        <v>15000</v>
      </c>
      <c r="K1980" s="3">
        <v>9800</v>
      </c>
      <c r="L1980" t="s">
        <v>66</v>
      </c>
      <c r="M1980" t="s">
        <v>51</v>
      </c>
      <c r="N1980" t="s">
        <v>87</v>
      </c>
      <c r="O1980" t="s">
        <v>24</v>
      </c>
    </row>
    <row r="1981" spans="1:15" x14ac:dyDescent="0.35">
      <c r="A1981" t="s">
        <v>3031</v>
      </c>
      <c r="B1981" s="2">
        <v>46116</v>
      </c>
      <c r="C1981" t="s">
        <v>730</v>
      </c>
      <c r="D1981" t="s">
        <v>971</v>
      </c>
      <c r="E1981" t="s">
        <v>56</v>
      </c>
      <c r="F1981" t="s">
        <v>57</v>
      </c>
      <c r="G1981" t="s">
        <v>19</v>
      </c>
      <c r="H1981" t="s">
        <v>166</v>
      </c>
      <c r="I1981">
        <v>5</v>
      </c>
      <c r="J1981" s="3">
        <v>133000</v>
      </c>
      <c r="K1981" s="3">
        <v>97000</v>
      </c>
      <c r="L1981" t="s">
        <v>36</v>
      </c>
      <c r="M1981" t="s">
        <v>37</v>
      </c>
      <c r="N1981" t="s">
        <v>23</v>
      </c>
      <c r="O1981" t="s">
        <v>24</v>
      </c>
    </row>
    <row r="1982" spans="1:15" x14ac:dyDescent="0.35">
      <c r="A1982" t="s">
        <v>3032</v>
      </c>
      <c r="B1982" s="2">
        <v>46334</v>
      </c>
      <c r="C1982" t="s">
        <v>557</v>
      </c>
      <c r="D1982" t="s">
        <v>998</v>
      </c>
      <c r="E1982" t="s">
        <v>41</v>
      </c>
      <c r="F1982" t="s">
        <v>42</v>
      </c>
      <c r="G1982" t="s">
        <v>34</v>
      </c>
      <c r="H1982" t="s">
        <v>35</v>
      </c>
      <c r="I1982">
        <v>8</v>
      </c>
      <c r="J1982" s="3">
        <v>55000</v>
      </c>
      <c r="K1982" s="3">
        <v>39000</v>
      </c>
      <c r="L1982" t="s">
        <v>66</v>
      </c>
      <c r="M1982" t="s">
        <v>37</v>
      </c>
      <c r="N1982" t="s">
        <v>23</v>
      </c>
      <c r="O1982" t="s">
        <v>24</v>
      </c>
    </row>
    <row r="1983" spans="1:15" x14ac:dyDescent="0.35">
      <c r="A1983" t="s">
        <v>3033</v>
      </c>
      <c r="B1983" s="2">
        <v>46277</v>
      </c>
      <c r="C1983" t="s">
        <v>222</v>
      </c>
      <c r="D1983" t="s">
        <v>1308</v>
      </c>
      <c r="E1983" t="s">
        <v>18</v>
      </c>
      <c r="F1983" t="s">
        <v>18</v>
      </c>
      <c r="G1983" t="s">
        <v>19</v>
      </c>
      <c r="H1983" t="s">
        <v>166</v>
      </c>
      <c r="I1983">
        <v>10</v>
      </c>
      <c r="J1983" s="3">
        <v>140000</v>
      </c>
      <c r="K1983" s="3">
        <v>100000</v>
      </c>
      <c r="L1983" t="s">
        <v>73</v>
      </c>
      <c r="M1983" t="s">
        <v>22</v>
      </c>
      <c r="N1983" t="s">
        <v>87</v>
      </c>
      <c r="O1983" t="s">
        <v>24</v>
      </c>
    </row>
    <row r="1984" spans="1:15" x14ac:dyDescent="0.35">
      <c r="A1984" t="s">
        <v>3034</v>
      </c>
      <c r="B1984" s="2">
        <v>46099</v>
      </c>
      <c r="C1984" t="s">
        <v>2115</v>
      </c>
      <c r="D1984" t="s">
        <v>1295</v>
      </c>
      <c r="E1984" t="s">
        <v>70</v>
      </c>
      <c r="F1984" t="s">
        <v>71</v>
      </c>
      <c r="G1984" t="s">
        <v>19</v>
      </c>
      <c r="H1984" t="s">
        <v>166</v>
      </c>
      <c r="I1984">
        <v>10</v>
      </c>
      <c r="J1984" s="3">
        <v>133000</v>
      </c>
      <c r="K1984" s="3">
        <v>103000</v>
      </c>
      <c r="L1984" t="s">
        <v>30</v>
      </c>
      <c r="M1984" t="s">
        <v>37</v>
      </c>
      <c r="N1984" t="s">
        <v>52</v>
      </c>
      <c r="O1984" t="s">
        <v>45</v>
      </c>
    </row>
    <row r="1985" spans="1:15" x14ac:dyDescent="0.35">
      <c r="A1985" t="s">
        <v>3035</v>
      </c>
      <c r="B1985" s="2">
        <v>46349</v>
      </c>
      <c r="C1985" t="s">
        <v>888</v>
      </c>
      <c r="D1985" t="s">
        <v>784</v>
      </c>
      <c r="E1985" t="s">
        <v>70</v>
      </c>
      <c r="F1985" t="s">
        <v>71</v>
      </c>
      <c r="G1985" t="s">
        <v>34</v>
      </c>
      <c r="H1985" t="s">
        <v>158</v>
      </c>
      <c r="I1985">
        <v>4</v>
      </c>
      <c r="J1985" s="3">
        <v>90200</v>
      </c>
      <c r="K1985" s="3">
        <v>70000</v>
      </c>
      <c r="L1985" t="s">
        <v>50</v>
      </c>
      <c r="M1985" t="s">
        <v>37</v>
      </c>
      <c r="N1985" t="s">
        <v>23</v>
      </c>
      <c r="O1985" t="s">
        <v>24</v>
      </c>
    </row>
    <row r="1986" spans="1:15" x14ac:dyDescent="0.35">
      <c r="A1986" t="s">
        <v>3036</v>
      </c>
      <c r="B1986" s="2">
        <v>46052</v>
      </c>
      <c r="C1986" t="s">
        <v>405</v>
      </c>
      <c r="D1986" t="s">
        <v>345</v>
      </c>
      <c r="E1986" t="s">
        <v>190</v>
      </c>
      <c r="F1986" t="s">
        <v>191</v>
      </c>
      <c r="G1986" t="s">
        <v>43</v>
      </c>
      <c r="H1986" t="s">
        <v>162</v>
      </c>
      <c r="I1986">
        <v>9</v>
      </c>
      <c r="J1986" s="3">
        <v>8000</v>
      </c>
      <c r="K1986" s="3">
        <v>5000</v>
      </c>
      <c r="L1986" t="s">
        <v>96</v>
      </c>
      <c r="M1986" t="s">
        <v>51</v>
      </c>
      <c r="N1986" t="s">
        <v>23</v>
      </c>
      <c r="O1986" t="s">
        <v>45</v>
      </c>
    </row>
    <row r="1987" spans="1:15" x14ac:dyDescent="0.35">
      <c r="A1987" t="s">
        <v>3037</v>
      </c>
      <c r="B1987" s="2">
        <v>46288</v>
      </c>
      <c r="C1987" t="s">
        <v>1617</v>
      </c>
      <c r="D1987" t="s">
        <v>1021</v>
      </c>
      <c r="E1987" t="s">
        <v>190</v>
      </c>
      <c r="F1987" t="s">
        <v>191</v>
      </c>
      <c r="G1987" t="s">
        <v>19</v>
      </c>
      <c r="H1987" t="s">
        <v>61</v>
      </c>
      <c r="I1987">
        <v>10</v>
      </c>
      <c r="J1987" s="3">
        <v>220000</v>
      </c>
      <c r="K1987" s="3">
        <v>164800</v>
      </c>
      <c r="L1987" t="s">
        <v>30</v>
      </c>
      <c r="M1987" t="s">
        <v>22</v>
      </c>
      <c r="N1987" t="s">
        <v>87</v>
      </c>
      <c r="O1987" t="s">
        <v>24</v>
      </c>
    </row>
    <row r="1988" spans="1:15" x14ac:dyDescent="0.35">
      <c r="A1988" t="s">
        <v>3038</v>
      </c>
      <c r="B1988" s="2">
        <v>46253</v>
      </c>
      <c r="C1988" t="s">
        <v>1572</v>
      </c>
      <c r="D1988" t="s">
        <v>889</v>
      </c>
      <c r="E1988" t="s">
        <v>18</v>
      </c>
      <c r="F1988" t="s">
        <v>18</v>
      </c>
      <c r="G1988" t="s">
        <v>34</v>
      </c>
      <c r="H1988" t="s">
        <v>86</v>
      </c>
      <c r="I1988">
        <v>8</v>
      </c>
      <c r="J1988" s="3">
        <v>180000</v>
      </c>
      <c r="K1988" s="3">
        <v>135000</v>
      </c>
      <c r="L1988" t="s">
        <v>96</v>
      </c>
      <c r="M1988" t="s">
        <v>37</v>
      </c>
      <c r="N1988" t="s">
        <v>23</v>
      </c>
      <c r="O1988" t="s">
        <v>91</v>
      </c>
    </row>
    <row r="1989" spans="1:15" x14ac:dyDescent="0.35">
      <c r="A1989" t="s">
        <v>3039</v>
      </c>
      <c r="B1989" s="2">
        <v>46031</v>
      </c>
      <c r="C1989" t="s">
        <v>593</v>
      </c>
      <c r="D1989" t="s">
        <v>779</v>
      </c>
      <c r="E1989" t="s">
        <v>70</v>
      </c>
      <c r="G1989" t="s">
        <v>43</v>
      </c>
      <c r="H1989" t="s">
        <v>177</v>
      </c>
      <c r="I1989">
        <v>5</v>
      </c>
      <c r="J1989" s="3">
        <v>18000</v>
      </c>
      <c r="K1989" s="3">
        <v>12100</v>
      </c>
      <c r="L1989" t="s">
        <v>30</v>
      </c>
      <c r="M1989" t="s">
        <v>37</v>
      </c>
      <c r="N1989" t="s">
        <v>23</v>
      </c>
      <c r="O1989" t="s">
        <v>24</v>
      </c>
    </row>
    <row r="1990" spans="1:15" x14ac:dyDescent="0.35">
      <c r="A1990" t="s">
        <v>3040</v>
      </c>
      <c r="B1990" s="2">
        <v>46251</v>
      </c>
      <c r="C1990" t="s">
        <v>123</v>
      </c>
      <c r="D1990" t="s">
        <v>775</v>
      </c>
      <c r="E1990" t="s">
        <v>18</v>
      </c>
      <c r="F1990" t="s">
        <v>18</v>
      </c>
      <c r="G1990" t="s">
        <v>19</v>
      </c>
      <c r="H1990" t="s">
        <v>166</v>
      </c>
      <c r="I1990">
        <v>2</v>
      </c>
      <c r="J1990" s="3">
        <v>140000</v>
      </c>
      <c r="K1990" s="3">
        <v>100000</v>
      </c>
      <c r="L1990" t="s">
        <v>96</v>
      </c>
      <c r="M1990" t="s">
        <v>37</v>
      </c>
      <c r="N1990" t="s">
        <v>23</v>
      </c>
      <c r="O1990" t="s">
        <v>24</v>
      </c>
    </row>
    <row r="1991" spans="1:15" x14ac:dyDescent="0.35">
      <c r="A1991" t="s">
        <v>3041</v>
      </c>
      <c r="B1991" s="2">
        <v>46027</v>
      </c>
      <c r="C1991" t="s">
        <v>89</v>
      </c>
      <c r="D1991" t="s">
        <v>643</v>
      </c>
      <c r="E1991" t="s">
        <v>56</v>
      </c>
      <c r="F1991" t="s">
        <v>57</v>
      </c>
      <c r="G1991" t="s">
        <v>34</v>
      </c>
      <c r="H1991" t="s">
        <v>141</v>
      </c>
      <c r="I1991">
        <v>6</v>
      </c>
      <c r="J1991" s="3">
        <v>160000</v>
      </c>
      <c r="K1991" s="3">
        <v>116400</v>
      </c>
      <c r="L1991" t="s">
        <v>96</v>
      </c>
      <c r="M1991" t="s">
        <v>22</v>
      </c>
      <c r="N1991" t="s">
        <v>52</v>
      </c>
      <c r="O1991" t="s">
        <v>24</v>
      </c>
    </row>
    <row r="1992" spans="1:15" x14ac:dyDescent="0.35">
      <c r="A1992" t="s">
        <v>3042</v>
      </c>
      <c r="B1992" s="2">
        <v>46381</v>
      </c>
      <c r="C1992" t="s">
        <v>2034</v>
      </c>
      <c r="D1992" t="s">
        <v>700</v>
      </c>
      <c r="E1992" t="s">
        <v>77</v>
      </c>
      <c r="F1992" t="s">
        <v>78</v>
      </c>
      <c r="G1992" t="s">
        <v>43</v>
      </c>
      <c r="H1992" t="s">
        <v>162</v>
      </c>
      <c r="I1992">
        <v>6</v>
      </c>
      <c r="J1992" s="3">
        <v>7600</v>
      </c>
      <c r="K1992" s="3">
        <v>4800</v>
      </c>
      <c r="L1992" t="s">
        <v>66</v>
      </c>
      <c r="M1992" t="s">
        <v>37</v>
      </c>
      <c r="N1992" t="s">
        <v>23</v>
      </c>
      <c r="O1992" t="s">
        <v>45</v>
      </c>
    </row>
    <row r="1993" spans="1:15" x14ac:dyDescent="0.35">
      <c r="A1993" t="s">
        <v>3043</v>
      </c>
      <c r="B1993" s="2">
        <v>46354</v>
      </c>
      <c r="C1993" t="s">
        <v>237</v>
      </c>
      <c r="D1993" t="s">
        <v>1484</v>
      </c>
      <c r="E1993" t="s">
        <v>156</v>
      </c>
      <c r="F1993" t="s">
        <v>170</v>
      </c>
      <c r="G1993" t="s">
        <v>34</v>
      </c>
      <c r="H1993" t="s">
        <v>141</v>
      </c>
      <c r="I1993">
        <v>10</v>
      </c>
      <c r="J1993" s="3">
        <v>160000</v>
      </c>
      <c r="K1993" s="3">
        <v>120000</v>
      </c>
      <c r="L1993" t="s">
        <v>73</v>
      </c>
      <c r="M1993" t="s">
        <v>31</v>
      </c>
      <c r="N1993" t="s">
        <v>87</v>
      </c>
      <c r="O1993" t="s">
        <v>24</v>
      </c>
    </row>
    <row r="1994" spans="1:15" x14ac:dyDescent="0.35">
      <c r="A1994" t="s">
        <v>3044</v>
      </c>
      <c r="B1994" s="2">
        <v>46255</v>
      </c>
      <c r="C1994" t="s">
        <v>252</v>
      </c>
      <c r="D1994" t="s">
        <v>1573</v>
      </c>
      <c r="E1994" t="s">
        <v>84</v>
      </c>
      <c r="F1994" t="s">
        <v>85</v>
      </c>
      <c r="G1994" t="s">
        <v>19</v>
      </c>
      <c r="H1994" t="s">
        <v>112</v>
      </c>
      <c r="I1994">
        <v>2</v>
      </c>
      <c r="J1994" s="3">
        <v>85000</v>
      </c>
      <c r="K1994" s="3">
        <v>62000</v>
      </c>
      <c r="L1994" t="s">
        <v>50</v>
      </c>
      <c r="M1994" t="s">
        <v>37</v>
      </c>
      <c r="N1994" t="s">
        <v>87</v>
      </c>
      <c r="O1994" t="s">
        <v>24</v>
      </c>
    </row>
    <row r="1995" spans="1:15" x14ac:dyDescent="0.35">
      <c r="A1995" t="s">
        <v>3045</v>
      </c>
      <c r="B1995" s="2">
        <v>46288</v>
      </c>
      <c r="C1995" t="s">
        <v>305</v>
      </c>
      <c r="D1995" t="s">
        <v>1087</v>
      </c>
      <c r="E1995" t="s">
        <v>56</v>
      </c>
      <c r="F1995" t="s">
        <v>57</v>
      </c>
      <c r="G1995" t="s">
        <v>28</v>
      </c>
      <c r="H1995" t="s">
        <v>65</v>
      </c>
      <c r="I1995">
        <v>9</v>
      </c>
      <c r="J1995" s="3">
        <v>12000</v>
      </c>
      <c r="K1995" s="3">
        <v>7700</v>
      </c>
      <c r="L1995" t="s">
        <v>50</v>
      </c>
      <c r="M1995" t="s">
        <v>37</v>
      </c>
      <c r="N1995" t="s">
        <v>52</v>
      </c>
      <c r="O1995" t="s">
        <v>45</v>
      </c>
    </row>
    <row r="1996" spans="1:15" x14ac:dyDescent="0.35">
      <c r="A1996" t="s">
        <v>3046</v>
      </c>
      <c r="B1996" s="2">
        <v>46201</v>
      </c>
      <c r="C1996" t="s">
        <v>947</v>
      </c>
      <c r="D1996" t="s">
        <v>755</v>
      </c>
      <c r="E1996" t="s">
        <v>18</v>
      </c>
      <c r="F1996" t="s">
        <v>18</v>
      </c>
      <c r="G1996" t="s">
        <v>34</v>
      </c>
      <c r="H1996" t="s">
        <v>141</v>
      </c>
      <c r="I1996">
        <v>9</v>
      </c>
      <c r="J1996" s="3">
        <v>168000</v>
      </c>
      <c r="K1996" s="3">
        <v>116400</v>
      </c>
      <c r="L1996" t="s">
        <v>36</v>
      </c>
      <c r="M1996" t="s">
        <v>51</v>
      </c>
      <c r="N1996" t="s">
        <v>87</v>
      </c>
      <c r="O1996" t="s">
        <v>24</v>
      </c>
    </row>
    <row r="1997" spans="1:15" x14ac:dyDescent="0.35">
      <c r="A1997" t="s">
        <v>3047</v>
      </c>
      <c r="B1997" s="2">
        <v>46214</v>
      </c>
      <c r="C1997" t="s">
        <v>2011</v>
      </c>
      <c r="D1997" t="s">
        <v>367</v>
      </c>
      <c r="E1997" t="s">
        <v>18</v>
      </c>
      <c r="F1997" t="s">
        <v>18</v>
      </c>
      <c r="G1997" t="s">
        <v>43</v>
      </c>
      <c r="H1997" t="s">
        <v>177</v>
      </c>
      <c r="I1997">
        <v>9</v>
      </c>
      <c r="J1997" s="3">
        <v>18000</v>
      </c>
      <c r="K1997" s="3">
        <v>12900</v>
      </c>
      <c r="L1997" t="s">
        <v>96</v>
      </c>
      <c r="M1997" t="s">
        <v>37</v>
      </c>
      <c r="N1997" t="s">
        <v>52</v>
      </c>
      <c r="O1997" t="s">
        <v>24</v>
      </c>
    </row>
    <row r="1998" spans="1:15" x14ac:dyDescent="0.35">
      <c r="A1998" t="s">
        <v>3048</v>
      </c>
      <c r="B1998" s="2">
        <v>46334</v>
      </c>
      <c r="C1998" t="s">
        <v>886</v>
      </c>
      <c r="D1998" t="s">
        <v>55</v>
      </c>
      <c r="E1998" t="s">
        <v>18</v>
      </c>
      <c r="F1998" t="s">
        <v>18</v>
      </c>
      <c r="G1998" t="s">
        <v>43</v>
      </c>
      <c r="H1998" t="s">
        <v>49</v>
      </c>
      <c r="I1998">
        <v>7</v>
      </c>
      <c r="J1998" s="3">
        <v>9000</v>
      </c>
      <c r="K1998" s="3">
        <v>5600</v>
      </c>
      <c r="L1998" t="s">
        <v>50</v>
      </c>
      <c r="M1998" t="s">
        <v>37</v>
      </c>
      <c r="N1998" t="s">
        <v>23</v>
      </c>
      <c r="O1998" t="s">
        <v>24</v>
      </c>
    </row>
    <row r="1999" spans="1:15" x14ac:dyDescent="0.35">
      <c r="A1999" t="s">
        <v>3049</v>
      </c>
      <c r="B1999" s="2">
        <v>46255</v>
      </c>
      <c r="C1999" t="s">
        <v>59</v>
      </c>
      <c r="D1999" t="s">
        <v>1628</v>
      </c>
      <c r="E1999" t="s">
        <v>156</v>
      </c>
      <c r="F1999" t="s">
        <v>170</v>
      </c>
      <c r="G1999" t="s">
        <v>43</v>
      </c>
      <c r="H1999" t="s">
        <v>79</v>
      </c>
      <c r="I1999">
        <v>2</v>
      </c>
      <c r="J1999" s="3">
        <v>6300</v>
      </c>
      <c r="K1999" s="3">
        <v>4200</v>
      </c>
      <c r="L1999" t="s">
        <v>96</v>
      </c>
      <c r="M1999" t="s">
        <v>51</v>
      </c>
      <c r="N1999" t="s">
        <v>23</v>
      </c>
      <c r="O1999" t="s">
        <v>45</v>
      </c>
    </row>
    <row r="2000" spans="1:15" x14ac:dyDescent="0.35">
      <c r="A2000" t="s">
        <v>3050</v>
      </c>
      <c r="B2000" s="2">
        <v>46373</v>
      </c>
      <c r="C2000" t="s">
        <v>1386</v>
      </c>
      <c r="D2000" t="s">
        <v>1956</v>
      </c>
      <c r="E2000" t="s">
        <v>77</v>
      </c>
      <c r="F2000" t="s">
        <v>78</v>
      </c>
      <c r="G2000" t="s">
        <v>43</v>
      </c>
      <c r="H2000" t="s">
        <v>162</v>
      </c>
      <c r="I2000">
        <v>5</v>
      </c>
      <c r="J2000" s="3">
        <v>8000</v>
      </c>
      <c r="K2000" s="3">
        <v>4800</v>
      </c>
      <c r="L2000" t="s">
        <v>50</v>
      </c>
      <c r="M2000" t="s">
        <v>51</v>
      </c>
      <c r="N2000" t="s">
        <v>52</v>
      </c>
      <c r="O2000" t="s">
        <v>91</v>
      </c>
    </row>
    <row r="2001" spans="1:15" x14ac:dyDescent="0.35">
      <c r="A2001" t="s">
        <v>3051</v>
      </c>
      <c r="B2001" s="2">
        <v>46065</v>
      </c>
      <c r="C2001" t="s">
        <v>2031</v>
      </c>
      <c r="D2001" t="s">
        <v>294</v>
      </c>
      <c r="E2001" t="s">
        <v>41</v>
      </c>
      <c r="F2001" t="s">
        <v>42</v>
      </c>
      <c r="G2001" t="s">
        <v>43</v>
      </c>
      <c r="H2001" t="s">
        <v>177</v>
      </c>
      <c r="I2001">
        <v>4</v>
      </c>
      <c r="J2001" s="3">
        <v>18000</v>
      </c>
      <c r="K2001" s="3">
        <v>12500</v>
      </c>
      <c r="L2001" t="s">
        <v>73</v>
      </c>
      <c r="M2001" t="s">
        <v>37</v>
      </c>
      <c r="N2001" t="s">
        <v>52</v>
      </c>
      <c r="O2001" t="s">
        <v>24</v>
      </c>
    </row>
    <row r="2002" spans="1:15" x14ac:dyDescent="0.35">
      <c r="A2002" t="s">
        <v>2429</v>
      </c>
      <c r="B2002" s="2">
        <v>46297</v>
      </c>
      <c r="C2002" t="s">
        <v>2430</v>
      </c>
      <c r="D2002" t="s">
        <v>208</v>
      </c>
      <c r="E2002" t="s">
        <v>84</v>
      </c>
      <c r="F2002" t="s">
        <v>85</v>
      </c>
      <c r="G2002" t="s">
        <v>28</v>
      </c>
      <c r="H2002" t="s">
        <v>248</v>
      </c>
      <c r="I2002">
        <v>10</v>
      </c>
      <c r="J2002" s="3">
        <v>26200</v>
      </c>
      <c r="K2002" s="3">
        <v>16500</v>
      </c>
      <c r="L2002" t="s">
        <v>50</v>
      </c>
      <c r="M2002" t="s">
        <v>37</v>
      </c>
      <c r="N2002" t="s">
        <v>87</v>
      </c>
      <c r="O2002" t="s">
        <v>45</v>
      </c>
    </row>
    <row r="2003" spans="1:15" x14ac:dyDescent="0.35">
      <c r="A2003" t="s">
        <v>1239</v>
      </c>
      <c r="B2003" s="2">
        <v>46382</v>
      </c>
      <c r="C2003" t="s">
        <v>39</v>
      </c>
      <c r="D2003" t="s">
        <v>235</v>
      </c>
      <c r="E2003" t="s">
        <v>18</v>
      </c>
      <c r="F2003" t="s">
        <v>18</v>
      </c>
      <c r="G2003" t="s">
        <v>34</v>
      </c>
      <c r="H2003" t="s">
        <v>141</v>
      </c>
      <c r="I2003">
        <v>2</v>
      </c>
      <c r="J2003" s="3">
        <v>152000</v>
      </c>
      <c r="K2003" s="3">
        <v>116400</v>
      </c>
      <c r="L2003" t="s">
        <v>50</v>
      </c>
      <c r="M2003" t="s">
        <v>31</v>
      </c>
      <c r="N2003" t="s">
        <v>52</v>
      </c>
      <c r="O2003" t="s">
        <v>24</v>
      </c>
    </row>
    <row r="2004" spans="1:15" x14ac:dyDescent="0.35">
      <c r="A2004" t="s">
        <v>1627</v>
      </c>
      <c r="B2004" s="2">
        <v>46144</v>
      </c>
      <c r="C2004" t="s">
        <v>151</v>
      </c>
      <c r="D2004" t="s">
        <v>1628</v>
      </c>
      <c r="E2004" t="s">
        <v>18</v>
      </c>
      <c r="F2004" t="s">
        <v>18</v>
      </c>
      <c r="G2004" t="s">
        <v>43</v>
      </c>
      <c r="H2004" t="s">
        <v>162</v>
      </c>
      <c r="I2004">
        <v>7</v>
      </c>
      <c r="J2004" s="3">
        <v>8000</v>
      </c>
      <c r="K2004" s="3">
        <v>5200</v>
      </c>
      <c r="L2004" t="s">
        <v>73</v>
      </c>
      <c r="M2004" t="s">
        <v>31</v>
      </c>
      <c r="N2004" t="s">
        <v>87</v>
      </c>
      <c r="O2004" t="s">
        <v>24</v>
      </c>
    </row>
    <row r="2005" spans="1:15" x14ac:dyDescent="0.35">
      <c r="A2005" t="s">
        <v>2573</v>
      </c>
      <c r="B2005" s="2">
        <v>46162</v>
      </c>
      <c r="C2005" t="s">
        <v>2574</v>
      </c>
      <c r="D2005" t="s">
        <v>2575</v>
      </c>
      <c r="E2005" t="s">
        <v>18</v>
      </c>
      <c r="F2005" t="s">
        <v>18</v>
      </c>
      <c r="G2005" t="s">
        <v>28</v>
      </c>
      <c r="H2005" t="s">
        <v>248</v>
      </c>
      <c r="I2005">
        <v>10</v>
      </c>
      <c r="J2005" s="3">
        <v>26200</v>
      </c>
      <c r="K2005" s="3">
        <v>15500</v>
      </c>
      <c r="L2005" t="s">
        <v>36</v>
      </c>
      <c r="M2005" t="s">
        <v>51</v>
      </c>
      <c r="N2005" t="s">
        <v>87</v>
      </c>
      <c r="O2005" t="s">
        <v>24</v>
      </c>
    </row>
    <row r="2006" spans="1:15" x14ac:dyDescent="0.35">
      <c r="A2006" t="s">
        <v>2533</v>
      </c>
      <c r="B2006" s="2">
        <v>46331</v>
      </c>
      <c r="C2006" t="s">
        <v>1827</v>
      </c>
      <c r="D2006" t="s">
        <v>345</v>
      </c>
      <c r="E2006" t="s">
        <v>70</v>
      </c>
      <c r="F2006" t="s">
        <v>71</v>
      </c>
      <c r="G2006" t="s">
        <v>34</v>
      </c>
      <c r="H2006" t="s">
        <v>35</v>
      </c>
      <c r="I2006">
        <v>4</v>
      </c>
      <c r="J2006" s="3">
        <v>55000</v>
      </c>
      <c r="K2006" s="3">
        <v>40200</v>
      </c>
      <c r="L2006" t="s">
        <v>80</v>
      </c>
      <c r="M2006" t="s">
        <v>37</v>
      </c>
      <c r="N2006" t="s">
        <v>23</v>
      </c>
      <c r="O2006" t="s">
        <v>45</v>
      </c>
    </row>
  </sheetData>
  <autoFilter ref="A1:O200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1701-294D-4FD6-9630-AE18E73E5DCA}">
  <dimension ref="A2:T1993"/>
  <sheetViews>
    <sheetView topLeftCell="M3" workbookViewId="0">
      <selection activeCell="L11" sqref="A3:T1993"/>
    </sheetView>
  </sheetViews>
  <sheetFormatPr baseColWidth="10" defaultRowHeight="14.5" x14ac:dyDescent="0.35"/>
  <cols>
    <col min="2" max="2" width="10.453125" bestFit="1" customWidth="1"/>
    <col min="3" max="3" width="10.7265625" bestFit="1" customWidth="1"/>
    <col min="4" max="4" width="9" bestFit="1" customWidth="1"/>
    <col min="5" max="5" width="14" bestFit="1" customWidth="1"/>
    <col min="6" max="6" width="10" bestFit="1" customWidth="1"/>
    <col min="7" max="7" width="11.81640625" bestFit="1" customWidth="1"/>
    <col min="8" max="8" width="19.6328125" bestFit="1" customWidth="1"/>
    <col min="9" max="9" width="10.54296875" bestFit="1" customWidth="1"/>
    <col min="10" max="10" width="14" bestFit="1" customWidth="1"/>
    <col min="11" max="11" width="14.81640625" bestFit="1" customWidth="1"/>
    <col min="12" max="12" width="13" bestFit="1" customWidth="1"/>
    <col min="13" max="13" width="17" bestFit="1" customWidth="1"/>
    <col min="14" max="14" width="9.7265625" bestFit="1" customWidth="1"/>
    <col min="15" max="15" width="9.26953125" customWidth="1"/>
    <col min="16" max="16" width="7.6328125" bestFit="1" customWidth="1"/>
    <col min="19" max="19" width="15.36328125" bestFit="1" customWidth="1"/>
  </cols>
  <sheetData>
    <row r="2" spans="1:2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3052</v>
      </c>
      <c r="Q2" t="s">
        <v>3053</v>
      </c>
      <c r="R2" t="s">
        <v>3054</v>
      </c>
      <c r="S2" t="s">
        <v>3055</v>
      </c>
      <c r="T2" t="s">
        <v>3064</v>
      </c>
    </row>
    <row r="3" spans="1:20" x14ac:dyDescent="0.35">
      <c r="A3" t="s">
        <v>15</v>
      </c>
      <c r="B3" s="2">
        <v>46193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  <c r="H3" t="s">
        <v>20</v>
      </c>
      <c r="I3">
        <v>1</v>
      </c>
      <c r="J3">
        <v>65000</v>
      </c>
      <c r="K3">
        <v>45000</v>
      </c>
      <c r="L3" t="s">
        <v>21</v>
      </c>
      <c r="M3" t="s">
        <v>22</v>
      </c>
      <c r="N3" t="s">
        <v>23</v>
      </c>
      <c r="O3" t="s">
        <v>24</v>
      </c>
      <c r="P3">
        <f>Tableau1_2[[#This Row],[Quantité]]*Tableau1_2[[#This Row],[Prix_Unitaire]]</f>
        <v>65000</v>
      </c>
      <c r="Q3">
        <f>Tableau1_2[[#This Row],[Quantité]]*Tableau1_2[[#This Row],[Coût_Unitaire]]</f>
        <v>45000</v>
      </c>
      <c r="R3">
        <f>Tableau1_2[[#This Row],[CA]]-Tableau1_2[[#This Row],[Cout Total]]</f>
        <v>20000</v>
      </c>
      <c r="S3" s="4">
        <f>Tableau1_2[[#This Row],[Marge]]/Tableau1_2[[#This Row],[CA]]</f>
        <v>0.30769230769230771</v>
      </c>
      <c r="T3" t="str">
        <f>TEXT(Tableau1_2[[#This Row],[Date]],"mmmm")</f>
        <v>juin</v>
      </c>
    </row>
    <row r="4" spans="1:20" x14ac:dyDescent="0.35">
      <c r="A4" t="s">
        <v>25</v>
      </c>
      <c r="B4" s="2">
        <v>46358</v>
      </c>
      <c r="C4" t="s">
        <v>26</v>
      </c>
      <c r="D4" t="s">
        <v>27</v>
      </c>
      <c r="E4" t="s">
        <v>18</v>
      </c>
      <c r="F4" t="s">
        <v>18</v>
      </c>
      <c r="G4" t="s">
        <v>28</v>
      </c>
      <c r="H4" t="s">
        <v>29</v>
      </c>
      <c r="I4">
        <v>3</v>
      </c>
      <c r="J4">
        <v>7000</v>
      </c>
      <c r="K4">
        <v>4000</v>
      </c>
      <c r="L4" t="s">
        <v>30</v>
      </c>
      <c r="M4" t="s">
        <v>31</v>
      </c>
      <c r="N4" t="s">
        <v>23</v>
      </c>
      <c r="O4" t="s">
        <v>24</v>
      </c>
      <c r="P4">
        <f>Tableau1_2[[#This Row],[Quantité]]*Tableau1_2[[#This Row],[Prix_Unitaire]]</f>
        <v>21000</v>
      </c>
      <c r="Q4">
        <f>Tableau1_2[[#This Row],[Quantité]]*Tableau1_2[[#This Row],[Coût_Unitaire]]</f>
        <v>12000</v>
      </c>
      <c r="R4">
        <f>Tableau1_2[[#This Row],[CA]]-Tableau1_2[[#This Row],[Cout Total]]</f>
        <v>9000</v>
      </c>
      <c r="S4" s="4">
        <f>Tableau1_2[[#This Row],[Marge]]/Tableau1_2[[#This Row],[CA]]</f>
        <v>0.42857142857142855</v>
      </c>
      <c r="T4" t="str">
        <f>TEXT(Tableau1_2[[#This Row],[Date]],"mmmm")</f>
        <v>décembre</v>
      </c>
    </row>
    <row r="5" spans="1:20" x14ac:dyDescent="0.35">
      <c r="A5" t="s">
        <v>32</v>
      </c>
      <c r="B5" s="2">
        <v>46214</v>
      </c>
      <c r="C5" t="s">
        <v>33</v>
      </c>
      <c r="D5" t="s">
        <v>17</v>
      </c>
      <c r="E5" t="s">
        <v>18</v>
      </c>
      <c r="F5" t="s">
        <v>18</v>
      </c>
      <c r="G5" t="s">
        <v>34</v>
      </c>
      <c r="H5" t="s">
        <v>35</v>
      </c>
      <c r="I5">
        <v>1</v>
      </c>
      <c r="J5">
        <v>55000</v>
      </c>
      <c r="K5">
        <v>37800</v>
      </c>
      <c r="L5" t="s">
        <v>36</v>
      </c>
      <c r="M5" t="s">
        <v>37</v>
      </c>
      <c r="N5" t="s">
        <v>23</v>
      </c>
      <c r="O5" t="s">
        <v>24</v>
      </c>
      <c r="P5">
        <f>Tableau1_2[[#This Row],[Quantité]]*Tableau1_2[[#This Row],[Prix_Unitaire]]</f>
        <v>55000</v>
      </c>
      <c r="Q5">
        <f>Tableau1_2[[#This Row],[Quantité]]*Tableau1_2[[#This Row],[Coût_Unitaire]]</f>
        <v>37800</v>
      </c>
      <c r="R5">
        <f>Tableau1_2[[#This Row],[CA]]-Tableau1_2[[#This Row],[Cout Total]]</f>
        <v>17200</v>
      </c>
      <c r="S5" s="4">
        <f>Tableau1_2[[#This Row],[Marge]]/Tableau1_2[[#This Row],[CA]]</f>
        <v>0.31272727272727274</v>
      </c>
      <c r="T5" t="str">
        <f>TEXT(Tableau1_2[[#This Row],[Date]],"mmmm")</f>
        <v>juillet</v>
      </c>
    </row>
    <row r="6" spans="1:20" x14ac:dyDescent="0.35">
      <c r="A6" t="s">
        <v>38</v>
      </c>
      <c r="B6" s="2">
        <v>46132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10</v>
      </c>
      <c r="J6">
        <v>14200</v>
      </c>
      <c r="K6">
        <v>9800</v>
      </c>
      <c r="L6" t="s">
        <v>21</v>
      </c>
      <c r="M6" t="s">
        <v>37</v>
      </c>
      <c r="N6" t="s">
        <v>23</v>
      </c>
      <c r="O6" t="s">
        <v>45</v>
      </c>
      <c r="P6">
        <f>Tableau1_2[[#This Row],[Quantité]]*Tableau1_2[[#This Row],[Prix_Unitaire]]</f>
        <v>142000</v>
      </c>
      <c r="Q6">
        <f>Tableau1_2[[#This Row],[Quantité]]*Tableau1_2[[#This Row],[Coût_Unitaire]]</f>
        <v>98000</v>
      </c>
      <c r="R6">
        <f>Tableau1_2[[#This Row],[CA]]-Tableau1_2[[#This Row],[Cout Total]]</f>
        <v>44000</v>
      </c>
      <c r="S6" s="4">
        <f>Tableau1_2[[#This Row],[Marge]]/Tableau1_2[[#This Row],[CA]]</f>
        <v>0.30985915492957744</v>
      </c>
      <c r="T6" t="str">
        <f>TEXT(Tableau1_2[[#This Row],[Date]],"mmmm")</f>
        <v>avril</v>
      </c>
    </row>
    <row r="7" spans="1:20" x14ac:dyDescent="0.35">
      <c r="A7" t="s">
        <v>46</v>
      </c>
      <c r="B7" s="2">
        <v>46351</v>
      </c>
      <c r="C7" t="s">
        <v>47</v>
      </c>
      <c r="D7" t="s">
        <v>48</v>
      </c>
      <c r="E7" t="s">
        <v>41</v>
      </c>
      <c r="F7" t="s">
        <v>42</v>
      </c>
      <c r="G7" t="s">
        <v>43</v>
      </c>
      <c r="H7" t="s">
        <v>49</v>
      </c>
      <c r="I7">
        <v>1</v>
      </c>
      <c r="J7">
        <v>9000</v>
      </c>
      <c r="K7">
        <v>5800</v>
      </c>
      <c r="L7" t="s">
        <v>50</v>
      </c>
      <c r="M7" t="s">
        <v>51</v>
      </c>
      <c r="N7" t="s">
        <v>52</v>
      </c>
      <c r="O7" t="s">
        <v>24</v>
      </c>
      <c r="P7">
        <f>Tableau1_2[[#This Row],[Quantité]]*Tableau1_2[[#This Row],[Prix_Unitaire]]</f>
        <v>9000</v>
      </c>
      <c r="Q7">
        <f>Tableau1_2[[#This Row],[Quantité]]*Tableau1_2[[#This Row],[Coût_Unitaire]]</f>
        <v>5800</v>
      </c>
      <c r="R7">
        <f>Tableau1_2[[#This Row],[CA]]-Tableau1_2[[#This Row],[Cout Total]]</f>
        <v>3200</v>
      </c>
      <c r="S7" s="4">
        <f>Tableau1_2[[#This Row],[Marge]]/Tableau1_2[[#This Row],[CA]]</f>
        <v>0.35555555555555557</v>
      </c>
      <c r="T7" t="str">
        <f>TEXT(Tableau1_2[[#This Row],[Date]],"mmmm")</f>
        <v>novembre</v>
      </c>
    </row>
    <row r="8" spans="1:20" x14ac:dyDescent="0.35">
      <c r="A8" t="s">
        <v>53</v>
      </c>
      <c r="B8" s="2">
        <v>46091</v>
      </c>
      <c r="C8" t="s">
        <v>54</v>
      </c>
      <c r="D8" t="s">
        <v>55</v>
      </c>
      <c r="E8" t="s">
        <v>56</v>
      </c>
      <c r="F8" t="s">
        <v>57</v>
      </c>
      <c r="G8" t="s">
        <v>43</v>
      </c>
      <c r="H8" t="s">
        <v>44</v>
      </c>
      <c r="I8">
        <v>2</v>
      </c>
      <c r="J8">
        <v>15000</v>
      </c>
      <c r="K8">
        <v>9800</v>
      </c>
      <c r="L8" t="s">
        <v>30</v>
      </c>
      <c r="M8" t="s">
        <v>37</v>
      </c>
      <c r="N8" t="s">
        <v>23</v>
      </c>
      <c r="O8" t="s">
        <v>24</v>
      </c>
      <c r="P8">
        <f>Tableau1_2[[#This Row],[Quantité]]*Tableau1_2[[#This Row],[Prix_Unitaire]]</f>
        <v>30000</v>
      </c>
      <c r="Q8">
        <f>Tableau1_2[[#This Row],[Quantité]]*Tableau1_2[[#This Row],[Coût_Unitaire]]</f>
        <v>19600</v>
      </c>
      <c r="R8">
        <f>Tableau1_2[[#This Row],[CA]]-Tableau1_2[[#This Row],[Cout Total]]</f>
        <v>10400</v>
      </c>
      <c r="S8" s="4">
        <f>Tableau1_2[[#This Row],[Marge]]/Tableau1_2[[#This Row],[CA]]</f>
        <v>0.34666666666666668</v>
      </c>
      <c r="T8" t="str">
        <f>TEXT(Tableau1_2[[#This Row],[Date]],"mmmm")</f>
        <v>mars</v>
      </c>
    </row>
    <row r="9" spans="1:20" x14ac:dyDescent="0.35">
      <c r="A9" t="s">
        <v>58</v>
      </c>
      <c r="B9" s="2">
        <v>46233</v>
      </c>
      <c r="C9" t="s">
        <v>59</v>
      </c>
      <c r="D9" t="s">
        <v>60</v>
      </c>
      <c r="E9" t="s">
        <v>56</v>
      </c>
      <c r="F9" t="s">
        <v>57</v>
      </c>
      <c r="G9" t="s">
        <v>19</v>
      </c>
      <c r="H9" t="s">
        <v>61</v>
      </c>
      <c r="I9">
        <v>10</v>
      </c>
      <c r="J9">
        <v>220000</v>
      </c>
      <c r="K9">
        <v>164800</v>
      </c>
      <c r="L9" t="s">
        <v>21</v>
      </c>
      <c r="M9" t="s">
        <v>37</v>
      </c>
      <c r="N9" t="s">
        <v>23</v>
      </c>
      <c r="O9" t="s">
        <v>24</v>
      </c>
      <c r="P9">
        <f>Tableau1_2[[#This Row],[Quantité]]*Tableau1_2[[#This Row],[Prix_Unitaire]]</f>
        <v>2200000</v>
      </c>
      <c r="Q9">
        <f>Tableau1_2[[#This Row],[Quantité]]*Tableau1_2[[#This Row],[Coût_Unitaire]]</f>
        <v>1648000</v>
      </c>
      <c r="R9">
        <f>Tableau1_2[[#This Row],[CA]]-Tableau1_2[[#This Row],[Cout Total]]</f>
        <v>552000</v>
      </c>
      <c r="S9" s="4">
        <f>Tableau1_2[[#This Row],[Marge]]/Tableau1_2[[#This Row],[CA]]</f>
        <v>0.25090909090909091</v>
      </c>
      <c r="T9" t="str">
        <f>TEXT(Tableau1_2[[#This Row],[Date]],"mmmm")</f>
        <v>juillet</v>
      </c>
    </row>
    <row r="10" spans="1:20" x14ac:dyDescent="0.35">
      <c r="A10" t="s">
        <v>62</v>
      </c>
      <c r="B10" s="2">
        <v>46384</v>
      </c>
      <c r="C10" t="s">
        <v>63</v>
      </c>
      <c r="D10" t="s">
        <v>64</v>
      </c>
      <c r="E10" t="s">
        <v>18</v>
      </c>
      <c r="F10" t="s">
        <v>18</v>
      </c>
      <c r="G10" t="s">
        <v>28</v>
      </c>
      <c r="H10" t="s">
        <v>65</v>
      </c>
      <c r="I10">
        <v>4</v>
      </c>
      <c r="J10">
        <v>11400</v>
      </c>
      <c r="K10">
        <v>7300</v>
      </c>
      <c r="L10" t="s">
        <v>66</v>
      </c>
      <c r="M10" t="s">
        <v>37</v>
      </c>
      <c r="N10" t="s">
        <v>52</v>
      </c>
      <c r="O10" t="s">
        <v>24</v>
      </c>
      <c r="P10">
        <f>Tableau1_2[[#This Row],[Quantité]]*Tableau1_2[[#This Row],[Prix_Unitaire]]</f>
        <v>45600</v>
      </c>
      <c r="Q10">
        <f>Tableau1_2[[#This Row],[Quantité]]*Tableau1_2[[#This Row],[Coût_Unitaire]]</f>
        <v>29200</v>
      </c>
      <c r="R10">
        <f>Tableau1_2[[#This Row],[CA]]-Tableau1_2[[#This Row],[Cout Total]]</f>
        <v>16400</v>
      </c>
      <c r="S10" s="4">
        <f>Tableau1_2[[#This Row],[Marge]]/Tableau1_2[[#This Row],[CA]]</f>
        <v>0.35964912280701755</v>
      </c>
      <c r="T10" t="str">
        <f>TEXT(Tableau1_2[[#This Row],[Date]],"mmmm")</f>
        <v>décembre</v>
      </c>
    </row>
    <row r="11" spans="1:20" x14ac:dyDescent="0.35">
      <c r="A11" t="s">
        <v>67</v>
      </c>
      <c r="B11" s="2">
        <v>46347</v>
      </c>
      <c r="C11" t="s">
        <v>68</v>
      </c>
      <c r="D11" t="s">
        <v>69</v>
      </c>
      <c r="E11" t="s">
        <v>70</v>
      </c>
      <c r="F11" t="s">
        <v>71</v>
      </c>
      <c r="G11" t="s">
        <v>28</v>
      </c>
      <c r="H11" t="s">
        <v>72</v>
      </c>
      <c r="I11">
        <v>10</v>
      </c>
      <c r="J11">
        <v>10000</v>
      </c>
      <c r="K11">
        <v>6000</v>
      </c>
      <c r="L11" t="s">
        <v>73</v>
      </c>
      <c r="M11" t="s">
        <v>51</v>
      </c>
      <c r="N11" t="s">
        <v>23</v>
      </c>
      <c r="O11" t="s">
        <v>24</v>
      </c>
      <c r="P11">
        <f>Tableau1_2[[#This Row],[Quantité]]*Tableau1_2[[#This Row],[Prix_Unitaire]]</f>
        <v>100000</v>
      </c>
      <c r="Q11">
        <f>Tableau1_2[[#This Row],[Quantité]]*Tableau1_2[[#This Row],[Coût_Unitaire]]</f>
        <v>60000</v>
      </c>
      <c r="R11">
        <f>Tableau1_2[[#This Row],[CA]]-Tableau1_2[[#This Row],[Cout Total]]</f>
        <v>40000</v>
      </c>
      <c r="S11" s="4">
        <f>Tableau1_2[[#This Row],[Marge]]/Tableau1_2[[#This Row],[CA]]</f>
        <v>0.4</v>
      </c>
      <c r="T11" t="str">
        <f>TEXT(Tableau1_2[[#This Row],[Date]],"mmmm")</f>
        <v>novembre</v>
      </c>
    </row>
    <row r="12" spans="1:20" x14ac:dyDescent="0.35">
      <c r="A12" t="s">
        <v>74</v>
      </c>
      <c r="B12" s="2">
        <v>46056</v>
      </c>
      <c r="C12" t="s">
        <v>75</v>
      </c>
      <c r="D12" t="s">
        <v>76</v>
      </c>
      <c r="E12" t="s">
        <v>77</v>
      </c>
      <c r="F12" t="s">
        <v>78</v>
      </c>
      <c r="G12" t="s">
        <v>43</v>
      </c>
      <c r="H12" t="s">
        <v>79</v>
      </c>
      <c r="I12">
        <v>4</v>
      </c>
      <c r="J12">
        <v>5700</v>
      </c>
      <c r="K12">
        <v>4300</v>
      </c>
      <c r="L12" t="s">
        <v>80</v>
      </c>
      <c r="M12" t="s">
        <v>37</v>
      </c>
      <c r="N12" t="s">
        <v>52</v>
      </c>
      <c r="O12" t="s">
        <v>45</v>
      </c>
      <c r="P12">
        <f>Tableau1_2[[#This Row],[Quantité]]*Tableau1_2[[#This Row],[Prix_Unitaire]]</f>
        <v>22800</v>
      </c>
      <c r="Q12">
        <f>Tableau1_2[[#This Row],[Quantité]]*Tableau1_2[[#This Row],[Coût_Unitaire]]</f>
        <v>17200</v>
      </c>
      <c r="R12">
        <f>Tableau1_2[[#This Row],[CA]]-Tableau1_2[[#This Row],[Cout Total]]</f>
        <v>5600</v>
      </c>
      <c r="S12" s="4">
        <f>Tableau1_2[[#This Row],[Marge]]/Tableau1_2[[#This Row],[CA]]</f>
        <v>0.24561403508771928</v>
      </c>
      <c r="T12" t="str">
        <f>TEXT(Tableau1_2[[#This Row],[Date]],"mmmm")</f>
        <v>février</v>
      </c>
    </row>
    <row r="13" spans="1:20" x14ac:dyDescent="0.35">
      <c r="A13" t="s">
        <v>81</v>
      </c>
      <c r="B13" s="2">
        <v>46366</v>
      </c>
      <c r="C13" t="s">
        <v>82</v>
      </c>
      <c r="D13" t="s">
        <v>83</v>
      </c>
      <c r="E13" t="s">
        <v>84</v>
      </c>
      <c r="F13" t="s">
        <v>85</v>
      </c>
      <c r="G13" t="s">
        <v>34</v>
      </c>
      <c r="H13" t="s">
        <v>86</v>
      </c>
      <c r="I13">
        <v>3</v>
      </c>
      <c r="J13">
        <v>189000</v>
      </c>
      <c r="K13">
        <v>135000</v>
      </c>
      <c r="L13" t="s">
        <v>66</v>
      </c>
      <c r="M13" t="s">
        <v>37</v>
      </c>
      <c r="N13" t="s">
        <v>87</v>
      </c>
      <c r="O13" t="s">
        <v>24</v>
      </c>
      <c r="P13">
        <f>Tableau1_2[[#This Row],[Quantité]]*Tableau1_2[[#This Row],[Prix_Unitaire]]</f>
        <v>567000</v>
      </c>
      <c r="Q13">
        <f>Tableau1_2[[#This Row],[Quantité]]*Tableau1_2[[#This Row],[Coût_Unitaire]]</f>
        <v>405000</v>
      </c>
      <c r="R13">
        <f>Tableau1_2[[#This Row],[CA]]-Tableau1_2[[#This Row],[Cout Total]]</f>
        <v>162000</v>
      </c>
      <c r="S13" s="4">
        <f>Tableau1_2[[#This Row],[Marge]]/Tableau1_2[[#This Row],[CA]]</f>
        <v>0.2857142857142857</v>
      </c>
      <c r="T13" t="str">
        <f>TEXT(Tableau1_2[[#This Row],[Date]],"mmmm")</f>
        <v>décembre</v>
      </c>
    </row>
    <row r="14" spans="1:20" x14ac:dyDescent="0.35">
      <c r="A14" t="s">
        <v>88</v>
      </c>
      <c r="B14" s="2">
        <v>46072</v>
      </c>
      <c r="C14" t="s">
        <v>89</v>
      </c>
      <c r="D14" t="s">
        <v>90</v>
      </c>
      <c r="E14" t="s">
        <v>41</v>
      </c>
      <c r="F14" t="s">
        <v>42</v>
      </c>
      <c r="G14" t="s">
        <v>19</v>
      </c>
      <c r="H14" t="s">
        <v>20</v>
      </c>
      <c r="I14">
        <v>8</v>
      </c>
      <c r="J14">
        <v>65000</v>
      </c>
      <c r="K14">
        <v>43600</v>
      </c>
      <c r="L14" t="s">
        <v>21</v>
      </c>
      <c r="M14" t="s">
        <v>51</v>
      </c>
      <c r="N14" t="s">
        <v>52</v>
      </c>
      <c r="O14" t="s">
        <v>91</v>
      </c>
      <c r="P14">
        <f>Tableau1_2[[#This Row],[Quantité]]*Tableau1_2[[#This Row],[Prix_Unitaire]]</f>
        <v>520000</v>
      </c>
      <c r="Q14">
        <f>Tableau1_2[[#This Row],[Quantité]]*Tableau1_2[[#This Row],[Coût_Unitaire]]</f>
        <v>348800</v>
      </c>
      <c r="R14">
        <f>Tableau1_2[[#This Row],[CA]]-Tableau1_2[[#This Row],[Cout Total]]</f>
        <v>171200</v>
      </c>
      <c r="S14" s="4">
        <f>Tableau1_2[[#This Row],[Marge]]/Tableau1_2[[#This Row],[CA]]</f>
        <v>0.32923076923076922</v>
      </c>
      <c r="T14" t="str">
        <f>TEXT(Tableau1_2[[#This Row],[Date]],"mmmm")</f>
        <v>février</v>
      </c>
    </row>
    <row r="15" spans="1:20" x14ac:dyDescent="0.35">
      <c r="A15" t="s">
        <v>92</v>
      </c>
      <c r="B15" s="2">
        <v>46262</v>
      </c>
      <c r="C15" t="s">
        <v>93</v>
      </c>
      <c r="D15" t="s">
        <v>94</v>
      </c>
      <c r="E15" t="s">
        <v>41</v>
      </c>
      <c r="F15" t="s">
        <v>42</v>
      </c>
      <c r="G15" t="s">
        <v>34</v>
      </c>
      <c r="H15" t="s">
        <v>95</v>
      </c>
      <c r="I15">
        <v>7</v>
      </c>
      <c r="J15">
        <v>450000</v>
      </c>
      <c r="K15">
        <v>370000</v>
      </c>
      <c r="L15" t="s">
        <v>96</v>
      </c>
      <c r="M15" t="s">
        <v>51</v>
      </c>
      <c r="N15" t="s">
        <v>23</v>
      </c>
      <c r="O15" t="s">
        <v>24</v>
      </c>
      <c r="P15">
        <f>Tableau1_2[[#This Row],[Quantité]]*Tableau1_2[[#This Row],[Prix_Unitaire]]</f>
        <v>3150000</v>
      </c>
      <c r="Q15">
        <f>Tableau1_2[[#This Row],[Quantité]]*Tableau1_2[[#This Row],[Coût_Unitaire]]</f>
        <v>2590000</v>
      </c>
      <c r="R15">
        <f>Tableau1_2[[#This Row],[CA]]-Tableau1_2[[#This Row],[Cout Total]]</f>
        <v>560000</v>
      </c>
      <c r="S15" s="4">
        <f>Tableau1_2[[#This Row],[Marge]]/Tableau1_2[[#This Row],[CA]]</f>
        <v>0.17777777777777778</v>
      </c>
      <c r="T15" t="str">
        <f>TEXT(Tableau1_2[[#This Row],[Date]],"mmmm")</f>
        <v>août</v>
      </c>
    </row>
    <row r="16" spans="1:20" x14ac:dyDescent="0.35">
      <c r="A16" t="s">
        <v>97</v>
      </c>
      <c r="B16" s="2">
        <v>46211</v>
      </c>
      <c r="C16" t="s">
        <v>98</v>
      </c>
      <c r="D16" t="s">
        <v>99</v>
      </c>
      <c r="E16" t="s">
        <v>56</v>
      </c>
      <c r="F16" t="s">
        <v>57</v>
      </c>
      <c r="G16" t="s">
        <v>34</v>
      </c>
      <c r="H16" t="s">
        <v>35</v>
      </c>
      <c r="I16">
        <v>10</v>
      </c>
      <c r="J16">
        <v>55000</v>
      </c>
      <c r="K16">
        <v>40200</v>
      </c>
      <c r="L16" t="s">
        <v>50</v>
      </c>
      <c r="M16" t="s">
        <v>37</v>
      </c>
      <c r="N16" t="s">
        <v>23</v>
      </c>
      <c r="O16" t="s">
        <v>24</v>
      </c>
      <c r="P16">
        <f>Tableau1_2[[#This Row],[Quantité]]*Tableau1_2[[#This Row],[Prix_Unitaire]]</f>
        <v>550000</v>
      </c>
      <c r="Q16">
        <f>Tableau1_2[[#This Row],[Quantité]]*Tableau1_2[[#This Row],[Coût_Unitaire]]</f>
        <v>402000</v>
      </c>
      <c r="R16">
        <f>Tableau1_2[[#This Row],[CA]]-Tableau1_2[[#This Row],[Cout Total]]</f>
        <v>148000</v>
      </c>
      <c r="S16" s="4">
        <f>Tableau1_2[[#This Row],[Marge]]/Tableau1_2[[#This Row],[CA]]</f>
        <v>0.2690909090909091</v>
      </c>
      <c r="T16" t="str">
        <f>TEXT(Tableau1_2[[#This Row],[Date]],"mmmm")</f>
        <v>juillet</v>
      </c>
    </row>
    <row r="17" spans="1:20" x14ac:dyDescent="0.35">
      <c r="A17" t="s">
        <v>100</v>
      </c>
      <c r="B17" s="2">
        <v>46195</v>
      </c>
      <c r="C17" t="s">
        <v>101</v>
      </c>
      <c r="D17" t="s">
        <v>102</v>
      </c>
      <c r="E17" t="s">
        <v>77</v>
      </c>
      <c r="F17" t="s">
        <v>78</v>
      </c>
      <c r="G17" t="s">
        <v>19</v>
      </c>
      <c r="H17" t="s">
        <v>20</v>
      </c>
      <c r="I17">
        <v>4</v>
      </c>
      <c r="J17">
        <v>65000</v>
      </c>
      <c r="K17">
        <v>43600</v>
      </c>
      <c r="L17" t="s">
        <v>66</v>
      </c>
      <c r="M17" t="s">
        <v>31</v>
      </c>
      <c r="N17" t="s">
        <v>87</v>
      </c>
      <c r="O17" t="s">
        <v>24</v>
      </c>
      <c r="P17">
        <f>Tableau1_2[[#This Row],[Quantité]]*Tableau1_2[[#This Row],[Prix_Unitaire]]</f>
        <v>260000</v>
      </c>
      <c r="Q17">
        <f>Tableau1_2[[#This Row],[Quantité]]*Tableau1_2[[#This Row],[Coût_Unitaire]]</f>
        <v>174400</v>
      </c>
      <c r="R17">
        <f>Tableau1_2[[#This Row],[CA]]-Tableau1_2[[#This Row],[Cout Total]]</f>
        <v>85600</v>
      </c>
      <c r="S17" s="4">
        <f>Tableau1_2[[#This Row],[Marge]]/Tableau1_2[[#This Row],[CA]]</f>
        <v>0.32923076923076922</v>
      </c>
      <c r="T17" t="str">
        <f>TEXT(Tableau1_2[[#This Row],[Date]],"mmmm")</f>
        <v>juin</v>
      </c>
    </row>
    <row r="18" spans="1:20" x14ac:dyDescent="0.35">
      <c r="A18" t="s">
        <v>103</v>
      </c>
      <c r="B18" s="2">
        <v>46330</v>
      </c>
      <c r="C18" t="s">
        <v>104</v>
      </c>
      <c r="D18" t="s">
        <v>105</v>
      </c>
      <c r="E18" t="s">
        <v>41</v>
      </c>
      <c r="F18" t="s">
        <v>42</v>
      </c>
      <c r="G18" t="s">
        <v>19</v>
      </c>
      <c r="H18" t="s">
        <v>61</v>
      </c>
      <c r="I18">
        <v>10</v>
      </c>
      <c r="J18">
        <v>220000</v>
      </c>
      <c r="K18">
        <v>164800</v>
      </c>
      <c r="L18" t="s">
        <v>30</v>
      </c>
      <c r="M18" t="s">
        <v>37</v>
      </c>
      <c r="N18" t="s">
        <v>23</v>
      </c>
      <c r="O18" t="s">
        <v>24</v>
      </c>
      <c r="P18">
        <f>Tableau1_2[[#This Row],[Quantité]]*Tableau1_2[[#This Row],[Prix_Unitaire]]</f>
        <v>2200000</v>
      </c>
      <c r="Q18">
        <f>Tableau1_2[[#This Row],[Quantité]]*Tableau1_2[[#This Row],[Coût_Unitaire]]</f>
        <v>1648000</v>
      </c>
      <c r="R18">
        <f>Tableau1_2[[#This Row],[CA]]-Tableau1_2[[#This Row],[Cout Total]]</f>
        <v>552000</v>
      </c>
      <c r="S18" s="4">
        <f>Tableau1_2[[#This Row],[Marge]]/Tableau1_2[[#This Row],[CA]]</f>
        <v>0.25090909090909091</v>
      </c>
      <c r="T18" t="str">
        <f>TEXT(Tableau1_2[[#This Row],[Date]],"mmmm")</f>
        <v>novembre</v>
      </c>
    </row>
    <row r="19" spans="1:20" x14ac:dyDescent="0.35">
      <c r="A19" t="s">
        <v>106</v>
      </c>
      <c r="B19" s="2">
        <v>46064</v>
      </c>
      <c r="C19" t="s">
        <v>107</v>
      </c>
      <c r="D19" t="s">
        <v>108</v>
      </c>
      <c r="E19" t="s">
        <v>84</v>
      </c>
      <c r="F19" t="s">
        <v>85</v>
      </c>
      <c r="G19" t="s">
        <v>34</v>
      </c>
      <c r="H19" t="s">
        <v>95</v>
      </c>
      <c r="I19">
        <v>7</v>
      </c>
      <c r="J19">
        <v>450000</v>
      </c>
      <c r="K19">
        <v>370000</v>
      </c>
      <c r="L19" t="s">
        <v>50</v>
      </c>
      <c r="M19" t="s">
        <v>22</v>
      </c>
      <c r="N19" t="s">
        <v>23</v>
      </c>
      <c r="O19" t="s">
        <v>24</v>
      </c>
      <c r="P19">
        <f>Tableau1_2[[#This Row],[Quantité]]*Tableau1_2[[#This Row],[Prix_Unitaire]]</f>
        <v>3150000</v>
      </c>
      <c r="Q19">
        <f>Tableau1_2[[#This Row],[Quantité]]*Tableau1_2[[#This Row],[Coût_Unitaire]]</f>
        <v>2590000</v>
      </c>
      <c r="R19">
        <f>Tableau1_2[[#This Row],[CA]]-Tableau1_2[[#This Row],[Cout Total]]</f>
        <v>560000</v>
      </c>
      <c r="S19" s="4">
        <f>Tableau1_2[[#This Row],[Marge]]/Tableau1_2[[#This Row],[CA]]</f>
        <v>0.17777777777777778</v>
      </c>
      <c r="T19" t="str">
        <f>TEXT(Tableau1_2[[#This Row],[Date]],"mmmm")</f>
        <v>février</v>
      </c>
    </row>
    <row r="20" spans="1:20" x14ac:dyDescent="0.35">
      <c r="A20" t="s">
        <v>109</v>
      </c>
      <c r="B20" s="2">
        <v>46069</v>
      </c>
      <c r="C20" t="s">
        <v>110</v>
      </c>
      <c r="D20" t="s">
        <v>111</v>
      </c>
      <c r="E20" t="s">
        <v>18</v>
      </c>
      <c r="F20" t="s">
        <v>18</v>
      </c>
      <c r="G20" t="s">
        <v>19</v>
      </c>
      <c r="H20" t="s">
        <v>112</v>
      </c>
      <c r="I20">
        <v>3</v>
      </c>
      <c r="J20">
        <v>89200</v>
      </c>
      <c r="K20">
        <v>60100</v>
      </c>
      <c r="L20" t="s">
        <v>96</v>
      </c>
      <c r="M20" t="s">
        <v>31</v>
      </c>
      <c r="N20" t="s">
        <v>52</v>
      </c>
      <c r="O20" t="s">
        <v>24</v>
      </c>
      <c r="P20">
        <f>Tableau1_2[[#This Row],[Quantité]]*Tableau1_2[[#This Row],[Prix_Unitaire]]</f>
        <v>267600</v>
      </c>
      <c r="Q20">
        <f>Tableau1_2[[#This Row],[Quantité]]*Tableau1_2[[#This Row],[Coût_Unitaire]]</f>
        <v>180300</v>
      </c>
      <c r="R20">
        <f>Tableau1_2[[#This Row],[CA]]-Tableau1_2[[#This Row],[Cout Total]]</f>
        <v>87300</v>
      </c>
      <c r="S20" s="4">
        <f>Tableau1_2[[#This Row],[Marge]]/Tableau1_2[[#This Row],[CA]]</f>
        <v>0.32623318385650224</v>
      </c>
      <c r="T20" t="str">
        <f>TEXT(Tableau1_2[[#This Row],[Date]],"mmmm")</f>
        <v>février</v>
      </c>
    </row>
    <row r="21" spans="1:20" x14ac:dyDescent="0.35">
      <c r="A21" t="s">
        <v>113</v>
      </c>
      <c r="B21" s="2">
        <v>46156</v>
      </c>
      <c r="C21" t="s">
        <v>114</v>
      </c>
      <c r="D21" t="s">
        <v>115</v>
      </c>
      <c r="E21" t="s">
        <v>18</v>
      </c>
      <c r="F21" t="s">
        <v>18</v>
      </c>
      <c r="G21" t="s">
        <v>19</v>
      </c>
      <c r="H21" t="s">
        <v>20</v>
      </c>
      <c r="I21">
        <v>1</v>
      </c>
      <c r="J21">
        <v>61800</v>
      </c>
      <c r="K21">
        <v>45000</v>
      </c>
      <c r="L21" t="s">
        <v>36</v>
      </c>
      <c r="M21" t="s">
        <v>51</v>
      </c>
      <c r="N21" t="s">
        <v>52</v>
      </c>
      <c r="O21" t="s">
        <v>24</v>
      </c>
      <c r="P21">
        <f>Tableau1_2[[#This Row],[Quantité]]*Tableau1_2[[#This Row],[Prix_Unitaire]]</f>
        <v>61800</v>
      </c>
      <c r="Q21">
        <f>Tableau1_2[[#This Row],[Quantité]]*Tableau1_2[[#This Row],[Coût_Unitaire]]</f>
        <v>45000</v>
      </c>
      <c r="R21">
        <f>Tableau1_2[[#This Row],[CA]]-Tableau1_2[[#This Row],[Cout Total]]</f>
        <v>16800</v>
      </c>
      <c r="S21" s="4">
        <f>Tableau1_2[[#This Row],[Marge]]/Tableau1_2[[#This Row],[CA]]</f>
        <v>0.27184466019417475</v>
      </c>
      <c r="T21" t="str">
        <f>TEXT(Tableau1_2[[#This Row],[Date]],"mmmm")</f>
        <v>mai</v>
      </c>
    </row>
    <row r="22" spans="1:20" x14ac:dyDescent="0.35">
      <c r="A22" t="s">
        <v>116</v>
      </c>
      <c r="B22" s="2">
        <v>46372</v>
      </c>
      <c r="C22" t="s">
        <v>117</v>
      </c>
      <c r="D22" t="s">
        <v>118</v>
      </c>
      <c r="E22" t="s">
        <v>18</v>
      </c>
      <c r="F22" t="s">
        <v>18</v>
      </c>
      <c r="G22" t="s">
        <v>43</v>
      </c>
      <c r="H22" t="s">
        <v>44</v>
      </c>
      <c r="I22">
        <v>1</v>
      </c>
      <c r="J22">
        <v>15800</v>
      </c>
      <c r="K22">
        <v>9500</v>
      </c>
      <c r="L22" t="s">
        <v>21</v>
      </c>
      <c r="M22" t="s">
        <v>51</v>
      </c>
      <c r="N22" t="s">
        <v>87</v>
      </c>
      <c r="O22" t="s">
        <v>24</v>
      </c>
      <c r="P22">
        <f>Tableau1_2[[#This Row],[Quantité]]*Tableau1_2[[#This Row],[Prix_Unitaire]]</f>
        <v>15800</v>
      </c>
      <c r="Q22">
        <f>Tableau1_2[[#This Row],[Quantité]]*Tableau1_2[[#This Row],[Coût_Unitaire]]</f>
        <v>9500</v>
      </c>
      <c r="R22">
        <f>Tableau1_2[[#This Row],[CA]]-Tableau1_2[[#This Row],[Cout Total]]</f>
        <v>6300</v>
      </c>
      <c r="S22" s="4">
        <f>Tableau1_2[[#This Row],[Marge]]/Tableau1_2[[#This Row],[CA]]</f>
        <v>0.39873417721518989</v>
      </c>
      <c r="T22" t="str">
        <f>TEXT(Tableau1_2[[#This Row],[Date]],"mmmm")</f>
        <v>décembre</v>
      </c>
    </row>
    <row r="23" spans="1:20" x14ac:dyDescent="0.35">
      <c r="A23" t="s">
        <v>119</v>
      </c>
      <c r="B23" s="2">
        <v>46333</v>
      </c>
      <c r="C23" t="s">
        <v>120</v>
      </c>
      <c r="D23" t="s">
        <v>121</v>
      </c>
      <c r="E23" t="s">
        <v>77</v>
      </c>
      <c r="F23" t="s">
        <v>78</v>
      </c>
      <c r="G23" t="s">
        <v>19</v>
      </c>
      <c r="H23" t="s">
        <v>112</v>
      </c>
      <c r="I23">
        <v>2</v>
      </c>
      <c r="J23">
        <v>89200</v>
      </c>
      <c r="K23">
        <v>63900</v>
      </c>
      <c r="L23" t="s">
        <v>66</v>
      </c>
      <c r="M23" t="s">
        <v>31</v>
      </c>
      <c r="N23" t="s">
        <v>23</v>
      </c>
      <c r="O23" t="s">
        <v>24</v>
      </c>
      <c r="P23">
        <f>Tableau1_2[[#This Row],[Quantité]]*Tableau1_2[[#This Row],[Prix_Unitaire]]</f>
        <v>178400</v>
      </c>
      <c r="Q23">
        <f>Tableau1_2[[#This Row],[Quantité]]*Tableau1_2[[#This Row],[Coût_Unitaire]]</f>
        <v>127800</v>
      </c>
      <c r="R23">
        <f>Tableau1_2[[#This Row],[CA]]-Tableau1_2[[#This Row],[Cout Total]]</f>
        <v>50600</v>
      </c>
      <c r="S23" s="4">
        <f>Tableau1_2[[#This Row],[Marge]]/Tableau1_2[[#This Row],[CA]]</f>
        <v>0.28363228699551568</v>
      </c>
      <c r="T23" t="str">
        <f>TEXT(Tableau1_2[[#This Row],[Date]],"mmmm")</f>
        <v>novembre</v>
      </c>
    </row>
    <row r="24" spans="1:20" x14ac:dyDescent="0.35">
      <c r="A24" t="s">
        <v>125</v>
      </c>
      <c r="B24" s="2">
        <v>46305</v>
      </c>
      <c r="C24" t="s">
        <v>126</v>
      </c>
      <c r="D24" t="s">
        <v>127</v>
      </c>
      <c r="E24" t="s">
        <v>18</v>
      </c>
      <c r="F24" t="s">
        <v>18</v>
      </c>
      <c r="G24" t="s">
        <v>34</v>
      </c>
      <c r="H24" t="s">
        <v>35</v>
      </c>
      <c r="I24">
        <v>8</v>
      </c>
      <c r="J24">
        <v>55000</v>
      </c>
      <c r="K24">
        <v>37800</v>
      </c>
      <c r="L24" t="s">
        <v>66</v>
      </c>
      <c r="M24" t="s">
        <v>31</v>
      </c>
      <c r="N24" t="s">
        <v>52</v>
      </c>
      <c r="O24" t="s">
        <v>24</v>
      </c>
      <c r="P24">
        <f>Tableau1_2[[#This Row],[Quantité]]*Tableau1_2[[#This Row],[Prix_Unitaire]]</f>
        <v>440000</v>
      </c>
      <c r="Q24">
        <f>Tableau1_2[[#This Row],[Quantité]]*Tableau1_2[[#This Row],[Coût_Unitaire]]</f>
        <v>302400</v>
      </c>
      <c r="R24">
        <f>Tableau1_2[[#This Row],[CA]]-Tableau1_2[[#This Row],[Cout Total]]</f>
        <v>137600</v>
      </c>
      <c r="S24" s="4">
        <f>Tableau1_2[[#This Row],[Marge]]/Tableau1_2[[#This Row],[CA]]</f>
        <v>0.31272727272727274</v>
      </c>
      <c r="T24" t="str">
        <f>TEXT(Tableau1_2[[#This Row],[Date]],"mmmm")</f>
        <v>octobre</v>
      </c>
    </row>
    <row r="25" spans="1:20" x14ac:dyDescent="0.35">
      <c r="A25" t="s">
        <v>128</v>
      </c>
      <c r="B25" s="2">
        <v>46343</v>
      </c>
      <c r="C25" t="s">
        <v>129</v>
      </c>
      <c r="D25" t="s">
        <v>130</v>
      </c>
      <c r="E25" t="s">
        <v>18</v>
      </c>
      <c r="F25" t="s">
        <v>18</v>
      </c>
      <c r="G25" t="s">
        <v>28</v>
      </c>
      <c r="H25" t="s">
        <v>131</v>
      </c>
      <c r="I25">
        <v>4</v>
      </c>
      <c r="J25">
        <v>28500</v>
      </c>
      <c r="K25">
        <v>18400</v>
      </c>
      <c r="L25" t="s">
        <v>50</v>
      </c>
      <c r="M25" t="s">
        <v>37</v>
      </c>
      <c r="N25" t="s">
        <v>23</v>
      </c>
      <c r="O25" t="s">
        <v>24</v>
      </c>
      <c r="P25">
        <f>Tableau1_2[[#This Row],[Quantité]]*Tableau1_2[[#This Row],[Prix_Unitaire]]</f>
        <v>114000</v>
      </c>
      <c r="Q25">
        <f>Tableau1_2[[#This Row],[Quantité]]*Tableau1_2[[#This Row],[Coût_Unitaire]]</f>
        <v>73600</v>
      </c>
      <c r="R25">
        <f>Tableau1_2[[#This Row],[CA]]-Tableau1_2[[#This Row],[Cout Total]]</f>
        <v>40400</v>
      </c>
      <c r="S25" s="4">
        <f>Tableau1_2[[#This Row],[Marge]]/Tableau1_2[[#This Row],[CA]]</f>
        <v>0.35438596491228069</v>
      </c>
      <c r="T25" t="str">
        <f>TEXT(Tableau1_2[[#This Row],[Date]],"mmmm")</f>
        <v>novembre</v>
      </c>
    </row>
    <row r="26" spans="1:20" x14ac:dyDescent="0.35">
      <c r="A26" t="s">
        <v>132</v>
      </c>
      <c r="B26" s="2">
        <v>46237</v>
      </c>
      <c r="C26" t="s">
        <v>133</v>
      </c>
      <c r="D26" t="s">
        <v>134</v>
      </c>
      <c r="E26" t="s">
        <v>18</v>
      </c>
      <c r="F26" t="s">
        <v>18</v>
      </c>
      <c r="G26" t="s">
        <v>28</v>
      </c>
      <c r="H26" t="s">
        <v>65</v>
      </c>
      <c r="I26">
        <v>8</v>
      </c>
      <c r="J26">
        <v>11400</v>
      </c>
      <c r="K26">
        <v>7300</v>
      </c>
      <c r="L26" t="s">
        <v>80</v>
      </c>
      <c r="M26" t="s">
        <v>37</v>
      </c>
      <c r="N26" t="s">
        <v>52</v>
      </c>
      <c r="O26" t="s">
        <v>24</v>
      </c>
      <c r="P26">
        <f>Tableau1_2[[#This Row],[Quantité]]*Tableau1_2[[#This Row],[Prix_Unitaire]]</f>
        <v>91200</v>
      </c>
      <c r="Q26">
        <f>Tableau1_2[[#This Row],[Quantité]]*Tableau1_2[[#This Row],[Coût_Unitaire]]</f>
        <v>58400</v>
      </c>
      <c r="R26">
        <f>Tableau1_2[[#This Row],[CA]]-Tableau1_2[[#This Row],[Cout Total]]</f>
        <v>32800</v>
      </c>
      <c r="S26" s="4">
        <f>Tableau1_2[[#This Row],[Marge]]/Tableau1_2[[#This Row],[CA]]</f>
        <v>0.35964912280701755</v>
      </c>
      <c r="T26" t="str">
        <f>TEXT(Tableau1_2[[#This Row],[Date]],"mmmm")</f>
        <v>août</v>
      </c>
    </row>
    <row r="27" spans="1:20" x14ac:dyDescent="0.35">
      <c r="A27" t="s">
        <v>135</v>
      </c>
      <c r="B27" s="2">
        <v>46379</v>
      </c>
      <c r="C27" t="s">
        <v>136</v>
      </c>
      <c r="D27" t="s">
        <v>137</v>
      </c>
      <c r="E27" t="s">
        <v>18</v>
      </c>
      <c r="F27" t="s">
        <v>18</v>
      </c>
      <c r="G27" t="s">
        <v>43</v>
      </c>
      <c r="H27" t="s">
        <v>79</v>
      </c>
      <c r="I27">
        <v>2</v>
      </c>
      <c r="J27">
        <v>6000</v>
      </c>
      <c r="K27">
        <v>4100</v>
      </c>
      <c r="L27" t="s">
        <v>36</v>
      </c>
      <c r="M27" t="s">
        <v>51</v>
      </c>
      <c r="N27" t="s">
        <v>87</v>
      </c>
      <c r="O27" t="s">
        <v>24</v>
      </c>
      <c r="P27">
        <f>Tableau1_2[[#This Row],[Quantité]]*Tableau1_2[[#This Row],[Prix_Unitaire]]</f>
        <v>12000</v>
      </c>
      <c r="Q27">
        <f>Tableau1_2[[#This Row],[Quantité]]*Tableau1_2[[#This Row],[Coût_Unitaire]]</f>
        <v>8200</v>
      </c>
      <c r="R27">
        <f>Tableau1_2[[#This Row],[CA]]-Tableau1_2[[#This Row],[Cout Total]]</f>
        <v>3800</v>
      </c>
      <c r="S27" s="4">
        <f>Tableau1_2[[#This Row],[Marge]]/Tableau1_2[[#This Row],[CA]]</f>
        <v>0.31666666666666665</v>
      </c>
      <c r="T27" t="str">
        <f>TEXT(Tableau1_2[[#This Row],[Date]],"mmmm")</f>
        <v>décembre</v>
      </c>
    </row>
    <row r="28" spans="1:20" x14ac:dyDescent="0.35">
      <c r="A28" t="s">
        <v>138</v>
      </c>
      <c r="B28" s="2">
        <v>46130</v>
      </c>
      <c r="C28" t="s">
        <v>139</v>
      </c>
      <c r="D28" t="s">
        <v>140</v>
      </c>
      <c r="E28" t="s">
        <v>56</v>
      </c>
      <c r="F28" t="s">
        <v>57</v>
      </c>
      <c r="G28" t="s">
        <v>34</v>
      </c>
      <c r="H28" t="s">
        <v>141</v>
      </c>
      <c r="I28">
        <v>8</v>
      </c>
      <c r="J28">
        <v>160000</v>
      </c>
      <c r="K28">
        <v>123600</v>
      </c>
      <c r="L28" t="s">
        <v>80</v>
      </c>
      <c r="M28" t="s">
        <v>31</v>
      </c>
      <c r="N28" t="s">
        <v>87</v>
      </c>
      <c r="O28" t="s">
        <v>45</v>
      </c>
      <c r="P28">
        <f>Tableau1_2[[#This Row],[Quantité]]*Tableau1_2[[#This Row],[Prix_Unitaire]]</f>
        <v>1280000</v>
      </c>
      <c r="Q28">
        <f>Tableau1_2[[#This Row],[Quantité]]*Tableau1_2[[#This Row],[Coût_Unitaire]]</f>
        <v>988800</v>
      </c>
      <c r="R28">
        <f>Tableau1_2[[#This Row],[CA]]-Tableau1_2[[#This Row],[Cout Total]]</f>
        <v>291200</v>
      </c>
      <c r="S28" s="4">
        <f>Tableau1_2[[#This Row],[Marge]]/Tableau1_2[[#This Row],[CA]]</f>
        <v>0.22750000000000001</v>
      </c>
      <c r="T28" t="str">
        <f>TEXT(Tableau1_2[[#This Row],[Date]],"mmmm")</f>
        <v>avril</v>
      </c>
    </row>
    <row r="29" spans="1:20" x14ac:dyDescent="0.35">
      <c r="A29" t="s">
        <v>142</v>
      </c>
      <c r="B29" s="2">
        <v>46032</v>
      </c>
      <c r="C29" t="s">
        <v>143</v>
      </c>
      <c r="D29" t="s">
        <v>144</v>
      </c>
      <c r="E29" t="s">
        <v>56</v>
      </c>
      <c r="F29" t="s">
        <v>57</v>
      </c>
      <c r="G29" t="s">
        <v>34</v>
      </c>
      <c r="H29" t="s">
        <v>86</v>
      </c>
      <c r="I29">
        <v>2</v>
      </c>
      <c r="J29">
        <v>180000</v>
      </c>
      <c r="K29">
        <v>131000</v>
      </c>
      <c r="L29" t="s">
        <v>36</v>
      </c>
      <c r="M29" t="s">
        <v>51</v>
      </c>
      <c r="N29" t="s">
        <v>87</v>
      </c>
      <c r="O29" t="s">
        <v>24</v>
      </c>
      <c r="P29">
        <f>Tableau1_2[[#This Row],[Quantité]]*Tableau1_2[[#This Row],[Prix_Unitaire]]</f>
        <v>360000</v>
      </c>
      <c r="Q29">
        <f>Tableau1_2[[#This Row],[Quantité]]*Tableau1_2[[#This Row],[Coût_Unitaire]]</f>
        <v>262000</v>
      </c>
      <c r="R29">
        <f>Tableau1_2[[#This Row],[CA]]-Tableau1_2[[#This Row],[Cout Total]]</f>
        <v>98000</v>
      </c>
      <c r="S29" s="4">
        <f>Tableau1_2[[#This Row],[Marge]]/Tableau1_2[[#This Row],[CA]]</f>
        <v>0.2722222222222222</v>
      </c>
      <c r="T29" t="str">
        <f>TEXT(Tableau1_2[[#This Row],[Date]],"mmmm")</f>
        <v>janvier</v>
      </c>
    </row>
    <row r="30" spans="1:20" x14ac:dyDescent="0.35">
      <c r="A30" t="s">
        <v>145</v>
      </c>
      <c r="B30" s="2">
        <v>46250</v>
      </c>
      <c r="C30" t="s">
        <v>16</v>
      </c>
      <c r="D30" t="s">
        <v>146</v>
      </c>
      <c r="E30" t="s">
        <v>18</v>
      </c>
      <c r="F30" t="s">
        <v>18</v>
      </c>
      <c r="G30" t="s">
        <v>28</v>
      </c>
      <c r="H30" t="s">
        <v>131</v>
      </c>
      <c r="I30">
        <v>9</v>
      </c>
      <c r="J30">
        <v>30000</v>
      </c>
      <c r="K30">
        <v>18400</v>
      </c>
      <c r="L30" t="s">
        <v>73</v>
      </c>
      <c r="M30" t="s">
        <v>22</v>
      </c>
      <c r="N30" t="s">
        <v>52</v>
      </c>
      <c r="O30" t="s">
        <v>45</v>
      </c>
      <c r="P30">
        <f>Tableau1_2[[#This Row],[Quantité]]*Tableau1_2[[#This Row],[Prix_Unitaire]]</f>
        <v>270000</v>
      </c>
      <c r="Q30">
        <f>Tableau1_2[[#This Row],[Quantité]]*Tableau1_2[[#This Row],[Coût_Unitaire]]</f>
        <v>165600</v>
      </c>
      <c r="R30">
        <f>Tableau1_2[[#This Row],[CA]]-Tableau1_2[[#This Row],[Cout Total]]</f>
        <v>104400</v>
      </c>
      <c r="S30" s="4">
        <f>Tableau1_2[[#This Row],[Marge]]/Tableau1_2[[#This Row],[CA]]</f>
        <v>0.38666666666666666</v>
      </c>
      <c r="T30" t="str">
        <f>TEXT(Tableau1_2[[#This Row],[Date]],"mmmm")</f>
        <v>août</v>
      </c>
    </row>
    <row r="31" spans="1:20" x14ac:dyDescent="0.35">
      <c r="A31" t="s">
        <v>147</v>
      </c>
      <c r="B31" s="2">
        <v>46309</v>
      </c>
      <c r="C31" t="s">
        <v>148</v>
      </c>
      <c r="D31" t="s">
        <v>149</v>
      </c>
      <c r="E31" t="s">
        <v>56</v>
      </c>
      <c r="F31" t="s">
        <v>57</v>
      </c>
      <c r="G31" t="s">
        <v>43</v>
      </c>
      <c r="H31" t="s">
        <v>49</v>
      </c>
      <c r="I31">
        <v>3</v>
      </c>
      <c r="J31">
        <v>9000</v>
      </c>
      <c r="K31">
        <v>6000</v>
      </c>
      <c r="L31" t="s">
        <v>30</v>
      </c>
      <c r="M31" t="s">
        <v>51</v>
      </c>
      <c r="N31" t="s">
        <v>87</v>
      </c>
      <c r="O31" t="s">
        <v>24</v>
      </c>
      <c r="P31">
        <f>Tableau1_2[[#This Row],[Quantité]]*Tableau1_2[[#This Row],[Prix_Unitaire]]</f>
        <v>27000</v>
      </c>
      <c r="Q31">
        <f>Tableau1_2[[#This Row],[Quantité]]*Tableau1_2[[#This Row],[Coût_Unitaire]]</f>
        <v>18000</v>
      </c>
      <c r="R31">
        <f>Tableau1_2[[#This Row],[CA]]-Tableau1_2[[#This Row],[Cout Total]]</f>
        <v>9000</v>
      </c>
      <c r="S31" s="4">
        <f>Tableau1_2[[#This Row],[Marge]]/Tableau1_2[[#This Row],[CA]]</f>
        <v>0.33333333333333331</v>
      </c>
      <c r="T31" t="str">
        <f>TEXT(Tableau1_2[[#This Row],[Date]],"mmmm")</f>
        <v>octobre</v>
      </c>
    </row>
    <row r="32" spans="1:20" x14ac:dyDescent="0.35">
      <c r="A32" t="s">
        <v>150</v>
      </c>
      <c r="B32" s="2">
        <v>46387</v>
      </c>
      <c r="C32" t="s">
        <v>151</v>
      </c>
      <c r="D32" t="s">
        <v>152</v>
      </c>
      <c r="E32" t="s">
        <v>18</v>
      </c>
      <c r="F32" t="s">
        <v>18</v>
      </c>
      <c r="G32" t="s">
        <v>28</v>
      </c>
      <c r="H32" t="s">
        <v>65</v>
      </c>
      <c r="I32">
        <v>8</v>
      </c>
      <c r="J32">
        <v>12000</v>
      </c>
      <c r="K32">
        <v>7300</v>
      </c>
      <c r="L32" t="s">
        <v>30</v>
      </c>
      <c r="M32" t="s">
        <v>51</v>
      </c>
      <c r="N32" t="s">
        <v>23</v>
      </c>
      <c r="O32" t="s">
        <v>24</v>
      </c>
      <c r="P32">
        <f>Tableau1_2[[#This Row],[Quantité]]*Tableau1_2[[#This Row],[Prix_Unitaire]]</f>
        <v>96000</v>
      </c>
      <c r="Q32">
        <f>Tableau1_2[[#This Row],[Quantité]]*Tableau1_2[[#This Row],[Coût_Unitaire]]</f>
        <v>58400</v>
      </c>
      <c r="R32">
        <f>Tableau1_2[[#This Row],[CA]]-Tableau1_2[[#This Row],[Cout Total]]</f>
        <v>37600</v>
      </c>
      <c r="S32" s="4">
        <f>Tableau1_2[[#This Row],[Marge]]/Tableau1_2[[#This Row],[CA]]</f>
        <v>0.39166666666666666</v>
      </c>
      <c r="T32" t="str">
        <f>TEXT(Tableau1_2[[#This Row],[Date]],"mmmm")</f>
        <v>décembre</v>
      </c>
    </row>
    <row r="33" spans="1:20" x14ac:dyDescent="0.35">
      <c r="A33" t="s">
        <v>153</v>
      </c>
      <c r="B33" s="2">
        <v>46184</v>
      </c>
      <c r="C33" t="s">
        <v>154</v>
      </c>
      <c r="D33" t="s">
        <v>155</v>
      </c>
      <c r="E33" t="s">
        <v>156</v>
      </c>
      <c r="F33" t="s">
        <v>157</v>
      </c>
      <c r="G33" t="s">
        <v>34</v>
      </c>
      <c r="H33" t="s">
        <v>158</v>
      </c>
      <c r="I33">
        <v>2</v>
      </c>
      <c r="J33">
        <v>95000</v>
      </c>
      <c r="K33">
        <v>72100</v>
      </c>
      <c r="L33" t="s">
        <v>73</v>
      </c>
      <c r="M33" t="s">
        <v>31</v>
      </c>
      <c r="N33" t="s">
        <v>87</v>
      </c>
      <c r="O33" t="s">
        <v>24</v>
      </c>
      <c r="P33">
        <f>Tableau1_2[[#This Row],[Quantité]]*Tableau1_2[[#This Row],[Prix_Unitaire]]</f>
        <v>190000</v>
      </c>
      <c r="Q33">
        <f>Tableau1_2[[#This Row],[Quantité]]*Tableau1_2[[#This Row],[Coût_Unitaire]]</f>
        <v>144200</v>
      </c>
      <c r="R33">
        <f>Tableau1_2[[#This Row],[CA]]-Tableau1_2[[#This Row],[Cout Total]]</f>
        <v>45800</v>
      </c>
      <c r="S33" s="4">
        <f>Tableau1_2[[#This Row],[Marge]]/Tableau1_2[[#This Row],[CA]]</f>
        <v>0.24105263157894738</v>
      </c>
      <c r="T33" t="str">
        <f>TEXT(Tableau1_2[[#This Row],[Date]],"mmmm")</f>
        <v>juin</v>
      </c>
    </row>
    <row r="34" spans="1:20" x14ac:dyDescent="0.35">
      <c r="A34" t="s">
        <v>159</v>
      </c>
      <c r="B34" s="2">
        <v>46196</v>
      </c>
      <c r="C34" t="s">
        <v>160</v>
      </c>
      <c r="D34" t="s">
        <v>161</v>
      </c>
      <c r="E34" t="s">
        <v>70</v>
      </c>
      <c r="F34" t="s">
        <v>71</v>
      </c>
      <c r="G34" t="s">
        <v>43</v>
      </c>
      <c r="H34" t="s">
        <v>162</v>
      </c>
      <c r="I34">
        <v>4</v>
      </c>
      <c r="J34">
        <v>8000</v>
      </c>
      <c r="K34">
        <v>5200</v>
      </c>
      <c r="L34" t="s">
        <v>96</v>
      </c>
      <c r="M34" t="s">
        <v>37</v>
      </c>
      <c r="N34" t="s">
        <v>23</v>
      </c>
      <c r="O34" t="s">
        <v>24</v>
      </c>
      <c r="P34">
        <f>Tableau1_2[[#This Row],[Quantité]]*Tableau1_2[[#This Row],[Prix_Unitaire]]</f>
        <v>32000</v>
      </c>
      <c r="Q34">
        <f>Tableau1_2[[#This Row],[Quantité]]*Tableau1_2[[#This Row],[Coût_Unitaire]]</f>
        <v>20800</v>
      </c>
      <c r="R34">
        <f>Tableau1_2[[#This Row],[CA]]-Tableau1_2[[#This Row],[Cout Total]]</f>
        <v>11200</v>
      </c>
      <c r="S34" s="4">
        <f>Tableau1_2[[#This Row],[Marge]]/Tableau1_2[[#This Row],[CA]]</f>
        <v>0.35</v>
      </c>
      <c r="T34" t="str">
        <f>TEXT(Tableau1_2[[#This Row],[Date]],"mmmm")</f>
        <v>juin</v>
      </c>
    </row>
    <row r="35" spans="1:20" x14ac:dyDescent="0.35">
      <c r="A35" t="s">
        <v>163</v>
      </c>
      <c r="B35" s="2">
        <v>46363</v>
      </c>
      <c r="C35" t="s">
        <v>164</v>
      </c>
      <c r="D35" t="s">
        <v>165</v>
      </c>
      <c r="E35" t="s">
        <v>56</v>
      </c>
      <c r="F35" t="s">
        <v>57</v>
      </c>
      <c r="G35" t="s">
        <v>19</v>
      </c>
      <c r="H35" t="s">
        <v>166</v>
      </c>
      <c r="I35">
        <v>8</v>
      </c>
      <c r="J35">
        <v>140000</v>
      </c>
      <c r="K35">
        <v>100000</v>
      </c>
      <c r="L35" t="s">
        <v>66</v>
      </c>
      <c r="M35" t="s">
        <v>51</v>
      </c>
      <c r="N35" t="s">
        <v>23</v>
      </c>
      <c r="O35" t="s">
        <v>24</v>
      </c>
      <c r="P35">
        <f>Tableau1_2[[#This Row],[Quantité]]*Tableau1_2[[#This Row],[Prix_Unitaire]]</f>
        <v>1120000</v>
      </c>
      <c r="Q35">
        <f>Tableau1_2[[#This Row],[Quantité]]*Tableau1_2[[#This Row],[Coût_Unitaire]]</f>
        <v>800000</v>
      </c>
      <c r="R35">
        <f>Tableau1_2[[#This Row],[CA]]-Tableau1_2[[#This Row],[Cout Total]]</f>
        <v>320000</v>
      </c>
      <c r="S35" s="4">
        <f>Tableau1_2[[#This Row],[Marge]]/Tableau1_2[[#This Row],[CA]]</f>
        <v>0.2857142857142857</v>
      </c>
      <c r="T35" t="str">
        <f>TEXT(Tableau1_2[[#This Row],[Date]],"mmmm")</f>
        <v>décembre</v>
      </c>
    </row>
    <row r="36" spans="1:20" x14ac:dyDescent="0.35">
      <c r="A36" t="s">
        <v>167</v>
      </c>
      <c r="B36" s="2">
        <v>46041</v>
      </c>
      <c r="C36" t="s">
        <v>168</v>
      </c>
      <c r="D36" t="s">
        <v>169</v>
      </c>
      <c r="E36" t="s">
        <v>156</v>
      </c>
      <c r="F36" t="s">
        <v>170</v>
      </c>
      <c r="G36" t="s">
        <v>43</v>
      </c>
      <c r="H36" t="s">
        <v>79</v>
      </c>
      <c r="I36">
        <v>4</v>
      </c>
      <c r="J36">
        <v>5700</v>
      </c>
      <c r="K36">
        <v>4300</v>
      </c>
      <c r="L36" t="s">
        <v>30</v>
      </c>
      <c r="M36" t="s">
        <v>22</v>
      </c>
      <c r="N36" t="s">
        <v>87</v>
      </c>
      <c r="O36" t="s">
        <v>24</v>
      </c>
      <c r="P36">
        <f>Tableau1_2[[#This Row],[Quantité]]*Tableau1_2[[#This Row],[Prix_Unitaire]]</f>
        <v>22800</v>
      </c>
      <c r="Q36">
        <f>Tableau1_2[[#This Row],[Quantité]]*Tableau1_2[[#This Row],[Coût_Unitaire]]</f>
        <v>17200</v>
      </c>
      <c r="R36">
        <f>Tableau1_2[[#This Row],[CA]]-Tableau1_2[[#This Row],[Cout Total]]</f>
        <v>5600</v>
      </c>
      <c r="S36" s="4">
        <f>Tableau1_2[[#This Row],[Marge]]/Tableau1_2[[#This Row],[CA]]</f>
        <v>0.24561403508771928</v>
      </c>
      <c r="T36" t="str">
        <f>TEXT(Tableau1_2[[#This Row],[Date]],"mmmm")</f>
        <v>janvier</v>
      </c>
    </row>
    <row r="37" spans="1:20" x14ac:dyDescent="0.35">
      <c r="A37" t="s">
        <v>171</v>
      </c>
      <c r="B37" s="2">
        <v>46069</v>
      </c>
      <c r="C37" t="s">
        <v>172</v>
      </c>
      <c r="D37" t="s">
        <v>173</v>
      </c>
      <c r="E37" t="s">
        <v>156</v>
      </c>
      <c r="F37" t="s">
        <v>170</v>
      </c>
      <c r="G37" t="s">
        <v>34</v>
      </c>
      <c r="H37" t="s">
        <v>141</v>
      </c>
      <c r="I37">
        <v>1</v>
      </c>
      <c r="J37">
        <v>160000</v>
      </c>
      <c r="K37">
        <v>123600</v>
      </c>
      <c r="L37" t="s">
        <v>50</v>
      </c>
      <c r="M37" t="s">
        <v>31</v>
      </c>
      <c r="N37" t="s">
        <v>52</v>
      </c>
      <c r="O37" t="s">
        <v>24</v>
      </c>
      <c r="P37">
        <f>Tableau1_2[[#This Row],[Quantité]]*Tableau1_2[[#This Row],[Prix_Unitaire]]</f>
        <v>160000</v>
      </c>
      <c r="Q37">
        <f>Tableau1_2[[#This Row],[Quantité]]*Tableau1_2[[#This Row],[Coût_Unitaire]]</f>
        <v>123600</v>
      </c>
      <c r="R37">
        <f>Tableau1_2[[#This Row],[CA]]-Tableau1_2[[#This Row],[Cout Total]]</f>
        <v>36400</v>
      </c>
      <c r="S37" s="4">
        <f>Tableau1_2[[#This Row],[Marge]]/Tableau1_2[[#This Row],[CA]]</f>
        <v>0.22750000000000001</v>
      </c>
      <c r="T37" t="str">
        <f>TEXT(Tableau1_2[[#This Row],[Date]],"mmmm")</f>
        <v>février</v>
      </c>
    </row>
    <row r="38" spans="1:20" x14ac:dyDescent="0.35">
      <c r="A38" t="s">
        <v>174</v>
      </c>
      <c r="B38" s="2">
        <v>46084</v>
      </c>
      <c r="C38" t="s">
        <v>175</v>
      </c>
      <c r="D38" t="s">
        <v>176</v>
      </c>
      <c r="E38" t="s">
        <v>18</v>
      </c>
      <c r="F38" t="s">
        <v>18</v>
      </c>
      <c r="G38" t="s">
        <v>43</v>
      </c>
      <c r="H38" t="s">
        <v>177</v>
      </c>
      <c r="I38">
        <v>9</v>
      </c>
      <c r="J38">
        <v>18000</v>
      </c>
      <c r="K38">
        <v>12900</v>
      </c>
      <c r="L38" t="s">
        <v>21</v>
      </c>
      <c r="M38" t="s">
        <v>37</v>
      </c>
      <c r="N38" t="s">
        <v>52</v>
      </c>
      <c r="O38" t="s">
        <v>24</v>
      </c>
      <c r="P38">
        <f>Tableau1_2[[#This Row],[Quantité]]*Tableau1_2[[#This Row],[Prix_Unitaire]]</f>
        <v>162000</v>
      </c>
      <c r="Q38">
        <f>Tableau1_2[[#This Row],[Quantité]]*Tableau1_2[[#This Row],[Coût_Unitaire]]</f>
        <v>116100</v>
      </c>
      <c r="R38">
        <f>Tableau1_2[[#This Row],[CA]]-Tableau1_2[[#This Row],[Cout Total]]</f>
        <v>45900</v>
      </c>
      <c r="S38" s="4">
        <f>Tableau1_2[[#This Row],[Marge]]/Tableau1_2[[#This Row],[CA]]</f>
        <v>0.28333333333333333</v>
      </c>
      <c r="T38" t="str">
        <f>TEXT(Tableau1_2[[#This Row],[Date]],"mmmm")</f>
        <v>mars</v>
      </c>
    </row>
    <row r="39" spans="1:20" x14ac:dyDescent="0.35">
      <c r="A39" t="s">
        <v>178</v>
      </c>
      <c r="B39" s="2">
        <v>46192</v>
      </c>
      <c r="C39" t="s">
        <v>179</v>
      </c>
      <c r="D39" t="s">
        <v>180</v>
      </c>
      <c r="E39" t="s">
        <v>156</v>
      </c>
      <c r="F39" t="s">
        <v>170</v>
      </c>
      <c r="G39" t="s">
        <v>19</v>
      </c>
      <c r="H39" t="s">
        <v>61</v>
      </c>
      <c r="I39">
        <v>9</v>
      </c>
      <c r="J39">
        <v>231000</v>
      </c>
      <c r="K39">
        <v>164800</v>
      </c>
      <c r="L39" t="s">
        <v>73</v>
      </c>
      <c r="M39" t="s">
        <v>22</v>
      </c>
      <c r="N39" t="s">
        <v>23</v>
      </c>
      <c r="O39" t="s">
        <v>24</v>
      </c>
      <c r="P39">
        <f>Tableau1_2[[#This Row],[Quantité]]*Tableau1_2[[#This Row],[Prix_Unitaire]]</f>
        <v>2079000</v>
      </c>
      <c r="Q39">
        <f>Tableau1_2[[#This Row],[Quantité]]*Tableau1_2[[#This Row],[Coût_Unitaire]]</f>
        <v>1483200</v>
      </c>
      <c r="R39">
        <f>Tableau1_2[[#This Row],[CA]]-Tableau1_2[[#This Row],[Cout Total]]</f>
        <v>595800</v>
      </c>
      <c r="S39" s="4">
        <f>Tableau1_2[[#This Row],[Marge]]/Tableau1_2[[#This Row],[CA]]</f>
        <v>0.2865800865800866</v>
      </c>
      <c r="T39" t="str">
        <f>TEXT(Tableau1_2[[#This Row],[Date]],"mmmm")</f>
        <v>juin</v>
      </c>
    </row>
    <row r="40" spans="1:20" x14ac:dyDescent="0.35">
      <c r="A40" t="s">
        <v>181</v>
      </c>
      <c r="B40" s="2">
        <v>46216</v>
      </c>
      <c r="C40" t="s">
        <v>68</v>
      </c>
      <c r="D40" t="s">
        <v>134</v>
      </c>
      <c r="E40" t="s">
        <v>70</v>
      </c>
      <c r="F40" t="s">
        <v>71</v>
      </c>
      <c r="G40" t="s">
        <v>43</v>
      </c>
      <c r="H40" t="s">
        <v>44</v>
      </c>
      <c r="I40">
        <v>6</v>
      </c>
      <c r="J40">
        <v>14200</v>
      </c>
      <c r="K40">
        <v>9500</v>
      </c>
      <c r="L40" t="s">
        <v>21</v>
      </c>
      <c r="M40" t="s">
        <v>51</v>
      </c>
      <c r="N40" t="s">
        <v>52</v>
      </c>
      <c r="O40" t="s">
        <v>24</v>
      </c>
      <c r="P40">
        <f>Tableau1_2[[#This Row],[Quantité]]*Tableau1_2[[#This Row],[Prix_Unitaire]]</f>
        <v>85200</v>
      </c>
      <c r="Q40">
        <f>Tableau1_2[[#This Row],[Quantité]]*Tableau1_2[[#This Row],[Coût_Unitaire]]</f>
        <v>57000</v>
      </c>
      <c r="R40">
        <f>Tableau1_2[[#This Row],[CA]]-Tableau1_2[[#This Row],[Cout Total]]</f>
        <v>28200</v>
      </c>
      <c r="S40" s="4">
        <f>Tableau1_2[[#This Row],[Marge]]/Tableau1_2[[#This Row],[CA]]</f>
        <v>0.33098591549295775</v>
      </c>
      <c r="T40" t="str">
        <f>TEXT(Tableau1_2[[#This Row],[Date]],"mmmm")</f>
        <v>juillet</v>
      </c>
    </row>
    <row r="41" spans="1:20" x14ac:dyDescent="0.35">
      <c r="A41" t="s">
        <v>182</v>
      </c>
      <c r="B41" s="2">
        <v>46254</v>
      </c>
      <c r="C41" t="s">
        <v>183</v>
      </c>
      <c r="D41" t="s">
        <v>184</v>
      </c>
      <c r="E41" t="s">
        <v>156</v>
      </c>
      <c r="F41" t="s">
        <v>157</v>
      </c>
      <c r="G41" t="s">
        <v>19</v>
      </c>
      <c r="H41" t="s">
        <v>112</v>
      </c>
      <c r="I41">
        <v>3</v>
      </c>
      <c r="J41">
        <v>85000</v>
      </c>
      <c r="K41">
        <v>62000</v>
      </c>
      <c r="L41" t="s">
        <v>50</v>
      </c>
      <c r="M41" t="s">
        <v>37</v>
      </c>
      <c r="N41" t="s">
        <v>23</v>
      </c>
      <c r="O41" t="s">
        <v>91</v>
      </c>
      <c r="P41">
        <f>Tableau1_2[[#This Row],[Quantité]]*Tableau1_2[[#This Row],[Prix_Unitaire]]</f>
        <v>255000</v>
      </c>
      <c r="Q41">
        <f>Tableau1_2[[#This Row],[Quantité]]*Tableau1_2[[#This Row],[Coût_Unitaire]]</f>
        <v>186000</v>
      </c>
      <c r="R41">
        <f>Tableau1_2[[#This Row],[CA]]-Tableau1_2[[#This Row],[Cout Total]]</f>
        <v>69000</v>
      </c>
      <c r="S41" s="4">
        <f>Tableau1_2[[#This Row],[Marge]]/Tableau1_2[[#This Row],[CA]]</f>
        <v>0.27058823529411763</v>
      </c>
      <c r="T41" t="str">
        <f>TEXT(Tableau1_2[[#This Row],[Date]],"mmmm")</f>
        <v>août</v>
      </c>
    </row>
    <row r="42" spans="1:20" x14ac:dyDescent="0.35">
      <c r="A42" t="s">
        <v>185</v>
      </c>
      <c r="B42" s="2">
        <v>46231</v>
      </c>
      <c r="C42" t="s">
        <v>186</v>
      </c>
      <c r="D42" t="s">
        <v>187</v>
      </c>
      <c r="E42" t="s">
        <v>70</v>
      </c>
      <c r="F42" t="s">
        <v>71</v>
      </c>
      <c r="G42" t="s">
        <v>28</v>
      </c>
      <c r="H42" t="s">
        <v>65</v>
      </c>
      <c r="I42">
        <v>4</v>
      </c>
      <c r="J42">
        <v>12000</v>
      </c>
      <c r="K42">
        <v>7700</v>
      </c>
      <c r="L42" t="s">
        <v>50</v>
      </c>
      <c r="M42" t="s">
        <v>51</v>
      </c>
      <c r="N42" t="s">
        <v>23</v>
      </c>
      <c r="O42" t="s">
        <v>24</v>
      </c>
      <c r="P42">
        <f>Tableau1_2[[#This Row],[Quantité]]*Tableau1_2[[#This Row],[Prix_Unitaire]]</f>
        <v>48000</v>
      </c>
      <c r="Q42">
        <f>Tableau1_2[[#This Row],[Quantité]]*Tableau1_2[[#This Row],[Coût_Unitaire]]</f>
        <v>30800</v>
      </c>
      <c r="R42">
        <f>Tableau1_2[[#This Row],[CA]]-Tableau1_2[[#This Row],[Cout Total]]</f>
        <v>17200</v>
      </c>
      <c r="S42" s="4">
        <f>Tableau1_2[[#This Row],[Marge]]/Tableau1_2[[#This Row],[CA]]</f>
        <v>0.35833333333333334</v>
      </c>
      <c r="T42" t="str">
        <f>TEXT(Tableau1_2[[#This Row],[Date]],"mmmm")</f>
        <v>juillet</v>
      </c>
    </row>
    <row r="43" spans="1:20" x14ac:dyDescent="0.35">
      <c r="A43" t="s">
        <v>188</v>
      </c>
      <c r="B43" s="2">
        <v>46115</v>
      </c>
      <c r="C43" t="s">
        <v>160</v>
      </c>
      <c r="D43" t="s">
        <v>189</v>
      </c>
      <c r="E43" t="s">
        <v>190</v>
      </c>
      <c r="F43" t="s">
        <v>191</v>
      </c>
      <c r="G43" t="s">
        <v>43</v>
      </c>
      <c r="H43" t="s">
        <v>162</v>
      </c>
      <c r="I43">
        <v>10</v>
      </c>
      <c r="J43">
        <v>8400</v>
      </c>
      <c r="K43">
        <v>4800</v>
      </c>
      <c r="L43" t="s">
        <v>96</v>
      </c>
      <c r="M43" t="s">
        <v>51</v>
      </c>
      <c r="N43" t="s">
        <v>52</v>
      </c>
      <c r="O43" t="s">
        <v>24</v>
      </c>
      <c r="P43">
        <f>Tableau1_2[[#This Row],[Quantité]]*Tableau1_2[[#This Row],[Prix_Unitaire]]</f>
        <v>84000</v>
      </c>
      <c r="Q43">
        <f>Tableau1_2[[#This Row],[Quantité]]*Tableau1_2[[#This Row],[Coût_Unitaire]]</f>
        <v>48000</v>
      </c>
      <c r="R43">
        <f>Tableau1_2[[#This Row],[CA]]-Tableau1_2[[#This Row],[Cout Total]]</f>
        <v>36000</v>
      </c>
      <c r="S43" s="4">
        <f>Tableau1_2[[#This Row],[Marge]]/Tableau1_2[[#This Row],[CA]]</f>
        <v>0.42857142857142855</v>
      </c>
      <c r="T43" t="str">
        <f>TEXT(Tableau1_2[[#This Row],[Date]],"mmmm")</f>
        <v>avril</v>
      </c>
    </row>
    <row r="44" spans="1:20" x14ac:dyDescent="0.35">
      <c r="A44" t="s">
        <v>192</v>
      </c>
      <c r="B44" s="2">
        <v>46069</v>
      </c>
      <c r="C44" t="s">
        <v>193</v>
      </c>
      <c r="D44" t="s">
        <v>194</v>
      </c>
      <c r="E44" t="s">
        <v>56</v>
      </c>
      <c r="F44" t="s">
        <v>57</v>
      </c>
      <c r="G44" t="s">
        <v>43</v>
      </c>
      <c r="H44" t="s">
        <v>177</v>
      </c>
      <c r="I44">
        <v>1</v>
      </c>
      <c r="J44">
        <v>17100</v>
      </c>
      <c r="K44">
        <v>12500</v>
      </c>
      <c r="L44" t="s">
        <v>30</v>
      </c>
      <c r="M44" t="s">
        <v>22</v>
      </c>
      <c r="N44" t="s">
        <v>52</v>
      </c>
      <c r="O44" t="s">
        <v>24</v>
      </c>
      <c r="P44">
        <f>Tableau1_2[[#This Row],[Quantité]]*Tableau1_2[[#This Row],[Prix_Unitaire]]</f>
        <v>17100</v>
      </c>
      <c r="Q44">
        <f>Tableau1_2[[#This Row],[Quantité]]*Tableau1_2[[#This Row],[Coût_Unitaire]]</f>
        <v>12500</v>
      </c>
      <c r="R44">
        <f>Tableau1_2[[#This Row],[CA]]-Tableau1_2[[#This Row],[Cout Total]]</f>
        <v>4600</v>
      </c>
      <c r="S44" s="4">
        <f>Tableau1_2[[#This Row],[Marge]]/Tableau1_2[[#This Row],[CA]]</f>
        <v>0.26900584795321636</v>
      </c>
      <c r="T44" t="str">
        <f>TEXT(Tableau1_2[[#This Row],[Date]],"mmmm")</f>
        <v>février</v>
      </c>
    </row>
    <row r="45" spans="1:20" x14ac:dyDescent="0.35">
      <c r="A45" t="s">
        <v>195</v>
      </c>
      <c r="B45" s="2">
        <v>46124</v>
      </c>
      <c r="C45" t="s">
        <v>196</v>
      </c>
      <c r="D45" t="s">
        <v>197</v>
      </c>
      <c r="E45" t="s">
        <v>70</v>
      </c>
      <c r="F45" t="s">
        <v>71</v>
      </c>
      <c r="G45" t="s">
        <v>34</v>
      </c>
      <c r="H45" t="s">
        <v>86</v>
      </c>
      <c r="I45">
        <v>6</v>
      </c>
      <c r="J45">
        <v>189000</v>
      </c>
      <c r="K45">
        <v>135000</v>
      </c>
      <c r="L45" t="s">
        <v>50</v>
      </c>
      <c r="M45" t="s">
        <v>51</v>
      </c>
      <c r="N45" t="s">
        <v>87</v>
      </c>
      <c r="O45" t="s">
        <v>24</v>
      </c>
      <c r="P45">
        <f>Tableau1_2[[#This Row],[Quantité]]*Tableau1_2[[#This Row],[Prix_Unitaire]]</f>
        <v>1134000</v>
      </c>
      <c r="Q45">
        <f>Tableau1_2[[#This Row],[Quantité]]*Tableau1_2[[#This Row],[Coût_Unitaire]]</f>
        <v>810000</v>
      </c>
      <c r="R45">
        <f>Tableau1_2[[#This Row],[CA]]-Tableau1_2[[#This Row],[Cout Total]]</f>
        <v>324000</v>
      </c>
      <c r="S45" s="4">
        <f>Tableau1_2[[#This Row],[Marge]]/Tableau1_2[[#This Row],[CA]]</f>
        <v>0.2857142857142857</v>
      </c>
      <c r="T45" t="str">
        <f>TEXT(Tableau1_2[[#This Row],[Date]],"mmmm")</f>
        <v>avril</v>
      </c>
    </row>
    <row r="46" spans="1:20" x14ac:dyDescent="0.35">
      <c r="A46" t="s">
        <v>198</v>
      </c>
      <c r="B46" s="2">
        <v>46255</v>
      </c>
      <c r="C46" t="s">
        <v>199</v>
      </c>
      <c r="D46" t="s">
        <v>200</v>
      </c>
      <c r="E46" t="s">
        <v>41</v>
      </c>
      <c r="F46" t="s">
        <v>42</v>
      </c>
      <c r="G46" t="s">
        <v>34</v>
      </c>
      <c r="H46" t="s">
        <v>158</v>
      </c>
      <c r="I46">
        <v>3</v>
      </c>
      <c r="J46">
        <v>95000</v>
      </c>
      <c r="K46">
        <v>70000</v>
      </c>
      <c r="L46" t="s">
        <v>30</v>
      </c>
      <c r="M46" t="s">
        <v>37</v>
      </c>
      <c r="N46" t="s">
        <v>23</v>
      </c>
      <c r="O46" t="s">
        <v>24</v>
      </c>
      <c r="P46">
        <f>Tableau1_2[[#This Row],[Quantité]]*Tableau1_2[[#This Row],[Prix_Unitaire]]</f>
        <v>285000</v>
      </c>
      <c r="Q46">
        <f>Tableau1_2[[#This Row],[Quantité]]*Tableau1_2[[#This Row],[Coût_Unitaire]]</f>
        <v>210000</v>
      </c>
      <c r="R46">
        <f>Tableau1_2[[#This Row],[CA]]-Tableau1_2[[#This Row],[Cout Total]]</f>
        <v>75000</v>
      </c>
      <c r="S46" s="4">
        <f>Tableau1_2[[#This Row],[Marge]]/Tableau1_2[[#This Row],[CA]]</f>
        <v>0.26315789473684209</v>
      </c>
      <c r="T46" t="str">
        <f>TEXT(Tableau1_2[[#This Row],[Date]],"mmmm")</f>
        <v>août</v>
      </c>
    </row>
    <row r="47" spans="1:20" x14ac:dyDescent="0.35">
      <c r="A47" t="s">
        <v>201</v>
      </c>
      <c r="B47" s="2">
        <v>46338</v>
      </c>
      <c r="C47" t="s">
        <v>202</v>
      </c>
      <c r="D47" t="s">
        <v>203</v>
      </c>
      <c r="E47" t="s">
        <v>18</v>
      </c>
      <c r="F47" t="s">
        <v>18</v>
      </c>
      <c r="G47" t="s">
        <v>19</v>
      </c>
      <c r="H47" t="s">
        <v>112</v>
      </c>
      <c r="I47">
        <v>3</v>
      </c>
      <c r="J47">
        <v>85000</v>
      </c>
      <c r="K47">
        <v>63900</v>
      </c>
      <c r="L47" t="s">
        <v>80</v>
      </c>
      <c r="M47" t="s">
        <v>37</v>
      </c>
      <c r="N47" t="s">
        <v>23</v>
      </c>
      <c r="O47" t="s">
        <v>91</v>
      </c>
      <c r="P47">
        <f>Tableau1_2[[#This Row],[Quantité]]*Tableau1_2[[#This Row],[Prix_Unitaire]]</f>
        <v>255000</v>
      </c>
      <c r="Q47">
        <f>Tableau1_2[[#This Row],[Quantité]]*Tableau1_2[[#This Row],[Coût_Unitaire]]</f>
        <v>191700</v>
      </c>
      <c r="R47">
        <f>Tableau1_2[[#This Row],[CA]]-Tableau1_2[[#This Row],[Cout Total]]</f>
        <v>63300</v>
      </c>
      <c r="S47" s="4">
        <f>Tableau1_2[[#This Row],[Marge]]/Tableau1_2[[#This Row],[CA]]</f>
        <v>0.24823529411764705</v>
      </c>
      <c r="T47" t="str">
        <f>TEXT(Tableau1_2[[#This Row],[Date]],"mmmm")</f>
        <v>novembre</v>
      </c>
    </row>
    <row r="48" spans="1:20" x14ac:dyDescent="0.35">
      <c r="A48" t="s">
        <v>204</v>
      </c>
      <c r="B48" s="2">
        <v>46153</v>
      </c>
      <c r="C48" t="s">
        <v>205</v>
      </c>
      <c r="D48" t="s">
        <v>55</v>
      </c>
      <c r="E48" t="s">
        <v>41</v>
      </c>
      <c r="F48" t="s">
        <v>42</v>
      </c>
      <c r="G48" t="s">
        <v>34</v>
      </c>
      <c r="H48" t="s">
        <v>158</v>
      </c>
      <c r="I48">
        <v>6</v>
      </c>
      <c r="J48">
        <v>95000</v>
      </c>
      <c r="K48">
        <v>67900</v>
      </c>
      <c r="L48" t="s">
        <v>21</v>
      </c>
      <c r="M48" t="s">
        <v>31</v>
      </c>
      <c r="N48" t="s">
        <v>23</v>
      </c>
      <c r="O48" t="s">
        <v>24</v>
      </c>
      <c r="P48">
        <f>Tableau1_2[[#This Row],[Quantité]]*Tableau1_2[[#This Row],[Prix_Unitaire]]</f>
        <v>570000</v>
      </c>
      <c r="Q48">
        <f>Tableau1_2[[#This Row],[Quantité]]*Tableau1_2[[#This Row],[Coût_Unitaire]]</f>
        <v>407400</v>
      </c>
      <c r="R48">
        <f>Tableau1_2[[#This Row],[CA]]-Tableau1_2[[#This Row],[Cout Total]]</f>
        <v>162600</v>
      </c>
      <c r="S48" s="4">
        <f>Tableau1_2[[#This Row],[Marge]]/Tableau1_2[[#This Row],[CA]]</f>
        <v>0.28526315789473683</v>
      </c>
      <c r="T48" t="str">
        <f>TEXT(Tableau1_2[[#This Row],[Date]],"mmmm")</f>
        <v>mai</v>
      </c>
    </row>
    <row r="49" spans="1:20" x14ac:dyDescent="0.35">
      <c r="A49" t="s">
        <v>206</v>
      </c>
      <c r="B49" s="2">
        <v>46042</v>
      </c>
      <c r="C49" t="s">
        <v>207</v>
      </c>
      <c r="D49" t="s">
        <v>208</v>
      </c>
      <c r="E49" t="s">
        <v>18</v>
      </c>
      <c r="F49" t="s">
        <v>18</v>
      </c>
      <c r="G49" t="s">
        <v>34</v>
      </c>
      <c r="H49" t="s">
        <v>158</v>
      </c>
      <c r="I49">
        <v>10</v>
      </c>
      <c r="J49">
        <v>90200</v>
      </c>
      <c r="K49">
        <v>72100</v>
      </c>
      <c r="L49" t="s">
        <v>66</v>
      </c>
      <c r="M49" t="s">
        <v>51</v>
      </c>
      <c r="N49" t="s">
        <v>87</v>
      </c>
      <c r="O49" t="s">
        <v>24</v>
      </c>
      <c r="P49">
        <f>Tableau1_2[[#This Row],[Quantité]]*Tableau1_2[[#This Row],[Prix_Unitaire]]</f>
        <v>902000</v>
      </c>
      <c r="Q49">
        <f>Tableau1_2[[#This Row],[Quantité]]*Tableau1_2[[#This Row],[Coût_Unitaire]]</f>
        <v>721000</v>
      </c>
      <c r="R49">
        <f>Tableau1_2[[#This Row],[CA]]-Tableau1_2[[#This Row],[Cout Total]]</f>
        <v>181000</v>
      </c>
      <c r="S49" s="4">
        <f>Tableau1_2[[#This Row],[Marge]]/Tableau1_2[[#This Row],[CA]]</f>
        <v>0.20066518847006651</v>
      </c>
      <c r="T49" t="str">
        <f>TEXT(Tableau1_2[[#This Row],[Date]],"mmmm")</f>
        <v>janvier</v>
      </c>
    </row>
    <row r="50" spans="1:20" x14ac:dyDescent="0.35">
      <c r="A50" t="s">
        <v>209</v>
      </c>
      <c r="B50" s="2">
        <v>46025</v>
      </c>
      <c r="C50" t="s">
        <v>210</v>
      </c>
      <c r="D50" t="s">
        <v>48</v>
      </c>
      <c r="E50" t="s">
        <v>18</v>
      </c>
      <c r="F50" t="s">
        <v>18</v>
      </c>
      <c r="G50" t="s">
        <v>19</v>
      </c>
      <c r="H50" t="s">
        <v>112</v>
      </c>
      <c r="I50">
        <v>4</v>
      </c>
      <c r="J50">
        <v>85000</v>
      </c>
      <c r="K50">
        <v>62000</v>
      </c>
      <c r="L50" t="s">
        <v>80</v>
      </c>
      <c r="M50" t="s">
        <v>37</v>
      </c>
      <c r="N50" t="s">
        <v>87</v>
      </c>
      <c r="O50" t="s">
        <v>24</v>
      </c>
      <c r="P50">
        <f>Tableau1_2[[#This Row],[Quantité]]*Tableau1_2[[#This Row],[Prix_Unitaire]]</f>
        <v>340000</v>
      </c>
      <c r="Q50">
        <f>Tableau1_2[[#This Row],[Quantité]]*Tableau1_2[[#This Row],[Coût_Unitaire]]</f>
        <v>248000</v>
      </c>
      <c r="R50">
        <f>Tableau1_2[[#This Row],[CA]]-Tableau1_2[[#This Row],[Cout Total]]</f>
        <v>92000</v>
      </c>
      <c r="S50" s="4">
        <f>Tableau1_2[[#This Row],[Marge]]/Tableau1_2[[#This Row],[CA]]</f>
        <v>0.27058823529411763</v>
      </c>
      <c r="T50" t="str">
        <f>TEXT(Tableau1_2[[#This Row],[Date]],"mmmm")</f>
        <v>janvier</v>
      </c>
    </row>
    <row r="51" spans="1:20" x14ac:dyDescent="0.35">
      <c r="A51" t="s">
        <v>211</v>
      </c>
      <c r="B51" s="2">
        <v>46035</v>
      </c>
      <c r="C51" t="s">
        <v>212</v>
      </c>
      <c r="D51" t="s">
        <v>213</v>
      </c>
      <c r="E51" t="s">
        <v>18</v>
      </c>
      <c r="F51" t="s">
        <v>18</v>
      </c>
      <c r="G51" t="s">
        <v>34</v>
      </c>
      <c r="H51" t="s">
        <v>158</v>
      </c>
      <c r="I51">
        <v>8</v>
      </c>
      <c r="J51">
        <v>99800</v>
      </c>
      <c r="K51">
        <v>67900</v>
      </c>
      <c r="L51" t="s">
        <v>36</v>
      </c>
      <c r="M51" t="s">
        <v>22</v>
      </c>
      <c r="N51" t="s">
        <v>23</v>
      </c>
      <c r="O51" t="s">
        <v>24</v>
      </c>
      <c r="P51">
        <f>Tableau1_2[[#This Row],[Quantité]]*Tableau1_2[[#This Row],[Prix_Unitaire]]</f>
        <v>798400</v>
      </c>
      <c r="Q51">
        <f>Tableau1_2[[#This Row],[Quantité]]*Tableau1_2[[#This Row],[Coût_Unitaire]]</f>
        <v>543200</v>
      </c>
      <c r="R51">
        <f>Tableau1_2[[#This Row],[CA]]-Tableau1_2[[#This Row],[Cout Total]]</f>
        <v>255200</v>
      </c>
      <c r="S51" s="4">
        <f>Tableau1_2[[#This Row],[Marge]]/Tableau1_2[[#This Row],[CA]]</f>
        <v>0.31963927855711421</v>
      </c>
      <c r="T51" t="str">
        <f>TEXT(Tableau1_2[[#This Row],[Date]],"mmmm")</f>
        <v>janvier</v>
      </c>
    </row>
    <row r="52" spans="1:20" x14ac:dyDescent="0.35">
      <c r="A52" t="s">
        <v>214</v>
      </c>
      <c r="B52" s="2">
        <v>46203</v>
      </c>
      <c r="C52" t="s">
        <v>212</v>
      </c>
      <c r="D52" t="s">
        <v>215</v>
      </c>
      <c r="E52" t="s">
        <v>77</v>
      </c>
      <c r="F52" t="s">
        <v>78</v>
      </c>
      <c r="G52" t="s">
        <v>34</v>
      </c>
      <c r="H52" t="s">
        <v>158</v>
      </c>
      <c r="I52">
        <v>2</v>
      </c>
      <c r="J52">
        <v>95000</v>
      </c>
      <c r="K52">
        <v>72100</v>
      </c>
      <c r="L52" t="s">
        <v>30</v>
      </c>
      <c r="M52" t="s">
        <v>51</v>
      </c>
      <c r="N52" t="s">
        <v>87</v>
      </c>
      <c r="O52" t="s">
        <v>24</v>
      </c>
      <c r="P52">
        <f>Tableau1_2[[#This Row],[Quantité]]*Tableau1_2[[#This Row],[Prix_Unitaire]]</f>
        <v>190000</v>
      </c>
      <c r="Q52">
        <f>Tableau1_2[[#This Row],[Quantité]]*Tableau1_2[[#This Row],[Coût_Unitaire]]</f>
        <v>144200</v>
      </c>
      <c r="R52">
        <f>Tableau1_2[[#This Row],[CA]]-Tableau1_2[[#This Row],[Cout Total]]</f>
        <v>45800</v>
      </c>
      <c r="S52" s="4">
        <f>Tableau1_2[[#This Row],[Marge]]/Tableau1_2[[#This Row],[CA]]</f>
        <v>0.24105263157894738</v>
      </c>
      <c r="T52" t="str">
        <f>TEXT(Tableau1_2[[#This Row],[Date]],"mmmm")</f>
        <v>juin</v>
      </c>
    </row>
    <row r="53" spans="1:20" x14ac:dyDescent="0.35">
      <c r="A53" t="s">
        <v>216</v>
      </c>
      <c r="B53" s="2">
        <v>46172</v>
      </c>
      <c r="C53" t="s">
        <v>217</v>
      </c>
      <c r="D53" t="s">
        <v>218</v>
      </c>
      <c r="E53" t="s">
        <v>84</v>
      </c>
      <c r="F53" t="s">
        <v>85</v>
      </c>
      <c r="G53" t="s">
        <v>43</v>
      </c>
      <c r="H53" t="s">
        <v>177</v>
      </c>
      <c r="I53">
        <v>3</v>
      </c>
      <c r="J53">
        <v>18900</v>
      </c>
      <c r="K53">
        <v>12100</v>
      </c>
      <c r="L53" t="s">
        <v>96</v>
      </c>
      <c r="M53" t="s">
        <v>51</v>
      </c>
      <c r="N53" t="s">
        <v>23</v>
      </c>
      <c r="O53" t="s">
        <v>24</v>
      </c>
      <c r="P53">
        <f>Tableau1_2[[#This Row],[Quantité]]*Tableau1_2[[#This Row],[Prix_Unitaire]]</f>
        <v>56700</v>
      </c>
      <c r="Q53">
        <f>Tableau1_2[[#This Row],[Quantité]]*Tableau1_2[[#This Row],[Coût_Unitaire]]</f>
        <v>36300</v>
      </c>
      <c r="R53">
        <f>Tableau1_2[[#This Row],[CA]]-Tableau1_2[[#This Row],[Cout Total]]</f>
        <v>20400</v>
      </c>
      <c r="S53" s="4">
        <f>Tableau1_2[[#This Row],[Marge]]/Tableau1_2[[#This Row],[CA]]</f>
        <v>0.35978835978835977</v>
      </c>
      <c r="T53" t="str">
        <f>TEXT(Tableau1_2[[#This Row],[Date]],"mmmm")</f>
        <v>mai</v>
      </c>
    </row>
    <row r="54" spans="1:20" x14ac:dyDescent="0.35">
      <c r="A54" t="s">
        <v>219</v>
      </c>
      <c r="B54" s="2">
        <v>46267</v>
      </c>
      <c r="C54" t="s">
        <v>220</v>
      </c>
      <c r="D54" t="s">
        <v>173</v>
      </c>
      <c r="E54" t="s">
        <v>77</v>
      </c>
      <c r="F54" t="s">
        <v>78</v>
      </c>
      <c r="G54" t="s">
        <v>34</v>
      </c>
      <c r="H54" t="s">
        <v>158</v>
      </c>
      <c r="I54">
        <v>9</v>
      </c>
      <c r="J54">
        <v>99800</v>
      </c>
      <c r="K54">
        <v>67900</v>
      </c>
      <c r="L54" t="s">
        <v>96</v>
      </c>
      <c r="M54" t="s">
        <v>22</v>
      </c>
      <c r="N54" t="s">
        <v>23</v>
      </c>
      <c r="O54" t="s">
        <v>91</v>
      </c>
      <c r="P54">
        <f>Tableau1_2[[#This Row],[Quantité]]*Tableau1_2[[#This Row],[Prix_Unitaire]]</f>
        <v>898200</v>
      </c>
      <c r="Q54">
        <f>Tableau1_2[[#This Row],[Quantité]]*Tableau1_2[[#This Row],[Coût_Unitaire]]</f>
        <v>611100</v>
      </c>
      <c r="R54">
        <f>Tableau1_2[[#This Row],[CA]]-Tableau1_2[[#This Row],[Cout Total]]</f>
        <v>287100</v>
      </c>
      <c r="S54" s="4">
        <f>Tableau1_2[[#This Row],[Marge]]/Tableau1_2[[#This Row],[CA]]</f>
        <v>0.31963927855711421</v>
      </c>
      <c r="T54" t="str">
        <f>TEXT(Tableau1_2[[#This Row],[Date]],"mmmm")</f>
        <v>septembre</v>
      </c>
    </row>
    <row r="55" spans="1:20" x14ac:dyDescent="0.35">
      <c r="A55" t="s">
        <v>221</v>
      </c>
      <c r="B55" s="2">
        <v>46064</v>
      </c>
      <c r="C55" t="s">
        <v>222</v>
      </c>
      <c r="D55" t="s">
        <v>223</v>
      </c>
      <c r="E55" t="s">
        <v>18</v>
      </c>
      <c r="F55" t="s">
        <v>18</v>
      </c>
      <c r="G55" t="s">
        <v>43</v>
      </c>
      <c r="H55" t="s">
        <v>162</v>
      </c>
      <c r="I55">
        <v>2</v>
      </c>
      <c r="J55">
        <v>8400</v>
      </c>
      <c r="K55">
        <v>5000</v>
      </c>
      <c r="L55" t="s">
        <v>36</v>
      </c>
      <c r="M55" t="s">
        <v>51</v>
      </c>
      <c r="N55" t="s">
        <v>52</v>
      </c>
      <c r="O55" t="s">
        <v>91</v>
      </c>
      <c r="P55">
        <f>Tableau1_2[[#This Row],[Quantité]]*Tableau1_2[[#This Row],[Prix_Unitaire]]</f>
        <v>16800</v>
      </c>
      <c r="Q55">
        <f>Tableau1_2[[#This Row],[Quantité]]*Tableau1_2[[#This Row],[Coût_Unitaire]]</f>
        <v>10000</v>
      </c>
      <c r="R55">
        <f>Tableau1_2[[#This Row],[CA]]-Tableau1_2[[#This Row],[Cout Total]]</f>
        <v>6800</v>
      </c>
      <c r="S55" s="4">
        <f>Tableau1_2[[#This Row],[Marge]]/Tableau1_2[[#This Row],[CA]]</f>
        <v>0.40476190476190477</v>
      </c>
      <c r="T55" t="str">
        <f>TEXT(Tableau1_2[[#This Row],[Date]],"mmmm")</f>
        <v>février</v>
      </c>
    </row>
    <row r="56" spans="1:20" x14ac:dyDescent="0.35">
      <c r="A56" t="s">
        <v>224</v>
      </c>
      <c r="B56" s="2">
        <v>46220</v>
      </c>
      <c r="C56" t="s">
        <v>225</v>
      </c>
      <c r="D56" t="s">
        <v>226</v>
      </c>
      <c r="E56" t="s">
        <v>18</v>
      </c>
      <c r="F56" t="s">
        <v>18</v>
      </c>
      <c r="G56" t="s">
        <v>43</v>
      </c>
      <c r="H56" t="s">
        <v>162</v>
      </c>
      <c r="I56">
        <v>6</v>
      </c>
      <c r="J56">
        <v>7600</v>
      </c>
      <c r="K56">
        <v>5200</v>
      </c>
      <c r="L56" t="s">
        <v>73</v>
      </c>
      <c r="M56" t="s">
        <v>31</v>
      </c>
      <c r="N56" t="s">
        <v>52</v>
      </c>
      <c r="O56" t="s">
        <v>24</v>
      </c>
      <c r="P56">
        <f>Tableau1_2[[#This Row],[Quantité]]*Tableau1_2[[#This Row],[Prix_Unitaire]]</f>
        <v>45600</v>
      </c>
      <c r="Q56">
        <f>Tableau1_2[[#This Row],[Quantité]]*Tableau1_2[[#This Row],[Coût_Unitaire]]</f>
        <v>31200</v>
      </c>
      <c r="R56">
        <f>Tableau1_2[[#This Row],[CA]]-Tableau1_2[[#This Row],[Cout Total]]</f>
        <v>14400</v>
      </c>
      <c r="S56" s="4">
        <f>Tableau1_2[[#This Row],[Marge]]/Tableau1_2[[#This Row],[CA]]</f>
        <v>0.31578947368421051</v>
      </c>
      <c r="T56" t="str">
        <f>TEXT(Tableau1_2[[#This Row],[Date]],"mmmm")</f>
        <v>juillet</v>
      </c>
    </row>
    <row r="57" spans="1:20" x14ac:dyDescent="0.35">
      <c r="A57" t="s">
        <v>227</v>
      </c>
      <c r="B57" s="2">
        <v>46189</v>
      </c>
      <c r="C57" t="s">
        <v>228</v>
      </c>
      <c r="D57" t="s">
        <v>229</v>
      </c>
      <c r="E57" t="s">
        <v>18</v>
      </c>
      <c r="F57" t="s">
        <v>18</v>
      </c>
      <c r="G57" t="s">
        <v>34</v>
      </c>
      <c r="H57" t="s">
        <v>35</v>
      </c>
      <c r="I57">
        <v>9</v>
      </c>
      <c r="J57">
        <v>55000</v>
      </c>
      <c r="K57">
        <v>37800</v>
      </c>
      <c r="L57" t="s">
        <v>73</v>
      </c>
      <c r="M57" t="s">
        <v>51</v>
      </c>
      <c r="N57" t="s">
        <v>23</v>
      </c>
      <c r="O57" t="s">
        <v>24</v>
      </c>
      <c r="P57">
        <f>Tableau1_2[[#This Row],[Quantité]]*Tableau1_2[[#This Row],[Prix_Unitaire]]</f>
        <v>495000</v>
      </c>
      <c r="Q57">
        <f>Tableau1_2[[#This Row],[Quantité]]*Tableau1_2[[#This Row],[Coût_Unitaire]]</f>
        <v>340200</v>
      </c>
      <c r="R57">
        <f>Tableau1_2[[#This Row],[CA]]-Tableau1_2[[#This Row],[Cout Total]]</f>
        <v>154800</v>
      </c>
      <c r="S57" s="4">
        <f>Tableau1_2[[#This Row],[Marge]]/Tableau1_2[[#This Row],[CA]]</f>
        <v>0.31272727272727274</v>
      </c>
      <c r="T57" t="str">
        <f>TEXT(Tableau1_2[[#This Row],[Date]],"mmmm")</f>
        <v>juin</v>
      </c>
    </row>
    <row r="58" spans="1:20" x14ac:dyDescent="0.35">
      <c r="A58" t="s">
        <v>230</v>
      </c>
      <c r="B58" s="2">
        <v>46143</v>
      </c>
      <c r="C58" t="s">
        <v>231</v>
      </c>
      <c r="D58" t="s">
        <v>232</v>
      </c>
      <c r="E58" t="s">
        <v>18</v>
      </c>
      <c r="F58" t="s">
        <v>18</v>
      </c>
      <c r="G58" t="s">
        <v>43</v>
      </c>
      <c r="H58" t="s">
        <v>177</v>
      </c>
      <c r="I58">
        <v>8</v>
      </c>
      <c r="J58">
        <v>17100</v>
      </c>
      <c r="K58">
        <v>12500</v>
      </c>
      <c r="L58" t="s">
        <v>96</v>
      </c>
      <c r="M58" t="s">
        <v>51</v>
      </c>
      <c r="N58" t="s">
        <v>52</v>
      </c>
      <c r="O58" t="s">
        <v>45</v>
      </c>
      <c r="P58">
        <f>Tableau1_2[[#This Row],[Quantité]]*Tableau1_2[[#This Row],[Prix_Unitaire]]</f>
        <v>136800</v>
      </c>
      <c r="Q58">
        <f>Tableau1_2[[#This Row],[Quantité]]*Tableau1_2[[#This Row],[Coût_Unitaire]]</f>
        <v>100000</v>
      </c>
      <c r="R58">
        <f>Tableau1_2[[#This Row],[CA]]-Tableau1_2[[#This Row],[Cout Total]]</f>
        <v>36800</v>
      </c>
      <c r="S58" s="4">
        <f>Tableau1_2[[#This Row],[Marge]]/Tableau1_2[[#This Row],[CA]]</f>
        <v>0.26900584795321636</v>
      </c>
      <c r="T58" t="str">
        <f>TEXT(Tableau1_2[[#This Row],[Date]],"mmmm")</f>
        <v>mai</v>
      </c>
    </row>
    <row r="59" spans="1:20" x14ac:dyDescent="0.35">
      <c r="A59" t="s">
        <v>233</v>
      </c>
      <c r="B59" s="2">
        <v>46355</v>
      </c>
      <c r="C59" t="s">
        <v>234</v>
      </c>
      <c r="D59" t="s">
        <v>235</v>
      </c>
      <c r="E59" t="s">
        <v>56</v>
      </c>
      <c r="F59" t="s">
        <v>57</v>
      </c>
      <c r="G59" t="s">
        <v>43</v>
      </c>
      <c r="H59" t="s">
        <v>162</v>
      </c>
      <c r="I59">
        <v>6</v>
      </c>
      <c r="J59">
        <v>8000</v>
      </c>
      <c r="K59">
        <v>4800</v>
      </c>
      <c r="L59" t="s">
        <v>21</v>
      </c>
      <c r="M59" t="s">
        <v>22</v>
      </c>
      <c r="N59" t="s">
        <v>52</v>
      </c>
      <c r="O59" t="s">
        <v>24</v>
      </c>
      <c r="P59">
        <f>Tableau1_2[[#This Row],[Quantité]]*Tableau1_2[[#This Row],[Prix_Unitaire]]</f>
        <v>48000</v>
      </c>
      <c r="Q59">
        <f>Tableau1_2[[#This Row],[Quantité]]*Tableau1_2[[#This Row],[Coût_Unitaire]]</f>
        <v>28800</v>
      </c>
      <c r="R59">
        <f>Tableau1_2[[#This Row],[CA]]-Tableau1_2[[#This Row],[Cout Total]]</f>
        <v>19200</v>
      </c>
      <c r="S59" s="4">
        <f>Tableau1_2[[#This Row],[Marge]]/Tableau1_2[[#This Row],[CA]]</f>
        <v>0.4</v>
      </c>
      <c r="T59" t="str">
        <f>TEXT(Tableau1_2[[#This Row],[Date]],"mmmm")</f>
        <v>novembre</v>
      </c>
    </row>
    <row r="60" spans="1:20" x14ac:dyDescent="0.35">
      <c r="A60" t="s">
        <v>236</v>
      </c>
      <c r="B60" s="2">
        <v>46167</v>
      </c>
      <c r="C60" t="s">
        <v>237</v>
      </c>
      <c r="D60" t="s">
        <v>238</v>
      </c>
      <c r="E60" t="s">
        <v>77</v>
      </c>
      <c r="F60" t="s">
        <v>78</v>
      </c>
      <c r="G60" t="s">
        <v>28</v>
      </c>
      <c r="H60" t="s">
        <v>72</v>
      </c>
      <c r="I60">
        <v>10</v>
      </c>
      <c r="J60">
        <v>10000</v>
      </c>
      <c r="K60">
        <v>6000</v>
      </c>
      <c r="L60" t="s">
        <v>36</v>
      </c>
      <c r="M60" t="s">
        <v>22</v>
      </c>
      <c r="N60" t="s">
        <v>23</v>
      </c>
      <c r="O60" t="s">
        <v>45</v>
      </c>
      <c r="P60">
        <f>Tableau1_2[[#This Row],[Quantité]]*Tableau1_2[[#This Row],[Prix_Unitaire]]</f>
        <v>100000</v>
      </c>
      <c r="Q60">
        <f>Tableau1_2[[#This Row],[Quantité]]*Tableau1_2[[#This Row],[Coût_Unitaire]]</f>
        <v>60000</v>
      </c>
      <c r="R60">
        <f>Tableau1_2[[#This Row],[CA]]-Tableau1_2[[#This Row],[Cout Total]]</f>
        <v>40000</v>
      </c>
      <c r="S60" s="4">
        <f>Tableau1_2[[#This Row],[Marge]]/Tableau1_2[[#This Row],[CA]]</f>
        <v>0.4</v>
      </c>
      <c r="T60" t="str">
        <f>TEXT(Tableau1_2[[#This Row],[Date]],"mmmm")</f>
        <v>mai</v>
      </c>
    </row>
    <row r="61" spans="1:20" x14ac:dyDescent="0.35">
      <c r="A61" t="s">
        <v>239</v>
      </c>
      <c r="B61" s="2">
        <v>46118</v>
      </c>
      <c r="C61" t="s">
        <v>240</v>
      </c>
      <c r="D61" t="s">
        <v>241</v>
      </c>
      <c r="E61" t="s">
        <v>70</v>
      </c>
      <c r="F61" t="s">
        <v>71</v>
      </c>
      <c r="G61" t="s">
        <v>34</v>
      </c>
      <c r="H61" t="s">
        <v>158</v>
      </c>
      <c r="I61">
        <v>6</v>
      </c>
      <c r="J61">
        <v>99800</v>
      </c>
      <c r="K61">
        <v>67900</v>
      </c>
      <c r="L61" t="s">
        <v>50</v>
      </c>
      <c r="M61" t="s">
        <v>37</v>
      </c>
      <c r="N61" t="s">
        <v>87</v>
      </c>
      <c r="O61" t="s">
        <v>91</v>
      </c>
      <c r="P61">
        <f>Tableau1_2[[#This Row],[Quantité]]*Tableau1_2[[#This Row],[Prix_Unitaire]]</f>
        <v>598800</v>
      </c>
      <c r="Q61">
        <f>Tableau1_2[[#This Row],[Quantité]]*Tableau1_2[[#This Row],[Coût_Unitaire]]</f>
        <v>407400</v>
      </c>
      <c r="R61">
        <f>Tableau1_2[[#This Row],[CA]]-Tableau1_2[[#This Row],[Cout Total]]</f>
        <v>191400</v>
      </c>
      <c r="S61" s="4">
        <f>Tableau1_2[[#This Row],[Marge]]/Tableau1_2[[#This Row],[CA]]</f>
        <v>0.31963927855711421</v>
      </c>
      <c r="T61" t="str">
        <f>TEXT(Tableau1_2[[#This Row],[Date]],"mmmm")</f>
        <v>avril</v>
      </c>
    </row>
    <row r="62" spans="1:20" x14ac:dyDescent="0.35">
      <c r="A62" t="s">
        <v>242</v>
      </c>
      <c r="B62" s="2">
        <v>46079</v>
      </c>
      <c r="C62" t="s">
        <v>243</v>
      </c>
      <c r="D62" t="s">
        <v>244</v>
      </c>
      <c r="E62" t="s">
        <v>18</v>
      </c>
      <c r="F62" t="s">
        <v>18</v>
      </c>
      <c r="G62" t="s">
        <v>19</v>
      </c>
      <c r="H62" t="s">
        <v>166</v>
      </c>
      <c r="I62">
        <v>6</v>
      </c>
      <c r="J62">
        <v>133000</v>
      </c>
      <c r="K62">
        <v>97000</v>
      </c>
      <c r="L62" t="s">
        <v>73</v>
      </c>
      <c r="M62" t="s">
        <v>22</v>
      </c>
      <c r="N62" t="s">
        <v>87</v>
      </c>
      <c r="O62" t="s">
        <v>24</v>
      </c>
      <c r="P62">
        <f>Tableau1_2[[#This Row],[Quantité]]*Tableau1_2[[#This Row],[Prix_Unitaire]]</f>
        <v>798000</v>
      </c>
      <c r="Q62">
        <f>Tableau1_2[[#This Row],[Quantité]]*Tableau1_2[[#This Row],[Coût_Unitaire]]</f>
        <v>582000</v>
      </c>
      <c r="R62">
        <f>Tableau1_2[[#This Row],[CA]]-Tableau1_2[[#This Row],[Cout Total]]</f>
        <v>216000</v>
      </c>
      <c r="S62" s="4">
        <f>Tableau1_2[[#This Row],[Marge]]/Tableau1_2[[#This Row],[CA]]</f>
        <v>0.27067669172932329</v>
      </c>
      <c r="T62" t="str">
        <f>TEXT(Tableau1_2[[#This Row],[Date]],"mmmm")</f>
        <v>février</v>
      </c>
    </row>
    <row r="63" spans="1:20" x14ac:dyDescent="0.35">
      <c r="A63" t="s">
        <v>245</v>
      </c>
      <c r="B63" s="2">
        <v>46242</v>
      </c>
      <c r="C63" t="s">
        <v>246</v>
      </c>
      <c r="D63" t="s">
        <v>247</v>
      </c>
      <c r="E63" t="s">
        <v>156</v>
      </c>
      <c r="F63" t="s">
        <v>170</v>
      </c>
      <c r="G63" t="s">
        <v>28</v>
      </c>
      <c r="H63" t="s">
        <v>248</v>
      </c>
      <c r="I63">
        <v>10</v>
      </c>
      <c r="J63">
        <v>26200</v>
      </c>
      <c r="K63">
        <v>15500</v>
      </c>
      <c r="L63" t="s">
        <v>96</v>
      </c>
      <c r="M63" t="s">
        <v>37</v>
      </c>
      <c r="N63" t="s">
        <v>52</v>
      </c>
      <c r="O63" t="s">
        <v>45</v>
      </c>
      <c r="P63">
        <f>Tableau1_2[[#This Row],[Quantité]]*Tableau1_2[[#This Row],[Prix_Unitaire]]</f>
        <v>262000</v>
      </c>
      <c r="Q63">
        <f>Tableau1_2[[#This Row],[Quantité]]*Tableau1_2[[#This Row],[Coût_Unitaire]]</f>
        <v>155000</v>
      </c>
      <c r="R63">
        <f>Tableau1_2[[#This Row],[CA]]-Tableau1_2[[#This Row],[Cout Total]]</f>
        <v>107000</v>
      </c>
      <c r="S63" s="4">
        <f>Tableau1_2[[#This Row],[Marge]]/Tableau1_2[[#This Row],[CA]]</f>
        <v>0.40839694656488551</v>
      </c>
      <c r="T63" t="str">
        <f>TEXT(Tableau1_2[[#This Row],[Date]],"mmmm")</f>
        <v>août</v>
      </c>
    </row>
    <row r="64" spans="1:20" x14ac:dyDescent="0.35">
      <c r="A64" t="s">
        <v>249</v>
      </c>
      <c r="B64" s="2">
        <v>46325</v>
      </c>
      <c r="C64" t="s">
        <v>143</v>
      </c>
      <c r="D64" t="s">
        <v>250</v>
      </c>
      <c r="E64" t="s">
        <v>156</v>
      </c>
      <c r="F64" t="s">
        <v>170</v>
      </c>
      <c r="G64" t="s">
        <v>19</v>
      </c>
      <c r="H64" t="s">
        <v>112</v>
      </c>
      <c r="I64">
        <v>5</v>
      </c>
      <c r="J64">
        <v>85000</v>
      </c>
      <c r="K64">
        <v>62000</v>
      </c>
      <c r="L64" t="s">
        <v>21</v>
      </c>
      <c r="M64" t="s">
        <v>37</v>
      </c>
      <c r="N64" t="s">
        <v>87</v>
      </c>
      <c r="O64" t="s">
        <v>24</v>
      </c>
      <c r="P64">
        <f>Tableau1_2[[#This Row],[Quantité]]*Tableau1_2[[#This Row],[Prix_Unitaire]]</f>
        <v>425000</v>
      </c>
      <c r="Q64">
        <f>Tableau1_2[[#This Row],[Quantité]]*Tableau1_2[[#This Row],[Coût_Unitaire]]</f>
        <v>310000</v>
      </c>
      <c r="R64">
        <f>Tableau1_2[[#This Row],[CA]]-Tableau1_2[[#This Row],[Cout Total]]</f>
        <v>115000</v>
      </c>
      <c r="S64" s="4">
        <f>Tableau1_2[[#This Row],[Marge]]/Tableau1_2[[#This Row],[CA]]</f>
        <v>0.27058823529411763</v>
      </c>
      <c r="T64" t="str">
        <f>TEXT(Tableau1_2[[#This Row],[Date]],"mmmm")</f>
        <v>octobre</v>
      </c>
    </row>
    <row r="65" spans="1:20" x14ac:dyDescent="0.35">
      <c r="A65" t="s">
        <v>251</v>
      </c>
      <c r="B65" s="2">
        <v>46212</v>
      </c>
      <c r="C65" t="s">
        <v>252</v>
      </c>
      <c r="D65" t="s">
        <v>253</v>
      </c>
      <c r="E65" t="s">
        <v>84</v>
      </c>
      <c r="F65" t="s">
        <v>85</v>
      </c>
      <c r="G65" t="s">
        <v>19</v>
      </c>
      <c r="H65" t="s">
        <v>166</v>
      </c>
      <c r="I65">
        <v>6</v>
      </c>
      <c r="J65">
        <v>140000</v>
      </c>
      <c r="K65">
        <v>97000</v>
      </c>
      <c r="L65" t="s">
        <v>50</v>
      </c>
      <c r="M65" t="s">
        <v>51</v>
      </c>
      <c r="N65" t="s">
        <v>23</v>
      </c>
      <c r="O65" t="s">
        <v>24</v>
      </c>
      <c r="P65">
        <f>Tableau1_2[[#This Row],[Quantité]]*Tableau1_2[[#This Row],[Prix_Unitaire]]</f>
        <v>840000</v>
      </c>
      <c r="Q65">
        <f>Tableau1_2[[#This Row],[Quantité]]*Tableau1_2[[#This Row],[Coût_Unitaire]]</f>
        <v>582000</v>
      </c>
      <c r="R65">
        <f>Tableau1_2[[#This Row],[CA]]-Tableau1_2[[#This Row],[Cout Total]]</f>
        <v>258000</v>
      </c>
      <c r="S65" s="4">
        <f>Tableau1_2[[#This Row],[Marge]]/Tableau1_2[[#This Row],[CA]]</f>
        <v>0.30714285714285716</v>
      </c>
      <c r="T65" t="str">
        <f>TEXT(Tableau1_2[[#This Row],[Date]],"mmmm")</f>
        <v>juillet</v>
      </c>
    </row>
    <row r="66" spans="1:20" x14ac:dyDescent="0.35">
      <c r="A66" t="s">
        <v>254</v>
      </c>
      <c r="B66" s="2">
        <v>46340</v>
      </c>
      <c r="C66" t="s">
        <v>255</v>
      </c>
      <c r="D66" t="s">
        <v>256</v>
      </c>
      <c r="E66" t="s">
        <v>77</v>
      </c>
      <c r="F66" t="s">
        <v>78</v>
      </c>
      <c r="G66" t="s">
        <v>34</v>
      </c>
      <c r="H66" t="s">
        <v>141</v>
      </c>
      <c r="I66">
        <v>2</v>
      </c>
      <c r="J66">
        <v>152000</v>
      </c>
      <c r="K66">
        <v>120000</v>
      </c>
      <c r="L66" t="s">
        <v>36</v>
      </c>
      <c r="M66" t="s">
        <v>51</v>
      </c>
      <c r="N66" t="s">
        <v>87</v>
      </c>
      <c r="O66" t="s">
        <v>24</v>
      </c>
      <c r="P66">
        <f>Tableau1_2[[#This Row],[Quantité]]*Tableau1_2[[#This Row],[Prix_Unitaire]]</f>
        <v>304000</v>
      </c>
      <c r="Q66">
        <f>Tableau1_2[[#This Row],[Quantité]]*Tableau1_2[[#This Row],[Coût_Unitaire]]</f>
        <v>240000</v>
      </c>
      <c r="R66">
        <f>Tableau1_2[[#This Row],[CA]]-Tableau1_2[[#This Row],[Cout Total]]</f>
        <v>64000</v>
      </c>
      <c r="S66" s="4">
        <f>Tableau1_2[[#This Row],[Marge]]/Tableau1_2[[#This Row],[CA]]</f>
        <v>0.21052631578947367</v>
      </c>
      <c r="T66" t="str">
        <f>TEXT(Tableau1_2[[#This Row],[Date]],"mmmm")</f>
        <v>novembre</v>
      </c>
    </row>
    <row r="67" spans="1:20" x14ac:dyDescent="0.35">
      <c r="A67" t="s">
        <v>257</v>
      </c>
      <c r="B67" s="2">
        <v>46239</v>
      </c>
      <c r="C67" t="s">
        <v>258</v>
      </c>
      <c r="D67" t="s">
        <v>259</v>
      </c>
      <c r="E67" t="s">
        <v>156</v>
      </c>
      <c r="F67" t="s">
        <v>170</v>
      </c>
      <c r="G67" t="s">
        <v>43</v>
      </c>
      <c r="H67" t="s">
        <v>162</v>
      </c>
      <c r="I67">
        <v>4</v>
      </c>
      <c r="J67">
        <v>8400</v>
      </c>
      <c r="K67">
        <v>4800</v>
      </c>
      <c r="L67" t="s">
        <v>96</v>
      </c>
      <c r="M67" t="s">
        <v>51</v>
      </c>
      <c r="N67" t="s">
        <v>52</v>
      </c>
      <c r="O67" t="s">
        <v>24</v>
      </c>
      <c r="P67">
        <f>Tableau1_2[[#This Row],[Quantité]]*Tableau1_2[[#This Row],[Prix_Unitaire]]</f>
        <v>33600</v>
      </c>
      <c r="Q67">
        <f>Tableau1_2[[#This Row],[Quantité]]*Tableau1_2[[#This Row],[Coût_Unitaire]]</f>
        <v>19200</v>
      </c>
      <c r="R67">
        <f>Tableau1_2[[#This Row],[CA]]-Tableau1_2[[#This Row],[Cout Total]]</f>
        <v>14400</v>
      </c>
      <c r="S67" s="4">
        <f>Tableau1_2[[#This Row],[Marge]]/Tableau1_2[[#This Row],[CA]]</f>
        <v>0.42857142857142855</v>
      </c>
      <c r="T67" t="str">
        <f>TEXT(Tableau1_2[[#This Row],[Date]],"mmmm")</f>
        <v>août</v>
      </c>
    </row>
    <row r="68" spans="1:20" x14ac:dyDescent="0.35">
      <c r="A68" t="s">
        <v>260</v>
      </c>
      <c r="B68" s="2">
        <v>46217</v>
      </c>
      <c r="C68" t="s">
        <v>261</v>
      </c>
      <c r="D68" t="s">
        <v>262</v>
      </c>
      <c r="E68" t="s">
        <v>84</v>
      </c>
      <c r="F68" t="s">
        <v>85</v>
      </c>
      <c r="G68" t="s">
        <v>34</v>
      </c>
      <c r="H68" t="s">
        <v>158</v>
      </c>
      <c r="I68">
        <v>2</v>
      </c>
      <c r="J68">
        <v>99800</v>
      </c>
      <c r="K68">
        <v>70000</v>
      </c>
      <c r="L68" t="s">
        <v>80</v>
      </c>
      <c r="M68" t="s">
        <v>31</v>
      </c>
      <c r="N68" t="s">
        <v>52</v>
      </c>
      <c r="O68" t="s">
        <v>45</v>
      </c>
      <c r="P68">
        <f>Tableau1_2[[#This Row],[Quantité]]*Tableau1_2[[#This Row],[Prix_Unitaire]]</f>
        <v>199600</v>
      </c>
      <c r="Q68">
        <f>Tableau1_2[[#This Row],[Quantité]]*Tableau1_2[[#This Row],[Coût_Unitaire]]</f>
        <v>140000</v>
      </c>
      <c r="R68">
        <f>Tableau1_2[[#This Row],[CA]]-Tableau1_2[[#This Row],[Cout Total]]</f>
        <v>59600</v>
      </c>
      <c r="S68" s="4">
        <f>Tableau1_2[[#This Row],[Marge]]/Tableau1_2[[#This Row],[CA]]</f>
        <v>0.29859719438877758</v>
      </c>
      <c r="T68" t="str">
        <f>TEXT(Tableau1_2[[#This Row],[Date]],"mmmm")</f>
        <v>juillet</v>
      </c>
    </row>
    <row r="69" spans="1:20" x14ac:dyDescent="0.35">
      <c r="A69" t="s">
        <v>263</v>
      </c>
      <c r="B69" s="2">
        <v>46254</v>
      </c>
      <c r="C69" t="s">
        <v>264</v>
      </c>
      <c r="D69" t="s">
        <v>213</v>
      </c>
      <c r="E69" t="s">
        <v>18</v>
      </c>
      <c r="F69" t="s">
        <v>18</v>
      </c>
      <c r="G69" t="s">
        <v>43</v>
      </c>
      <c r="H69" t="s">
        <v>177</v>
      </c>
      <c r="I69">
        <v>2</v>
      </c>
      <c r="J69">
        <v>18900</v>
      </c>
      <c r="K69">
        <v>12900</v>
      </c>
      <c r="L69" t="s">
        <v>21</v>
      </c>
      <c r="M69" t="s">
        <v>37</v>
      </c>
      <c r="N69" t="s">
        <v>87</v>
      </c>
      <c r="O69" t="s">
        <v>24</v>
      </c>
      <c r="P69">
        <f>Tableau1_2[[#This Row],[Quantité]]*Tableau1_2[[#This Row],[Prix_Unitaire]]</f>
        <v>37800</v>
      </c>
      <c r="Q69">
        <f>Tableau1_2[[#This Row],[Quantité]]*Tableau1_2[[#This Row],[Coût_Unitaire]]</f>
        <v>25800</v>
      </c>
      <c r="R69">
        <f>Tableau1_2[[#This Row],[CA]]-Tableau1_2[[#This Row],[Cout Total]]</f>
        <v>12000</v>
      </c>
      <c r="S69" s="4">
        <f>Tableau1_2[[#This Row],[Marge]]/Tableau1_2[[#This Row],[CA]]</f>
        <v>0.31746031746031744</v>
      </c>
      <c r="T69" t="str">
        <f>TEXT(Tableau1_2[[#This Row],[Date]],"mmmm")</f>
        <v>août</v>
      </c>
    </row>
    <row r="70" spans="1:20" x14ac:dyDescent="0.35">
      <c r="A70" t="s">
        <v>265</v>
      </c>
      <c r="B70" s="2">
        <v>46283</v>
      </c>
      <c r="C70" t="s">
        <v>266</v>
      </c>
      <c r="D70" t="s">
        <v>267</v>
      </c>
      <c r="E70" t="s">
        <v>156</v>
      </c>
      <c r="F70" t="s">
        <v>170</v>
      </c>
      <c r="G70" t="s">
        <v>34</v>
      </c>
      <c r="H70" t="s">
        <v>158</v>
      </c>
      <c r="I70">
        <v>1</v>
      </c>
      <c r="J70">
        <v>90200</v>
      </c>
      <c r="K70">
        <v>72100</v>
      </c>
      <c r="L70" t="s">
        <v>21</v>
      </c>
      <c r="M70" t="s">
        <v>37</v>
      </c>
      <c r="N70" t="s">
        <v>52</v>
      </c>
      <c r="O70" t="s">
        <v>24</v>
      </c>
      <c r="P70">
        <f>Tableau1_2[[#This Row],[Quantité]]*Tableau1_2[[#This Row],[Prix_Unitaire]]</f>
        <v>90200</v>
      </c>
      <c r="Q70">
        <f>Tableau1_2[[#This Row],[Quantité]]*Tableau1_2[[#This Row],[Coût_Unitaire]]</f>
        <v>72100</v>
      </c>
      <c r="R70">
        <f>Tableau1_2[[#This Row],[CA]]-Tableau1_2[[#This Row],[Cout Total]]</f>
        <v>18100</v>
      </c>
      <c r="S70" s="4">
        <f>Tableau1_2[[#This Row],[Marge]]/Tableau1_2[[#This Row],[CA]]</f>
        <v>0.20066518847006651</v>
      </c>
      <c r="T70" t="str">
        <f>TEXT(Tableau1_2[[#This Row],[Date]],"mmmm")</f>
        <v>septembre</v>
      </c>
    </row>
    <row r="71" spans="1:20" x14ac:dyDescent="0.35">
      <c r="A71" t="s">
        <v>268</v>
      </c>
      <c r="B71" s="2">
        <v>46050</v>
      </c>
      <c r="C71" t="s">
        <v>269</v>
      </c>
      <c r="D71" t="s">
        <v>270</v>
      </c>
      <c r="E71" t="s">
        <v>18</v>
      </c>
      <c r="F71" t="s">
        <v>18</v>
      </c>
      <c r="G71" t="s">
        <v>19</v>
      </c>
      <c r="H71" t="s">
        <v>61</v>
      </c>
      <c r="I71">
        <v>10</v>
      </c>
      <c r="J71">
        <v>231000</v>
      </c>
      <c r="K71">
        <v>160000</v>
      </c>
      <c r="L71" t="s">
        <v>36</v>
      </c>
      <c r="M71" t="s">
        <v>22</v>
      </c>
      <c r="N71" t="s">
        <v>52</v>
      </c>
      <c r="O71" t="s">
        <v>45</v>
      </c>
      <c r="P71">
        <f>Tableau1_2[[#This Row],[Quantité]]*Tableau1_2[[#This Row],[Prix_Unitaire]]</f>
        <v>2310000</v>
      </c>
      <c r="Q71">
        <f>Tableau1_2[[#This Row],[Quantité]]*Tableau1_2[[#This Row],[Coût_Unitaire]]</f>
        <v>1600000</v>
      </c>
      <c r="R71">
        <f>Tableau1_2[[#This Row],[CA]]-Tableau1_2[[#This Row],[Cout Total]]</f>
        <v>710000</v>
      </c>
      <c r="S71" s="4">
        <f>Tableau1_2[[#This Row],[Marge]]/Tableau1_2[[#This Row],[CA]]</f>
        <v>0.30735930735930733</v>
      </c>
      <c r="T71" t="str">
        <f>TEXT(Tableau1_2[[#This Row],[Date]],"mmmm")</f>
        <v>janvier</v>
      </c>
    </row>
    <row r="72" spans="1:20" x14ac:dyDescent="0.35">
      <c r="A72" t="s">
        <v>271</v>
      </c>
      <c r="B72" s="2">
        <v>46028</v>
      </c>
      <c r="C72" t="s">
        <v>272</v>
      </c>
      <c r="D72" t="s">
        <v>273</v>
      </c>
      <c r="E72" t="s">
        <v>84</v>
      </c>
      <c r="F72" t="s">
        <v>85</v>
      </c>
      <c r="G72" t="s">
        <v>19</v>
      </c>
      <c r="H72" t="s">
        <v>166</v>
      </c>
      <c r="I72">
        <v>8</v>
      </c>
      <c r="J72">
        <v>140000</v>
      </c>
      <c r="K72">
        <v>97000</v>
      </c>
      <c r="L72" t="s">
        <v>36</v>
      </c>
      <c r="M72" t="s">
        <v>37</v>
      </c>
      <c r="N72" t="s">
        <v>23</v>
      </c>
      <c r="O72" t="s">
        <v>24</v>
      </c>
      <c r="P72">
        <f>Tableau1_2[[#This Row],[Quantité]]*Tableau1_2[[#This Row],[Prix_Unitaire]]</f>
        <v>1120000</v>
      </c>
      <c r="Q72">
        <f>Tableau1_2[[#This Row],[Quantité]]*Tableau1_2[[#This Row],[Coût_Unitaire]]</f>
        <v>776000</v>
      </c>
      <c r="R72">
        <f>Tableau1_2[[#This Row],[CA]]-Tableau1_2[[#This Row],[Cout Total]]</f>
        <v>344000</v>
      </c>
      <c r="S72" s="4">
        <f>Tableau1_2[[#This Row],[Marge]]/Tableau1_2[[#This Row],[CA]]</f>
        <v>0.30714285714285716</v>
      </c>
      <c r="T72" t="str">
        <f>TEXT(Tableau1_2[[#This Row],[Date]],"mmmm")</f>
        <v>janvier</v>
      </c>
    </row>
    <row r="73" spans="1:20" x14ac:dyDescent="0.35">
      <c r="A73" t="s">
        <v>274</v>
      </c>
      <c r="B73" s="2">
        <v>46124</v>
      </c>
      <c r="C73" t="s">
        <v>275</v>
      </c>
      <c r="D73" t="s">
        <v>276</v>
      </c>
      <c r="E73" t="s">
        <v>18</v>
      </c>
      <c r="F73" t="s">
        <v>18</v>
      </c>
      <c r="G73" t="s">
        <v>43</v>
      </c>
      <c r="H73" t="s">
        <v>162</v>
      </c>
      <c r="I73">
        <v>10</v>
      </c>
      <c r="J73">
        <v>8000</v>
      </c>
      <c r="K73">
        <v>5000</v>
      </c>
      <c r="L73" t="s">
        <v>80</v>
      </c>
      <c r="M73" t="s">
        <v>31</v>
      </c>
      <c r="N73" t="s">
        <v>87</v>
      </c>
      <c r="O73" t="s">
        <v>24</v>
      </c>
      <c r="P73">
        <f>Tableau1_2[[#This Row],[Quantité]]*Tableau1_2[[#This Row],[Prix_Unitaire]]</f>
        <v>80000</v>
      </c>
      <c r="Q73">
        <f>Tableau1_2[[#This Row],[Quantité]]*Tableau1_2[[#This Row],[Coût_Unitaire]]</f>
        <v>50000</v>
      </c>
      <c r="R73">
        <f>Tableau1_2[[#This Row],[CA]]-Tableau1_2[[#This Row],[Cout Total]]</f>
        <v>30000</v>
      </c>
      <c r="S73" s="4">
        <f>Tableau1_2[[#This Row],[Marge]]/Tableau1_2[[#This Row],[CA]]</f>
        <v>0.375</v>
      </c>
      <c r="T73" t="str">
        <f>TEXT(Tableau1_2[[#This Row],[Date]],"mmmm")</f>
        <v>avril</v>
      </c>
    </row>
    <row r="74" spans="1:20" x14ac:dyDescent="0.35">
      <c r="A74" t="s">
        <v>277</v>
      </c>
      <c r="B74" s="2">
        <v>46106</v>
      </c>
      <c r="C74" t="s">
        <v>199</v>
      </c>
      <c r="D74" t="s">
        <v>278</v>
      </c>
      <c r="E74" t="s">
        <v>156</v>
      </c>
      <c r="F74" t="s">
        <v>157</v>
      </c>
      <c r="G74" t="s">
        <v>28</v>
      </c>
      <c r="H74" t="s">
        <v>131</v>
      </c>
      <c r="I74">
        <v>10</v>
      </c>
      <c r="J74">
        <v>31500</v>
      </c>
      <c r="K74">
        <v>19600</v>
      </c>
      <c r="L74" t="s">
        <v>73</v>
      </c>
      <c r="M74" t="s">
        <v>22</v>
      </c>
      <c r="N74" t="s">
        <v>52</v>
      </c>
      <c r="O74" t="s">
        <v>24</v>
      </c>
      <c r="P74">
        <f>Tableau1_2[[#This Row],[Quantité]]*Tableau1_2[[#This Row],[Prix_Unitaire]]</f>
        <v>315000</v>
      </c>
      <c r="Q74">
        <f>Tableau1_2[[#This Row],[Quantité]]*Tableau1_2[[#This Row],[Coût_Unitaire]]</f>
        <v>196000</v>
      </c>
      <c r="R74">
        <f>Tableau1_2[[#This Row],[CA]]-Tableau1_2[[#This Row],[Cout Total]]</f>
        <v>119000</v>
      </c>
      <c r="S74" s="4">
        <f>Tableau1_2[[#This Row],[Marge]]/Tableau1_2[[#This Row],[CA]]</f>
        <v>0.37777777777777777</v>
      </c>
      <c r="T74" t="str">
        <f>TEXT(Tableau1_2[[#This Row],[Date]],"mmmm")</f>
        <v>mars</v>
      </c>
    </row>
    <row r="75" spans="1:20" x14ac:dyDescent="0.35">
      <c r="A75" t="s">
        <v>279</v>
      </c>
      <c r="B75" s="2">
        <v>46384</v>
      </c>
      <c r="C75" t="s">
        <v>280</v>
      </c>
      <c r="D75" t="s">
        <v>281</v>
      </c>
      <c r="E75" t="s">
        <v>56</v>
      </c>
      <c r="F75" t="s">
        <v>57</v>
      </c>
      <c r="G75" t="s">
        <v>34</v>
      </c>
      <c r="H75" t="s">
        <v>95</v>
      </c>
      <c r="I75">
        <v>9</v>
      </c>
      <c r="J75">
        <v>427500</v>
      </c>
      <c r="K75">
        <v>370000</v>
      </c>
      <c r="L75" t="s">
        <v>73</v>
      </c>
      <c r="M75" t="s">
        <v>22</v>
      </c>
      <c r="N75" t="s">
        <v>23</v>
      </c>
      <c r="O75" t="s">
        <v>45</v>
      </c>
      <c r="P75">
        <f>Tableau1_2[[#This Row],[Quantité]]*Tableau1_2[[#This Row],[Prix_Unitaire]]</f>
        <v>3847500</v>
      </c>
      <c r="Q75">
        <f>Tableau1_2[[#This Row],[Quantité]]*Tableau1_2[[#This Row],[Coût_Unitaire]]</f>
        <v>3330000</v>
      </c>
      <c r="R75">
        <f>Tableau1_2[[#This Row],[CA]]-Tableau1_2[[#This Row],[Cout Total]]</f>
        <v>517500</v>
      </c>
      <c r="S75" s="4">
        <f>Tableau1_2[[#This Row],[Marge]]/Tableau1_2[[#This Row],[CA]]</f>
        <v>0.13450292397660818</v>
      </c>
      <c r="T75" t="str">
        <f>TEXT(Tableau1_2[[#This Row],[Date]],"mmmm")</f>
        <v>décembre</v>
      </c>
    </row>
    <row r="76" spans="1:20" x14ac:dyDescent="0.35">
      <c r="A76" t="s">
        <v>282</v>
      </c>
      <c r="B76" s="2">
        <v>46231</v>
      </c>
      <c r="C76" t="s">
        <v>283</v>
      </c>
      <c r="D76" t="s">
        <v>284</v>
      </c>
      <c r="E76" t="s">
        <v>70</v>
      </c>
      <c r="F76" t="s">
        <v>71</v>
      </c>
      <c r="G76" t="s">
        <v>19</v>
      </c>
      <c r="H76" t="s">
        <v>112</v>
      </c>
      <c r="I76">
        <v>8</v>
      </c>
      <c r="J76">
        <v>85000</v>
      </c>
      <c r="K76">
        <v>60100</v>
      </c>
      <c r="L76" t="s">
        <v>50</v>
      </c>
      <c r="M76" t="s">
        <v>37</v>
      </c>
      <c r="N76" t="s">
        <v>23</v>
      </c>
      <c r="O76" t="s">
        <v>24</v>
      </c>
      <c r="P76">
        <f>Tableau1_2[[#This Row],[Quantité]]*Tableau1_2[[#This Row],[Prix_Unitaire]]</f>
        <v>680000</v>
      </c>
      <c r="Q76">
        <f>Tableau1_2[[#This Row],[Quantité]]*Tableau1_2[[#This Row],[Coût_Unitaire]]</f>
        <v>480800</v>
      </c>
      <c r="R76">
        <f>Tableau1_2[[#This Row],[CA]]-Tableau1_2[[#This Row],[Cout Total]]</f>
        <v>199200</v>
      </c>
      <c r="S76" s="4">
        <f>Tableau1_2[[#This Row],[Marge]]/Tableau1_2[[#This Row],[CA]]</f>
        <v>0.29294117647058826</v>
      </c>
      <c r="T76" t="str">
        <f>TEXT(Tableau1_2[[#This Row],[Date]],"mmmm")</f>
        <v>juillet</v>
      </c>
    </row>
    <row r="77" spans="1:20" x14ac:dyDescent="0.35">
      <c r="A77" t="s">
        <v>285</v>
      </c>
      <c r="B77" s="2">
        <v>46305</v>
      </c>
      <c r="C77" t="s">
        <v>286</v>
      </c>
      <c r="D77" t="s">
        <v>287</v>
      </c>
      <c r="E77" t="s">
        <v>18</v>
      </c>
      <c r="F77" t="s">
        <v>18</v>
      </c>
      <c r="G77" t="s">
        <v>43</v>
      </c>
      <c r="H77" t="s">
        <v>44</v>
      </c>
      <c r="I77">
        <v>7</v>
      </c>
      <c r="J77">
        <v>15000</v>
      </c>
      <c r="K77">
        <v>9500</v>
      </c>
      <c r="L77" t="s">
        <v>21</v>
      </c>
      <c r="M77" t="s">
        <v>31</v>
      </c>
      <c r="N77" t="s">
        <v>23</v>
      </c>
      <c r="O77" t="s">
        <v>24</v>
      </c>
      <c r="P77">
        <f>Tableau1_2[[#This Row],[Quantité]]*Tableau1_2[[#This Row],[Prix_Unitaire]]</f>
        <v>105000</v>
      </c>
      <c r="Q77">
        <f>Tableau1_2[[#This Row],[Quantité]]*Tableau1_2[[#This Row],[Coût_Unitaire]]</f>
        <v>66500</v>
      </c>
      <c r="R77">
        <f>Tableau1_2[[#This Row],[CA]]-Tableau1_2[[#This Row],[Cout Total]]</f>
        <v>38500</v>
      </c>
      <c r="S77" s="4">
        <f>Tableau1_2[[#This Row],[Marge]]/Tableau1_2[[#This Row],[CA]]</f>
        <v>0.36666666666666664</v>
      </c>
      <c r="T77" t="str">
        <f>TEXT(Tableau1_2[[#This Row],[Date]],"mmmm")</f>
        <v>octobre</v>
      </c>
    </row>
    <row r="78" spans="1:20" x14ac:dyDescent="0.35">
      <c r="A78" t="s">
        <v>288</v>
      </c>
      <c r="B78" s="2">
        <v>46245</v>
      </c>
      <c r="C78" t="s">
        <v>133</v>
      </c>
      <c r="D78" t="s">
        <v>184</v>
      </c>
      <c r="E78" t="s">
        <v>84</v>
      </c>
      <c r="F78" t="s">
        <v>85</v>
      </c>
      <c r="G78" t="s">
        <v>34</v>
      </c>
      <c r="H78" t="s">
        <v>141</v>
      </c>
      <c r="I78">
        <v>5</v>
      </c>
      <c r="J78">
        <v>168000</v>
      </c>
      <c r="K78">
        <v>120000</v>
      </c>
      <c r="L78" t="s">
        <v>66</v>
      </c>
      <c r="M78" t="s">
        <v>31</v>
      </c>
      <c r="N78" t="s">
        <v>52</v>
      </c>
      <c r="O78" t="s">
        <v>24</v>
      </c>
      <c r="P78">
        <f>Tableau1_2[[#This Row],[Quantité]]*Tableau1_2[[#This Row],[Prix_Unitaire]]</f>
        <v>840000</v>
      </c>
      <c r="Q78">
        <f>Tableau1_2[[#This Row],[Quantité]]*Tableau1_2[[#This Row],[Coût_Unitaire]]</f>
        <v>600000</v>
      </c>
      <c r="R78">
        <f>Tableau1_2[[#This Row],[CA]]-Tableau1_2[[#This Row],[Cout Total]]</f>
        <v>240000</v>
      </c>
      <c r="S78" s="4">
        <f>Tableau1_2[[#This Row],[Marge]]/Tableau1_2[[#This Row],[CA]]</f>
        <v>0.2857142857142857</v>
      </c>
      <c r="T78" t="str">
        <f>TEXT(Tableau1_2[[#This Row],[Date]],"mmmm")</f>
        <v>août</v>
      </c>
    </row>
    <row r="79" spans="1:20" x14ac:dyDescent="0.35">
      <c r="A79" t="s">
        <v>289</v>
      </c>
      <c r="B79" s="2">
        <v>46162</v>
      </c>
      <c r="C79" t="s">
        <v>290</v>
      </c>
      <c r="D79" t="s">
        <v>291</v>
      </c>
      <c r="E79" t="s">
        <v>77</v>
      </c>
      <c r="F79" t="s">
        <v>78</v>
      </c>
      <c r="G79" t="s">
        <v>19</v>
      </c>
      <c r="H79" t="s">
        <v>20</v>
      </c>
      <c r="I79">
        <v>9</v>
      </c>
      <c r="J79">
        <v>61800</v>
      </c>
      <c r="K79">
        <v>46400</v>
      </c>
      <c r="L79" t="s">
        <v>80</v>
      </c>
      <c r="M79" t="s">
        <v>51</v>
      </c>
      <c r="N79" t="s">
        <v>23</v>
      </c>
      <c r="O79" t="s">
        <v>24</v>
      </c>
      <c r="P79">
        <f>Tableau1_2[[#This Row],[Quantité]]*Tableau1_2[[#This Row],[Prix_Unitaire]]</f>
        <v>556200</v>
      </c>
      <c r="Q79">
        <f>Tableau1_2[[#This Row],[Quantité]]*Tableau1_2[[#This Row],[Coût_Unitaire]]</f>
        <v>417600</v>
      </c>
      <c r="R79">
        <f>Tableau1_2[[#This Row],[CA]]-Tableau1_2[[#This Row],[Cout Total]]</f>
        <v>138600</v>
      </c>
      <c r="S79" s="4">
        <f>Tableau1_2[[#This Row],[Marge]]/Tableau1_2[[#This Row],[CA]]</f>
        <v>0.24919093851132687</v>
      </c>
      <c r="T79" t="str">
        <f>TEXT(Tableau1_2[[#This Row],[Date]],"mmmm")</f>
        <v>mai</v>
      </c>
    </row>
    <row r="80" spans="1:20" x14ac:dyDescent="0.35">
      <c r="A80" t="s">
        <v>292</v>
      </c>
      <c r="B80" s="2">
        <v>46162</v>
      </c>
      <c r="C80" t="s">
        <v>293</v>
      </c>
      <c r="D80" t="s">
        <v>294</v>
      </c>
      <c r="E80" t="s">
        <v>41</v>
      </c>
      <c r="F80" t="s">
        <v>42</v>
      </c>
      <c r="G80" t="s">
        <v>43</v>
      </c>
      <c r="H80" t="s">
        <v>49</v>
      </c>
      <c r="I80">
        <v>7</v>
      </c>
      <c r="J80">
        <v>8600</v>
      </c>
      <c r="K80">
        <v>6000</v>
      </c>
      <c r="L80" t="s">
        <v>36</v>
      </c>
      <c r="M80" t="s">
        <v>22</v>
      </c>
      <c r="N80" t="s">
        <v>23</v>
      </c>
      <c r="O80" t="s">
        <v>24</v>
      </c>
      <c r="P80">
        <f>Tableau1_2[[#This Row],[Quantité]]*Tableau1_2[[#This Row],[Prix_Unitaire]]</f>
        <v>60200</v>
      </c>
      <c r="Q80">
        <f>Tableau1_2[[#This Row],[Quantité]]*Tableau1_2[[#This Row],[Coût_Unitaire]]</f>
        <v>42000</v>
      </c>
      <c r="R80">
        <f>Tableau1_2[[#This Row],[CA]]-Tableau1_2[[#This Row],[Cout Total]]</f>
        <v>18200</v>
      </c>
      <c r="S80" s="4">
        <f>Tableau1_2[[#This Row],[Marge]]/Tableau1_2[[#This Row],[CA]]</f>
        <v>0.30232558139534882</v>
      </c>
      <c r="T80" t="str">
        <f>TEXT(Tableau1_2[[#This Row],[Date]],"mmmm")</f>
        <v>mai</v>
      </c>
    </row>
    <row r="81" spans="1:20" x14ac:dyDescent="0.35">
      <c r="A81" t="s">
        <v>295</v>
      </c>
      <c r="B81" s="2">
        <v>46280</v>
      </c>
      <c r="C81" t="s">
        <v>296</v>
      </c>
      <c r="D81" t="s">
        <v>297</v>
      </c>
      <c r="E81" t="s">
        <v>70</v>
      </c>
      <c r="F81" t="s">
        <v>71</v>
      </c>
      <c r="G81" t="s">
        <v>19</v>
      </c>
      <c r="H81" t="s">
        <v>61</v>
      </c>
      <c r="I81">
        <v>5</v>
      </c>
      <c r="J81">
        <v>209000</v>
      </c>
      <c r="K81">
        <v>164800</v>
      </c>
      <c r="L81" t="s">
        <v>66</v>
      </c>
      <c r="M81" t="s">
        <v>22</v>
      </c>
      <c r="N81" t="s">
        <v>87</v>
      </c>
      <c r="O81" t="s">
        <v>91</v>
      </c>
      <c r="P81">
        <f>Tableau1_2[[#This Row],[Quantité]]*Tableau1_2[[#This Row],[Prix_Unitaire]]</f>
        <v>1045000</v>
      </c>
      <c r="Q81">
        <f>Tableau1_2[[#This Row],[Quantité]]*Tableau1_2[[#This Row],[Coût_Unitaire]]</f>
        <v>824000</v>
      </c>
      <c r="R81">
        <f>Tableau1_2[[#This Row],[CA]]-Tableau1_2[[#This Row],[Cout Total]]</f>
        <v>221000</v>
      </c>
      <c r="S81" s="4">
        <f>Tableau1_2[[#This Row],[Marge]]/Tableau1_2[[#This Row],[CA]]</f>
        <v>0.21148325358851675</v>
      </c>
      <c r="T81" t="str">
        <f>TEXT(Tableau1_2[[#This Row],[Date]],"mmmm")</f>
        <v>septembre</v>
      </c>
    </row>
    <row r="82" spans="1:20" x14ac:dyDescent="0.35">
      <c r="A82" t="s">
        <v>298</v>
      </c>
      <c r="B82" s="2">
        <v>46285</v>
      </c>
      <c r="C82" t="s">
        <v>299</v>
      </c>
      <c r="D82" t="s">
        <v>300</v>
      </c>
      <c r="E82" t="s">
        <v>70</v>
      </c>
      <c r="F82" t="s">
        <v>71</v>
      </c>
      <c r="G82" t="s">
        <v>28</v>
      </c>
      <c r="H82" t="s">
        <v>65</v>
      </c>
      <c r="I82">
        <v>1</v>
      </c>
      <c r="J82">
        <v>12000</v>
      </c>
      <c r="K82">
        <v>7300</v>
      </c>
      <c r="L82" t="s">
        <v>30</v>
      </c>
      <c r="M82" t="s">
        <v>37</v>
      </c>
      <c r="N82" t="s">
        <v>52</v>
      </c>
      <c r="O82" t="s">
        <v>24</v>
      </c>
      <c r="P82">
        <f>Tableau1_2[[#This Row],[Quantité]]*Tableau1_2[[#This Row],[Prix_Unitaire]]</f>
        <v>12000</v>
      </c>
      <c r="Q82">
        <f>Tableau1_2[[#This Row],[Quantité]]*Tableau1_2[[#This Row],[Coût_Unitaire]]</f>
        <v>7300</v>
      </c>
      <c r="R82">
        <f>Tableau1_2[[#This Row],[CA]]-Tableau1_2[[#This Row],[Cout Total]]</f>
        <v>4700</v>
      </c>
      <c r="S82" s="4">
        <f>Tableau1_2[[#This Row],[Marge]]/Tableau1_2[[#This Row],[CA]]</f>
        <v>0.39166666666666666</v>
      </c>
      <c r="T82" t="str">
        <f>TEXT(Tableau1_2[[#This Row],[Date]],"mmmm")</f>
        <v>septembre</v>
      </c>
    </row>
    <row r="83" spans="1:20" x14ac:dyDescent="0.35">
      <c r="A83" t="s">
        <v>301</v>
      </c>
      <c r="B83" s="2">
        <v>46127</v>
      </c>
      <c r="C83" t="s">
        <v>302</v>
      </c>
      <c r="D83" t="s">
        <v>303</v>
      </c>
      <c r="E83" t="s">
        <v>18</v>
      </c>
      <c r="F83" t="s">
        <v>18</v>
      </c>
      <c r="G83" t="s">
        <v>43</v>
      </c>
      <c r="H83" t="s">
        <v>79</v>
      </c>
      <c r="I83">
        <v>10</v>
      </c>
      <c r="J83">
        <v>6000</v>
      </c>
      <c r="K83">
        <v>4200</v>
      </c>
      <c r="L83" t="s">
        <v>50</v>
      </c>
      <c r="M83" t="s">
        <v>31</v>
      </c>
      <c r="N83" t="s">
        <v>23</v>
      </c>
      <c r="O83" t="s">
        <v>24</v>
      </c>
      <c r="P83">
        <f>Tableau1_2[[#This Row],[Quantité]]*Tableau1_2[[#This Row],[Prix_Unitaire]]</f>
        <v>60000</v>
      </c>
      <c r="Q83">
        <f>Tableau1_2[[#This Row],[Quantité]]*Tableau1_2[[#This Row],[Coût_Unitaire]]</f>
        <v>42000</v>
      </c>
      <c r="R83">
        <f>Tableau1_2[[#This Row],[CA]]-Tableau1_2[[#This Row],[Cout Total]]</f>
        <v>18000</v>
      </c>
      <c r="S83" s="4">
        <f>Tableau1_2[[#This Row],[Marge]]/Tableau1_2[[#This Row],[CA]]</f>
        <v>0.3</v>
      </c>
      <c r="T83" t="str">
        <f>TEXT(Tableau1_2[[#This Row],[Date]],"mmmm")</f>
        <v>avril</v>
      </c>
    </row>
    <row r="84" spans="1:20" x14ac:dyDescent="0.35">
      <c r="A84" t="s">
        <v>304</v>
      </c>
      <c r="B84" s="2">
        <v>46213</v>
      </c>
      <c r="C84" t="s">
        <v>305</v>
      </c>
      <c r="D84" t="s">
        <v>306</v>
      </c>
      <c r="E84" t="s">
        <v>18</v>
      </c>
      <c r="F84" t="s">
        <v>18</v>
      </c>
      <c r="G84" t="s">
        <v>43</v>
      </c>
      <c r="H84" t="s">
        <v>44</v>
      </c>
      <c r="I84">
        <v>3</v>
      </c>
      <c r="J84">
        <v>15800</v>
      </c>
      <c r="K84">
        <v>9800</v>
      </c>
      <c r="L84" t="s">
        <v>30</v>
      </c>
      <c r="M84" t="s">
        <v>22</v>
      </c>
      <c r="N84" t="s">
        <v>52</v>
      </c>
      <c r="O84" t="s">
        <v>24</v>
      </c>
      <c r="P84">
        <f>Tableau1_2[[#This Row],[Quantité]]*Tableau1_2[[#This Row],[Prix_Unitaire]]</f>
        <v>47400</v>
      </c>
      <c r="Q84">
        <f>Tableau1_2[[#This Row],[Quantité]]*Tableau1_2[[#This Row],[Coût_Unitaire]]</f>
        <v>29400</v>
      </c>
      <c r="R84">
        <f>Tableau1_2[[#This Row],[CA]]-Tableau1_2[[#This Row],[Cout Total]]</f>
        <v>18000</v>
      </c>
      <c r="S84" s="4">
        <f>Tableau1_2[[#This Row],[Marge]]/Tableau1_2[[#This Row],[CA]]</f>
        <v>0.379746835443038</v>
      </c>
      <c r="T84" t="str">
        <f>TEXT(Tableau1_2[[#This Row],[Date]],"mmmm")</f>
        <v>juillet</v>
      </c>
    </row>
    <row r="85" spans="1:20" x14ac:dyDescent="0.35">
      <c r="A85" t="s">
        <v>307</v>
      </c>
      <c r="B85" s="2">
        <v>46049</v>
      </c>
      <c r="C85" t="s">
        <v>308</v>
      </c>
      <c r="D85" t="s">
        <v>309</v>
      </c>
      <c r="E85" t="s">
        <v>190</v>
      </c>
      <c r="F85" t="s">
        <v>191</v>
      </c>
      <c r="G85" t="s">
        <v>34</v>
      </c>
      <c r="H85" t="s">
        <v>158</v>
      </c>
      <c r="I85">
        <v>10</v>
      </c>
      <c r="J85">
        <v>90200</v>
      </c>
      <c r="K85">
        <v>72100</v>
      </c>
      <c r="L85" t="s">
        <v>21</v>
      </c>
      <c r="M85" t="s">
        <v>22</v>
      </c>
      <c r="N85" t="s">
        <v>52</v>
      </c>
      <c r="O85" t="s">
        <v>45</v>
      </c>
      <c r="P85">
        <f>Tableau1_2[[#This Row],[Quantité]]*Tableau1_2[[#This Row],[Prix_Unitaire]]</f>
        <v>902000</v>
      </c>
      <c r="Q85">
        <f>Tableau1_2[[#This Row],[Quantité]]*Tableau1_2[[#This Row],[Coût_Unitaire]]</f>
        <v>721000</v>
      </c>
      <c r="R85">
        <f>Tableau1_2[[#This Row],[CA]]-Tableau1_2[[#This Row],[Cout Total]]</f>
        <v>181000</v>
      </c>
      <c r="S85" s="4">
        <f>Tableau1_2[[#This Row],[Marge]]/Tableau1_2[[#This Row],[CA]]</f>
        <v>0.20066518847006651</v>
      </c>
      <c r="T85" t="str">
        <f>TEXT(Tableau1_2[[#This Row],[Date]],"mmmm")</f>
        <v>janvier</v>
      </c>
    </row>
    <row r="86" spans="1:20" x14ac:dyDescent="0.35">
      <c r="A86" t="s">
        <v>310</v>
      </c>
      <c r="B86" s="2">
        <v>46253</v>
      </c>
      <c r="C86" t="s">
        <v>311</v>
      </c>
      <c r="D86" t="s">
        <v>312</v>
      </c>
      <c r="E86" t="s">
        <v>84</v>
      </c>
      <c r="F86" t="s">
        <v>85</v>
      </c>
      <c r="G86" t="s">
        <v>43</v>
      </c>
      <c r="H86" t="s">
        <v>44</v>
      </c>
      <c r="I86">
        <v>6</v>
      </c>
      <c r="J86">
        <v>15800</v>
      </c>
      <c r="K86">
        <v>9500</v>
      </c>
      <c r="L86" t="s">
        <v>96</v>
      </c>
      <c r="M86" t="s">
        <v>22</v>
      </c>
      <c r="N86" t="s">
        <v>23</v>
      </c>
      <c r="O86" t="s">
        <v>24</v>
      </c>
      <c r="P86">
        <f>Tableau1_2[[#This Row],[Quantité]]*Tableau1_2[[#This Row],[Prix_Unitaire]]</f>
        <v>94800</v>
      </c>
      <c r="Q86">
        <f>Tableau1_2[[#This Row],[Quantité]]*Tableau1_2[[#This Row],[Coût_Unitaire]]</f>
        <v>57000</v>
      </c>
      <c r="R86">
        <f>Tableau1_2[[#This Row],[CA]]-Tableau1_2[[#This Row],[Cout Total]]</f>
        <v>37800</v>
      </c>
      <c r="S86" s="4">
        <f>Tableau1_2[[#This Row],[Marge]]/Tableau1_2[[#This Row],[CA]]</f>
        <v>0.39873417721518989</v>
      </c>
      <c r="T86" t="str">
        <f>TEXT(Tableau1_2[[#This Row],[Date]],"mmmm")</f>
        <v>août</v>
      </c>
    </row>
    <row r="87" spans="1:20" x14ac:dyDescent="0.35">
      <c r="A87" t="s">
        <v>313</v>
      </c>
      <c r="B87" s="2">
        <v>46244</v>
      </c>
      <c r="C87" t="s">
        <v>314</v>
      </c>
      <c r="D87" t="s">
        <v>55</v>
      </c>
      <c r="E87" t="s">
        <v>84</v>
      </c>
      <c r="F87" t="s">
        <v>85</v>
      </c>
      <c r="G87" t="s">
        <v>19</v>
      </c>
      <c r="H87" t="s">
        <v>61</v>
      </c>
      <c r="I87">
        <v>6</v>
      </c>
      <c r="J87">
        <v>220000</v>
      </c>
      <c r="K87">
        <v>155200</v>
      </c>
      <c r="L87" t="s">
        <v>30</v>
      </c>
      <c r="M87" t="s">
        <v>31</v>
      </c>
      <c r="N87" t="s">
        <v>52</v>
      </c>
      <c r="O87" t="s">
        <v>91</v>
      </c>
      <c r="P87">
        <f>Tableau1_2[[#This Row],[Quantité]]*Tableau1_2[[#This Row],[Prix_Unitaire]]</f>
        <v>1320000</v>
      </c>
      <c r="Q87">
        <f>Tableau1_2[[#This Row],[Quantité]]*Tableau1_2[[#This Row],[Coût_Unitaire]]</f>
        <v>931200</v>
      </c>
      <c r="R87">
        <f>Tableau1_2[[#This Row],[CA]]-Tableau1_2[[#This Row],[Cout Total]]</f>
        <v>388800</v>
      </c>
      <c r="S87" s="4">
        <f>Tableau1_2[[#This Row],[Marge]]/Tableau1_2[[#This Row],[CA]]</f>
        <v>0.29454545454545455</v>
      </c>
      <c r="T87" t="str">
        <f>TEXT(Tableau1_2[[#This Row],[Date]],"mmmm")</f>
        <v>août</v>
      </c>
    </row>
    <row r="88" spans="1:20" x14ac:dyDescent="0.35">
      <c r="A88" t="s">
        <v>315</v>
      </c>
      <c r="B88" s="2">
        <v>46281</v>
      </c>
      <c r="C88" t="s">
        <v>316</v>
      </c>
      <c r="D88" t="s">
        <v>317</v>
      </c>
      <c r="E88" t="s">
        <v>84</v>
      </c>
      <c r="F88" t="s">
        <v>85</v>
      </c>
      <c r="G88" t="s">
        <v>19</v>
      </c>
      <c r="H88" t="s">
        <v>61</v>
      </c>
      <c r="I88">
        <v>4</v>
      </c>
      <c r="J88">
        <v>231000</v>
      </c>
      <c r="K88">
        <v>164800</v>
      </c>
      <c r="L88" t="s">
        <v>50</v>
      </c>
      <c r="M88" t="s">
        <v>31</v>
      </c>
      <c r="N88" t="s">
        <v>87</v>
      </c>
      <c r="O88" t="s">
        <v>45</v>
      </c>
      <c r="P88">
        <f>Tableau1_2[[#This Row],[Quantité]]*Tableau1_2[[#This Row],[Prix_Unitaire]]</f>
        <v>924000</v>
      </c>
      <c r="Q88">
        <f>Tableau1_2[[#This Row],[Quantité]]*Tableau1_2[[#This Row],[Coût_Unitaire]]</f>
        <v>659200</v>
      </c>
      <c r="R88">
        <f>Tableau1_2[[#This Row],[CA]]-Tableau1_2[[#This Row],[Cout Total]]</f>
        <v>264800</v>
      </c>
      <c r="S88" s="4">
        <f>Tableau1_2[[#This Row],[Marge]]/Tableau1_2[[#This Row],[CA]]</f>
        <v>0.2865800865800866</v>
      </c>
      <c r="T88" t="str">
        <f>TEXT(Tableau1_2[[#This Row],[Date]],"mmmm")</f>
        <v>septembre</v>
      </c>
    </row>
    <row r="89" spans="1:20" x14ac:dyDescent="0.35">
      <c r="A89" t="s">
        <v>318</v>
      </c>
      <c r="B89" s="2">
        <v>46045</v>
      </c>
      <c r="C89" t="s">
        <v>319</v>
      </c>
      <c r="D89" t="s">
        <v>152</v>
      </c>
      <c r="E89" t="s">
        <v>18</v>
      </c>
      <c r="F89" t="s">
        <v>18</v>
      </c>
      <c r="G89" t="s">
        <v>43</v>
      </c>
      <c r="H89" t="s">
        <v>49</v>
      </c>
      <c r="I89">
        <v>7</v>
      </c>
      <c r="J89">
        <v>9000</v>
      </c>
      <c r="K89">
        <v>5800</v>
      </c>
      <c r="L89" t="s">
        <v>96</v>
      </c>
      <c r="M89" t="s">
        <v>22</v>
      </c>
      <c r="N89" t="s">
        <v>52</v>
      </c>
      <c r="O89" t="s">
        <v>24</v>
      </c>
      <c r="P89">
        <f>Tableau1_2[[#This Row],[Quantité]]*Tableau1_2[[#This Row],[Prix_Unitaire]]</f>
        <v>63000</v>
      </c>
      <c r="Q89">
        <f>Tableau1_2[[#This Row],[Quantité]]*Tableau1_2[[#This Row],[Coût_Unitaire]]</f>
        <v>40600</v>
      </c>
      <c r="R89">
        <f>Tableau1_2[[#This Row],[CA]]-Tableau1_2[[#This Row],[Cout Total]]</f>
        <v>22400</v>
      </c>
      <c r="S89" s="4">
        <f>Tableau1_2[[#This Row],[Marge]]/Tableau1_2[[#This Row],[CA]]</f>
        <v>0.35555555555555557</v>
      </c>
      <c r="T89" t="str">
        <f>TEXT(Tableau1_2[[#This Row],[Date]],"mmmm")</f>
        <v>janvier</v>
      </c>
    </row>
    <row r="90" spans="1:20" x14ac:dyDescent="0.35">
      <c r="A90" t="s">
        <v>320</v>
      </c>
      <c r="B90" s="2">
        <v>46126</v>
      </c>
      <c r="C90" t="s">
        <v>47</v>
      </c>
      <c r="D90" t="s">
        <v>321</v>
      </c>
      <c r="E90" t="s">
        <v>70</v>
      </c>
      <c r="F90" t="s">
        <v>71</v>
      </c>
      <c r="G90" t="s">
        <v>34</v>
      </c>
      <c r="H90" t="s">
        <v>35</v>
      </c>
      <c r="I90">
        <v>3</v>
      </c>
      <c r="J90">
        <v>57800</v>
      </c>
      <c r="K90">
        <v>37800</v>
      </c>
      <c r="L90" t="s">
        <v>21</v>
      </c>
      <c r="M90" t="s">
        <v>37</v>
      </c>
      <c r="N90" t="s">
        <v>23</v>
      </c>
      <c r="O90" t="s">
        <v>24</v>
      </c>
      <c r="P90">
        <f>Tableau1_2[[#This Row],[Quantité]]*Tableau1_2[[#This Row],[Prix_Unitaire]]</f>
        <v>173400</v>
      </c>
      <c r="Q90">
        <f>Tableau1_2[[#This Row],[Quantité]]*Tableau1_2[[#This Row],[Coût_Unitaire]]</f>
        <v>113400</v>
      </c>
      <c r="R90">
        <f>Tableau1_2[[#This Row],[CA]]-Tableau1_2[[#This Row],[Cout Total]]</f>
        <v>60000</v>
      </c>
      <c r="S90" s="4">
        <f>Tableau1_2[[#This Row],[Marge]]/Tableau1_2[[#This Row],[CA]]</f>
        <v>0.34602076124567471</v>
      </c>
      <c r="T90" t="str">
        <f>TEXT(Tableau1_2[[#This Row],[Date]],"mmmm")</f>
        <v>avril</v>
      </c>
    </row>
    <row r="91" spans="1:20" x14ac:dyDescent="0.35">
      <c r="A91" t="s">
        <v>322</v>
      </c>
      <c r="B91" s="2">
        <v>46352</v>
      </c>
      <c r="C91" t="s">
        <v>323</v>
      </c>
      <c r="D91" t="s">
        <v>324</v>
      </c>
      <c r="E91" t="s">
        <v>70</v>
      </c>
      <c r="F91" t="s">
        <v>71</v>
      </c>
      <c r="G91" t="s">
        <v>28</v>
      </c>
      <c r="H91" t="s">
        <v>72</v>
      </c>
      <c r="I91">
        <v>10</v>
      </c>
      <c r="J91">
        <v>10500</v>
      </c>
      <c r="K91">
        <v>6200</v>
      </c>
      <c r="L91" t="s">
        <v>21</v>
      </c>
      <c r="M91" t="s">
        <v>22</v>
      </c>
      <c r="N91" t="s">
        <v>23</v>
      </c>
      <c r="O91" t="s">
        <v>24</v>
      </c>
      <c r="P91">
        <f>Tableau1_2[[#This Row],[Quantité]]*Tableau1_2[[#This Row],[Prix_Unitaire]]</f>
        <v>105000</v>
      </c>
      <c r="Q91">
        <f>Tableau1_2[[#This Row],[Quantité]]*Tableau1_2[[#This Row],[Coût_Unitaire]]</f>
        <v>62000</v>
      </c>
      <c r="R91">
        <f>Tableau1_2[[#This Row],[CA]]-Tableau1_2[[#This Row],[Cout Total]]</f>
        <v>43000</v>
      </c>
      <c r="S91" s="4">
        <f>Tableau1_2[[#This Row],[Marge]]/Tableau1_2[[#This Row],[CA]]</f>
        <v>0.40952380952380951</v>
      </c>
      <c r="T91" t="str">
        <f>TEXT(Tableau1_2[[#This Row],[Date]],"mmmm")</f>
        <v>novembre</v>
      </c>
    </row>
    <row r="92" spans="1:20" x14ac:dyDescent="0.35">
      <c r="A92" t="s">
        <v>325</v>
      </c>
      <c r="B92" s="2">
        <v>46316</v>
      </c>
      <c r="C92" t="s">
        <v>326</v>
      </c>
      <c r="D92" t="s">
        <v>327</v>
      </c>
      <c r="E92" t="s">
        <v>18</v>
      </c>
      <c r="F92" t="s">
        <v>18</v>
      </c>
      <c r="G92" t="s">
        <v>19</v>
      </c>
      <c r="H92" t="s">
        <v>166</v>
      </c>
      <c r="I92">
        <v>2</v>
      </c>
      <c r="J92">
        <v>140000</v>
      </c>
      <c r="K92">
        <v>103000</v>
      </c>
      <c r="L92" t="s">
        <v>96</v>
      </c>
      <c r="M92" t="s">
        <v>31</v>
      </c>
      <c r="N92" t="s">
        <v>23</v>
      </c>
      <c r="O92" t="s">
        <v>91</v>
      </c>
      <c r="P92">
        <f>Tableau1_2[[#This Row],[Quantité]]*Tableau1_2[[#This Row],[Prix_Unitaire]]</f>
        <v>280000</v>
      </c>
      <c r="Q92">
        <f>Tableau1_2[[#This Row],[Quantité]]*Tableau1_2[[#This Row],[Coût_Unitaire]]</f>
        <v>206000</v>
      </c>
      <c r="R92">
        <f>Tableau1_2[[#This Row],[CA]]-Tableau1_2[[#This Row],[Cout Total]]</f>
        <v>74000</v>
      </c>
      <c r="S92" s="4">
        <f>Tableau1_2[[#This Row],[Marge]]/Tableau1_2[[#This Row],[CA]]</f>
        <v>0.26428571428571429</v>
      </c>
      <c r="T92" t="str">
        <f>TEXT(Tableau1_2[[#This Row],[Date]],"mmmm")</f>
        <v>octobre</v>
      </c>
    </row>
    <row r="93" spans="1:20" x14ac:dyDescent="0.35">
      <c r="A93" t="s">
        <v>328</v>
      </c>
      <c r="B93" s="2">
        <v>46150</v>
      </c>
      <c r="C93" t="s">
        <v>136</v>
      </c>
      <c r="D93" t="s">
        <v>329</v>
      </c>
      <c r="E93" t="s">
        <v>18</v>
      </c>
      <c r="F93" t="s">
        <v>18</v>
      </c>
      <c r="G93" t="s">
        <v>43</v>
      </c>
      <c r="H93" t="s">
        <v>49</v>
      </c>
      <c r="I93">
        <v>6</v>
      </c>
      <c r="J93">
        <v>9000</v>
      </c>
      <c r="K93">
        <v>6000</v>
      </c>
      <c r="L93" t="s">
        <v>50</v>
      </c>
      <c r="M93" t="s">
        <v>22</v>
      </c>
      <c r="N93" t="s">
        <v>52</v>
      </c>
      <c r="O93" t="s">
        <v>24</v>
      </c>
      <c r="P93">
        <f>Tableau1_2[[#This Row],[Quantité]]*Tableau1_2[[#This Row],[Prix_Unitaire]]</f>
        <v>54000</v>
      </c>
      <c r="Q93">
        <f>Tableau1_2[[#This Row],[Quantité]]*Tableau1_2[[#This Row],[Coût_Unitaire]]</f>
        <v>36000</v>
      </c>
      <c r="R93">
        <f>Tableau1_2[[#This Row],[CA]]-Tableau1_2[[#This Row],[Cout Total]]</f>
        <v>18000</v>
      </c>
      <c r="S93" s="4">
        <f>Tableau1_2[[#This Row],[Marge]]/Tableau1_2[[#This Row],[CA]]</f>
        <v>0.33333333333333331</v>
      </c>
      <c r="T93" t="str">
        <f>TEXT(Tableau1_2[[#This Row],[Date]],"mmmm")</f>
        <v>mai</v>
      </c>
    </row>
    <row r="94" spans="1:20" x14ac:dyDescent="0.35">
      <c r="A94" t="s">
        <v>330</v>
      </c>
      <c r="B94" s="2">
        <v>46045</v>
      </c>
      <c r="C94" t="s">
        <v>331</v>
      </c>
      <c r="D94" t="s">
        <v>332</v>
      </c>
      <c r="E94" t="s">
        <v>18</v>
      </c>
      <c r="F94" t="s">
        <v>18</v>
      </c>
      <c r="G94" t="s">
        <v>34</v>
      </c>
      <c r="H94" t="s">
        <v>35</v>
      </c>
      <c r="I94">
        <v>9</v>
      </c>
      <c r="J94">
        <v>57800</v>
      </c>
      <c r="K94">
        <v>37800</v>
      </c>
      <c r="L94" t="s">
        <v>66</v>
      </c>
      <c r="M94" t="s">
        <v>37</v>
      </c>
      <c r="N94" t="s">
        <v>52</v>
      </c>
      <c r="O94" t="s">
        <v>24</v>
      </c>
      <c r="P94">
        <f>Tableau1_2[[#This Row],[Quantité]]*Tableau1_2[[#This Row],[Prix_Unitaire]]</f>
        <v>520200</v>
      </c>
      <c r="Q94">
        <f>Tableau1_2[[#This Row],[Quantité]]*Tableau1_2[[#This Row],[Coût_Unitaire]]</f>
        <v>340200</v>
      </c>
      <c r="R94">
        <f>Tableau1_2[[#This Row],[CA]]-Tableau1_2[[#This Row],[Cout Total]]</f>
        <v>180000</v>
      </c>
      <c r="S94" s="4">
        <f>Tableau1_2[[#This Row],[Marge]]/Tableau1_2[[#This Row],[CA]]</f>
        <v>0.34602076124567471</v>
      </c>
      <c r="T94" t="str">
        <f>TEXT(Tableau1_2[[#This Row],[Date]],"mmmm")</f>
        <v>janvier</v>
      </c>
    </row>
    <row r="95" spans="1:20" x14ac:dyDescent="0.35">
      <c r="A95" t="s">
        <v>333</v>
      </c>
      <c r="B95" s="2">
        <v>46276</v>
      </c>
      <c r="C95" t="s">
        <v>334</v>
      </c>
      <c r="D95" t="s">
        <v>335</v>
      </c>
      <c r="E95" t="s">
        <v>18</v>
      </c>
      <c r="F95" t="s">
        <v>18</v>
      </c>
      <c r="G95" t="s">
        <v>34</v>
      </c>
      <c r="H95" t="s">
        <v>95</v>
      </c>
      <c r="I95">
        <v>2</v>
      </c>
      <c r="J95">
        <v>472500</v>
      </c>
      <c r="K95">
        <v>358900</v>
      </c>
      <c r="L95" t="s">
        <v>80</v>
      </c>
      <c r="M95" t="s">
        <v>31</v>
      </c>
      <c r="N95" t="s">
        <v>23</v>
      </c>
      <c r="O95" t="s">
        <v>24</v>
      </c>
      <c r="P95">
        <f>Tableau1_2[[#This Row],[Quantité]]*Tableau1_2[[#This Row],[Prix_Unitaire]]</f>
        <v>945000</v>
      </c>
      <c r="Q95">
        <f>Tableau1_2[[#This Row],[Quantité]]*Tableau1_2[[#This Row],[Coût_Unitaire]]</f>
        <v>717800</v>
      </c>
      <c r="R95">
        <f>Tableau1_2[[#This Row],[CA]]-Tableau1_2[[#This Row],[Cout Total]]</f>
        <v>227200</v>
      </c>
      <c r="S95" s="4">
        <f>Tableau1_2[[#This Row],[Marge]]/Tableau1_2[[#This Row],[CA]]</f>
        <v>0.24042328042328043</v>
      </c>
      <c r="T95" t="str">
        <f>TEXT(Tableau1_2[[#This Row],[Date]],"mmmm")</f>
        <v>septembre</v>
      </c>
    </row>
    <row r="96" spans="1:20" x14ac:dyDescent="0.35">
      <c r="A96" t="s">
        <v>336</v>
      </c>
      <c r="B96" s="2">
        <v>46133</v>
      </c>
      <c r="C96" t="s">
        <v>337</v>
      </c>
      <c r="D96" t="s">
        <v>149</v>
      </c>
      <c r="E96" t="s">
        <v>84</v>
      </c>
      <c r="F96" t="s">
        <v>85</v>
      </c>
      <c r="G96" t="s">
        <v>43</v>
      </c>
      <c r="H96" t="s">
        <v>162</v>
      </c>
      <c r="I96">
        <v>10</v>
      </c>
      <c r="J96">
        <v>8000</v>
      </c>
      <c r="K96">
        <v>5200</v>
      </c>
      <c r="L96" t="s">
        <v>73</v>
      </c>
      <c r="M96" t="s">
        <v>31</v>
      </c>
      <c r="N96" t="s">
        <v>23</v>
      </c>
      <c r="O96" t="s">
        <v>24</v>
      </c>
      <c r="P96">
        <f>Tableau1_2[[#This Row],[Quantité]]*Tableau1_2[[#This Row],[Prix_Unitaire]]</f>
        <v>80000</v>
      </c>
      <c r="Q96">
        <f>Tableau1_2[[#This Row],[Quantité]]*Tableau1_2[[#This Row],[Coût_Unitaire]]</f>
        <v>52000</v>
      </c>
      <c r="R96">
        <f>Tableau1_2[[#This Row],[CA]]-Tableau1_2[[#This Row],[Cout Total]]</f>
        <v>28000</v>
      </c>
      <c r="S96" s="4">
        <f>Tableau1_2[[#This Row],[Marge]]/Tableau1_2[[#This Row],[CA]]</f>
        <v>0.35</v>
      </c>
      <c r="T96" t="str">
        <f>TEXT(Tableau1_2[[#This Row],[Date]],"mmmm")</f>
        <v>avril</v>
      </c>
    </row>
    <row r="97" spans="1:20" x14ac:dyDescent="0.35">
      <c r="A97" t="s">
        <v>338</v>
      </c>
      <c r="B97" s="2">
        <v>46064</v>
      </c>
      <c r="C97" t="s">
        <v>339</v>
      </c>
      <c r="D97" t="s">
        <v>340</v>
      </c>
      <c r="E97" t="s">
        <v>41</v>
      </c>
      <c r="F97" t="s">
        <v>42</v>
      </c>
      <c r="G97" t="s">
        <v>43</v>
      </c>
      <c r="H97" t="s">
        <v>177</v>
      </c>
      <c r="I97">
        <v>3</v>
      </c>
      <c r="J97">
        <v>18000</v>
      </c>
      <c r="K97">
        <v>12100</v>
      </c>
      <c r="L97" t="s">
        <v>96</v>
      </c>
      <c r="M97" t="s">
        <v>31</v>
      </c>
      <c r="N97" t="s">
        <v>23</v>
      </c>
      <c r="O97" t="s">
        <v>24</v>
      </c>
      <c r="P97">
        <f>Tableau1_2[[#This Row],[Quantité]]*Tableau1_2[[#This Row],[Prix_Unitaire]]</f>
        <v>54000</v>
      </c>
      <c r="Q97">
        <f>Tableau1_2[[#This Row],[Quantité]]*Tableau1_2[[#This Row],[Coût_Unitaire]]</f>
        <v>36300</v>
      </c>
      <c r="R97">
        <f>Tableau1_2[[#This Row],[CA]]-Tableau1_2[[#This Row],[Cout Total]]</f>
        <v>17700</v>
      </c>
      <c r="S97" s="4">
        <f>Tableau1_2[[#This Row],[Marge]]/Tableau1_2[[#This Row],[CA]]</f>
        <v>0.32777777777777778</v>
      </c>
      <c r="T97" t="str">
        <f>TEXT(Tableau1_2[[#This Row],[Date]],"mmmm")</f>
        <v>février</v>
      </c>
    </row>
    <row r="98" spans="1:20" x14ac:dyDescent="0.35">
      <c r="A98" t="s">
        <v>341</v>
      </c>
      <c r="B98" s="2">
        <v>46247</v>
      </c>
      <c r="C98" t="s">
        <v>264</v>
      </c>
      <c r="D98" t="s">
        <v>342</v>
      </c>
      <c r="E98" t="s">
        <v>56</v>
      </c>
      <c r="F98" t="s">
        <v>57</v>
      </c>
      <c r="G98" t="s">
        <v>19</v>
      </c>
      <c r="H98" t="s">
        <v>61</v>
      </c>
      <c r="I98">
        <v>5</v>
      </c>
      <c r="J98">
        <v>220000</v>
      </c>
      <c r="K98">
        <v>164800</v>
      </c>
      <c r="L98" t="s">
        <v>30</v>
      </c>
      <c r="M98" t="s">
        <v>37</v>
      </c>
      <c r="N98" t="s">
        <v>23</v>
      </c>
      <c r="O98" t="s">
        <v>91</v>
      </c>
      <c r="P98">
        <f>Tableau1_2[[#This Row],[Quantité]]*Tableau1_2[[#This Row],[Prix_Unitaire]]</f>
        <v>1100000</v>
      </c>
      <c r="Q98">
        <f>Tableau1_2[[#This Row],[Quantité]]*Tableau1_2[[#This Row],[Coût_Unitaire]]</f>
        <v>824000</v>
      </c>
      <c r="R98">
        <f>Tableau1_2[[#This Row],[CA]]-Tableau1_2[[#This Row],[Cout Total]]</f>
        <v>276000</v>
      </c>
      <c r="S98" s="4">
        <f>Tableau1_2[[#This Row],[Marge]]/Tableau1_2[[#This Row],[CA]]</f>
        <v>0.25090909090909091</v>
      </c>
      <c r="T98" t="str">
        <f>TEXT(Tableau1_2[[#This Row],[Date]],"mmmm")</f>
        <v>août</v>
      </c>
    </row>
    <row r="99" spans="1:20" x14ac:dyDescent="0.35">
      <c r="A99" t="s">
        <v>343</v>
      </c>
      <c r="B99" s="2">
        <v>46189</v>
      </c>
      <c r="C99" t="s">
        <v>344</v>
      </c>
      <c r="D99" t="s">
        <v>345</v>
      </c>
      <c r="E99" t="s">
        <v>18</v>
      </c>
      <c r="F99" t="s">
        <v>18</v>
      </c>
      <c r="G99" t="s">
        <v>43</v>
      </c>
      <c r="H99" t="s">
        <v>79</v>
      </c>
      <c r="I99">
        <v>2</v>
      </c>
      <c r="J99">
        <v>6000</v>
      </c>
      <c r="K99">
        <v>4300</v>
      </c>
      <c r="L99" t="s">
        <v>21</v>
      </c>
      <c r="M99" t="s">
        <v>51</v>
      </c>
      <c r="N99" t="s">
        <v>23</v>
      </c>
      <c r="O99" t="s">
        <v>24</v>
      </c>
      <c r="P99">
        <f>Tableau1_2[[#This Row],[Quantité]]*Tableau1_2[[#This Row],[Prix_Unitaire]]</f>
        <v>12000</v>
      </c>
      <c r="Q99">
        <f>Tableau1_2[[#This Row],[Quantité]]*Tableau1_2[[#This Row],[Coût_Unitaire]]</f>
        <v>8600</v>
      </c>
      <c r="R99">
        <f>Tableau1_2[[#This Row],[CA]]-Tableau1_2[[#This Row],[Cout Total]]</f>
        <v>3400</v>
      </c>
      <c r="S99" s="4">
        <f>Tableau1_2[[#This Row],[Marge]]/Tableau1_2[[#This Row],[CA]]</f>
        <v>0.28333333333333333</v>
      </c>
      <c r="T99" t="str">
        <f>TEXT(Tableau1_2[[#This Row],[Date]],"mmmm")</f>
        <v>juin</v>
      </c>
    </row>
    <row r="100" spans="1:20" x14ac:dyDescent="0.35">
      <c r="A100" t="s">
        <v>346</v>
      </c>
      <c r="B100" s="2">
        <v>46203</v>
      </c>
      <c r="C100" t="s">
        <v>347</v>
      </c>
      <c r="D100" t="s">
        <v>348</v>
      </c>
      <c r="E100" t="s">
        <v>156</v>
      </c>
      <c r="F100" t="s">
        <v>170</v>
      </c>
      <c r="G100" t="s">
        <v>43</v>
      </c>
      <c r="H100" t="s">
        <v>44</v>
      </c>
      <c r="I100">
        <v>5</v>
      </c>
      <c r="J100">
        <v>15000</v>
      </c>
      <c r="K100">
        <v>9500</v>
      </c>
      <c r="L100" t="s">
        <v>80</v>
      </c>
      <c r="M100" t="s">
        <v>31</v>
      </c>
      <c r="N100" t="s">
        <v>52</v>
      </c>
      <c r="O100" t="s">
        <v>45</v>
      </c>
      <c r="P100">
        <f>Tableau1_2[[#This Row],[Quantité]]*Tableau1_2[[#This Row],[Prix_Unitaire]]</f>
        <v>75000</v>
      </c>
      <c r="Q100">
        <f>Tableau1_2[[#This Row],[Quantité]]*Tableau1_2[[#This Row],[Coût_Unitaire]]</f>
        <v>47500</v>
      </c>
      <c r="R100">
        <f>Tableau1_2[[#This Row],[CA]]-Tableau1_2[[#This Row],[Cout Total]]</f>
        <v>27500</v>
      </c>
      <c r="S100" s="4">
        <f>Tableau1_2[[#This Row],[Marge]]/Tableau1_2[[#This Row],[CA]]</f>
        <v>0.36666666666666664</v>
      </c>
      <c r="T100" t="str">
        <f>TEXT(Tableau1_2[[#This Row],[Date]],"mmmm")</f>
        <v>juin</v>
      </c>
    </row>
    <row r="101" spans="1:20" x14ac:dyDescent="0.35">
      <c r="A101" t="s">
        <v>349</v>
      </c>
      <c r="B101" s="2">
        <v>46205</v>
      </c>
      <c r="C101" t="s">
        <v>350</v>
      </c>
      <c r="D101" t="s">
        <v>351</v>
      </c>
      <c r="E101" t="s">
        <v>77</v>
      </c>
      <c r="F101" t="s">
        <v>78</v>
      </c>
      <c r="G101" t="s">
        <v>19</v>
      </c>
      <c r="H101" t="s">
        <v>61</v>
      </c>
      <c r="I101">
        <v>8</v>
      </c>
      <c r="J101">
        <v>209000</v>
      </c>
      <c r="K101">
        <v>160000</v>
      </c>
      <c r="L101" t="s">
        <v>73</v>
      </c>
      <c r="M101" t="s">
        <v>37</v>
      </c>
      <c r="N101" t="s">
        <v>23</v>
      </c>
      <c r="O101" t="s">
        <v>45</v>
      </c>
      <c r="P101">
        <f>Tableau1_2[[#This Row],[Quantité]]*Tableau1_2[[#This Row],[Prix_Unitaire]]</f>
        <v>1672000</v>
      </c>
      <c r="Q101">
        <f>Tableau1_2[[#This Row],[Quantité]]*Tableau1_2[[#This Row],[Coût_Unitaire]]</f>
        <v>1280000</v>
      </c>
      <c r="R101">
        <f>Tableau1_2[[#This Row],[CA]]-Tableau1_2[[#This Row],[Cout Total]]</f>
        <v>392000</v>
      </c>
      <c r="S101" s="4">
        <f>Tableau1_2[[#This Row],[Marge]]/Tableau1_2[[#This Row],[CA]]</f>
        <v>0.23444976076555024</v>
      </c>
      <c r="T101" t="str">
        <f>TEXT(Tableau1_2[[#This Row],[Date]],"mmmm")</f>
        <v>juillet</v>
      </c>
    </row>
    <row r="102" spans="1:20" x14ac:dyDescent="0.35">
      <c r="A102" t="s">
        <v>352</v>
      </c>
      <c r="B102" s="2">
        <v>46295</v>
      </c>
      <c r="C102" t="s">
        <v>353</v>
      </c>
      <c r="D102" t="s">
        <v>354</v>
      </c>
      <c r="E102" t="s">
        <v>18</v>
      </c>
      <c r="F102" t="s">
        <v>18</v>
      </c>
      <c r="G102" t="s">
        <v>28</v>
      </c>
      <c r="H102" t="s">
        <v>65</v>
      </c>
      <c r="I102">
        <v>4</v>
      </c>
      <c r="J102">
        <v>12000</v>
      </c>
      <c r="K102">
        <v>7700</v>
      </c>
      <c r="L102" t="s">
        <v>66</v>
      </c>
      <c r="M102" t="s">
        <v>31</v>
      </c>
      <c r="N102" t="s">
        <v>23</v>
      </c>
      <c r="O102" t="s">
        <v>24</v>
      </c>
      <c r="P102">
        <f>Tableau1_2[[#This Row],[Quantité]]*Tableau1_2[[#This Row],[Prix_Unitaire]]</f>
        <v>48000</v>
      </c>
      <c r="Q102">
        <f>Tableau1_2[[#This Row],[Quantité]]*Tableau1_2[[#This Row],[Coût_Unitaire]]</f>
        <v>30800</v>
      </c>
      <c r="R102">
        <f>Tableau1_2[[#This Row],[CA]]-Tableau1_2[[#This Row],[Cout Total]]</f>
        <v>17200</v>
      </c>
      <c r="S102" s="4">
        <f>Tableau1_2[[#This Row],[Marge]]/Tableau1_2[[#This Row],[CA]]</f>
        <v>0.35833333333333334</v>
      </c>
      <c r="T102" t="str">
        <f>TEXT(Tableau1_2[[#This Row],[Date]],"mmmm")</f>
        <v>septembre</v>
      </c>
    </row>
    <row r="103" spans="1:20" x14ac:dyDescent="0.35">
      <c r="A103" t="s">
        <v>355</v>
      </c>
      <c r="B103" s="2">
        <v>46127</v>
      </c>
      <c r="C103" t="s">
        <v>104</v>
      </c>
      <c r="D103" t="s">
        <v>356</v>
      </c>
      <c r="E103" t="s">
        <v>18</v>
      </c>
      <c r="F103" t="s">
        <v>18</v>
      </c>
      <c r="G103" t="s">
        <v>34</v>
      </c>
      <c r="H103" t="s">
        <v>86</v>
      </c>
      <c r="I103">
        <v>9</v>
      </c>
      <c r="J103">
        <v>180000</v>
      </c>
      <c r="K103">
        <v>135000</v>
      </c>
      <c r="L103" t="s">
        <v>36</v>
      </c>
      <c r="M103" t="s">
        <v>37</v>
      </c>
      <c r="N103" t="s">
        <v>87</v>
      </c>
      <c r="O103" t="s">
        <v>45</v>
      </c>
      <c r="P103">
        <f>Tableau1_2[[#This Row],[Quantité]]*Tableau1_2[[#This Row],[Prix_Unitaire]]</f>
        <v>1620000</v>
      </c>
      <c r="Q103">
        <f>Tableau1_2[[#This Row],[Quantité]]*Tableau1_2[[#This Row],[Coût_Unitaire]]</f>
        <v>1215000</v>
      </c>
      <c r="R103">
        <f>Tableau1_2[[#This Row],[CA]]-Tableau1_2[[#This Row],[Cout Total]]</f>
        <v>405000</v>
      </c>
      <c r="S103" s="4">
        <f>Tableau1_2[[#This Row],[Marge]]/Tableau1_2[[#This Row],[CA]]</f>
        <v>0.25</v>
      </c>
      <c r="T103" t="str">
        <f>TEXT(Tableau1_2[[#This Row],[Date]],"mmmm")</f>
        <v>avril</v>
      </c>
    </row>
    <row r="104" spans="1:20" x14ac:dyDescent="0.35">
      <c r="A104" t="s">
        <v>360</v>
      </c>
      <c r="B104" s="2">
        <v>46212</v>
      </c>
      <c r="C104" t="s">
        <v>361</v>
      </c>
      <c r="D104" t="s">
        <v>362</v>
      </c>
      <c r="E104" t="s">
        <v>84</v>
      </c>
      <c r="F104" t="s">
        <v>85</v>
      </c>
      <c r="G104" t="s">
        <v>34</v>
      </c>
      <c r="H104" t="s">
        <v>141</v>
      </c>
      <c r="I104">
        <v>8</v>
      </c>
      <c r="J104">
        <v>160000</v>
      </c>
      <c r="K104">
        <v>120000</v>
      </c>
      <c r="L104" t="s">
        <v>30</v>
      </c>
      <c r="M104" t="s">
        <v>37</v>
      </c>
      <c r="N104" t="s">
        <v>52</v>
      </c>
      <c r="O104" t="s">
        <v>45</v>
      </c>
      <c r="P104">
        <f>Tableau1_2[[#This Row],[Quantité]]*Tableau1_2[[#This Row],[Prix_Unitaire]]</f>
        <v>1280000</v>
      </c>
      <c r="Q104">
        <f>Tableau1_2[[#This Row],[Quantité]]*Tableau1_2[[#This Row],[Coût_Unitaire]]</f>
        <v>960000</v>
      </c>
      <c r="R104">
        <f>Tableau1_2[[#This Row],[CA]]-Tableau1_2[[#This Row],[Cout Total]]</f>
        <v>320000</v>
      </c>
      <c r="S104" s="4">
        <f>Tableau1_2[[#This Row],[Marge]]/Tableau1_2[[#This Row],[CA]]</f>
        <v>0.25</v>
      </c>
      <c r="T104" t="str">
        <f>TEXT(Tableau1_2[[#This Row],[Date]],"mmmm")</f>
        <v>juillet</v>
      </c>
    </row>
    <row r="105" spans="1:20" x14ac:dyDescent="0.35">
      <c r="A105" t="s">
        <v>363</v>
      </c>
      <c r="B105" s="2">
        <v>46382</v>
      </c>
      <c r="C105" t="s">
        <v>364</v>
      </c>
      <c r="D105" t="s">
        <v>247</v>
      </c>
      <c r="E105" t="s">
        <v>77</v>
      </c>
      <c r="F105" t="s">
        <v>78</v>
      </c>
      <c r="G105" t="s">
        <v>34</v>
      </c>
      <c r="H105" t="s">
        <v>141</v>
      </c>
      <c r="I105">
        <v>1</v>
      </c>
      <c r="J105">
        <v>152000</v>
      </c>
      <c r="K105">
        <v>116400</v>
      </c>
      <c r="L105" t="s">
        <v>21</v>
      </c>
      <c r="M105" t="s">
        <v>22</v>
      </c>
      <c r="N105" t="s">
        <v>23</v>
      </c>
      <c r="O105" t="s">
        <v>24</v>
      </c>
      <c r="P105">
        <f>Tableau1_2[[#This Row],[Quantité]]*Tableau1_2[[#This Row],[Prix_Unitaire]]</f>
        <v>152000</v>
      </c>
      <c r="Q105">
        <f>Tableau1_2[[#This Row],[Quantité]]*Tableau1_2[[#This Row],[Coût_Unitaire]]</f>
        <v>116400</v>
      </c>
      <c r="R105">
        <f>Tableau1_2[[#This Row],[CA]]-Tableau1_2[[#This Row],[Cout Total]]</f>
        <v>35600</v>
      </c>
      <c r="S105" s="4">
        <f>Tableau1_2[[#This Row],[Marge]]/Tableau1_2[[#This Row],[CA]]</f>
        <v>0.23421052631578948</v>
      </c>
      <c r="T105" t="str">
        <f>TEXT(Tableau1_2[[#This Row],[Date]],"mmmm")</f>
        <v>décembre</v>
      </c>
    </row>
    <row r="106" spans="1:20" x14ac:dyDescent="0.35">
      <c r="A106" t="s">
        <v>365</v>
      </c>
      <c r="B106" s="2">
        <v>46243</v>
      </c>
      <c r="C106" t="s">
        <v>366</v>
      </c>
      <c r="D106" t="s">
        <v>367</v>
      </c>
      <c r="E106" t="s">
        <v>18</v>
      </c>
      <c r="F106" t="s">
        <v>18</v>
      </c>
      <c r="G106" t="s">
        <v>368</v>
      </c>
      <c r="H106" t="s">
        <v>95</v>
      </c>
      <c r="I106">
        <v>6</v>
      </c>
      <c r="J106">
        <v>450000</v>
      </c>
      <c r="K106">
        <v>370000</v>
      </c>
      <c r="L106" t="s">
        <v>66</v>
      </c>
      <c r="M106" t="s">
        <v>22</v>
      </c>
      <c r="N106" t="s">
        <v>23</v>
      </c>
      <c r="O106" t="s">
        <v>24</v>
      </c>
      <c r="P106">
        <f>Tableau1_2[[#This Row],[Quantité]]*Tableau1_2[[#This Row],[Prix_Unitaire]]</f>
        <v>2700000</v>
      </c>
      <c r="Q106">
        <f>Tableau1_2[[#This Row],[Quantité]]*Tableau1_2[[#This Row],[Coût_Unitaire]]</f>
        <v>2220000</v>
      </c>
      <c r="R106">
        <f>Tableau1_2[[#This Row],[CA]]-Tableau1_2[[#This Row],[Cout Total]]</f>
        <v>480000</v>
      </c>
      <c r="S106" s="4">
        <f>Tableau1_2[[#This Row],[Marge]]/Tableau1_2[[#This Row],[CA]]</f>
        <v>0.17777777777777778</v>
      </c>
      <c r="T106" t="str">
        <f>TEXT(Tableau1_2[[#This Row],[Date]],"mmmm")</f>
        <v>août</v>
      </c>
    </row>
    <row r="107" spans="1:20" x14ac:dyDescent="0.35">
      <c r="A107" t="s">
        <v>369</v>
      </c>
      <c r="B107" s="2">
        <v>46351</v>
      </c>
      <c r="C107" t="s">
        <v>370</v>
      </c>
      <c r="D107" t="s">
        <v>371</v>
      </c>
      <c r="E107" t="s">
        <v>70</v>
      </c>
      <c r="F107" t="s">
        <v>71</v>
      </c>
      <c r="G107" t="s">
        <v>43</v>
      </c>
      <c r="H107" t="s">
        <v>44</v>
      </c>
      <c r="I107">
        <v>1</v>
      </c>
      <c r="J107">
        <v>15800</v>
      </c>
      <c r="K107">
        <v>9200</v>
      </c>
      <c r="L107" t="s">
        <v>80</v>
      </c>
      <c r="M107" t="s">
        <v>37</v>
      </c>
      <c r="N107" t="s">
        <v>23</v>
      </c>
      <c r="O107" t="s">
        <v>45</v>
      </c>
      <c r="P107">
        <f>Tableau1_2[[#This Row],[Quantité]]*Tableau1_2[[#This Row],[Prix_Unitaire]]</f>
        <v>15800</v>
      </c>
      <c r="Q107">
        <f>Tableau1_2[[#This Row],[Quantité]]*Tableau1_2[[#This Row],[Coût_Unitaire]]</f>
        <v>9200</v>
      </c>
      <c r="R107">
        <f>Tableau1_2[[#This Row],[CA]]-Tableau1_2[[#This Row],[Cout Total]]</f>
        <v>6600</v>
      </c>
      <c r="S107" s="4">
        <f>Tableau1_2[[#This Row],[Marge]]/Tableau1_2[[#This Row],[CA]]</f>
        <v>0.41772151898734178</v>
      </c>
      <c r="T107" t="str">
        <f>TEXT(Tableau1_2[[#This Row],[Date]],"mmmm")</f>
        <v>novembre</v>
      </c>
    </row>
    <row r="108" spans="1:20" x14ac:dyDescent="0.35">
      <c r="A108" t="s">
        <v>372</v>
      </c>
      <c r="B108" s="2">
        <v>46311</v>
      </c>
      <c r="C108" t="s">
        <v>373</v>
      </c>
      <c r="D108" t="s">
        <v>374</v>
      </c>
      <c r="E108" t="s">
        <v>156</v>
      </c>
      <c r="F108" t="s">
        <v>170</v>
      </c>
      <c r="G108" t="s">
        <v>34</v>
      </c>
      <c r="H108" t="s">
        <v>158</v>
      </c>
      <c r="I108">
        <v>10</v>
      </c>
      <c r="J108">
        <v>99800</v>
      </c>
      <c r="K108">
        <v>70000</v>
      </c>
      <c r="L108" t="s">
        <v>30</v>
      </c>
      <c r="M108" t="s">
        <v>37</v>
      </c>
      <c r="N108" t="s">
        <v>87</v>
      </c>
      <c r="O108" t="s">
        <v>24</v>
      </c>
      <c r="P108">
        <f>Tableau1_2[[#This Row],[Quantité]]*Tableau1_2[[#This Row],[Prix_Unitaire]]</f>
        <v>998000</v>
      </c>
      <c r="Q108">
        <f>Tableau1_2[[#This Row],[Quantité]]*Tableau1_2[[#This Row],[Coût_Unitaire]]</f>
        <v>700000</v>
      </c>
      <c r="R108">
        <f>Tableau1_2[[#This Row],[CA]]-Tableau1_2[[#This Row],[Cout Total]]</f>
        <v>298000</v>
      </c>
      <c r="S108" s="4">
        <f>Tableau1_2[[#This Row],[Marge]]/Tableau1_2[[#This Row],[CA]]</f>
        <v>0.29859719438877758</v>
      </c>
      <c r="T108" t="str">
        <f>TEXT(Tableau1_2[[#This Row],[Date]],"mmmm")</f>
        <v>octobre</v>
      </c>
    </row>
    <row r="109" spans="1:20" x14ac:dyDescent="0.35">
      <c r="A109" t="s">
        <v>375</v>
      </c>
      <c r="B109" s="2">
        <v>46352</v>
      </c>
      <c r="C109" t="s">
        <v>376</v>
      </c>
      <c r="D109" t="s">
        <v>377</v>
      </c>
      <c r="E109" t="s">
        <v>18</v>
      </c>
      <c r="F109" t="s">
        <v>18</v>
      </c>
      <c r="G109" t="s">
        <v>19</v>
      </c>
      <c r="H109" t="s">
        <v>166</v>
      </c>
      <c r="I109">
        <v>1</v>
      </c>
      <c r="J109">
        <v>140000</v>
      </c>
      <c r="K109">
        <v>103000</v>
      </c>
      <c r="L109" t="s">
        <v>36</v>
      </c>
      <c r="M109" t="s">
        <v>51</v>
      </c>
      <c r="N109" t="s">
        <v>52</v>
      </c>
      <c r="O109" t="s">
        <v>24</v>
      </c>
      <c r="P109">
        <f>Tableau1_2[[#This Row],[Quantité]]*Tableau1_2[[#This Row],[Prix_Unitaire]]</f>
        <v>140000</v>
      </c>
      <c r="Q109">
        <f>Tableau1_2[[#This Row],[Quantité]]*Tableau1_2[[#This Row],[Coût_Unitaire]]</f>
        <v>103000</v>
      </c>
      <c r="R109">
        <f>Tableau1_2[[#This Row],[CA]]-Tableau1_2[[#This Row],[Cout Total]]</f>
        <v>37000</v>
      </c>
      <c r="S109" s="4">
        <f>Tableau1_2[[#This Row],[Marge]]/Tableau1_2[[#This Row],[CA]]</f>
        <v>0.26428571428571429</v>
      </c>
      <c r="T109" t="str">
        <f>TEXT(Tableau1_2[[#This Row],[Date]],"mmmm")</f>
        <v>novembre</v>
      </c>
    </row>
    <row r="110" spans="1:20" x14ac:dyDescent="0.35">
      <c r="A110" t="s">
        <v>378</v>
      </c>
      <c r="B110" s="2">
        <v>46256</v>
      </c>
      <c r="C110" t="s">
        <v>379</v>
      </c>
      <c r="D110" t="s">
        <v>380</v>
      </c>
      <c r="E110" t="s">
        <v>84</v>
      </c>
      <c r="F110" t="s">
        <v>85</v>
      </c>
      <c r="G110" t="s">
        <v>28</v>
      </c>
      <c r="H110" t="s">
        <v>131</v>
      </c>
      <c r="I110">
        <v>6</v>
      </c>
      <c r="J110">
        <v>30000</v>
      </c>
      <c r="K110">
        <v>18400</v>
      </c>
      <c r="L110" t="s">
        <v>21</v>
      </c>
      <c r="M110" t="s">
        <v>31</v>
      </c>
      <c r="N110" t="s">
        <v>23</v>
      </c>
      <c r="O110" t="s">
        <v>24</v>
      </c>
      <c r="P110">
        <f>Tableau1_2[[#This Row],[Quantité]]*Tableau1_2[[#This Row],[Prix_Unitaire]]</f>
        <v>180000</v>
      </c>
      <c r="Q110">
        <f>Tableau1_2[[#This Row],[Quantité]]*Tableau1_2[[#This Row],[Coût_Unitaire]]</f>
        <v>110400</v>
      </c>
      <c r="R110">
        <f>Tableau1_2[[#This Row],[CA]]-Tableau1_2[[#This Row],[Cout Total]]</f>
        <v>69600</v>
      </c>
      <c r="S110" s="4">
        <f>Tableau1_2[[#This Row],[Marge]]/Tableau1_2[[#This Row],[CA]]</f>
        <v>0.38666666666666666</v>
      </c>
      <c r="T110" t="str">
        <f>TEXT(Tableau1_2[[#This Row],[Date]],"mmmm")</f>
        <v>août</v>
      </c>
    </row>
    <row r="111" spans="1:20" x14ac:dyDescent="0.35">
      <c r="A111" t="s">
        <v>381</v>
      </c>
      <c r="B111" s="2">
        <v>46117</v>
      </c>
      <c r="C111" t="s">
        <v>382</v>
      </c>
      <c r="D111" t="s">
        <v>383</v>
      </c>
      <c r="E111" t="s">
        <v>70</v>
      </c>
      <c r="F111" t="s">
        <v>71</v>
      </c>
      <c r="G111" t="s">
        <v>34</v>
      </c>
      <c r="H111" t="s">
        <v>158</v>
      </c>
      <c r="I111">
        <v>4</v>
      </c>
      <c r="J111">
        <v>95000</v>
      </c>
      <c r="K111">
        <v>70000</v>
      </c>
      <c r="L111" t="s">
        <v>36</v>
      </c>
      <c r="M111" t="s">
        <v>31</v>
      </c>
      <c r="N111" t="s">
        <v>52</v>
      </c>
      <c r="O111" t="s">
        <v>24</v>
      </c>
      <c r="P111">
        <f>Tableau1_2[[#This Row],[Quantité]]*Tableau1_2[[#This Row],[Prix_Unitaire]]</f>
        <v>380000</v>
      </c>
      <c r="Q111">
        <f>Tableau1_2[[#This Row],[Quantité]]*Tableau1_2[[#This Row],[Coût_Unitaire]]</f>
        <v>280000</v>
      </c>
      <c r="R111">
        <f>Tableau1_2[[#This Row],[CA]]-Tableau1_2[[#This Row],[Cout Total]]</f>
        <v>100000</v>
      </c>
      <c r="S111" s="4">
        <f>Tableau1_2[[#This Row],[Marge]]/Tableau1_2[[#This Row],[CA]]</f>
        <v>0.26315789473684209</v>
      </c>
      <c r="T111" t="str">
        <f>TEXT(Tableau1_2[[#This Row],[Date]],"mmmm")</f>
        <v>avril</v>
      </c>
    </row>
    <row r="112" spans="1:20" x14ac:dyDescent="0.35">
      <c r="A112" t="s">
        <v>384</v>
      </c>
      <c r="B112" s="2">
        <v>46079</v>
      </c>
      <c r="C112" t="s">
        <v>283</v>
      </c>
      <c r="D112" t="s">
        <v>385</v>
      </c>
      <c r="E112" t="s">
        <v>18</v>
      </c>
      <c r="F112" t="s">
        <v>18</v>
      </c>
      <c r="G112" t="s">
        <v>28</v>
      </c>
      <c r="H112" t="s">
        <v>29</v>
      </c>
      <c r="I112">
        <v>1</v>
      </c>
      <c r="J112">
        <v>7400</v>
      </c>
      <c r="K112">
        <v>4000</v>
      </c>
      <c r="L112" t="s">
        <v>66</v>
      </c>
      <c r="M112" t="s">
        <v>37</v>
      </c>
      <c r="N112" t="s">
        <v>23</v>
      </c>
      <c r="O112" t="s">
        <v>45</v>
      </c>
      <c r="P112">
        <f>Tableau1_2[[#This Row],[Quantité]]*Tableau1_2[[#This Row],[Prix_Unitaire]]</f>
        <v>7400</v>
      </c>
      <c r="Q112">
        <f>Tableau1_2[[#This Row],[Quantité]]*Tableau1_2[[#This Row],[Coût_Unitaire]]</f>
        <v>4000</v>
      </c>
      <c r="R112">
        <f>Tableau1_2[[#This Row],[CA]]-Tableau1_2[[#This Row],[Cout Total]]</f>
        <v>3400</v>
      </c>
      <c r="S112" s="4">
        <f>Tableau1_2[[#This Row],[Marge]]/Tableau1_2[[#This Row],[CA]]</f>
        <v>0.45945945945945948</v>
      </c>
      <c r="T112" t="str">
        <f>TEXT(Tableau1_2[[#This Row],[Date]],"mmmm")</f>
        <v>février</v>
      </c>
    </row>
    <row r="113" spans="1:20" x14ac:dyDescent="0.35">
      <c r="A113" t="s">
        <v>386</v>
      </c>
      <c r="B113" s="2">
        <v>46260</v>
      </c>
      <c r="C113" t="s">
        <v>387</v>
      </c>
      <c r="D113" t="s">
        <v>388</v>
      </c>
      <c r="E113" t="s">
        <v>156</v>
      </c>
      <c r="F113" t="s">
        <v>157</v>
      </c>
      <c r="G113" t="s">
        <v>43</v>
      </c>
      <c r="H113" t="s">
        <v>49</v>
      </c>
      <c r="I113">
        <v>1</v>
      </c>
      <c r="J113">
        <v>8600</v>
      </c>
      <c r="K113">
        <v>6000</v>
      </c>
      <c r="L113" t="s">
        <v>30</v>
      </c>
      <c r="M113" t="s">
        <v>31</v>
      </c>
      <c r="N113" t="s">
        <v>23</v>
      </c>
      <c r="O113" t="s">
        <v>24</v>
      </c>
      <c r="P113">
        <f>Tableau1_2[[#This Row],[Quantité]]*Tableau1_2[[#This Row],[Prix_Unitaire]]</f>
        <v>8600</v>
      </c>
      <c r="Q113">
        <f>Tableau1_2[[#This Row],[Quantité]]*Tableau1_2[[#This Row],[Coût_Unitaire]]</f>
        <v>6000</v>
      </c>
      <c r="R113">
        <f>Tableau1_2[[#This Row],[CA]]-Tableau1_2[[#This Row],[Cout Total]]</f>
        <v>2600</v>
      </c>
      <c r="S113" s="4">
        <f>Tableau1_2[[#This Row],[Marge]]/Tableau1_2[[#This Row],[CA]]</f>
        <v>0.30232558139534882</v>
      </c>
      <c r="T113" t="str">
        <f>TEXT(Tableau1_2[[#This Row],[Date]],"mmmm")</f>
        <v>août</v>
      </c>
    </row>
    <row r="114" spans="1:20" x14ac:dyDescent="0.35">
      <c r="A114" t="s">
        <v>389</v>
      </c>
      <c r="B114" s="2">
        <v>46135</v>
      </c>
      <c r="C114" t="s">
        <v>390</v>
      </c>
      <c r="D114" t="s">
        <v>391</v>
      </c>
      <c r="E114" t="s">
        <v>18</v>
      </c>
      <c r="F114" t="s">
        <v>18</v>
      </c>
      <c r="G114" t="s">
        <v>34</v>
      </c>
      <c r="H114" t="s">
        <v>141</v>
      </c>
      <c r="I114">
        <v>7</v>
      </c>
      <c r="J114">
        <v>152000</v>
      </c>
      <c r="K114">
        <v>116400</v>
      </c>
      <c r="L114" t="s">
        <v>66</v>
      </c>
      <c r="M114" t="s">
        <v>51</v>
      </c>
      <c r="N114" t="s">
        <v>52</v>
      </c>
      <c r="O114" t="s">
        <v>24</v>
      </c>
      <c r="P114">
        <f>Tableau1_2[[#This Row],[Quantité]]*Tableau1_2[[#This Row],[Prix_Unitaire]]</f>
        <v>1064000</v>
      </c>
      <c r="Q114">
        <f>Tableau1_2[[#This Row],[Quantité]]*Tableau1_2[[#This Row],[Coût_Unitaire]]</f>
        <v>814800</v>
      </c>
      <c r="R114">
        <f>Tableau1_2[[#This Row],[CA]]-Tableau1_2[[#This Row],[Cout Total]]</f>
        <v>249200</v>
      </c>
      <c r="S114" s="4">
        <f>Tableau1_2[[#This Row],[Marge]]/Tableau1_2[[#This Row],[CA]]</f>
        <v>0.23421052631578948</v>
      </c>
      <c r="T114" t="str">
        <f>TEXT(Tableau1_2[[#This Row],[Date]],"mmmm")</f>
        <v>avril</v>
      </c>
    </row>
    <row r="115" spans="1:20" x14ac:dyDescent="0.35">
      <c r="A115" t="s">
        <v>392</v>
      </c>
      <c r="B115" s="2">
        <v>46295</v>
      </c>
      <c r="C115" t="s">
        <v>393</v>
      </c>
      <c r="D115" t="s">
        <v>394</v>
      </c>
      <c r="E115" t="s">
        <v>77</v>
      </c>
      <c r="F115" t="s">
        <v>78</v>
      </c>
      <c r="G115" t="s">
        <v>28</v>
      </c>
      <c r="H115" t="s">
        <v>29</v>
      </c>
      <c r="I115">
        <v>9</v>
      </c>
      <c r="J115">
        <v>7400</v>
      </c>
      <c r="K115">
        <v>3900</v>
      </c>
      <c r="L115" t="s">
        <v>80</v>
      </c>
      <c r="M115" t="s">
        <v>51</v>
      </c>
      <c r="N115" t="s">
        <v>87</v>
      </c>
      <c r="O115" t="s">
        <v>24</v>
      </c>
      <c r="P115">
        <f>Tableau1_2[[#This Row],[Quantité]]*Tableau1_2[[#This Row],[Prix_Unitaire]]</f>
        <v>66600</v>
      </c>
      <c r="Q115">
        <f>Tableau1_2[[#This Row],[Quantité]]*Tableau1_2[[#This Row],[Coût_Unitaire]]</f>
        <v>35100</v>
      </c>
      <c r="R115">
        <f>Tableau1_2[[#This Row],[CA]]-Tableau1_2[[#This Row],[Cout Total]]</f>
        <v>31500</v>
      </c>
      <c r="S115" s="4">
        <f>Tableau1_2[[#This Row],[Marge]]/Tableau1_2[[#This Row],[CA]]</f>
        <v>0.47297297297297297</v>
      </c>
      <c r="T115" t="str">
        <f>TEXT(Tableau1_2[[#This Row],[Date]],"mmmm")</f>
        <v>septembre</v>
      </c>
    </row>
    <row r="116" spans="1:20" x14ac:dyDescent="0.35">
      <c r="A116" t="s">
        <v>395</v>
      </c>
      <c r="B116" s="2">
        <v>46093</v>
      </c>
      <c r="C116" t="s">
        <v>396</v>
      </c>
      <c r="D116" t="s">
        <v>397</v>
      </c>
      <c r="E116" t="s">
        <v>41</v>
      </c>
      <c r="F116" t="s">
        <v>42</v>
      </c>
      <c r="G116" t="s">
        <v>19</v>
      </c>
      <c r="H116" t="s">
        <v>166</v>
      </c>
      <c r="I116">
        <v>9</v>
      </c>
      <c r="J116">
        <v>140000</v>
      </c>
      <c r="K116">
        <v>100000</v>
      </c>
      <c r="L116" t="s">
        <v>21</v>
      </c>
      <c r="M116" t="s">
        <v>22</v>
      </c>
      <c r="N116" t="s">
        <v>87</v>
      </c>
      <c r="O116" t="s">
        <v>24</v>
      </c>
      <c r="P116">
        <f>Tableau1_2[[#This Row],[Quantité]]*Tableau1_2[[#This Row],[Prix_Unitaire]]</f>
        <v>1260000</v>
      </c>
      <c r="Q116">
        <f>Tableau1_2[[#This Row],[Quantité]]*Tableau1_2[[#This Row],[Coût_Unitaire]]</f>
        <v>900000</v>
      </c>
      <c r="R116">
        <f>Tableau1_2[[#This Row],[CA]]-Tableau1_2[[#This Row],[Cout Total]]</f>
        <v>360000</v>
      </c>
      <c r="S116" s="4">
        <f>Tableau1_2[[#This Row],[Marge]]/Tableau1_2[[#This Row],[CA]]</f>
        <v>0.2857142857142857</v>
      </c>
      <c r="T116" t="str">
        <f>TEXT(Tableau1_2[[#This Row],[Date]],"mmmm")</f>
        <v>mars</v>
      </c>
    </row>
    <row r="117" spans="1:20" x14ac:dyDescent="0.35">
      <c r="A117" t="s">
        <v>398</v>
      </c>
      <c r="B117" s="2">
        <v>46237</v>
      </c>
      <c r="C117" t="s">
        <v>399</v>
      </c>
      <c r="D117" t="s">
        <v>400</v>
      </c>
      <c r="E117" t="s">
        <v>156</v>
      </c>
      <c r="F117" t="s">
        <v>157</v>
      </c>
      <c r="G117" t="s">
        <v>28</v>
      </c>
      <c r="H117" t="s">
        <v>131</v>
      </c>
      <c r="I117">
        <v>4</v>
      </c>
      <c r="J117">
        <v>30000</v>
      </c>
      <c r="K117">
        <v>19000</v>
      </c>
      <c r="L117" t="s">
        <v>66</v>
      </c>
      <c r="M117" t="s">
        <v>37</v>
      </c>
      <c r="N117" t="s">
        <v>23</v>
      </c>
      <c r="O117" t="s">
        <v>24</v>
      </c>
      <c r="P117">
        <f>Tableau1_2[[#This Row],[Quantité]]*Tableau1_2[[#This Row],[Prix_Unitaire]]</f>
        <v>120000</v>
      </c>
      <c r="Q117">
        <f>Tableau1_2[[#This Row],[Quantité]]*Tableau1_2[[#This Row],[Coût_Unitaire]]</f>
        <v>76000</v>
      </c>
      <c r="R117">
        <f>Tableau1_2[[#This Row],[CA]]-Tableau1_2[[#This Row],[Cout Total]]</f>
        <v>44000</v>
      </c>
      <c r="S117" s="4">
        <f>Tableau1_2[[#This Row],[Marge]]/Tableau1_2[[#This Row],[CA]]</f>
        <v>0.36666666666666664</v>
      </c>
      <c r="T117" t="str">
        <f>TEXT(Tableau1_2[[#This Row],[Date]],"mmmm")</f>
        <v>août</v>
      </c>
    </row>
    <row r="118" spans="1:20" x14ac:dyDescent="0.35">
      <c r="A118" t="s">
        <v>401</v>
      </c>
      <c r="B118" s="2">
        <v>46278</v>
      </c>
      <c r="C118" t="s">
        <v>402</v>
      </c>
      <c r="D118" t="s">
        <v>403</v>
      </c>
      <c r="E118" t="s">
        <v>190</v>
      </c>
      <c r="F118" t="s">
        <v>191</v>
      </c>
      <c r="G118" t="s">
        <v>28</v>
      </c>
      <c r="H118" t="s">
        <v>248</v>
      </c>
      <c r="I118">
        <v>7</v>
      </c>
      <c r="J118">
        <v>26200</v>
      </c>
      <c r="K118">
        <v>15500</v>
      </c>
      <c r="L118" t="s">
        <v>21</v>
      </c>
      <c r="M118" t="s">
        <v>37</v>
      </c>
      <c r="N118" t="s">
        <v>23</v>
      </c>
      <c r="O118" t="s">
        <v>24</v>
      </c>
      <c r="P118">
        <f>Tableau1_2[[#This Row],[Quantité]]*Tableau1_2[[#This Row],[Prix_Unitaire]]</f>
        <v>183400</v>
      </c>
      <c r="Q118">
        <f>Tableau1_2[[#This Row],[Quantité]]*Tableau1_2[[#This Row],[Coût_Unitaire]]</f>
        <v>108500</v>
      </c>
      <c r="R118">
        <f>Tableau1_2[[#This Row],[CA]]-Tableau1_2[[#This Row],[Cout Total]]</f>
        <v>74900</v>
      </c>
      <c r="S118" s="4">
        <f>Tableau1_2[[#This Row],[Marge]]/Tableau1_2[[#This Row],[CA]]</f>
        <v>0.40839694656488551</v>
      </c>
      <c r="T118" t="str">
        <f>TEXT(Tableau1_2[[#This Row],[Date]],"mmmm")</f>
        <v>septembre</v>
      </c>
    </row>
    <row r="119" spans="1:20" x14ac:dyDescent="0.35">
      <c r="A119" t="s">
        <v>404</v>
      </c>
      <c r="B119" s="2">
        <v>46329</v>
      </c>
      <c r="C119" t="s">
        <v>405</v>
      </c>
      <c r="D119" t="s">
        <v>406</v>
      </c>
      <c r="E119" t="s">
        <v>41</v>
      </c>
      <c r="F119" t="s">
        <v>42</v>
      </c>
      <c r="G119" t="s">
        <v>34</v>
      </c>
      <c r="H119" t="s">
        <v>35</v>
      </c>
      <c r="I119">
        <v>2</v>
      </c>
      <c r="J119">
        <v>52200</v>
      </c>
      <c r="K119">
        <v>40200</v>
      </c>
      <c r="L119" t="s">
        <v>50</v>
      </c>
      <c r="M119" t="s">
        <v>51</v>
      </c>
      <c r="N119" t="s">
        <v>23</v>
      </c>
      <c r="O119" t="s">
        <v>24</v>
      </c>
      <c r="P119">
        <f>Tableau1_2[[#This Row],[Quantité]]*Tableau1_2[[#This Row],[Prix_Unitaire]]</f>
        <v>104400</v>
      </c>
      <c r="Q119">
        <f>Tableau1_2[[#This Row],[Quantité]]*Tableau1_2[[#This Row],[Coût_Unitaire]]</f>
        <v>80400</v>
      </c>
      <c r="R119">
        <f>Tableau1_2[[#This Row],[CA]]-Tableau1_2[[#This Row],[Cout Total]]</f>
        <v>24000</v>
      </c>
      <c r="S119" s="4">
        <f>Tableau1_2[[#This Row],[Marge]]/Tableau1_2[[#This Row],[CA]]</f>
        <v>0.22988505747126436</v>
      </c>
      <c r="T119" t="str">
        <f>TEXT(Tableau1_2[[#This Row],[Date]],"mmmm")</f>
        <v>novembre</v>
      </c>
    </row>
    <row r="120" spans="1:20" x14ac:dyDescent="0.35">
      <c r="A120" t="s">
        <v>407</v>
      </c>
      <c r="B120" s="2">
        <v>46379</v>
      </c>
      <c r="C120" t="s">
        <v>54</v>
      </c>
      <c r="D120" t="s">
        <v>408</v>
      </c>
      <c r="E120" t="s">
        <v>18</v>
      </c>
      <c r="F120" t="s">
        <v>18</v>
      </c>
      <c r="G120" t="s">
        <v>34</v>
      </c>
      <c r="H120" t="s">
        <v>141</v>
      </c>
      <c r="I120">
        <v>6</v>
      </c>
      <c r="J120">
        <v>160000</v>
      </c>
      <c r="K120">
        <v>120000</v>
      </c>
      <c r="L120" t="s">
        <v>36</v>
      </c>
      <c r="M120" t="s">
        <v>51</v>
      </c>
      <c r="N120" t="s">
        <v>52</v>
      </c>
      <c r="O120" t="s">
        <v>24</v>
      </c>
      <c r="P120">
        <f>Tableau1_2[[#This Row],[Quantité]]*Tableau1_2[[#This Row],[Prix_Unitaire]]</f>
        <v>960000</v>
      </c>
      <c r="Q120">
        <f>Tableau1_2[[#This Row],[Quantité]]*Tableau1_2[[#This Row],[Coût_Unitaire]]</f>
        <v>720000</v>
      </c>
      <c r="R120">
        <f>Tableau1_2[[#This Row],[CA]]-Tableau1_2[[#This Row],[Cout Total]]</f>
        <v>240000</v>
      </c>
      <c r="S120" s="4">
        <f>Tableau1_2[[#This Row],[Marge]]/Tableau1_2[[#This Row],[CA]]</f>
        <v>0.25</v>
      </c>
      <c r="T120" t="str">
        <f>TEXT(Tableau1_2[[#This Row],[Date]],"mmmm")</f>
        <v>décembre</v>
      </c>
    </row>
    <row r="121" spans="1:20" x14ac:dyDescent="0.35">
      <c r="A121" t="s">
        <v>409</v>
      </c>
      <c r="B121" s="2">
        <v>46299</v>
      </c>
      <c r="C121" t="s">
        <v>410</v>
      </c>
      <c r="D121" t="s">
        <v>411</v>
      </c>
      <c r="E121" t="s">
        <v>18</v>
      </c>
      <c r="F121" t="s">
        <v>18</v>
      </c>
      <c r="G121" t="s">
        <v>34</v>
      </c>
      <c r="H121" t="s">
        <v>95</v>
      </c>
      <c r="I121">
        <v>3</v>
      </c>
      <c r="J121">
        <v>472500</v>
      </c>
      <c r="K121">
        <v>358900</v>
      </c>
      <c r="L121" t="s">
        <v>80</v>
      </c>
      <c r="M121" t="s">
        <v>51</v>
      </c>
      <c r="N121" t="s">
        <v>23</v>
      </c>
      <c r="O121" t="s">
        <v>24</v>
      </c>
      <c r="P121">
        <f>Tableau1_2[[#This Row],[Quantité]]*Tableau1_2[[#This Row],[Prix_Unitaire]]</f>
        <v>1417500</v>
      </c>
      <c r="Q121">
        <f>Tableau1_2[[#This Row],[Quantité]]*Tableau1_2[[#This Row],[Coût_Unitaire]]</f>
        <v>1076700</v>
      </c>
      <c r="R121">
        <f>Tableau1_2[[#This Row],[CA]]-Tableau1_2[[#This Row],[Cout Total]]</f>
        <v>340800</v>
      </c>
      <c r="S121" s="4">
        <f>Tableau1_2[[#This Row],[Marge]]/Tableau1_2[[#This Row],[CA]]</f>
        <v>0.24042328042328043</v>
      </c>
      <c r="T121" t="str">
        <f>TEXT(Tableau1_2[[#This Row],[Date]],"mmmm")</f>
        <v>octobre</v>
      </c>
    </row>
    <row r="122" spans="1:20" x14ac:dyDescent="0.35">
      <c r="A122" t="s">
        <v>412</v>
      </c>
      <c r="B122" s="2">
        <v>46322</v>
      </c>
      <c r="C122" t="s">
        <v>413</v>
      </c>
      <c r="D122" t="s">
        <v>414</v>
      </c>
      <c r="E122" t="s">
        <v>190</v>
      </c>
      <c r="F122" t="s">
        <v>191</v>
      </c>
      <c r="G122" t="s">
        <v>34</v>
      </c>
      <c r="H122" t="s">
        <v>158</v>
      </c>
      <c r="I122">
        <v>7</v>
      </c>
      <c r="J122">
        <v>90200</v>
      </c>
      <c r="K122">
        <v>70000</v>
      </c>
      <c r="L122" t="s">
        <v>21</v>
      </c>
      <c r="M122" t="s">
        <v>37</v>
      </c>
      <c r="N122" t="s">
        <v>87</v>
      </c>
      <c r="O122" t="s">
        <v>91</v>
      </c>
      <c r="P122">
        <f>Tableau1_2[[#This Row],[Quantité]]*Tableau1_2[[#This Row],[Prix_Unitaire]]</f>
        <v>631400</v>
      </c>
      <c r="Q122">
        <f>Tableau1_2[[#This Row],[Quantité]]*Tableau1_2[[#This Row],[Coût_Unitaire]]</f>
        <v>490000</v>
      </c>
      <c r="R122">
        <f>Tableau1_2[[#This Row],[CA]]-Tableau1_2[[#This Row],[Cout Total]]</f>
        <v>141400</v>
      </c>
      <c r="S122" s="4">
        <f>Tableau1_2[[#This Row],[Marge]]/Tableau1_2[[#This Row],[CA]]</f>
        <v>0.22394678492239467</v>
      </c>
      <c r="T122" t="str">
        <f>TEXT(Tableau1_2[[#This Row],[Date]],"mmmm")</f>
        <v>octobre</v>
      </c>
    </row>
    <row r="123" spans="1:20" x14ac:dyDescent="0.35">
      <c r="A123" t="s">
        <v>415</v>
      </c>
      <c r="B123" s="2">
        <v>46072</v>
      </c>
      <c r="C123" t="s">
        <v>416</v>
      </c>
      <c r="D123" t="s">
        <v>417</v>
      </c>
      <c r="E123" t="s">
        <v>41</v>
      </c>
      <c r="F123" t="s">
        <v>42</v>
      </c>
      <c r="G123" t="s">
        <v>34</v>
      </c>
      <c r="H123" t="s">
        <v>86</v>
      </c>
      <c r="I123">
        <v>5</v>
      </c>
      <c r="J123">
        <v>180000</v>
      </c>
      <c r="K123">
        <v>139000</v>
      </c>
      <c r="L123" t="s">
        <v>73</v>
      </c>
      <c r="M123" t="s">
        <v>22</v>
      </c>
      <c r="N123" t="s">
        <v>52</v>
      </c>
      <c r="O123" t="s">
        <v>24</v>
      </c>
      <c r="P123">
        <f>Tableau1_2[[#This Row],[Quantité]]*Tableau1_2[[#This Row],[Prix_Unitaire]]</f>
        <v>900000</v>
      </c>
      <c r="Q123">
        <f>Tableau1_2[[#This Row],[Quantité]]*Tableau1_2[[#This Row],[Coût_Unitaire]]</f>
        <v>695000</v>
      </c>
      <c r="R123">
        <f>Tableau1_2[[#This Row],[CA]]-Tableau1_2[[#This Row],[Cout Total]]</f>
        <v>205000</v>
      </c>
      <c r="S123" s="4">
        <f>Tableau1_2[[#This Row],[Marge]]/Tableau1_2[[#This Row],[CA]]</f>
        <v>0.22777777777777777</v>
      </c>
      <c r="T123" t="str">
        <f>TEXT(Tableau1_2[[#This Row],[Date]],"mmmm")</f>
        <v>février</v>
      </c>
    </row>
    <row r="124" spans="1:20" x14ac:dyDescent="0.35">
      <c r="A124" t="s">
        <v>418</v>
      </c>
      <c r="B124" s="2">
        <v>46079</v>
      </c>
      <c r="C124" t="s">
        <v>419</v>
      </c>
      <c r="D124" t="s">
        <v>420</v>
      </c>
      <c r="E124" t="s">
        <v>77</v>
      </c>
      <c r="F124" t="s">
        <v>78</v>
      </c>
      <c r="G124" t="s">
        <v>34</v>
      </c>
      <c r="H124" t="s">
        <v>95</v>
      </c>
      <c r="I124">
        <v>8</v>
      </c>
      <c r="J124">
        <v>450000</v>
      </c>
      <c r="K124">
        <v>358900</v>
      </c>
      <c r="L124" t="s">
        <v>66</v>
      </c>
      <c r="M124" t="s">
        <v>37</v>
      </c>
      <c r="N124" t="s">
        <v>23</v>
      </c>
      <c r="O124" t="s">
        <v>45</v>
      </c>
      <c r="P124">
        <f>Tableau1_2[[#This Row],[Quantité]]*Tableau1_2[[#This Row],[Prix_Unitaire]]</f>
        <v>3600000</v>
      </c>
      <c r="Q124">
        <f>Tableau1_2[[#This Row],[Quantité]]*Tableau1_2[[#This Row],[Coût_Unitaire]]</f>
        <v>2871200</v>
      </c>
      <c r="R124">
        <f>Tableau1_2[[#This Row],[CA]]-Tableau1_2[[#This Row],[Cout Total]]</f>
        <v>728800</v>
      </c>
      <c r="S124" s="4">
        <f>Tableau1_2[[#This Row],[Marge]]/Tableau1_2[[#This Row],[CA]]</f>
        <v>0.20244444444444445</v>
      </c>
      <c r="T124" t="str">
        <f>TEXT(Tableau1_2[[#This Row],[Date]],"mmmm")</f>
        <v>février</v>
      </c>
    </row>
    <row r="125" spans="1:20" x14ac:dyDescent="0.35">
      <c r="A125" t="s">
        <v>421</v>
      </c>
      <c r="B125" s="2">
        <v>46055</v>
      </c>
      <c r="C125" t="s">
        <v>379</v>
      </c>
      <c r="D125" t="s">
        <v>422</v>
      </c>
      <c r="E125" t="s">
        <v>18</v>
      </c>
      <c r="F125" t="s">
        <v>18</v>
      </c>
      <c r="G125" t="s">
        <v>34</v>
      </c>
      <c r="H125" t="s">
        <v>158</v>
      </c>
      <c r="I125">
        <v>5</v>
      </c>
      <c r="J125">
        <v>95000</v>
      </c>
      <c r="K125">
        <v>70000</v>
      </c>
      <c r="L125" t="s">
        <v>66</v>
      </c>
      <c r="M125" t="s">
        <v>37</v>
      </c>
      <c r="N125" t="s">
        <v>87</v>
      </c>
      <c r="O125" t="s">
        <v>45</v>
      </c>
      <c r="P125">
        <f>Tableau1_2[[#This Row],[Quantité]]*Tableau1_2[[#This Row],[Prix_Unitaire]]</f>
        <v>475000</v>
      </c>
      <c r="Q125">
        <f>Tableau1_2[[#This Row],[Quantité]]*Tableau1_2[[#This Row],[Coût_Unitaire]]</f>
        <v>350000</v>
      </c>
      <c r="R125">
        <f>Tableau1_2[[#This Row],[CA]]-Tableau1_2[[#This Row],[Cout Total]]</f>
        <v>125000</v>
      </c>
      <c r="S125" s="4">
        <f>Tableau1_2[[#This Row],[Marge]]/Tableau1_2[[#This Row],[CA]]</f>
        <v>0.26315789473684209</v>
      </c>
      <c r="T125" t="str">
        <f>TEXT(Tableau1_2[[#This Row],[Date]],"mmmm")</f>
        <v>février</v>
      </c>
    </row>
    <row r="126" spans="1:20" x14ac:dyDescent="0.35">
      <c r="A126" t="s">
        <v>423</v>
      </c>
      <c r="B126" s="2">
        <v>46381</v>
      </c>
      <c r="C126" t="s">
        <v>424</v>
      </c>
      <c r="D126" t="s">
        <v>425</v>
      </c>
      <c r="E126" t="s">
        <v>41</v>
      </c>
      <c r="F126" t="s">
        <v>42</v>
      </c>
      <c r="G126" t="s">
        <v>19</v>
      </c>
      <c r="H126" t="s">
        <v>166</v>
      </c>
      <c r="I126">
        <v>7</v>
      </c>
      <c r="J126">
        <v>133000</v>
      </c>
      <c r="K126">
        <v>97000</v>
      </c>
      <c r="L126" t="s">
        <v>66</v>
      </c>
      <c r="M126" t="s">
        <v>37</v>
      </c>
      <c r="N126" t="s">
        <v>23</v>
      </c>
      <c r="O126" t="s">
        <v>24</v>
      </c>
      <c r="P126">
        <f>Tableau1_2[[#This Row],[Quantité]]*Tableau1_2[[#This Row],[Prix_Unitaire]]</f>
        <v>931000</v>
      </c>
      <c r="Q126">
        <f>Tableau1_2[[#This Row],[Quantité]]*Tableau1_2[[#This Row],[Coût_Unitaire]]</f>
        <v>679000</v>
      </c>
      <c r="R126">
        <f>Tableau1_2[[#This Row],[CA]]-Tableau1_2[[#This Row],[Cout Total]]</f>
        <v>252000</v>
      </c>
      <c r="S126" s="4">
        <f>Tableau1_2[[#This Row],[Marge]]/Tableau1_2[[#This Row],[CA]]</f>
        <v>0.27067669172932329</v>
      </c>
      <c r="T126" t="str">
        <f>TEXT(Tableau1_2[[#This Row],[Date]],"mmmm")</f>
        <v>décembre</v>
      </c>
    </row>
    <row r="127" spans="1:20" x14ac:dyDescent="0.35">
      <c r="A127" t="s">
        <v>426</v>
      </c>
      <c r="B127" s="2">
        <v>46073</v>
      </c>
      <c r="C127" t="s">
        <v>427</v>
      </c>
      <c r="D127" t="s">
        <v>27</v>
      </c>
      <c r="E127" t="s">
        <v>190</v>
      </c>
      <c r="F127" t="s">
        <v>191</v>
      </c>
      <c r="G127" t="s">
        <v>28</v>
      </c>
      <c r="H127" t="s">
        <v>72</v>
      </c>
      <c r="I127">
        <v>10</v>
      </c>
      <c r="J127">
        <v>10000</v>
      </c>
      <c r="K127">
        <v>6200</v>
      </c>
      <c r="L127" t="s">
        <v>80</v>
      </c>
      <c r="M127" t="s">
        <v>37</v>
      </c>
      <c r="N127" t="s">
        <v>23</v>
      </c>
      <c r="O127" t="s">
        <v>24</v>
      </c>
      <c r="P127">
        <f>Tableau1_2[[#This Row],[Quantité]]*Tableau1_2[[#This Row],[Prix_Unitaire]]</f>
        <v>100000</v>
      </c>
      <c r="Q127">
        <f>Tableau1_2[[#This Row],[Quantité]]*Tableau1_2[[#This Row],[Coût_Unitaire]]</f>
        <v>62000</v>
      </c>
      <c r="R127">
        <f>Tableau1_2[[#This Row],[CA]]-Tableau1_2[[#This Row],[Cout Total]]</f>
        <v>38000</v>
      </c>
      <c r="S127" s="4">
        <f>Tableau1_2[[#This Row],[Marge]]/Tableau1_2[[#This Row],[CA]]</f>
        <v>0.38</v>
      </c>
      <c r="T127" t="str">
        <f>TEXT(Tableau1_2[[#This Row],[Date]],"mmmm")</f>
        <v>février</v>
      </c>
    </row>
    <row r="128" spans="1:20" x14ac:dyDescent="0.35">
      <c r="A128" t="s">
        <v>428</v>
      </c>
      <c r="B128" s="2">
        <v>46155</v>
      </c>
      <c r="C128" t="s">
        <v>47</v>
      </c>
      <c r="D128" t="s">
        <v>429</v>
      </c>
      <c r="E128" t="s">
        <v>156</v>
      </c>
      <c r="F128" t="s">
        <v>170</v>
      </c>
      <c r="G128" t="s">
        <v>19</v>
      </c>
      <c r="H128" t="s">
        <v>166</v>
      </c>
      <c r="I128">
        <v>10</v>
      </c>
      <c r="J128">
        <v>147000</v>
      </c>
      <c r="K128">
        <v>103000</v>
      </c>
      <c r="L128" t="s">
        <v>21</v>
      </c>
      <c r="M128" t="s">
        <v>37</v>
      </c>
      <c r="N128" t="s">
        <v>23</v>
      </c>
      <c r="O128" t="s">
        <v>24</v>
      </c>
      <c r="P128">
        <f>Tableau1_2[[#This Row],[Quantité]]*Tableau1_2[[#This Row],[Prix_Unitaire]]</f>
        <v>1470000</v>
      </c>
      <c r="Q128">
        <f>Tableau1_2[[#This Row],[Quantité]]*Tableau1_2[[#This Row],[Coût_Unitaire]]</f>
        <v>1030000</v>
      </c>
      <c r="R128">
        <f>Tableau1_2[[#This Row],[CA]]-Tableau1_2[[#This Row],[Cout Total]]</f>
        <v>440000</v>
      </c>
      <c r="S128" s="4">
        <f>Tableau1_2[[#This Row],[Marge]]/Tableau1_2[[#This Row],[CA]]</f>
        <v>0.29931972789115646</v>
      </c>
      <c r="T128" t="str">
        <f>TEXT(Tableau1_2[[#This Row],[Date]],"mmmm")</f>
        <v>mai</v>
      </c>
    </row>
    <row r="129" spans="1:20" x14ac:dyDescent="0.35">
      <c r="A129" t="s">
        <v>430</v>
      </c>
      <c r="B129" s="2">
        <v>46074</v>
      </c>
      <c r="C129" t="s">
        <v>431</v>
      </c>
      <c r="D129" t="s">
        <v>432</v>
      </c>
      <c r="E129" t="s">
        <v>18</v>
      </c>
      <c r="F129" t="s">
        <v>18</v>
      </c>
      <c r="G129" t="s">
        <v>34</v>
      </c>
      <c r="H129" t="s">
        <v>86</v>
      </c>
      <c r="I129">
        <v>1</v>
      </c>
      <c r="J129">
        <v>171000</v>
      </c>
      <c r="K129">
        <v>131000</v>
      </c>
      <c r="L129" t="s">
        <v>66</v>
      </c>
      <c r="M129" t="s">
        <v>37</v>
      </c>
      <c r="N129" t="s">
        <v>87</v>
      </c>
      <c r="O129" t="s">
        <v>24</v>
      </c>
      <c r="P129">
        <f>Tableau1_2[[#This Row],[Quantité]]*Tableau1_2[[#This Row],[Prix_Unitaire]]</f>
        <v>171000</v>
      </c>
      <c r="Q129">
        <f>Tableau1_2[[#This Row],[Quantité]]*Tableau1_2[[#This Row],[Coût_Unitaire]]</f>
        <v>131000</v>
      </c>
      <c r="R129">
        <f>Tableau1_2[[#This Row],[CA]]-Tableau1_2[[#This Row],[Cout Total]]</f>
        <v>40000</v>
      </c>
      <c r="S129" s="4">
        <f>Tableau1_2[[#This Row],[Marge]]/Tableau1_2[[#This Row],[CA]]</f>
        <v>0.23391812865497075</v>
      </c>
      <c r="T129" t="str">
        <f>TEXT(Tableau1_2[[#This Row],[Date]],"mmmm")</f>
        <v>février</v>
      </c>
    </row>
    <row r="130" spans="1:20" x14ac:dyDescent="0.35">
      <c r="A130" t="s">
        <v>433</v>
      </c>
      <c r="B130" s="2">
        <v>46236</v>
      </c>
      <c r="C130" t="s">
        <v>434</v>
      </c>
      <c r="D130" t="s">
        <v>435</v>
      </c>
      <c r="E130" t="s">
        <v>41</v>
      </c>
      <c r="F130" t="s">
        <v>42</v>
      </c>
      <c r="G130" t="s">
        <v>43</v>
      </c>
      <c r="H130" t="s">
        <v>162</v>
      </c>
      <c r="I130">
        <v>7</v>
      </c>
      <c r="J130">
        <v>8000</v>
      </c>
      <c r="K130">
        <v>5200</v>
      </c>
      <c r="L130" t="s">
        <v>66</v>
      </c>
      <c r="M130" t="s">
        <v>51</v>
      </c>
      <c r="N130" t="s">
        <v>52</v>
      </c>
      <c r="O130" t="s">
        <v>24</v>
      </c>
      <c r="P130">
        <f>Tableau1_2[[#This Row],[Quantité]]*Tableau1_2[[#This Row],[Prix_Unitaire]]</f>
        <v>56000</v>
      </c>
      <c r="Q130">
        <f>Tableau1_2[[#This Row],[Quantité]]*Tableau1_2[[#This Row],[Coût_Unitaire]]</f>
        <v>36400</v>
      </c>
      <c r="R130">
        <f>Tableau1_2[[#This Row],[CA]]-Tableau1_2[[#This Row],[Cout Total]]</f>
        <v>19600</v>
      </c>
      <c r="S130" s="4">
        <f>Tableau1_2[[#This Row],[Marge]]/Tableau1_2[[#This Row],[CA]]</f>
        <v>0.35</v>
      </c>
      <c r="T130" t="str">
        <f>TEXT(Tableau1_2[[#This Row],[Date]],"mmmm")</f>
        <v>août</v>
      </c>
    </row>
    <row r="131" spans="1:20" x14ac:dyDescent="0.35">
      <c r="A131" t="s">
        <v>436</v>
      </c>
      <c r="B131" s="2">
        <v>46327</v>
      </c>
      <c r="C131" t="s">
        <v>437</v>
      </c>
      <c r="D131" t="s">
        <v>438</v>
      </c>
      <c r="E131" t="s">
        <v>18</v>
      </c>
      <c r="F131" t="s">
        <v>18</v>
      </c>
      <c r="G131" t="s">
        <v>34</v>
      </c>
      <c r="H131" t="s">
        <v>158</v>
      </c>
      <c r="I131">
        <v>2</v>
      </c>
      <c r="J131">
        <v>95000</v>
      </c>
      <c r="K131">
        <v>72100</v>
      </c>
      <c r="L131" t="s">
        <v>96</v>
      </c>
      <c r="M131" t="s">
        <v>37</v>
      </c>
      <c r="N131" t="s">
        <v>23</v>
      </c>
      <c r="O131" t="s">
        <v>45</v>
      </c>
      <c r="P131">
        <f>Tableau1_2[[#This Row],[Quantité]]*Tableau1_2[[#This Row],[Prix_Unitaire]]</f>
        <v>190000</v>
      </c>
      <c r="Q131">
        <f>Tableau1_2[[#This Row],[Quantité]]*Tableau1_2[[#This Row],[Coût_Unitaire]]</f>
        <v>144200</v>
      </c>
      <c r="R131">
        <f>Tableau1_2[[#This Row],[CA]]-Tableau1_2[[#This Row],[Cout Total]]</f>
        <v>45800</v>
      </c>
      <c r="S131" s="4">
        <f>Tableau1_2[[#This Row],[Marge]]/Tableau1_2[[#This Row],[CA]]</f>
        <v>0.24105263157894738</v>
      </c>
      <c r="T131" t="str">
        <f>TEXT(Tableau1_2[[#This Row],[Date]],"mmmm")</f>
        <v>novembre</v>
      </c>
    </row>
    <row r="132" spans="1:20" x14ac:dyDescent="0.35">
      <c r="A132" t="s">
        <v>439</v>
      </c>
      <c r="B132" s="2">
        <v>46165</v>
      </c>
      <c r="C132" t="s">
        <v>63</v>
      </c>
      <c r="D132" t="s">
        <v>440</v>
      </c>
      <c r="E132" t="s">
        <v>70</v>
      </c>
      <c r="F132" t="s">
        <v>71</v>
      </c>
      <c r="G132" t="s">
        <v>19</v>
      </c>
      <c r="H132" t="s">
        <v>166</v>
      </c>
      <c r="I132">
        <v>2</v>
      </c>
      <c r="J132">
        <v>147000</v>
      </c>
      <c r="K132">
        <v>100000</v>
      </c>
      <c r="L132" t="s">
        <v>21</v>
      </c>
      <c r="M132" t="s">
        <v>51</v>
      </c>
      <c r="N132" t="s">
        <v>23</v>
      </c>
      <c r="O132" t="s">
        <v>91</v>
      </c>
      <c r="P132">
        <f>Tableau1_2[[#This Row],[Quantité]]*Tableau1_2[[#This Row],[Prix_Unitaire]]</f>
        <v>294000</v>
      </c>
      <c r="Q132">
        <f>Tableau1_2[[#This Row],[Quantité]]*Tableau1_2[[#This Row],[Coût_Unitaire]]</f>
        <v>200000</v>
      </c>
      <c r="R132">
        <f>Tableau1_2[[#This Row],[CA]]-Tableau1_2[[#This Row],[Cout Total]]</f>
        <v>94000</v>
      </c>
      <c r="S132" s="4">
        <f>Tableau1_2[[#This Row],[Marge]]/Tableau1_2[[#This Row],[CA]]</f>
        <v>0.31972789115646261</v>
      </c>
      <c r="T132" t="str">
        <f>TEXT(Tableau1_2[[#This Row],[Date]],"mmmm")</f>
        <v>mai</v>
      </c>
    </row>
    <row r="133" spans="1:20" x14ac:dyDescent="0.35">
      <c r="A133" t="s">
        <v>441</v>
      </c>
      <c r="B133" s="2">
        <v>46061</v>
      </c>
      <c r="C133" t="s">
        <v>353</v>
      </c>
      <c r="D133" t="s">
        <v>442</v>
      </c>
      <c r="E133" t="s">
        <v>156</v>
      </c>
      <c r="F133" t="s">
        <v>170</v>
      </c>
      <c r="G133" t="s">
        <v>34</v>
      </c>
      <c r="H133" t="s">
        <v>141</v>
      </c>
      <c r="I133">
        <v>9</v>
      </c>
      <c r="J133">
        <v>152000</v>
      </c>
      <c r="K133">
        <v>123600</v>
      </c>
      <c r="L133" t="s">
        <v>80</v>
      </c>
      <c r="M133" t="s">
        <v>22</v>
      </c>
      <c r="N133" t="s">
        <v>52</v>
      </c>
      <c r="O133" t="s">
        <v>24</v>
      </c>
      <c r="P133">
        <f>Tableau1_2[[#This Row],[Quantité]]*Tableau1_2[[#This Row],[Prix_Unitaire]]</f>
        <v>1368000</v>
      </c>
      <c r="Q133">
        <f>Tableau1_2[[#This Row],[Quantité]]*Tableau1_2[[#This Row],[Coût_Unitaire]]</f>
        <v>1112400</v>
      </c>
      <c r="R133">
        <f>Tableau1_2[[#This Row],[CA]]-Tableau1_2[[#This Row],[Cout Total]]</f>
        <v>255600</v>
      </c>
      <c r="S133" s="4">
        <f>Tableau1_2[[#This Row],[Marge]]/Tableau1_2[[#This Row],[CA]]</f>
        <v>0.18684210526315789</v>
      </c>
      <c r="T133" t="str">
        <f>TEXT(Tableau1_2[[#This Row],[Date]],"mmmm")</f>
        <v>février</v>
      </c>
    </row>
    <row r="134" spans="1:20" x14ac:dyDescent="0.35">
      <c r="A134" t="s">
        <v>443</v>
      </c>
      <c r="B134" s="2">
        <v>46294</v>
      </c>
      <c r="C134" t="s">
        <v>444</v>
      </c>
      <c r="D134" t="s">
        <v>406</v>
      </c>
      <c r="E134" t="s">
        <v>77</v>
      </c>
      <c r="F134" t="s">
        <v>78</v>
      </c>
      <c r="G134" t="s">
        <v>34</v>
      </c>
      <c r="H134" t="s">
        <v>35</v>
      </c>
      <c r="I134">
        <v>8</v>
      </c>
      <c r="J134">
        <v>55000</v>
      </c>
      <c r="K134">
        <v>40200</v>
      </c>
      <c r="L134" t="s">
        <v>73</v>
      </c>
      <c r="M134" t="s">
        <v>22</v>
      </c>
      <c r="N134" t="s">
        <v>52</v>
      </c>
      <c r="O134" t="s">
        <v>24</v>
      </c>
      <c r="P134">
        <f>Tableau1_2[[#This Row],[Quantité]]*Tableau1_2[[#This Row],[Prix_Unitaire]]</f>
        <v>440000</v>
      </c>
      <c r="Q134">
        <f>Tableau1_2[[#This Row],[Quantité]]*Tableau1_2[[#This Row],[Coût_Unitaire]]</f>
        <v>321600</v>
      </c>
      <c r="R134">
        <f>Tableau1_2[[#This Row],[CA]]-Tableau1_2[[#This Row],[Cout Total]]</f>
        <v>118400</v>
      </c>
      <c r="S134" s="4">
        <f>Tableau1_2[[#This Row],[Marge]]/Tableau1_2[[#This Row],[CA]]</f>
        <v>0.2690909090909091</v>
      </c>
      <c r="T134" t="str">
        <f>TEXT(Tableau1_2[[#This Row],[Date]],"mmmm")</f>
        <v>septembre</v>
      </c>
    </row>
    <row r="135" spans="1:20" x14ac:dyDescent="0.35">
      <c r="A135" t="s">
        <v>445</v>
      </c>
      <c r="B135" s="2">
        <v>46057</v>
      </c>
      <c r="C135" t="s">
        <v>446</v>
      </c>
      <c r="D135" t="s">
        <v>447</v>
      </c>
      <c r="E135" t="s">
        <v>18</v>
      </c>
      <c r="F135" t="s">
        <v>18</v>
      </c>
      <c r="G135" t="s">
        <v>34</v>
      </c>
      <c r="H135" t="s">
        <v>95</v>
      </c>
      <c r="I135">
        <v>8</v>
      </c>
      <c r="J135">
        <v>450000</v>
      </c>
      <c r="K135">
        <v>381100</v>
      </c>
      <c r="L135" t="s">
        <v>50</v>
      </c>
      <c r="M135" t="s">
        <v>37</v>
      </c>
      <c r="N135" t="s">
        <v>87</v>
      </c>
      <c r="O135" t="s">
        <v>91</v>
      </c>
      <c r="P135">
        <f>Tableau1_2[[#This Row],[Quantité]]*Tableau1_2[[#This Row],[Prix_Unitaire]]</f>
        <v>3600000</v>
      </c>
      <c r="Q135">
        <f>Tableau1_2[[#This Row],[Quantité]]*Tableau1_2[[#This Row],[Coût_Unitaire]]</f>
        <v>3048800</v>
      </c>
      <c r="R135">
        <f>Tableau1_2[[#This Row],[CA]]-Tableau1_2[[#This Row],[Cout Total]]</f>
        <v>551200</v>
      </c>
      <c r="S135" s="4">
        <f>Tableau1_2[[#This Row],[Marge]]/Tableau1_2[[#This Row],[CA]]</f>
        <v>0.15311111111111111</v>
      </c>
      <c r="T135" t="str">
        <f>TEXT(Tableau1_2[[#This Row],[Date]],"mmmm")</f>
        <v>février</v>
      </c>
    </row>
    <row r="136" spans="1:20" x14ac:dyDescent="0.35">
      <c r="A136" t="s">
        <v>448</v>
      </c>
      <c r="B136" s="2">
        <v>46227</v>
      </c>
      <c r="C136" t="s">
        <v>449</v>
      </c>
      <c r="D136" t="s">
        <v>450</v>
      </c>
      <c r="E136" t="s">
        <v>18</v>
      </c>
      <c r="F136" t="s">
        <v>18</v>
      </c>
      <c r="G136" t="s">
        <v>43</v>
      </c>
      <c r="H136" t="s">
        <v>162</v>
      </c>
      <c r="I136">
        <v>4</v>
      </c>
      <c r="J136">
        <v>8000</v>
      </c>
      <c r="K136">
        <v>4800</v>
      </c>
      <c r="L136" t="s">
        <v>21</v>
      </c>
      <c r="M136" t="s">
        <v>51</v>
      </c>
      <c r="N136" t="s">
        <v>52</v>
      </c>
      <c r="O136" t="s">
        <v>45</v>
      </c>
      <c r="P136">
        <f>Tableau1_2[[#This Row],[Quantité]]*Tableau1_2[[#This Row],[Prix_Unitaire]]</f>
        <v>32000</v>
      </c>
      <c r="Q136">
        <f>Tableau1_2[[#This Row],[Quantité]]*Tableau1_2[[#This Row],[Coût_Unitaire]]</f>
        <v>19200</v>
      </c>
      <c r="R136">
        <f>Tableau1_2[[#This Row],[CA]]-Tableau1_2[[#This Row],[Cout Total]]</f>
        <v>12800</v>
      </c>
      <c r="S136" s="4">
        <f>Tableau1_2[[#This Row],[Marge]]/Tableau1_2[[#This Row],[CA]]</f>
        <v>0.4</v>
      </c>
      <c r="T136" t="str">
        <f>TEXT(Tableau1_2[[#This Row],[Date]],"mmmm")</f>
        <v>juillet</v>
      </c>
    </row>
    <row r="137" spans="1:20" x14ac:dyDescent="0.35">
      <c r="A137" t="s">
        <v>451</v>
      </c>
      <c r="B137" s="2">
        <v>46165</v>
      </c>
      <c r="C137" t="s">
        <v>452</v>
      </c>
      <c r="D137" t="s">
        <v>453</v>
      </c>
      <c r="E137" t="s">
        <v>18</v>
      </c>
      <c r="F137" t="s">
        <v>18</v>
      </c>
      <c r="G137" t="s">
        <v>19</v>
      </c>
      <c r="H137" t="s">
        <v>166</v>
      </c>
      <c r="I137">
        <v>6</v>
      </c>
      <c r="J137">
        <v>133000</v>
      </c>
      <c r="K137">
        <v>100000</v>
      </c>
      <c r="L137" t="s">
        <v>96</v>
      </c>
      <c r="M137" t="s">
        <v>37</v>
      </c>
      <c r="N137" t="s">
        <v>52</v>
      </c>
      <c r="O137" t="s">
        <v>91</v>
      </c>
      <c r="P137">
        <f>Tableau1_2[[#This Row],[Quantité]]*Tableau1_2[[#This Row],[Prix_Unitaire]]</f>
        <v>798000</v>
      </c>
      <c r="Q137">
        <f>Tableau1_2[[#This Row],[Quantité]]*Tableau1_2[[#This Row],[Coût_Unitaire]]</f>
        <v>600000</v>
      </c>
      <c r="R137">
        <f>Tableau1_2[[#This Row],[CA]]-Tableau1_2[[#This Row],[Cout Total]]</f>
        <v>198000</v>
      </c>
      <c r="S137" s="4">
        <f>Tableau1_2[[#This Row],[Marge]]/Tableau1_2[[#This Row],[CA]]</f>
        <v>0.24812030075187969</v>
      </c>
      <c r="T137" t="str">
        <f>TEXT(Tableau1_2[[#This Row],[Date]],"mmmm")</f>
        <v>mai</v>
      </c>
    </row>
    <row r="138" spans="1:20" x14ac:dyDescent="0.35">
      <c r="A138" t="s">
        <v>454</v>
      </c>
      <c r="B138" s="2">
        <v>46200</v>
      </c>
      <c r="C138" t="s">
        <v>455</v>
      </c>
      <c r="D138" t="s">
        <v>456</v>
      </c>
      <c r="E138" t="s">
        <v>70</v>
      </c>
      <c r="F138" t="s">
        <v>71</v>
      </c>
      <c r="G138" t="s">
        <v>28</v>
      </c>
      <c r="H138" t="s">
        <v>248</v>
      </c>
      <c r="I138">
        <v>4</v>
      </c>
      <c r="J138">
        <v>26200</v>
      </c>
      <c r="K138">
        <v>16500</v>
      </c>
      <c r="L138" t="s">
        <v>80</v>
      </c>
      <c r="M138" t="s">
        <v>51</v>
      </c>
      <c r="N138" t="s">
        <v>23</v>
      </c>
      <c r="O138" t="s">
        <v>24</v>
      </c>
      <c r="P138">
        <f>Tableau1_2[[#This Row],[Quantité]]*Tableau1_2[[#This Row],[Prix_Unitaire]]</f>
        <v>104800</v>
      </c>
      <c r="Q138">
        <f>Tableau1_2[[#This Row],[Quantité]]*Tableau1_2[[#This Row],[Coût_Unitaire]]</f>
        <v>66000</v>
      </c>
      <c r="R138">
        <f>Tableau1_2[[#This Row],[CA]]-Tableau1_2[[#This Row],[Cout Total]]</f>
        <v>38800</v>
      </c>
      <c r="S138" s="4">
        <f>Tableau1_2[[#This Row],[Marge]]/Tableau1_2[[#This Row],[CA]]</f>
        <v>0.37022900763358779</v>
      </c>
      <c r="T138" t="str">
        <f>TEXT(Tableau1_2[[#This Row],[Date]],"mmmm")</f>
        <v>juin</v>
      </c>
    </row>
    <row r="139" spans="1:20" x14ac:dyDescent="0.35">
      <c r="A139" t="s">
        <v>457</v>
      </c>
      <c r="B139" s="2">
        <v>46337</v>
      </c>
      <c r="C139" t="s">
        <v>458</v>
      </c>
      <c r="D139" t="s">
        <v>459</v>
      </c>
      <c r="E139" t="s">
        <v>41</v>
      </c>
      <c r="F139" t="s">
        <v>42</v>
      </c>
      <c r="G139" t="s">
        <v>34</v>
      </c>
      <c r="H139" t="s">
        <v>86</v>
      </c>
      <c r="I139">
        <v>5</v>
      </c>
      <c r="J139">
        <v>180000</v>
      </c>
      <c r="K139">
        <v>135000</v>
      </c>
      <c r="L139" t="s">
        <v>21</v>
      </c>
      <c r="M139" t="s">
        <v>37</v>
      </c>
      <c r="N139" t="s">
        <v>23</v>
      </c>
      <c r="O139" t="s">
        <v>24</v>
      </c>
      <c r="P139">
        <f>Tableau1_2[[#This Row],[Quantité]]*Tableau1_2[[#This Row],[Prix_Unitaire]]</f>
        <v>900000</v>
      </c>
      <c r="Q139">
        <f>Tableau1_2[[#This Row],[Quantité]]*Tableau1_2[[#This Row],[Coût_Unitaire]]</f>
        <v>675000</v>
      </c>
      <c r="R139">
        <f>Tableau1_2[[#This Row],[CA]]-Tableau1_2[[#This Row],[Cout Total]]</f>
        <v>225000</v>
      </c>
      <c r="S139" s="4">
        <f>Tableau1_2[[#This Row],[Marge]]/Tableau1_2[[#This Row],[CA]]</f>
        <v>0.25</v>
      </c>
      <c r="T139" t="str">
        <f>TEXT(Tableau1_2[[#This Row],[Date]],"mmmm")</f>
        <v>novembre</v>
      </c>
    </row>
    <row r="140" spans="1:20" x14ac:dyDescent="0.35">
      <c r="A140" t="s">
        <v>460</v>
      </c>
      <c r="B140" s="2">
        <v>46272</v>
      </c>
      <c r="C140" t="s">
        <v>461</v>
      </c>
      <c r="D140" t="s">
        <v>462</v>
      </c>
      <c r="E140" t="s">
        <v>56</v>
      </c>
      <c r="F140" t="s">
        <v>57</v>
      </c>
      <c r="G140" t="s">
        <v>28</v>
      </c>
      <c r="H140" t="s">
        <v>65</v>
      </c>
      <c r="I140">
        <v>5</v>
      </c>
      <c r="J140">
        <v>12000</v>
      </c>
      <c r="K140">
        <v>7300</v>
      </c>
      <c r="L140" t="s">
        <v>36</v>
      </c>
      <c r="M140" t="s">
        <v>37</v>
      </c>
      <c r="N140" t="s">
        <v>87</v>
      </c>
      <c r="O140" t="s">
        <v>24</v>
      </c>
      <c r="P140">
        <f>Tableau1_2[[#This Row],[Quantité]]*Tableau1_2[[#This Row],[Prix_Unitaire]]</f>
        <v>60000</v>
      </c>
      <c r="Q140">
        <f>Tableau1_2[[#This Row],[Quantité]]*Tableau1_2[[#This Row],[Coût_Unitaire]]</f>
        <v>36500</v>
      </c>
      <c r="R140">
        <f>Tableau1_2[[#This Row],[CA]]-Tableau1_2[[#This Row],[Cout Total]]</f>
        <v>23500</v>
      </c>
      <c r="S140" s="4">
        <f>Tableau1_2[[#This Row],[Marge]]/Tableau1_2[[#This Row],[CA]]</f>
        <v>0.39166666666666666</v>
      </c>
      <c r="T140" t="str">
        <f>TEXT(Tableau1_2[[#This Row],[Date]],"mmmm")</f>
        <v>septembre</v>
      </c>
    </row>
    <row r="141" spans="1:20" x14ac:dyDescent="0.35">
      <c r="A141" t="s">
        <v>463</v>
      </c>
      <c r="B141" s="2">
        <v>46250</v>
      </c>
      <c r="C141" t="s">
        <v>449</v>
      </c>
      <c r="D141" t="s">
        <v>161</v>
      </c>
      <c r="E141" t="s">
        <v>70</v>
      </c>
      <c r="F141" t="s">
        <v>71</v>
      </c>
      <c r="G141" t="s">
        <v>34</v>
      </c>
      <c r="H141" t="s">
        <v>158</v>
      </c>
      <c r="I141">
        <v>1</v>
      </c>
      <c r="J141">
        <v>90200</v>
      </c>
      <c r="K141">
        <v>67900</v>
      </c>
      <c r="L141" t="s">
        <v>80</v>
      </c>
      <c r="M141" t="s">
        <v>22</v>
      </c>
      <c r="N141" t="s">
        <v>52</v>
      </c>
      <c r="O141" t="s">
        <v>24</v>
      </c>
      <c r="P141">
        <f>Tableau1_2[[#This Row],[Quantité]]*Tableau1_2[[#This Row],[Prix_Unitaire]]</f>
        <v>90200</v>
      </c>
      <c r="Q141">
        <f>Tableau1_2[[#This Row],[Quantité]]*Tableau1_2[[#This Row],[Coût_Unitaire]]</f>
        <v>67900</v>
      </c>
      <c r="R141">
        <f>Tableau1_2[[#This Row],[CA]]-Tableau1_2[[#This Row],[Cout Total]]</f>
        <v>22300</v>
      </c>
      <c r="S141" s="4">
        <f>Tableau1_2[[#This Row],[Marge]]/Tableau1_2[[#This Row],[CA]]</f>
        <v>0.24722838137472283</v>
      </c>
      <c r="T141" t="str">
        <f>TEXT(Tableau1_2[[#This Row],[Date]],"mmmm")</f>
        <v>août</v>
      </c>
    </row>
    <row r="142" spans="1:20" x14ac:dyDescent="0.35">
      <c r="A142" t="s">
        <v>464</v>
      </c>
      <c r="B142" s="2">
        <v>46257</v>
      </c>
      <c r="C142" t="s">
        <v>237</v>
      </c>
      <c r="D142" t="s">
        <v>465</v>
      </c>
      <c r="E142" t="s">
        <v>18</v>
      </c>
      <c r="F142" t="s">
        <v>18</v>
      </c>
      <c r="G142" t="s">
        <v>34</v>
      </c>
      <c r="H142" t="s">
        <v>95</v>
      </c>
      <c r="I142">
        <v>2</v>
      </c>
      <c r="J142">
        <v>472500</v>
      </c>
      <c r="K142">
        <v>358900</v>
      </c>
      <c r="L142" t="s">
        <v>21</v>
      </c>
      <c r="M142" t="s">
        <v>37</v>
      </c>
      <c r="N142" t="s">
        <v>52</v>
      </c>
      <c r="O142" t="s">
        <v>24</v>
      </c>
      <c r="P142">
        <f>Tableau1_2[[#This Row],[Quantité]]*Tableau1_2[[#This Row],[Prix_Unitaire]]</f>
        <v>945000</v>
      </c>
      <c r="Q142">
        <f>Tableau1_2[[#This Row],[Quantité]]*Tableau1_2[[#This Row],[Coût_Unitaire]]</f>
        <v>717800</v>
      </c>
      <c r="R142">
        <f>Tableau1_2[[#This Row],[CA]]-Tableau1_2[[#This Row],[Cout Total]]</f>
        <v>227200</v>
      </c>
      <c r="S142" s="4">
        <f>Tableau1_2[[#This Row],[Marge]]/Tableau1_2[[#This Row],[CA]]</f>
        <v>0.24042328042328043</v>
      </c>
      <c r="T142" t="str">
        <f>TEXT(Tableau1_2[[#This Row],[Date]],"mmmm")</f>
        <v>août</v>
      </c>
    </row>
    <row r="143" spans="1:20" x14ac:dyDescent="0.35">
      <c r="A143" t="s">
        <v>466</v>
      </c>
      <c r="B143" s="2">
        <v>46280</v>
      </c>
      <c r="C143" t="s">
        <v>467</v>
      </c>
      <c r="D143" t="s">
        <v>468</v>
      </c>
      <c r="E143" t="s">
        <v>77</v>
      </c>
      <c r="F143" t="s">
        <v>78</v>
      </c>
      <c r="G143" t="s">
        <v>34</v>
      </c>
      <c r="H143" t="s">
        <v>86</v>
      </c>
      <c r="I143">
        <v>4</v>
      </c>
      <c r="J143">
        <v>171000</v>
      </c>
      <c r="K143">
        <v>131000</v>
      </c>
      <c r="L143" t="s">
        <v>50</v>
      </c>
      <c r="M143" t="s">
        <v>37</v>
      </c>
      <c r="N143" t="s">
        <v>23</v>
      </c>
      <c r="O143" t="s">
        <v>24</v>
      </c>
      <c r="P143">
        <f>Tableau1_2[[#This Row],[Quantité]]*Tableau1_2[[#This Row],[Prix_Unitaire]]</f>
        <v>684000</v>
      </c>
      <c r="Q143">
        <f>Tableau1_2[[#This Row],[Quantité]]*Tableau1_2[[#This Row],[Coût_Unitaire]]</f>
        <v>524000</v>
      </c>
      <c r="R143">
        <f>Tableau1_2[[#This Row],[CA]]-Tableau1_2[[#This Row],[Cout Total]]</f>
        <v>160000</v>
      </c>
      <c r="S143" s="4">
        <f>Tableau1_2[[#This Row],[Marge]]/Tableau1_2[[#This Row],[CA]]</f>
        <v>0.23391812865497075</v>
      </c>
      <c r="T143" t="str">
        <f>TEXT(Tableau1_2[[#This Row],[Date]],"mmmm")</f>
        <v>septembre</v>
      </c>
    </row>
    <row r="144" spans="1:20" x14ac:dyDescent="0.35">
      <c r="A144" t="s">
        <v>469</v>
      </c>
      <c r="B144" s="2">
        <v>46304</v>
      </c>
      <c r="C144" t="s">
        <v>101</v>
      </c>
      <c r="D144" t="s">
        <v>470</v>
      </c>
      <c r="E144" t="s">
        <v>41</v>
      </c>
      <c r="F144" t="s">
        <v>42</v>
      </c>
      <c r="G144" t="s">
        <v>34</v>
      </c>
      <c r="H144" t="s">
        <v>35</v>
      </c>
      <c r="I144">
        <v>9</v>
      </c>
      <c r="J144">
        <v>55000</v>
      </c>
      <c r="K144">
        <v>40200</v>
      </c>
      <c r="L144" t="s">
        <v>21</v>
      </c>
      <c r="M144" t="s">
        <v>22</v>
      </c>
      <c r="N144" t="s">
        <v>87</v>
      </c>
      <c r="O144" t="s">
        <v>45</v>
      </c>
      <c r="P144">
        <f>Tableau1_2[[#This Row],[Quantité]]*Tableau1_2[[#This Row],[Prix_Unitaire]]</f>
        <v>495000</v>
      </c>
      <c r="Q144">
        <f>Tableau1_2[[#This Row],[Quantité]]*Tableau1_2[[#This Row],[Coût_Unitaire]]</f>
        <v>361800</v>
      </c>
      <c r="R144">
        <f>Tableau1_2[[#This Row],[CA]]-Tableau1_2[[#This Row],[Cout Total]]</f>
        <v>133200</v>
      </c>
      <c r="S144" s="4">
        <f>Tableau1_2[[#This Row],[Marge]]/Tableau1_2[[#This Row],[CA]]</f>
        <v>0.2690909090909091</v>
      </c>
      <c r="T144" t="str">
        <f>TEXT(Tableau1_2[[#This Row],[Date]],"mmmm")</f>
        <v>octobre</v>
      </c>
    </row>
    <row r="145" spans="1:20" x14ac:dyDescent="0.35">
      <c r="A145" t="s">
        <v>471</v>
      </c>
      <c r="B145" s="2">
        <v>46153</v>
      </c>
      <c r="C145" t="s">
        <v>472</v>
      </c>
      <c r="D145" t="s">
        <v>473</v>
      </c>
      <c r="E145" t="s">
        <v>84</v>
      </c>
      <c r="F145" t="s">
        <v>85</v>
      </c>
      <c r="G145" t="s">
        <v>28</v>
      </c>
      <c r="H145" t="s">
        <v>65</v>
      </c>
      <c r="I145">
        <v>2</v>
      </c>
      <c r="J145">
        <v>11400</v>
      </c>
      <c r="K145">
        <v>7700</v>
      </c>
      <c r="L145" t="s">
        <v>50</v>
      </c>
      <c r="M145" t="s">
        <v>22</v>
      </c>
      <c r="N145" t="s">
        <v>87</v>
      </c>
      <c r="O145" t="s">
        <v>24</v>
      </c>
      <c r="P145">
        <f>Tableau1_2[[#This Row],[Quantité]]*Tableau1_2[[#This Row],[Prix_Unitaire]]</f>
        <v>22800</v>
      </c>
      <c r="Q145">
        <f>Tableau1_2[[#This Row],[Quantité]]*Tableau1_2[[#This Row],[Coût_Unitaire]]</f>
        <v>15400</v>
      </c>
      <c r="R145">
        <f>Tableau1_2[[#This Row],[CA]]-Tableau1_2[[#This Row],[Cout Total]]</f>
        <v>7400</v>
      </c>
      <c r="S145" s="4">
        <f>Tableau1_2[[#This Row],[Marge]]/Tableau1_2[[#This Row],[CA]]</f>
        <v>0.32456140350877194</v>
      </c>
      <c r="T145" t="str">
        <f>TEXT(Tableau1_2[[#This Row],[Date]],"mmmm")</f>
        <v>mai</v>
      </c>
    </row>
    <row r="146" spans="1:20" x14ac:dyDescent="0.35">
      <c r="A146" t="s">
        <v>474</v>
      </c>
      <c r="B146" s="2">
        <v>46331</v>
      </c>
      <c r="C146" t="s">
        <v>475</v>
      </c>
      <c r="D146" t="s">
        <v>476</v>
      </c>
      <c r="E146" t="s">
        <v>18</v>
      </c>
      <c r="F146" t="s">
        <v>18</v>
      </c>
      <c r="G146" t="s">
        <v>19</v>
      </c>
      <c r="H146" t="s">
        <v>61</v>
      </c>
      <c r="I146">
        <v>5</v>
      </c>
      <c r="J146">
        <v>209000</v>
      </c>
      <c r="K146">
        <v>155200</v>
      </c>
      <c r="L146" t="s">
        <v>66</v>
      </c>
      <c r="M146" t="s">
        <v>22</v>
      </c>
      <c r="N146" t="s">
        <v>23</v>
      </c>
      <c r="O146" t="s">
        <v>45</v>
      </c>
      <c r="P146">
        <f>Tableau1_2[[#This Row],[Quantité]]*Tableau1_2[[#This Row],[Prix_Unitaire]]</f>
        <v>1045000</v>
      </c>
      <c r="Q146">
        <f>Tableau1_2[[#This Row],[Quantité]]*Tableau1_2[[#This Row],[Coût_Unitaire]]</f>
        <v>776000</v>
      </c>
      <c r="R146">
        <f>Tableau1_2[[#This Row],[CA]]-Tableau1_2[[#This Row],[Cout Total]]</f>
        <v>269000</v>
      </c>
      <c r="S146" s="4">
        <f>Tableau1_2[[#This Row],[Marge]]/Tableau1_2[[#This Row],[CA]]</f>
        <v>0.25741626794258371</v>
      </c>
      <c r="T146" t="str">
        <f>TEXT(Tableau1_2[[#This Row],[Date]],"mmmm")</f>
        <v>novembre</v>
      </c>
    </row>
    <row r="147" spans="1:20" x14ac:dyDescent="0.35">
      <c r="A147" t="s">
        <v>477</v>
      </c>
      <c r="B147" s="2">
        <v>46362</v>
      </c>
      <c r="C147" t="s">
        <v>478</v>
      </c>
      <c r="D147" t="s">
        <v>479</v>
      </c>
      <c r="E147" t="s">
        <v>18</v>
      </c>
      <c r="F147" t="s">
        <v>18</v>
      </c>
      <c r="G147" t="s">
        <v>19</v>
      </c>
      <c r="H147" t="s">
        <v>61</v>
      </c>
      <c r="I147">
        <v>1</v>
      </c>
      <c r="J147">
        <v>220000</v>
      </c>
      <c r="K147">
        <v>155200</v>
      </c>
      <c r="L147" t="s">
        <v>73</v>
      </c>
      <c r="M147" t="s">
        <v>37</v>
      </c>
      <c r="N147" t="s">
        <v>23</v>
      </c>
      <c r="O147" t="s">
        <v>45</v>
      </c>
      <c r="P147">
        <f>Tableau1_2[[#This Row],[Quantité]]*Tableau1_2[[#This Row],[Prix_Unitaire]]</f>
        <v>220000</v>
      </c>
      <c r="Q147">
        <f>Tableau1_2[[#This Row],[Quantité]]*Tableau1_2[[#This Row],[Coût_Unitaire]]</f>
        <v>155200</v>
      </c>
      <c r="R147">
        <f>Tableau1_2[[#This Row],[CA]]-Tableau1_2[[#This Row],[Cout Total]]</f>
        <v>64800</v>
      </c>
      <c r="S147" s="4">
        <f>Tableau1_2[[#This Row],[Marge]]/Tableau1_2[[#This Row],[CA]]</f>
        <v>0.29454545454545455</v>
      </c>
      <c r="T147" t="str">
        <f>TEXT(Tableau1_2[[#This Row],[Date]],"mmmm")</f>
        <v>décembre</v>
      </c>
    </row>
    <row r="148" spans="1:20" x14ac:dyDescent="0.35">
      <c r="A148" t="s">
        <v>480</v>
      </c>
      <c r="B148" s="2">
        <v>46259</v>
      </c>
      <c r="C148" t="s">
        <v>481</v>
      </c>
      <c r="D148" t="s">
        <v>482</v>
      </c>
      <c r="E148" t="s">
        <v>190</v>
      </c>
      <c r="F148" t="s">
        <v>191</v>
      </c>
      <c r="G148" t="s">
        <v>28</v>
      </c>
      <c r="H148" t="s">
        <v>65</v>
      </c>
      <c r="I148">
        <v>8</v>
      </c>
      <c r="J148">
        <v>11400</v>
      </c>
      <c r="K148">
        <v>7500</v>
      </c>
      <c r="L148" t="s">
        <v>30</v>
      </c>
      <c r="M148" t="s">
        <v>37</v>
      </c>
      <c r="N148" t="s">
        <v>23</v>
      </c>
      <c r="O148" t="s">
        <v>24</v>
      </c>
      <c r="P148">
        <f>Tableau1_2[[#This Row],[Quantité]]*Tableau1_2[[#This Row],[Prix_Unitaire]]</f>
        <v>91200</v>
      </c>
      <c r="Q148">
        <f>Tableau1_2[[#This Row],[Quantité]]*Tableau1_2[[#This Row],[Coût_Unitaire]]</f>
        <v>60000</v>
      </c>
      <c r="R148">
        <f>Tableau1_2[[#This Row],[CA]]-Tableau1_2[[#This Row],[Cout Total]]</f>
        <v>31200</v>
      </c>
      <c r="S148" s="4">
        <f>Tableau1_2[[#This Row],[Marge]]/Tableau1_2[[#This Row],[CA]]</f>
        <v>0.34210526315789475</v>
      </c>
      <c r="T148" t="str">
        <f>TEXT(Tableau1_2[[#This Row],[Date]],"mmmm")</f>
        <v>août</v>
      </c>
    </row>
    <row r="149" spans="1:20" x14ac:dyDescent="0.35">
      <c r="A149" t="s">
        <v>483</v>
      </c>
      <c r="B149" s="2">
        <v>46161</v>
      </c>
      <c r="C149" t="s">
        <v>484</v>
      </c>
      <c r="D149" t="s">
        <v>276</v>
      </c>
      <c r="E149" t="s">
        <v>18</v>
      </c>
      <c r="F149" t="s">
        <v>18</v>
      </c>
      <c r="G149" t="s">
        <v>34</v>
      </c>
      <c r="H149" t="s">
        <v>141</v>
      </c>
      <c r="I149">
        <v>7</v>
      </c>
      <c r="J149">
        <v>160000</v>
      </c>
      <c r="K149">
        <v>116400</v>
      </c>
      <c r="L149" t="s">
        <v>30</v>
      </c>
      <c r="M149" t="s">
        <v>37</v>
      </c>
      <c r="N149" t="s">
        <v>23</v>
      </c>
      <c r="O149" t="s">
        <v>24</v>
      </c>
      <c r="P149">
        <f>Tableau1_2[[#This Row],[Quantité]]*Tableau1_2[[#This Row],[Prix_Unitaire]]</f>
        <v>1120000</v>
      </c>
      <c r="Q149">
        <f>Tableau1_2[[#This Row],[Quantité]]*Tableau1_2[[#This Row],[Coût_Unitaire]]</f>
        <v>814800</v>
      </c>
      <c r="R149">
        <f>Tableau1_2[[#This Row],[CA]]-Tableau1_2[[#This Row],[Cout Total]]</f>
        <v>305200</v>
      </c>
      <c r="S149" s="4">
        <f>Tableau1_2[[#This Row],[Marge]]/Tableau1_2[[#This Row],[CA]]</f>
        <v>0.27250000000000002</v>
      </c>
      <c r="T149" t="str">
        <f>TEXT(Tableau1_2[[#This Row],[Date]],"mmmm")</f>
        <v>mai</v>
      </c>
    </row>
    <row r="150" spans="1:20" x14ac:dyDescent="0.35">
      <c r="A150" t="s">
        <v>485</v>
      </c>
      <c r="B150" s="2">
        <v>46116</v>
      </c>
      <c r="C150" t="s">
        <v>486</v>
      </c>
      <c r="D150" t="s">
        <v>487</v>
      </c>
      <c r="E150" t="s">
        <v>18</v>
      </c>
      <c r="F150" t="s">
        <v>18</v>
      </c>
      <c r="G150" t="s">
        <v>34</v>
      </c>
      <c r="H150" t="s">
        <v>95</v>
      </c>
      <c r="I150">
        <v>3</v>
      </c>
      <c r="J150">
        <v>450000</v>
      </c>
      <c r="K150">
        <v>358900</v>
      </c>
      <c r="L150" t="s">
        <v>50</v>
      </c>
      <c r="M150" t="s">
        <v>31</v>
      </c>
      <c r="N150" t="s">
        <v>23</v>
      </c>
      <c r="O150" t="s">
        <v>24</v>
      </c>
      <c r="P150">
        <f>Tableau1_2[[#This Row],[Quantité]]*Tableau1_2[[#This Row],[Prix_Unitaire]]</f>
        <v>1350000</v>
      </c>
      <c r="Q150">
        <f>Tableau1_2[[#This Row],[Quantité]]*Tableau1_2[[#This Row],[Coût_Unitaire]]</f>
        <v>1076700</v>
      </c>
      <c r="R150">
        <f>Tableau1_2[[#This Row],[CA]]-Tableau1_2[[#This Row],[Cout Total]]</f>
        <v>273300</v>
      </c>
      <c r="S150" s="4">
        <f>Tableau1_2[[#This Row],[Marge]]/Tableau1_2[[#This Row],[CA]]</f>
        <v>0.20244444444444445</v>
      </c>
      <c r="T150" t="str">
        <f>TEXT(Tableau1_2[[#This Row],[Date]],"mmmm")</f>
        <v>avril</v>
      </c>
    </row>
    <row r="151" spans="1:20" x14ac:dyDescent="0.35">
      <c r="A151" t="s">
        <v>488</v>
      </c>
      <c r="B151" s="2">
        <v>46284</v>
      </c>
      <c r="C151" t="s">
        <v>489</v>
      </c>
      <c r="D151" t="s">
        <v>490</v>
      </c>
      <c r="E151" t="s">
        <v>70</v>
      </c>
      <c r="F151" t="s">
        <v>71</v>
      </c>
      <c r="G151" t="s">
        <v>19</v>
      </c>
      <c r="H151" t="s">
        <v>166</v>
      </c>
      <c r="I151">
        <v>4</v>
      </c>
      <c r="J151">
        <v>140000</v>
      </c>
      <c r="K151">
        <v>97000</v>
      </c>
      <c r="L151" t="s">
        <v>21</v>
      </c>
      <c r="M151" t="s">
        <v>37</v>
      </c>
      <c r="N151" t="s">
        <v>87</v>
      </c>
      <c r="O151" t="s">
        <v>24</v>
      </c>
      <c r="P151">
        <f>Tableau1_2[[#This Row],[Quantité]]*Tableau1_2[[#This Row],[Prix_Unitaire]]</f>
        <v>560000</v>
      </c>
      <c r="Q151">
        <f>Tableau1_2[[#This Row],[Quantité]]*Tableau1_2[[#This Row],[Coût_Unitaire]]</f>
        <v>388000</v>
      </c>
      <c r="R151">
        <f>Tableau1_2[[#This Row],[CA]]-Tableau1_2[[#This Row],[Cout Total]]</f>
        <v>172000</v>
      </c>
      <c r="S151" s="4">
        <f>Tableau1_2[[#This Row],[Marge]]/Tableau1_2[[#This Row],[CA]]</f>
        <v>0.30714285714285716</v>
      </c>
      <c r="T151" t="str">
        <f>TEXT(Tableau1_2[[#This Row],[Date]],"mmmm")</f>
        <v>septembre</v>
      </c>
    </row>
    <row r="152" spans="1:20" x14ac:dyDescent="0.35">
      <c r="A152" t="s">
        <v>491</v>
      </c>
      <c r="B152" s="2">
        <v>46138</v>
      </c>
      <c r="C152" t="s">
        <v>492</v>
      </c>
      <c r="D152" t="s">
        <v>493</v>
      </c>
      <c r="E152" t="s">
        <v>18</v>
      </c>
      <c r="F152" t="s">
        <v>18</v>
      </c>
      <c r="G152" t="s">
        <v>28</v>
      </c>
      <c r="H152" t="s">
        <v>248</v>
      </c>
      <c r="I152">
        <v>9</v>
      </c>
      <c r="J152">
        <v>26200</v>
      </c>
      <c r="K152">
        <v>15500</v>
      </c>
      <c r="L152" t="s">
        <v>96</v>
      </c>
      <c r="M152" t="s">
        <v>37</v>
      </c>
      <c r="N152" t="s">
        <v>23</v>
      </c>
      <c r="O152" t="s">
        <v>91</v>
      </c>
      <c r="P152">
        <f>Tableau1_2[[#This Row],[Quantité]]*Tableau1_2[[#This Row],[Prix_Unitaire]]</f>
        <v>235800</v>
      </c>
      <c r="Q152">
        <f>Tableau1_2[[#This Row],[Quantité]]*Tableau1_2[[#This Row],[Coût_Unitaire]]</f>
        <v>139500</v>
      </c>
      <c r="R152">
        <f>Tableau1_2[[#This Row],[CA]]-Tableau1_2[[#This Row],[Cout Total]]</f>
        <v>96300</v>
      </c>
      <c r="S152" s="4">
        <f>Tableau1_2[[#This Row],[Marge]]/Tableau1_2[[#This Row],[CA]]</f>
        <v>0.40839694656488551</v>
      </c>
      <c r="T152" t="str">
        <f>TEXT(Tableau1_2[[#This Row],[Date]],"mmmm")</f>
        <v>avril</v>
      </c>
    </row>
    <row r="153" spans="1:20" x14ac:dyDescent="0.35">
      <c r="A153" t="s">
        <v>494</v>
      </c>
      <c r="B153" s="2">
        <v>46127</v>
      </c>
      <c r="C153" t="s">
        <v>495</v>
      </c>
      <c r="D153" t="s">
        <v>267</v>
      </c>
      <c r="E153" t="s">
        <v>41</v>
      </c>
      <c r="F153" t="s">
        <v>42</v>
      </c>
      <c r="G153" t="s">
        <v>19</v>
      </c>
      <c r="H153" t="s">
        <v>166</v>
      </c>
      <c r="I153">
        <v>5</v>
      </c>
      <c r="J153">
        <v>133000</v>
      </c>
      <c r="K153">
        <v>100000</v>
      </c>
      <c r="L153" t="s">
        <v>66</v>
      </c>
      <c r="M153" t="s">
        <v>22</v>
      </c>
      <c r="N153" t="s">
        <v>23</v>
      </c>
      <c r="O153" t="s">
        <v>24</v>
      </c>
      <c r="P153">
        <f>Tableau1_2[[#This Row],[Quantité]]*Tableau1_2[[#This Row],[Prix_Unitaire]]</f>
        <v>665000</v>
      </c>
      <c r="Q153">
        <f>Tableau1_2[[#This Row],[Quantité]]*Tableau1_2[[#This Row],[Coût_Unitaire]]</f>
        <v>500000</v>
      </c>
      <c r="R153">
        <f>Tableau1_2[[#This Row],[CA]]-Tableau1_2[[#This Row],[Cout Total]]</f>
        <v>165000</v>
      </c>
      <c r="S153" s="4">
        <f>Tableau1_2[[#This Row],[Marge]]/Tableau1_2[[#This Row],[CA]]</f>
        <v>0.24812030075187969</v>
      </c>
      <c r="T153" t="str">
        <f>TEXT(Tableau1_2[[#This Row],[Date]],"mmmm")</f>
        <v>avril</v>
      </c>
    </row>
    <row r="154" spans="1:20" x14ac:dyDescent="0.35">
      <c r="A154" t="s">
        <v>496</v>
      </c>
      <c r="B154" s="2">
        <v>46271</v>
      </c>
      <c r="C154" t="s">
        <v>497</v>
      </c>
      <c r="D154" t="s">
        <v>498</v>
      </c>
      <c r="E154" t="s">
        <v>190</v>
      </c>
      <c r="F154" t="s">
        <v>191</v>
      </c>
      <c r="G154" t="s">
        <v>34</v>
      </c>
      <c r="H154" t="s">
        <v>141</v>
      </c>
      <c r="I154">
        <v>7</v>
      </c>
      <c r="J154">
        <v>168000</v>
      </c>
      <c r="K154">
        <v>116400</v>
      </c>
      <c r="L154" t="s">
        <v>36</v>
      </c>
      <c r="M154" t="s">
        <v>37</v>
      </c>
      <c r="N154" t="s">
        <v>23</v>
      </c>
      <c r="O154" t="s">
        <v>24</v>
      </c>
      <c r="P154">
        <f>Tableau1_2[[#This Row],[Quantité]]*Tableau1_2[[#This Row],[Prix_Unitaire]]</f>
        <v>1176000</v>
      </c>
      <c r="Q154">
        <f>Tableau1_2[[#This Row],[Quantité]]*Tableau1_2[[#This Row],[Coût_Unitaire]]</f>
        <v>814800</v>
      </c>
      <c r="R154">
        <f>Tableau1_2[[#This Row],[CA]]-Tableau1_2[[#This Row],[Cout Total]]</f>
        <v>361200</v>
      </c>
      <c r="S154" s="4">
        <f>Tableau1_2[[#This Row],[Marge]]/Tableau1_2[[#This Row],[CA]]</f>
        <v>0.30714285714285716</v>
      </c>
      <c r="T154" t="str">
        <f>TEXT(Tableau1_2[[#This Row],[Date]],"mmmm")</f>
        <v>septembre</v>
      </c>
    </row>
    <row r="155" spans="1:20" x14ac:dyDescent="0.35">
      <c r="A155" t="s">
        <v>499</v>
      </c>
      <c r="B155" s="2">
        <v>46101</v>
      </c>
      <c r="C155" t="s">
        <v>500</v>
      </c>
      <c r="D155" t="s">
        <v>501</v>
      </c>
      <c r="E155" t="s">
        <v>190</v>
      </c>
      <c r="F155" t="s">
        <v>191</v>
      </c>
      <c r="G155" t="s">
        <v>19</v>
      </c>
      <c r="H155" t="s">
        <v>20</v>
      </c>
      <c r="I155">
        <v>6</v>
      </c>
      <c r="J155">
        <v>65000</v>
      </c>
      <c r="K155">
        <v>46400</v>
      </c>
      <c r="L155" t="s">
        <v>21</v>
      </c>
      <c r="M155" t="s">
        <v>37</v>
      </c>
      <c r="N155" t="s">
        <v>87</v>
      </c>
      <c r="O155" t="s">
        <v>24</v>
      </c>
      <c r="P155">
        <f>Tableau1_2[[#This Row],[Quantité]]*Tableau1_2[[#This Row],[Prix_Unitaire]]</f>
        <v>390000</v>
      </c>
      <c r="Q155">
        <f>Tableau1_2[[#This Row],[Quantité]]*Tableau1_2[[#This Row],[Coût_Unitaire]]</f>
        <v>278400</v>
      </c>
      <c r="R155">
        <f>Tableau1_2[[#This Row],[CA]]-Tableau1_2[[#This Row],[Cout Total]]</f>
        <v>111600</v>
      </c>
      <c r="S155" s="4">
        <f>Tableau1_2[[#This Row],[Marge]]/Tableau1_2[[#This Row],[CA]]</f>
        <v>0.28615384615384615</v>
      </c>
      <c r="T155" t="str">
        <f>TEXT(Tableau1_2[[#This Row],[Date]],"mmmm")</f>
        <v>mars</v>
      </c>
    </row>
    <row r="156" spans="1:20" x14ac:dyDescent="0.35">
      <c r="A156" t="s">
        <v>502</v>
      </c>
      <c r="B156" s="2">
        <v>46045</v>
      </c>
      <c r="C156" t="s">
        <v>503</v>
      </c>
      <c r="D156" t="s">
        <v>504</v>
      </c>
      <c r="E156" t="s">
        <v>18</v>
      </c>
      <c r="F156" t="s">
        <v>18</v>
      </c>
      <c r="G156" t="s">
        <v>43</v>
      </c>
      <c r="H156" t="s">
        <v>49</v>
      </c>
      <c r="I156">
        <v>9</v>
      </c>
      <c r="J156">
        <v>9000</v>
      </c>
      <c r="K156">
        <v>5600</v>
      </c>
      <c r="L156" t="s">
        <v>80</v>
      </c>
      <c r="M156" t="s">
        <v>37</v>
      </c>
      <c r="N156" t="s">
        <v>23</v>
      </c>
      <c r="O156" t="s">
        <v>91</v>
      </c>
      <c r="P156">
        <f>Tableau1_2[[#This Row],[Quantité]]*Tableau1_2[[#This Row],[Prix_Unitaire]]</f>
        <v>81000</v>
      </c>
      <c r="Q156">
        <f>Tableau1_2[[#This Row],[Quantité]]*Tableau1_2[[#This Row],[Coût_Unitaire]]</f>
        <v>50400</v>
      </c>
      <c r="R156">
        <f>Tableau1_2[[#This Row],[CA]]-Tableau1_2[[#This Row],[Cout Total]]</f>
        <v>30600</v>
      </c>
      <c r="S156" s="4">
        <f>Tableau1_2[[#This Row],[Marge]]/Tableau1_2[[#This Row],[CA]]</f>
        <v>0.37777777777777777</v>
      </c>
      <c r="T156" t="str">
        <f>TEXT(Tableau1_2[[#This Row],[Date]],"mmmm")</f>
        <v>janvier</v>
      </c>
    </row>
    <row r="157" spans="1:20" x14ac:dyDescent="0.35">
      <c r="A157" t="s">
        <v>505</v>
      </c>
      <c r="B157" s="2">
        <v>46258</v>
      </c>
      <c r="C157" t="s">
        <v>506</v>
      </c>
      <c r="D157" t="s">
        <v>507</v>
      </c>
      <c r="E157" t="s">
        <v>18</v>
      </c>
      <c r="F157" t="s">
        <v>18</v>
      </c>
      <c r="G157" t="s">
        <v>43</v>
      </c>
      <c r="H157" t="s">
        <v>44</v>
      </c>
      <c r="I157">
        <v>8</v>
      </c>
      <c r="J157">
        <v>14200</v>
      </c>
      <c r="K157">
        <v>9200</v>
      </c>
      <c r="L157" t="s">
        <v>50</v>
      </c>
      <c r="M157" t="s">
        <v>22</v>
      </c>
      <c r="N157" t="s">
        <v>23</v>
      </c>
      <c r="O157" t="s">
        <v>24</v>
      </c>
      <c r="P157">
        <f>Tableau1_2[[#This Row],[Quantité]]*Tableau1_2[[#This Row],[Prix_Unitaire]]</f>
        <v>113600</v>
      </c>
      <c r="Q157">
        <f>Tableau1_2[[#This Row],[Quantité]]*Tableau1_2[[#This Row],[Coût_Unitaire]]</f>
        <v>73600</v>
      </c>
      <c r="R157">
        <f>Tableau1_2[[#This Row],[CA]]-Tableau1_2[[#This Row],[Cout Total]]</f>
        <v>40000</v>
      </c>
      <c r="S157" s="4">
        <f>Tableau1_2[[#This Row],[Marge]]/Tableau1_2[[#This Row],[CA]]</f>
        <v>0.352112676056338</v>
      </c>
      <c r="T157" t="str">
        <f>TEXT(Tableau1_2[[#This Row],[Date]],"mmmm")</f>
        <v>août</v>
      </c>
    </row>
    <row r="158" spans="1:20" x14ac:dyDescent="0.35">
      <c r="A158" t="s">
        <v>508</v>
      </c>
      <c r="B158" s="2">
        <v>46341</v>
      </c>
      <c r="C158" t="s">
        <v>114</v>
      </c>
      <c r="D158" t="s">
        <v>278</v>
      </c>
      <c r="E158" t="s">
        <v>56</v>
      </c>
      <c r="F158" t="s">
        <v>57</v>
      </c>
      <c r="G158" t="s">
        <v>19</v>
      </c>
      <c r="H158" t="s">
        <v>112</v>
      </c>
      <c r="I158">
        <v>2</v>
      </c>
      <c r="J158">
        <v>85000</v>
      </c>
      <c r="K158">
        <v>62000</v>
      </c>
      <c r="L158" t="s">
        <v>66</v>
      </c>
      <c r="M158" t="s">
        <v>22</v>
      </c>
      <c r="N158" t="s">
        <v>87</v>
      </c>
      <c r="O158" t="s">
        <v>45</v>
      </c>
      <c r="P158">
        <f>Tableau1_2[[#This Row],[Quantité]]*Tableau1_2[[#This Row],[Prix_Unitaire]]</f>
        <v>170000</v>
      </c>
      <c r="Q158">
        <f>Tableau1_2[[#This Row],[Quantité]]*Tableau1_2[[#This Row],[Coût_Unitaire]]</f>
        <v>124000</v>
      </c>
      <c r="R158">
        <f>Tableau1_2[[#This Row],[CA]]-Tableau1_2[[#This Row],[Cout Total]]</f>
        <v>46000</v>
      </c>
      <c r="S158" s="4">
        <f>Tableau1_2[[#This Row],[Marge]]/Tableau1_2[[#This Row],[CA]]</f>
        <v>0.27058823529411763</v>
      </c>
      <c r="T158" t="str">
        <f>TEXT(Tableau1_2[[#This Row],[Date]],"mmmm")</f>
        <v>novembre</v>
      </c>
    </row>
    <row r="159" spans="1:20" x14ac:dyDescent="0.35">
      <c r="A159" t="s">
        <v>509</v>
      </c>
      <c r="B159" s="2">
        <v>46263</v>
      </c>
      <c r="C159" t="s">
        <v>510</v>
      </c>
      <c r="D159" t="s">
        <v>511</v>
      </c>
      <c r="E159" t="s">
        <v>18</v>
      </c>
      <c r="F159" t="s">
        <v>18</v>
      </c>
      <c r="G159" t="s">
        <v>28</v>
      </c>
      <c r="H159" t="s">
        <v>131</v>
      </c>
      <c r="I159">
        <v>6</v>
      </c>
      <c r="J159">
        <v>28500</v>
      </c>
      <c r="K159">
        <v>19600</v>
      </c>
      <c r="L159" t="s">
        <v>36</v>
      </c>
      <c r="M159" t="s">
        <v>37</v>
      </c>
      <c r="N159" t="s">
        <v>23</v>
      </c>
      <c r="O159" t="s">
        <v>24</v>
      </c>
      <c r="P159">
        <f>Tableau1_2[[#This Row],[Quantité]]*Tableau1_2[[#This Row],[Prix_Unitaire]]</f>
        <v>171000</v>
      </c>
      <c r="Q159">
        <f>Tableau1_2[[#This Row],[Quantité]]*Tableau1_2[[#This Row],[Coût_Unitaire]]</f>
        <v>117600</v>
      </c>
      <c r="R159">
        <f>Tableau1_2[[#This Row],[CA]]-Tableau1_2[[#This Row],[Cout Total]]</f>
        <v>53400</v>
      </c>
      <c r="S159" s="4">
        <f>Tableau1_2[[#This Row],[Marge]]/Tableau1_2[[#This Row],[CA]]</f>
        <v>0.31228070175438599</v>
      </c>
      <c r="T159" t="str">
        <f>TEXT(Tableau1_2[[#This Row],[Date]],"mmmm")</f>
        <v>août</v>
      </c>
    </row>
    <row r="160" spans="1:20" x14ac:dyDescent="0.35">
      <c r="A160" t="s">
        <v>512</v>
      </c>
      <c r="B160" s="2">
        <v>46062</v>
      </c>
      <c r="C160" t="s">
        <v>513</v>
      </c>
      <c r="D160" t="s">
        <v>514</v>
      </c>
      <c r="E160" t="s">
        <v>18</v>
      </c>
      <c r="F160" t="s">
        <v>18</v>
      </c>
      <c r="G160" t="s">
        <v>34</v>
      </c>
      <c r="H160" t="s">
        <v>141</v>
      </c>
      <c r="I160">
        <v>5</v>
      </c>
      <c r="J160">
        <v>152000</v>
      </c>
      <c r="K160">
        <v>120000</v>
      </c>
      <c r="L160" t="s">
        <v>66</v>
      </c>
      <c r="M160" t="s">
        <v>37</v>
      </c>
      <c r="N160" t="s">
        <v>87</v>
      </c>
      <c r="O160" t="s">
        <v>24</v>
      </c>
      <c r="P160">
        <f>Tableau1_2[[#This Row],[Quantité]]*Tableau1_2[[#This Row],[Prix_Unitaire]]</f>
        <v>760000</v>
      </c>
      <c r="Q160">
        <f>Tableau1_2[[#This Row],[Quantité]]*Tableau1_2[[#This Row],[Coût_Unitaire]]</f>
        <v>600000</v>
      </c>
      <c r="R160">
        <f>Tableau1_2[[#This Row],[CA]]-Tableau1_2[[#This Row],[Cout Total]]</f>
        <v>160000</v>
      </c>
      <c r="S160" s="4">
        <f>Tableau1_2[[#This Row],[Marge]]/Tableau1_2[[#This Row],[CA]]</f>
        <v>0.21052631578947367</v>
      </c>
      <c r="T160" t="str">
        <f>TEXT(Tableau1_2[[#This Row],[Date]],"mmmm")</f>
        <v>février</v>
      </c>
    </row>
    <row r="161" spans="1:20" x14ac:dyDescent="0.35">
      <c r="A161" t="s">
        <v>515</v>
      </c>
      <c r="B161" s="2">
        <v>46186</v>
      </c>
      <c r="C161" t="s">
        <v>151</v>
      </c>
      <c r="D161" t="s">
        <v>516</v>
      </c>
      <c r="E161" t="s">
        <v>84</v>
      </c>
      <c r="F161" t="s">
        <v>85</v>
      </c>
      <c r="G161" t="s">
        <v>19</v>
      </c>
      <c r="H161" t="s">
        <v>112</v>
      </c>
      <c r="I161">
        <v>1</v>
      </c>
      <c r="J161">
        <v>85000</v>
      </c>
      <c r="K161">
        <v>63900</v>
      </c>
      <c r="L161" t="s">
        <v>96</v>
      </c>
      <c r="M161" t="s">
        <v>51</v>
      </c>
      <c r="N161" t="s">
        <v>87</v>
      </c>
      <c r="O161" t="s">
        <v>24</v>
      </c>
      <c r="P161">
        <f>Tableau1_2[[#This Row],[Quantité]]*Tableau1_2[[#This Row],[Prix_Unitaire]]</f>
        <v>85000</v>
      </c>
      <c r="Q161">
        <f>Tableau1_2[[#This Row],[Quantité]]*Tableau1_2[[#This Row],[Coût_Unitaire]]</f>
        <v>63900</v>
      </c>
      <c r="R161">
        <f>Tableau1_2[[#This Row],[CA]]-Tableau1_2[[#This Row],[Cout Total]]</f>
        <v>21100</v>
      </c>
      <c r="S161" s="4">
        <f>Tableau1_2[[#This Row],[Marge]]/Tableau1_2[[#This Row],[CA]]</f>
        <v>0.24823529411764705</v>
      </c>
      <c r="T161" t="str">
        <f>TEXT(Tableau1_2[[#This Row],[Date]],"mmmm")</f>
        <v>juin</v>
      </c>
    </row>
    <row r="162" spans="1:20" x14ac:dyDescent="0.35">
      <c r="A162" t="s">
        <v>517</v>
      </c>
      <c r="B162" s="2">
        <v>46047</v>
      </c>
      <c r="C162" t="s">
        <v>518</v>
      </c>
      <c r="D162" t="s">
        <v>519</v>
      </c>
      <c r="E162" t="s">
        <v>190</v>
      </c>
      <c r="F162" t="s">
        <v>191</v>
      </c>
      <c r="G162" t="s">
        <v>43</v>
      </c>
      <c r="H162" t="s">
        <v>177</v>
      </c>
      <c r="I162">
        <v>6</v>
      </c>
      <c r="J162">
        <v>18000</v>
      </c>
      <c r="K162">
        <v>12900</v>
      </c>
      <c r="L162" t="s">
        <v>66</v>
      </c>
      <c r="M162" t="s">
        <v>37</v>
      </c>
      <c r="N162" t="s">
        <v>52</v>
      </c>
      <c r="O162" t="s">
        <v>24</v>
      </c>
      <c r="P162">
        <f>Tableau1_2[[#This Row],[Quantité]]*Tableau1_2[[#This Row],[Prix_Unitaire]]</f>
        <v>108000</v>
      </c>
      <c r="Q162">
        <f>Tableau1_2[[#This Row],[Quantité]]*Tableau1_2[[#This Row],[Coût_Unitaire]]</f>
        <v>77400</v>
      </c>
      <c r="R162">
        <f>Tableau1_2[[#This Row],[CA]]-Tableau1_2[[#This Row],[Cout Total]]</f>
        <v>30600</v>
      </c>
      <c r="S162" s="4">
        <f>Tableau1_2[[#This Row],[Marge]]/Tableau1_2[[#This Row],[CA]]</f>
        <v>0.28333333333333333</v>
      </c>
      <c r="T162" t="str">
        <f>TEXT(Tableau1_2[[#This Row],[Date]],"mmmm")</f>
        <v>janvier</v>
      </c>
    </row>
    <row r="163" spans="1:20" x14ac:dyDescent="0.35">
      <c r="A163" t="s">
        <v>520</v>
      </c>
      <c r="B163" s="2">
        <v>46366</v>
      </c>
      <c r="C163" t="s">
        <v>350</v>
      </c>
      <c r="D163" t="s">
        <v>521</v>
      </c>
      <c r="E163" t="s">
        <v>18</v>
      </c>
      <c r="F163" t="s">
        <v>18</v>
      </c>
      <c r="G163" t="s">
        <v>34</v>
      </c>
      <c r="H163" t="s">
        <v>158</v>
      </c>
      <c r="I163">
        <v>4</v>
      </c>
      <c r="J163">
        <v>95000</v>
      </c>
      <c r="K163">
        <v>72100</v>
      </c>
      <c r="L163" t="s">
        <v>80</v>
      </c>
      <c r="M163" t="s">
        <v>51</v>
      </c>
      <c r="N163" t="s">
        <v>23</v>
      </c>
      <c r="O163" t="s">
        <v>24</v>
      </c>
      <c r="P163">
        <f>Tableau1_2[[#This Row],[Quantité]]*Tableau1_2[[#This Row],[Prix_Unitaire]]</f>
        <v>380000</v>
      </c>
      <c r="Q163">
        <f>Tableau1_2[[#This Row],[Quantité]]*Tableau1_2[[#This Row],[Coût_Unitaire]]</f>
        <v>288400</v>
      </c>
      <c r="R163">
        <f>Tableau1_2[[#This Row],[CA]]-Tableau1_2[[#This Row],[Cout Total]]</f>
        <v>91600</v>
      </c>
      <c r="S163" s="4">
        <f>Tableau1_2[[#This Row],[Marge]]/Tableau1_2[[#This Row],[CA]]</f>
        <v>0.24105263157894738</v>
      </c>
      <c r="T163" t="str">
        <f>TEXT(Tableau1_2[[#This Row],[Date]],"mmmm")</f>
        <v>décembre</v>
      </c>
    </row>
    <row r="164" spans="1:20" x14ac:dyDescent="0.35">
      <c r="A164" t="s">
        <v>522</v>
      </c>
      <c r="B164" s="2">
        <v>46325</v>
      </c>
      <c r="C164" t="s">
        <v>523</v>
      </c>
      <c r="D164" t="s">
        <v>524</v>
      </c>
      <c r="E164" t="s">
        <v>56</v>
      </c>
      <c r="F164" t="s">
        <v>57</v>
      </c>
      <c r="G164" t="s">
        <v>28</v>
      </c>
      <c r="H164" t="s">
        <v>72</v>
      </c>
      <c r="I164">
        <v>4</v>
      </c>
      <c r="J164">
        <v>10500</v>
      </c>
      <c r="K164">
        <v>6000</v>
      </c>
      <c r="L164" t="s">
        <v>80</v>
      </c>
      <c r="M164" t="s">
        <v>51</v>
      </c>
      <c r="N164" t="s">
        <v>87</v>
      </c>
      <c r="O164" t="s">
        <v>24</v>
      </c>
      <c r="P164">
        <f>Tableau1_2[[#This Row],[Quantité]]*Tableau1_2[[#This Row],[Prix_Unitaire]]</f>
        <v>42000</v>
      </c>
      <c r="Q164">
        <f>Tableau1_2[[#This Row],[Quantité]]*Tableau1_2[[#This Row],[Coût_Unitaire]]</f>
        <v>24000</v>
      </c>
      <c r="R164">
        <f>Tableau1_2[[#This Row],[CA]]-Tableau1_2[[#This Row],[Cout Total]]</f>
        <v>18000</v>
      </c>
      <c r="S164" s="4">
        <f>Tableau1_2[[#This Row],[Marge]]/Tableau1_2[[#This Row],[CA]]</f>
        <v>0.42857142857142855</v>
      </c>
      <c r="T164" t="str">
        <f>TEXT(Tableau1_2[[#This Row],[Date]],"mmmm")</f>
        <v>octobre</v>
      </c>
    </row>
    <row r="165" spans="1:20" x14ac:dyDescent="0.35">
      <c r="A165" t="s">
        <v>525</v>
      </c>
      <c r="B165" s="2">
        <v>46245</v>
      </c>
      <c r="C165" t="s">
        <v>526</v>
      </c>
      <c r="D165" t="s">
        <v>309</v>
      </c>
      <c r="E165" t="s">
        <v>156</v>
      </c>
      <c r="F165" t="s">
        <v>170</v>
      </c>
      <c r="G165" t="s">
        <v>34</v>
      </c>
      <c r="H165" t="s">
        <v>86</v>
      </c>
      <c r="I165">
        <v>10</v>
      </c>
      <c r="J165">
        <v>189000</v>
      </c>
      <c r="K165">
        <v>135000</v>
      </c>
      <c r="L165" t="s">
        <v>80</v>
      </c>
      <c r="M165" t="s">
        <v>37</v>
      </c>
      <c r="N165" t="s">
        <v>87</v>
      </c>
      <c r="O165" t="s">
        <v>91</v>
      </c>
      <c r="P165">
        <f>Tableau1_2[[#This Row],[Quantité]]*Tableau1_2[[#This Row],[Prix_Unitaire]]</f>
        <v>1890000</v>
      </c>
      <c r="Q165">
        <f>Tableau1_2[[#This Row],[Quantité]]*Tableau1_2[[#This Row],[Coût_Unitaire]]</f>
        <v>1350000</v>
      </c>
      <c r="R165">
        <f>Tableau1_2[[#This Row],[CA]]-Tableau1_2[[#This Row],[Cout Total]]</f>
        <v>540000</v>
      </c>
      <c r="S165" s="4">
        <f>Tableau1_2[[#This Row],[Marge]]/Tableau1_2[[#This Row],[CA]]</f>
        <v>0.2857142857142857</v>
      </c>
      <c r="T165" t="str">
        <f>TEXT(Tableau1_2[[#This Row],[Date]],"mmmm")</f>
        <v>août</v>
      </c>
    </row>
    <row r="166" spans="1:20" x14ac:dyDescent="0.35">
      <c r="A166" t="s">
        <v>527</v>
      </c>
      <c r="B166" s="2">
        <v>46364</v>
      </c>
      <c r="C166" t="s">
        <v>311</v>
      </c>
      <c r="D166" t="s">
        <v>450</v>
      </c>
      <c r="E166" t="s">
        <v>18</v>
      </c>
      <c r="F166" t="s">
        <v>18</v>
      </c>
      <c r="G166" t="s">
        <v>43</v>
      </c>
      <c r="H166" t="s">
        <v>44</v>
      </c>
      <c r="I166">
        <v>1</v>
      </c>
      <c r="J166">
        <v>15000</v>
      </c>
      <c r="K166">
        <v>9500</v>
      </c>
      <c r="L166" t="s">
        <v>36</v>
      </c>
      <c r="M166" t="s">
        <v>51</v>
      </c>
      <c r="N166" t="s">
        <v>52</v>
      </c>
      <c r="O166" t="s">
        <v>24</v>
      </c>
      <c r="P166">
        <f>Tableau1_2[[#This Row],[Quantité]]*Tableau1_2[[#This Row],[Prix_Unitaire]]</f>
        <v>15000</v>
      </c>
      <c r="Q166">
        <f>Tableau1_2[[#This Row],[Quantité]]*Tableau1_2[[#This Row],[Coût_Unitaire]]</f>
        <v>9500</v>
      </c>
      <c r="R166">
        <f>Tableau1_2[[#This Row],[CA]]-Tableau1_2[[#This Row],[Cout Total]]</f>
        <v>5500</v>
      </c>
      <c r="S166" s="4">
        <f>Tableau1_2[[#This Row],[Marge]]/Tableau1_2[[#This Row],[CA]]</f>
        <v>0.36666666666666664</v>
      </c>
      <c r="T166" t="str">
        <f>TEXT(Tableau1_2[[#This Row],[Date]],"mmmm")</f>
        <v>décembre</v>
      </c>
    </row>
    <row r="167" spans="1:20" x14ac:dyDescent="0.35">
      <c r="A167" t="s">
        <v>528</v>
      </c>
      <c r="B167" s="2">
        <v>46193</v>
      </c>
      <c r="C167" t="s">
        <v>529</v>
      </c>
      <c r="D167" t="s">
        <v>530</v>
      </c>
      <c r="E167" t="s">
        <v>190</v>
      </c>
      <c r="F167" t="s">
        <v>191</v>
      </c>
      <c r="G167" t="s">
        <v>19</v>
      </c>
      <c r="H167" t="s">
        <v>61</v>
      </c>
      <c r="I167">
        <v>1</v>
      </c>
      <c r="J167">
        <v>220000</v>
      </c>
      <c r="K167">
        <v>164800</v>
      </c>
      <c r="L167" t="s">
        <v>66</v>
      </c>
      <c r="M167" t="s">
        <v>51</v>
      </c>
      <c r="N167" t="s">
        <v>23</v>
      </c>
      <c r="O167" t="s">
        <v>45</v>
      </c>
      <c r="P167">
        <f>Tableau1_2[[#This Row],[Quantité]]*Tableau1_2[[#This Row],[Prix_Unitaire]]</f>
        <v>220000</v>
      </c>
      <c r="Q167">
        <f>Tableau1_2[[#This Row],[Quantité]]*Tableau1_2[[#This Row],[Coût_Unitaire]]</f>
        <v>164800</v>
      </c>
      <c r="R167">
        <f>Tableau1_2[[#This Row],[CA]]-Tableau1_2[[#This Row],[Cout Total]]</f>
        <v>55200</v>
      </c>
      <c r="S167" s="4">
        <f>Tableau1_2[[#This Row],[Marge]]/Tableau1_2[[#This Row],[CA]]</f>
        <v>0.25090909090909091</v>
      </c>
      <c r="T167" t="str">
        <f>TEXT(Tableau1_2[[#This Row],[Date]],"mmmm")</f>
        <v>juin</v>
      </c>
    </row>
    <row r="168" spans="1:20" x14ac:dyDescent="0.35">
      <c r="A168" t="s">
        <v>531</v>
      </c>
      <c r="B168" s="2">
        <v>46062</v>
      </c>
      <c r="C168" t="s">
        <v>532</v>
      </c>
      <c r="D168" t="s">
        <v>533</v>
      </c>
      <c r="E168" t="s">
        <v>190</v>
      </c>
      <c r="F168" t="s">
        <v>191</v>
      </c>
      <c r="G168" t="s">
        <v>43</v>
      </c>
      <c r="H168" t="s">
        <v>44</v>
      </c>
      <c r="I168">
        <v>3</v>
      </c>
      <c r="J168">
        <v>15000</v>
      </c>
      <c r="K168">
        <v>9200</v>
      </c>
      <c r="L168" t="s">
        <v>96</v>
      </c>
      <c r="M168" t="s">
        <v>51</v>
      </c>
      <c r="N168" t="s">
        <v>23</v>
      </c>
      <c r="O168" t="s">
        <v>24</v>
      </c>
      <c r="P168">
        <f>Tableau1_2[[#This Row],[Quantité]]*Tableau1_2[[#This Row],[Prix_Unitaire]]</f>
        <v>45000</v>
      </c>
      <c r="Q168">
        <f>Tableau1_2[[#This Row],[Quantité]]*Tableau1_2[[#This Row],[Coût_Unitaire]]</f>
        <v>27600</v>
      </c>
      <c r="R168">
        <f>Tableau1_2[[#This Row],[CA]]-Tableau1_2[[#This Row],[Cout Total]]</f>
        <v>17400</v>
      </c>
      <c r="S168" s="4">
        <f>Tableau1_2[[#This Row],[Marge]]/Tableau1_2[[#This Row],[CA]]</f>
        <v>0.38666666666666666</v>
      </c>
      <c r="T168" t="str">
        <f>TEXT(Tableau1_2[[#This Row],[Date]],"mmmm")</f>
        <v>février</v>
      </c>
    </row>
    <row r="169" spans="1:20" x14ac:dyDescent="0.35">
      <c r="A169" t="s">
        <v>534</v>
      </c>
      <c r="B169" s="2">
        <v>46067</v>
      </c>
      <c r="C169" t="s">
        <v>264</v>
      </c>
      <c r="D169" t="s">
        <v>535</v>
      </c>
      <c r="E169" t="s">
        <v>18</v>
      </c>
      <c r="F169" t="s">
        <v>18</v>
      </c>
      <c r="G169" t="s">
        <v>28</v>
      </c>
      <c r="H169" t="s">
        <v>131</v>
      </c>
      <c r="I169">
        <v>7</v>
      </c>
      <c r="J169">
        <v>31500</v>
      </c>
      <c r="K169">
        <v>19600</v>
      </c>
      <c r="L169" t="s">
        <v>73</v>
      </c>
      <c r="M169" t="s">
        <v>37</v>
      </c>
      <c r="N169" t="s">
        <v>87</v>
      </c>
      <c r="O169" t="s">
        <v>45</v>
      </c>
      <c r="P169">
        <f>Tableau1_2[[#This Row],[Quantité]]*Tableau1_2[[#This Row],[Prix_Unitaire]]</f>
        <v>220500</v>
      </c>
      <c r="Q169">
        <f>Tableau1_2[[#This Row],[Quantité]]*Tableau1_2[[#This Row],[Coût_Unitaire]]</f>
        <v>137200</v>
      </c>
      <c r="R169">
        <f>Tableau1_2[[#This Row],[CA]]-Tableau1_2[[#This Row],[Cout Total]]</f>
        <v>83300</v>
      </c>
      <c r="S169" s="4">
        <f>Tableau1_2[[#This Row],[Marge]]/Tableau1_2[[#This Row],[CA]]</f>
        <v>0.37777777777777777</v>
      </c>
      <c r="T169" t="str">
        <f>TEXT(Tableau1_2[[#This Row],[Date]],"mmmm")</f>
        <v>février</v>
      </c>
    </row>
    <row r="170" spans="1:20" x14ac:dyDescent="0.35">
      <c r="A170" t="s">
        <v>536</v>
      </c>
      <c r="B170" s="2">
        <v>46294</v>
      </c>
      <c r="C170" t="s">
        <v>537</v>
      </c>
      <c r="D170" t="s">
        <v>155</v>
      </c>
      <c r="E170" t="s">
        <v>156</v>
      </c>
      <c r="F170" t="s">
        <v>157</v>
      </c>
      <c r="G170" t="s">
        <v>28</v>
      </c>
      <c r="H170" t="s">
        <v>248</v>
      </c>
      <c r="I170">
        <v>10</v>
      </c>
      <c r="J170">
        <v>23800</v>
      </c>
      <c r="K170">
        <v>15500</v>
      </c>
      <c r="L170" t="s">
        <v>50</v>
      </c>
      <c r="M170" t="s">
        <v>51</v>
      </c>
      <c r="N170" t="s">
        <v>52</v>
      </c>
      <c r="O170" t="s">
        <v>24</v>
      </c>
      <c r="P170">
        <f>Tableau1_2[[#This Row],[Quantité]]*Tableau1_2[[#This Row],[Prix_Unitaire]]</f>
        <v>238000</v>
      </c>
      <c r="Q170">
        <f>Tableau1_2[[#This Row],[Quantité]]*Tableau1_2[[#This Row],[Coût_Unitaire]]</f>
        <v>155000</v>
      </c>
      <c r="R170">
        <f>Tableau1_2[[#This Row],[CA]]-Tableau1_2[[#This Row],[Cout Total]]</f>
        <v>83000</v>
      </c>
      <c r="S170" s="4">
        <f>Tableau1_2[[#This Row],[Marge]]/Tableau1_2[[#This Row],[CA]]</f>
        <v>0.34873949579831931</v>
      </c>
      <c r="T170" t="str">
        <f>TEXT(Tableau1_2[[#This Row],[Date]],"mmmm")</f>
        <v>septembre</v>
      </c>
    </row>
    <row r="171" spans="1:20" x14ac:dyDescent="0.35">
      <c r="A171" t="s">
        <v>538</v>
      </c>
      <c r="B171" s="2">
        <v>46164</v>
      </c>
      <c r="C171" t="s">
        <v>539</v>
      </c>
      <c r="D171" t="s">
        <v>540</v>
      </c>
      <c r="E171" t="s">
        <v>18</v>
      </c>
      <c r="F171" t="s">
        <v>18</v>
      </c>
      <c r="G171" t="s">
        <v>34</v>
      </c>
      <c r="H171" t="s">
        <v>158</v>
      </c>
      <c r="I171">
        <v>8</v>
      </c>
      <c r="J171">
        <v>90200</v>
      </c>
      <c r="K171">
        <v>67900</v>
      </c>
      <c r="L171" t="s">
        <v>96</v>
      </c>
      <c r="M171" t="s">
        <v>37</v>
      </c>
      <c r="N171" t="s">
        <v>87</v>
      </c>
      <c r="O171" t="s">
        <v>45</v>
      </c>
      <c r="P171">
        <f>Tableau1_2[[#This Row],[Quantité]]*Tableau1_2[[#This Row],[Prix_Unitaire]]</f>
        <v>721600</v>
      </c>
      <c r="Q171">
        <f>Tableau1_2[[#This Row],[Quantité]]*Tableau1_2[[#This Row],[Coût_Unitaire]]</f>
        <v>543200</v>
      </c>
      <c r="R171">
        <f>Tableau1_2[[#This Row],[CA]]-Tableau1_2[[#This Row],[Cout Total]]</f>
        <v>178400</v>
      </c>
      <c r="S171" s="4">
        <f>Tableau1_2[[#This Row],[Marge]]/Tableau1_2[[#This Row],[CA]]</f>
        <v>0.24722838137472283</v>
      </c>
      <c r="T171" t="str">
        <f>TEXT(Tableau1_2[[#This Row],[Date]],"mmmm")</f>
        <v>mai</v>
      </c>
    </row>
    <row r="172" spans="1:20" x14ac:dyDescent="0.35">
      <c r="A172" t="s">
        <v>541</v>
      </c>
      <c r="B172" s="2">
        <v>46122</v>
      </c>
      <c r="C172" t="s">
        <v>503</v>
      </c>
      <c r="D172" t="s">
        <v>253</v>
      </c>
      <c r="E172" t="s">
        <v>18</v>
      </c>
      <c r="F172" t="s">
        <v>18</v>
      </c>
      <c r="G172" t="s">
        <v>34</v>
      </c>
      <c r="H172" t="s">
        <v>141</v>
      </c>
      <c r="I172">
        <v>10</v>
      </c>
      <c r="J172">
        <v>160000</v>
      </c>
      <c r="K172">
        <v>120000</v>
      </c>
      <c r="L172" t="s">
        <v>66</v>
      </c>
      <c r="M172" t="s">
        <v>37</v>
      </c>
      <c r="N172" t="s">
        <v>23</v>
      </c>
      <c r="O172" t="s">
        <v>24</v>
      </c>
      <c r="P172">
        <f>Tableau1_2[[#This Row],[Quantité]]*Tableau1_2[[#This Row],[Prix_Unitaire]]</f>
        <v>1600000</v>
      </c>
      <c r="Q172">
        <f>Tableau1_2[[#This Row],[Quantité]]*Tableau1_2[[#This Row],[Coût_Unitaire]]</f>
        <v>1200000</v>
      </c>
      <c r="R172">
        <f>Tableau1_2[[#This Row],[CA]]-Tableau1_2[[#This Row],[Cout Total]]</f>
        <v>400000</v>
      </c>
      <c r="S172" s="4">
        <f>Tableau1_2[[#This Row],[Marge]]/Tableau1_2[[#This Row],[CA]]</f>
        <v>0.25</v>
      </c>
      <c r="T172" t="str">
        <f>TEXT(Tableau1_2[[#This Row],[Date]],"mmmm")</f>
        <v>avril</v>
      </c>
    </row>
    <row r="173" spans="1:20" x14ac:dyDescent="0.35">
      <c r="A173" t="s">
        <v>542</v>
      </c>
      <c r="B173" s="2">
        <v>46070</v>
      </c>
      <c r="C173" t="s">
        <v>370</v>
      </c>
      <c r="D173" t="s">
        <v>543</v>
      </c>
      <c r="E173" t="s">
        <v>18</v>
      </c>
      <c r="F173" t="s">
        <v>18</v>
      </c>
      <c r="G173" t="s">
        <v>19</v>
      </c>
      <c r="H173" t="s">
        <v>166</v>
      </c>
      <c r="I173">
        <v>8</v>
      </c>
      <c r="J173">
        <v>133000</v>
      </c>
      <c r="K173">
        <v>97000</v>
      </c>
      <c r="L173" t="s">
        <v>36</v>
      </c>
      <c r="M173" t="s">
        <v>31</v>
      </c>
      <c r="N173" t="s">
        <v>23</v>
      </c>
      <c r="O173" t="s">
        <v>24</v>
      </c>
      <c r="P173">
        <f>Tableau1_2[[#This Row],[Quantité]]*Tableau1_2[[#This Row],[Prix_Unitaire]]</f>
        <v>1064000</v>
      </c>
      <c r="Q173">
        <f>Tableau1_2[[#This Row],[Quantité]]*Tableau1_2[[#This Row],[Coût_Unitaire]]</f>
        <v>776000</v>
      </c>
      <c r="R173">
        <f>Tableau1_2[[#This Row],[CA]]-Tableau1_2[[#This Row],[Cout Total]]</f>
        <v>288000</v>
      </c>
      <c r="S173" s="4">
        <f>Tableau1_2[[#This Row],[Marge]]/Tableau1_2[[#This Row],[CA]]</f>
        <v>0.27067669172932329</v>
      </c>
      <c r="T173" t="str">
        <f>TEXT(Tableau1_2[[#This Row],[Date]],"mmmm")</f>
        <v>février</v>
      </c>
    </row>
    <row r="174" spans="1:20" x14ac:dyDescent="0.35">
      <c r="A174" t="s">
        <v>544</v>
      </c>
      <c r="B174" s="2">
        <v>46240</v>
      </c>
      <c r="C174" t="s">
        <v>545</v>
      </c>
      <c r="D174" t="s">
        <v>546</v>
      </c>
      <c r="E174" t="s">
        <v>156</v>
      </c>
      <c r="F174" t="s">
        <v>157</v>
      </c>
      <c r="G174" t="s">
        <v>19</v>
      </c>
      <c r="H174" t="s">
        <v>112</v>
      </c>
      <c r="I174">
        <v>1</v>
      </c>
      <c r="J174">
        <v>89200</v>
      </c>
      <c r="K174">
        <v>63900</v>
      </c>
      <c r="L174" t="s">
        <v>73</v>
      </c>
      <c r="M174" t="s">
        <v>37</v>
      </c>
      <c r="N174" t="s">
        <v>52</v>
      </c>
      <c r="O174" t="s">
        <v>24</v>
      </c>
      <c r="P174">
        <f>Tableau1_2[[#This Row],[Quantité]]*Tableau1_2[[#This Row],[Prix_Unitaire]]</f>
        <v>89200</v>
      </c>
      <c r="Q174">
        <f>Tableau1_2[[#This Row],[Quantité]]*Tableau1_2[[#This Row],[Coût_Unitaire]]</f>
        <v>63900</v>
      </c>
      <c r="R174">
        <f>Tableau1_2[[#This Row],[CA]]-Tableau1_2[[#This Row],[Cout Total]]</f>
        <v>25300</v>
      </c>
      <c r="S174" s="4">
        <f>Tableau1_2[[#This Row],[Marge]]/Tableau1_2[[#This Row],[CA]]</f>
        <v>0.28363228699551568</v>
      </c>
      <c r="T174" t="str">
        <f>TEXT(Tableau1_2[[#This Row],[Date]],"mmmm")</f>
        <v>août</v>
      </c>
    </row>
    <row r="175" spans="1:20" x14ac:dyDescent="0.35">
      <c r="A175" t="s">
        <v>547</v>
      </c>
      <c r="B175" s="2">
        <v>46182</v>
      </c>
      <c r="C175" t="s">
        <v>548</v>
      </c>
      <c r="D175" t="s">
        <v>549</v>
      </c>
      <c r="E175" t="s">
        <v>41</v>
      </c>
      <c r="F175" t="s">
        <v>42</v>
      </c>
      <c r="G175" t="s">
        <v>34</v>
      </c>
      <c r="H175" t="s">
        <v>86</v>
      </c>
      <c r="I175">
        <v>4</v>
      </c>
      <c r="J175">
        <v>189000</v>
      </c>
      <c r="K175">
        <v>131000</v>
      </c>
      <c r="L175" t="s">
        <v>21</v>
      </c>
      <c r="M175" t="s">
        <v>37</v>
      </c>
      <c r="N175" t="s">
        <v>87</v>
      </c>
      <c r="O175" t="s">
        <v>45</v>
      </c>
      <c r="P175">
        <f>Tableau1_2[[#This Row],[Quantité]]*Tableau1_2[[#This Row],[Prix_Unitaire]]</f>
        <v>756000</v>
      </c>
      <c r="Q175">
        <f>Tableau1_2[[#This Row],[Quantité]]*Tableau1_2[[#This Row],[Coût_Unitaire]]</f>
        <v>524000</v>
      </c>
      <c r="R175">
        <f>Tableau1_2[[#This Row],[CA]]-Tableau1_2[[#This Row],[Cout Total]]</f>
        <v>232000</v>
      </c>
      <c r="S175" s="4">
        <f>Tableau1_2[[#This Row],[Marge]]/Tableau1_2[[#This Row],[CA]]</f>
        <v>0.30687830687830686</v>
      </c>
      <c r="T175" t="str">
        <f>TEXT(Tableau1_2[[#This Row],[Date]],"mmmm")</f>
        <v>juin</v>
      </c>
    </row>
    <row r="176" spans="1:20" x14ac:dyDescent="0.35">
      <c r="A176" t="s">
        <v>550</v>
      </c>
      <c r="B176" s="2">
        <v>46058</v>
      </c>
      <c r="C176" t="s">
        <v>455</v>
      </c>
      <c r="D176" t="s">
        <v>173</v>
      </c>
      <c r="E176" t="s">
        <v>18</v>
      </c>
      <c r="F176" t="s">
        <v>18</v>
      </c>
      <c r="G176" t="s">
        <v>19</v>
      </c>
      <c r="H176" t="s">
        <v>166</v>
      </c>
      <c r="I176">
        <v>4</v>
      </c>
      <c r="J176">
        <v>140000</v>
      </c>
      <c r="K176">
        <v>97000</v>
      </c>
      <c r="L176" t="s">
        <v>96</v>
      </c>
      <c r="M176" t="s">
        <v>37</v>
      </c>
      <c r="N176" t="s">
        <v>23</v>
      </c>
      <c r="O176" t="s">
        <v>24</v>
      </c>
      <c r="P176">
        <f>Tableau1_2[[#This Row],[Quantité]]*Tableau1_2[[#This Row],[Prix_Unitaire]]</f>
        <v>560000</v>
      </c>
      <c r="Q176">
        <f>Tableau1_2[[#This Row],[Quantité]]*Tableau1_2[[#This Row],[Coût_Unitaire]]</f>
        <v>388000</v>
      </c>
      <c r="R176">
        <f>Tableau1_2[[#This Row],[CA]]-Tableau1_2[[#This Row],[Cout Total]]</f>
        <v>172000</v>
      </c>
      <c r="S176" s="4">
        <f>Tableau1_2[[#This Row],[Marge]]/Tableau1_2[[#This Row],[CA]]</f>
        <v>0.30714285714285716</v>
      </c>
      <c r="T176" t="str">
        <f>TEXT(Tableau1_2[[#This Row],[Date]],"mmmm")</f>
        <v>février</v>
      </c>
    </row>
    <row r="177" spans="1:20" x14ac:dyDescent="0.35">
      <c r="A177" t="s">
        <v>551</v>
      </c>
      <c r="B177" s="2">
        <v>46267</v>
      </c>
      <c r="C177" t="s">
        <v>231</v>
      </c>
      <c r="D177" t="s">
        <v>552</v>
      </c>
      <c r="E177" t="s">
        <v>190</v>
      </c>
      <c r="F177" t="s">
        <v>191</v>
      </c>
      <c r="G177" t="s">
        <v>19</v>
      </c>
      <c r="H177" t="s">
        <v>166</v>
      </c>
      <c r="I177">
        <v>8</v>
      </c>
      <c r="J177">
        <v>140000</v>
      </c>
      <c r="K177">
        <v>97000</v>
      </c>
      <c r="L177" t="s">
        <v>50</v>
      </c>
      <c r="M177" t="s">
        <v>31</v>
      </c>
      <c r="N177" t="s">
        <v>23</v>
      </c>
      <c r="O177" t="s">
        <v>24</v>
      </c>
      <c r="P177">
        <f>Tableau1_2[[#This Row],[Quantité]]*Tableau1_2[[#This Row],[Prix_Unitaire]]</f>
        <v>1120000</v>
      </c>
      <c r="Q177">
        <f>Tableau1_2[[#This Row],[Quantité]]*Tableau1_2[[#This Row],[Coût_Unitaire]]</f>
        <v>776000</v>
      </c>
      <c r="R177">
        <f>Tableau1_2[[#This Row],[CA]]-Tableau1_2[[#This Row],[Cout Total]]</f>
        <v>344000</v>
      </c>
      <c r="S177" s="4">
        <f>Tableau1_2[[#This Row],[Marge]]/Tableau1_2[[#This Row],[CA]]</f>
        <v>0.30714285714285716</v>
      </c>
      <c r="T177" t="str">
        <f>TEXT(Tableau1_2[[#This Row],[Date]],"mmmm")</f>
        <v>septembre</v>
      </c>
    </row>
    <row r="178" spans="1:20" x14ac:dyDescent="0.35">
      <c r="A178" t="s">
        <v>553</v>
      </c>
      <c r="B178" s="2">
        <v>46322</v>
      </c>
      <c r="C178" t="s">
        <v>554</v>
      </c>
      <c r="D178" t="s">
        <v>555</v>
      </c>
      <c r="E178" t="s">
        <v>84</v>
      </c>
      <c r="F178" t="s">
        <v>85</v>
      </c>
      <c r="G178" t="s">
        <v>34</v>
      </c>
      <c r="H178" t="s">
        <v>141</v>
      </c>
      <c r="I178">
        <v>8</v>
      </c>
      <c r="J178">
        <v>160000</v>
      </c>
      <c r="K178">
        <v>120000</v>
      </c>
      <c r="L178" t="s">
        <v>96</v>
      </c>
      <c r="M178" t="s">
        <v>31</v>
      </c>
      <c r="N178" t="s">
        <v>87</v>
      </c>
      <c r="O178" t="s">
        <v>24</v>
      </c>
      <c r="P178">
        <f>Tableau1_2[[#This Row],[Quantité]]*Tableau1_2[[#This Row],[Prix_Unitaire]]</f>
        <v>1280000</v>
      </c>
      <c r="Q178">
        <f>Tableau1_2[[#This Row],[Quantité]]*Tableau1_2[[#This Row],[Coût_Unitaire]]</f>
        <v>960000</v>
      </c>
      <c r="R178">
        <f>Tableau1_2[[#This Row],[CA]]-Tableau1_2[[#This Row],[Cout Total]]</f>
        <v>320000</v>
      </c>
      <c r="S178" s="4">
        <f>Tableau1_2[[#This Row],[Marge]]/Tableau1_2[[#This Row],[CA]]</f>
        <v>0.25</v>
      </c>
      <c r="T178" t="str">
        <f>TEXT(Tableau1_2[[#This Row],[Date]],"mmmm")</f>
        <v>octobre</v>
      </c>
    </row>
    <row r="179" spans="1:20" x14ac:dyDescent="0.35">
      <c r="A179" t="s">
        <v>556</v>
      </c>
      <c r="B179" s="2">
        <v>46315</v>
      </c>
      <c r="C179" t="s">
        <v>557</v>
      </c>
      <c r="D179" t="s">
        <v>229</v>
      </c>
      <c r="E179" t="s">
        <v>156</v>
      </c>
      <c r="F179" t="s">
        <v>157</v>
      </c>
      <c r="G179" t="s">
        <v>28</v>
      </c>
      <c r="H179" t="s">
        <v>72</v>
      </c>
      <c r="I179">
        <v>6</v>
      </c>
      <c r="J179">
        <v>10000</v>
      </c>
      <c r="K179">
        <v>6400</v>
      </c>
      <c r="L179" t="s">
        <v>21</v>
      </c>
      <c r="M179" t="s">
        <v>22</v>
      </c>
      <c r="N179" t="s">
        <v>52</v>
      </c>
      <c r="O179" t="s">
        <v>24</v>
      </c>
      <c r="P179">
        <f>Tableau1_2[[#This Row],[Quantité]]*Tableau1_2[[#This Row],[Prix_Unitaire]]</f>
        <v>60000</v>
      </c>
      <c r="Q179">
        <f>Tableau1_2[[#This Row],[Quantité]]*Tableau1_2[[#This Row],[Coût_Unitaire]]</f>
        <v>38400</v>
      </c>
      <c r="R179">
        <f>Tableau1_2[[#This Row],[CA]]-Tableau1_2[[#This Row],[Cout Total]]</f>
        <v>21600</v>
      </c>
      <c r="S179" s="4">
        <f>Tableau1_2[[#This Row],[Marge]]/Tableau1_2[[#This Row],[CA]]</f>
        <v>0.36</v>
      </c>
      <c r="T179" t="str">
        <f>TEXT(Tableau1_2[[#This Row],[Date]],"mmmm")</f>
        <v>octobre</v>
      </c>
    </row>
    <row r="180" spans="1:20" x14ac:dyDescent="0.35">
      <c r="A180" t="s">
        <v>561</v>
      </c>
      <c r="B180" s="2">
        <v>46121</v>
      </c>
      <c r="C180" t="s">
        <v>562</v>
      </c>
      <c r="D180" t="s">
        <v>442</v>
      </c>
      <c r="E180" t="s">
        <v>18</v>
      </c>
      <c r="F180" t="s">
        <v>18</v>
      </c>
      <c r="G180" t="s">
        <v>34</v>
      </c>
      <c r="H180" t="s">
        <v>86</v>
      </c>
      <c r="I180">
        <v>2</v>
      </c>
      <c r="J180">
        <v>171000</v>
      </c>
      <c r="K180">
        <v>131000</v>
      </c>
      <c r="L180" t="s">
        <v>50</v>
      </c>
      <c r="M180" t="s">
        <v>31</v>
      </c>
      <c r="N180" t="s">
        <v>52</v>
      </c>
      <c r="O180" t="s">
        <v>24</v>
      </c>
      <c r="P180">
        <f>Tableau1_2[[#This Row],[Quantité]]*Tableau1_2[[#This Row],[Prix_Unitaire]]</f>
        <v>342000</v>
      </c>
      <c r="Q180">
        <f>Tableau1_2[[#This Row],[Quantité]]*Tableau1_2[[#This Row],[Coût_Unitaire]]</f>
        <v>262000</v>
      </c>
      <c r="R180">
        <f>Tableau1_2[[#This Row],[CA]]-Tableau1_2[[#This Row],[Cout Total]]</f>
        <v>80000</v>
      </c>
      <c r="S180" s="4">
        <f>Tableau1_2[[#This Row],[Marge]]/Tableau1_2[[#This Row],[CA]]</f>
        <v>0.23391812865497075</v>
      </c>
      <c r="T180" t="str">
        <f>TEXT(Tableau1_2[[#This Row],[Date]],"mmmm")</f>
        <v>avril</v>
      </c>
    </row>
    <row r="181" spans="1:20" x14ac:dyDescent="0.35">
      <c r="A181" t="s">
        <v>563</v>
      </c>
      <c r="B181" s="2">
        <v>46079</v>
      </c>
      <c r="C181" t="s">
        <v>564</v>
      </c>
      <c r="D181" t="s">
        <v>565</v>
      </c>
      <c r="E181" t="s">
        <v>190</v>
      </c>
      <c r="F181" t="s">
        <v>191</v>
      </c>
      <c r="G181" t="s">
        <v>43</v>
      </c>
      <c r="H181" t="s">
        <v>162</v>
      </c>
      <c r="I181">
        <v>7</v>
      </c>
      <c r="J181">
        <v>8000</v>
      </c>
      <c r="K181">
        <v>5000</v>
      </c>
      <c r="L181" t="s">
        <v>36</v>
      </c>
      <c r="M181" t="s">
        <v>31</v>
      </c>
      <c r="N181" t="s">
        <v>23</v>
      </c>
      <c r="O181" t="s">
        <v>24</v>
      </c>
      <c r="P181">
        <f>Tableau1_2[[#This Row],[Quantité]]*Tableau1_2[[#This Row],[Prix_Unitaire]]</f>
        <v>56000</v>
      </c>
      <c r="Q181">
        <f>Tableau1_2[[#This Row],[Quantité]]*Tableau1_2[[#This Row],[Coût_Unitaire]]</f>
        <v>35000</v>
      </c>
      <c r="R181">
        <f>Tableau1_2[[#This Row],[CA]]-Tableau1_2[[#This Row],[Cout Total]]</f>
        <v>21000</v>
      </c>
      <c r="S181" s="4">
        <f>Tableau1_2[[#This Row],[Marge]]/Tableau1_2[[#This Row],[CA]]</f>
        <v>0.375</v>
      </c>
      <c r="T181" t="str">
        <f>TEXT(Tableau1_2[[#This Row],[Date]],"mmmm")</f>
        <v>février</v>
      </c>
    </row>
    <row r="182" spans="1:20" x14ac:dyDescent="0.35">
      <c r="A182" t="s">
        <v>566</v>
      </c>
      <c r="B182" s="2">
        <v>46350</v>
      </c>
      <c r="C182" t="s">
        <v>286</v>
      </c>
      <c r="D182" t="s">
        <v>567</v>
      </c>
      <c r="E182" t="s">
        <v>156</v>
      </c>
      <c r="F182" t="s">
        <v>170</v>
      </c>
      <c r="G182" t="s">
        <v>34</v>
      </c>
      <c r="H182" t="s">
        <v>35</v>
      </c>
      <c r="I182">
        <v>10</v>
      </c>
      <c r="J182">
        <v>57800</v>
      </c>
      <c r="K182">
        <v>40200</v>
      </c>
      <c r="L182" t="s">
        <v>30</v>
      </c>
      <c r="M182" t="s">
        <v>51</v>
      </c>
      <c r="N182" t="s">
        <v>23</v>
      </c>
      <c r="O182" t="s">
        <v>45</v>
      </c>
      <c r="P182">
        <f>Tableau1_2[[#This Row],[Quantité]]*Tableau1_2[[#This Row],[Prix_Unitaire]]</f>
        <v>578000</v>
      </c>
      <c r="Q182">
        <f>Tableau1_2[[#This Row],[Quantité]]*Tableau1_2[[#This Row],[Coût_Unitaire]]</f>
        <v>402000</v>
      </c>
      <c r="R182">
        <f>Tableau1_2[[#This Row],[CA]]-Tableau1_2[[#This Row],[Cout Total]]</f>
        <v>176000</v>
      </c>
      <c r="S182" s="4">
        <f>Tableau1_2[[#This Row],[Marge]]/Tableau1_2[[#This Row],[CA]]</f>
        <v>0.30449826989619377</v>
      </c>
      <c r="T182" t="str">
        <f>TEXT(Tableau1_2[[#This Row],[Date]],"mmmm")</f>
        <v>novembre</v>
      </c>
    </row>
    <row r="183" spans="1:20" x14ac:dyDescent="0.35">
      <c r="A183" t="s">
        <v>568</v>
      </c>
      <c r="B183" s="2">
        <v>46120</v>
      </c>
      <c r="C183" t="s">
        <v>569</v>
      </c>
      <c r="D183" t="s">
        <v>570</v>
      </c>
      <c r="E183" t="s">
        <v>18</v>
      </c>
      <c r="F183" t="s">
        <v>18</v>
      </c>
      <c r="G183" t="s">
        <v>34</v>
      </c>
      <c r="H183" t="s">
        <v>95</v>
      </c>
      <c r="I183">
        <v>6</v>
      </c>
      <c r="J183">
        <v>450000</v>
      </c>
      <c r="K183">
        <v>381100</v>
      </c>
      <c r="L183" t="s">
        <v>96</v>
      </c>
      <c r="M183" t="s">
        <v>37</v>
      </c>
      <c r="N183" t="s">
        <v>52</v>
      </c>
      <c r="O183" t="s">
        <v>24</v>
      </c>
      <c r="P183">
        <f>Tableau1_2[[#This Row],[Quantité]]*Tableau1_2[[#This Row],[Prix_Unitaire]]</f>
        <v>2700000</v>
      </c>
      <c r="Q183">
        <f>Tableau1_2[[#This Row],[Quantité]]*Tableau1_2[[#This Row],[Coût_Unitaire]]</f>
        <v>2286600</v>
      </c>
      <c r="R183">
        <f>Tableau1_2[[#This Row],[CA]]-Tableau1_2[[#This Row],[Cout Total]]</f>
        <v>413400</v>
      </c>
      <c r="S183" s="4">
        <f>Tableau1_2[[#This Row],[Marge]]/Tableau1_2[[#This Row],[CA]]</f>
        <v>0.15311111111111111</v>
      </c>
      <c r="T183" t="str">
        <f>TEXT(Tableau1_2[[#This Row],[Date]],"mmmm")</f>
        <v>avril</v>
      </c>
    </row>
    <row r="184" spans="1:20" x14ac:dyDescent="0.35">
      <c r="A184" t="s">
        <v>571</v>
      </c>
      <c r="B184" s="2">
        <v>46171</v>
      </c>
      <c r="C184" t="s">
        <v>506</v>
      </c>
      <c r="D184" t="s">
        <v>572</v>
      </c>
      <c r="E184" t="s">
        <v>18</v>
      </c>
      <c r="F184" t="s">
        <v>18</v>
      </c>
      <c r="G184" t="s">
        <v>34</v>
      </c>
      <c r="H184" t="s">
        <v>95</v>
      </c>
      <c r="I184">
        <v>5</v>
      </c>
      <c r="J184">
        <v>472500</v>
      </c>
      <c r="K184">
        <v>358900</v>
      </c>
      <c r="L184" t="s">
        <v>36</v>
      </c>
      <c r="M184" t="s">
        <v>51</v>
      </c>
      <c r="N184" t="s">
        <v>52</v>
      </c>
      <c r="O184" t="s">
        <v>24</v>
      </c>
      <c r="P184">
        <f>Tableau1_2[[#This Row],[Quantité]]*Tableau1_2[[#This Row],[Prix_Unitaire]]</f>
        <v>2362500</v>
      </c>
      <c r="Q184">
        <f>Tableau1_2[[#This Row],[Quantité]]*Tableau1_2[[#This Row],[Coût_Unitaire]]</f>
        <v>1794500</v>
      </c>
      <c r="R184">
        <f>Tableau1_2[[#This Row],[CA]]-Tableau1_2[[#This Row],[Cout Total]]</f>
        <v>568000</v>
      </c>
      <c r="S184" s="4">
        <f>Tableau1_2[[#This Row],[Marge]]/Tableau1_2[[#This Row],[CA]]</f>
        <v>0.24042328042328043</v>
      </c>
      <c r="T184" t="str">
        <f>TEXT(Tableau1_2[[#This Row],[Date]],"mmmm")</f>
        <v>mai</v>
      </c>
    </row>
    <row r="185" spans="1:20" x14ac:dyDescent="0.35">
      <c r="A185" t="s">
        <v>573</v>
      </c>
      <c r="B185" s="2">
        <v>46118</v>
      </c>
      <c r="C185" t="s">
        <v>569</v>
      </c>
      <c r="D185" t="s">
        <v>267</v>
      </c>
      <c r="E185" t="s">
        <v>18</v>
      </c>
      <c r="F185" t="s">
        <v>18</v>
      </c>
      <c r="G185" t="s">
        <v>43</v>
      </c>
      <c r="H185" t="s">
        <v>162</v>
      </c>
      <c r="I185">
        <v>2</v>
      </c>
      <c r="J185">
        <v>8000</v>
      </c>
      <c r="K185">
        <v>4800</v>
      </c>
      <c r="L185" t="s">
        <v>21</v>
      </c>
      <c r="M185" t="s">
        <v>22</v>
      </c>
      <c r="N185" t="s">
        <v>23</v>
      </c>
      <c r="O185" t="s">
        <v>24</v>
      </c>
      <c r="P185">
        <f>Tableau1_2[[#This Row],[Quantité]]*Tableau1_2[[#This Row],[Prix_Unitaire]]</f>
        <v>16000</v>
      </c>
      <c r="Q185">
        <f>Tableau1_2[[#This Row],[Quantité]]*Tableau1_2[[#This Row],[Coût_Unitaire]]</f>
        <v>9600</v>
      </c>
      <c r="R185">
        <f>Tableau1_2[[#This Row],[CA]]-Tableau1_2[[#This Row],[Cout Total]]</f>
        <v>6400</v>
      </c>
      <c r="S185" s="4">
        <f>Tableau1_2[[#This Row],[Marge]]/Tableau1_2[[#This Row],[CA]]</f>
        <v>0.4</v>
      </c>
      <c r="T185" t="str">
        <f>TEXT(Tableau1_2[[#This Row],[Date]],"mmmm")</f>
        <v>avril</v>
      </c>
    </row>
    <row r="186" spans="1:20" x14ac:dyDescent="0.35">
      <c r="A186" t="s">
        <v>574</v>
      </c>
      <c r="B186" s="2">
        <v>46274</v>
      </c>
      <c r="C186" t="s">
        <v>575</v>
      </c>
      <c r="D186" t="s">
        <v>576</v>
      </c>
      <c r="E186" t="s">
        <v>56</v>
      </c>
      <c r="F186" t="s">
        <v>57</v>
      </c>
      <c r="G186" t="s">
        <v>19</v>
      </c>
      <c r="H186" t="s">
        <v>20</v>
      </c>
      <c r="I186">
        <v>8</v>
      </c>
      <c r="J186">
        <v>65000</v>
      </c>
      <c r="K186">
        <v>43600</v>
      </c>
      <c r="L186" t="s">
        <v>36</v>
      </c>
      <c r="M186" t="s">
        <v>37</v>
      </c>
      <c r="N186" t="s">
        <v>23</v>
      </c>
      <c r="O186" t="s">
        <v>24</v>
      </c>
      <c r="P186">
        <f>Tableau1_2[[#This Row],[Quantité]]*Tableau1_2[[#This Row],[Prix_Unitaire]]</f>
        <v>520000</v>
      </c>
      <c r="Q186">
        <f>Tableau1_2[[#This Row],[Quantité]]*Tableau1_2[[#This Row],[Coût_Unitaire]]</f>
        <v>348800</v>
      </c>
      <c r="R186">
        <f>Tableau1_2[[#This Row],[CA]]-Tableau1_2[[#This Row],[Cout Total]]</f>
        <v>171200</v>
      </c>
      <c r="S186" s="4">
        <f>Tableau1_2[[#This Row],[Marge]]/Tableau1_2[[#This Row],[CA]]</f>
        <v>0.32923076923076922</v>
      </c>
      <c r="T186" t="str">
        <f>TEXT(Tableau1_2[[#This Row],[Date]],"mmmm")</f>
        <v>septembre</v>
      </c>
    </row>
    <row r="187" spans="1:20" x14ac:dyDescent="0.35">
      <c r="A187" t="s">
        <v>577</v>
      </c>
      <c r="B187" s="2">
        <v>46251</v>
      </c>
      <c r="C187" t="s">
        <v>578</v>
      </c>
      <c r="D187" t="s">
        <v>200</v>
      </c>
      <c r="E187" t="s">
        <v>70</v>
      </c>
      <c r="F187" t="s">
        <v>71</v>
      </c>
      <c r="G187" t="s">
        <v>34</v>
      </c>
      <c r="H187" t="s">
        <v>86</v>
      </c>
      <c r="I187">
        <v>10</v>
      </c>
      <c r="J187">
        <v>180000</v>
      </c>
      <c r="K187">
        <v>135000</v>
      </c>
      <c r="L187" t="s">
        <v>30</v>
      </c>
      <c r="M187" t="s">
        <v>51</v>
      </c>
      <c r="N187" t="s">
        <v>23</v>
      </c>
      <c r="O187" t="s">
        <v>24</v>
      </c>
      <c r="P187">
        <f>Tableau1_2[[#This Row],[Quantité]]*Tableau1_2[[#This Row],[Prix_Unitaire]]</f>
        <v>1800000</v>
      </c>
      <c r="Q187">
        <f>Tableau1_2[[#This Row],[Quantité]]*Tableau1_2[[#This Row],[Coût_Unitaire]]</f>
        <v>1350000</v>
      </c>
      <c r="R187">
        <f>Tableau1_2[[#This Row],[CA]]-Tableau1_2[[#This Row],[Cout Total]]</f>
        <v>450000</v>
      </c>
      <c r="S187" s="4">
        <f>Tableau1_2[[#This Row],[Marge]]/Tableau1_2[[#This Row],[CA]]</f>
        <v>0.25</v>
      </c>
      <c r="T187" t="str">
        <f>TEXT(Tableau1_2[[#This Row],[Date]],"mmmm")</f>
        <v>août</v>
      </c>
    </row>
    <row r="188" spans="1:20" x14ac:dyDescent="0.35">
      <c r="A188" t="s">
        <v>579</v>
      </c>
      <c r="B188" s="2">
        <v>46302</v>
      </c>
      <c r="C188" t="s">
        <v>580</v>
      </c>
      <c r="D188" t="s">
        <v>581</v>
      </c>
      <c r="E188" t="s">
        <v>18</v>
      </c>
      <c r="F188" t="s">
        <v>18</v>
      </c>
      <c r="G188" t="s">
        <v>28</v>
      </c>
      <c r="H188" t="s">
        <v>29</v>
      </c>
      <c r="I188">
        <v>3</v>
      </c>
      <c r="J188">
        <v>6600</v>
      </c>
      <c r="K188">
        <v>4000</v>
      </c>
      <c r="L188" t="s">
        <v>30</v>
      </c>
      <c r="M188" t="s">
        <v>22</v>
      </c>
      <c r="N188" t="s">
        <v>23</v>
      </c>
      <c r="O188" t="s">
        <v>24</v>
      </c>
      <c r="P188">
        <f>Tableau1_2[[#This Row],[Quantité]]*Tableau1_2[[#This Row],[Prix_Unitaire]]</f>
        <v>19800</v>
      </c>
      <c r="Q188">
        <f>Tableau1_2[[#This Row],[Quantité]]*Tableau1_2[[#This Row],[Coût_Unitaire]]</f>
        <v>12000</v>
      </c>
      <c r="R188">
        <f>Tableau1_2[[#This Row],[CA]]-Tableau1_2[[#This Row],[Cout Total]]</f>
        <v>7800</v>
      </c>
      <c r="S188" s="4">
        <f>Tableau1_2[[#This Row],[Marge]]/Tableau1_2[[#This Row],[CA]]</f>
        <v>0.39393939393939392</v>
      </c>
      <c r="T188" t="str">
        <f>TEXT(Tableau1_2[[#This Row],[Date]],"mmmm")</f>
        <v>octobre</v>
      </c>
    </row>
    <row r="189" spans="1:20" x14ac:dyDescent="0.35">
      <c r="A189" t="s">
        <v>582</v>
      </c>
      <c r="B189" s="2">
        <v>46189</v>
      </c>
      <c r="C189" t="s">
        <v>583</v>
      </c>
      <c r="D189" t="s">
        <v>121</v>
      </c>
      <c r="E189" t="s">
        <v>56</v>
      </c>
      <c r="F189" t="s">
        <v>57</v>
      </c>
      <c r="G189" t="s">
        <v>34</v>
      </c>
      <c r="H189" t="s">
        <v>141</v>
      </c>
      <c r="I189">
        <v>6</v>
      </c>
      <c r="J189">
        <v>168000</v>
      </c>
      <c r="K189">
        <v>123600</v>
      </c>
      <c r="L189" t="s">
        <v>36</v>
      </c>
      <c r="M189" t="s">
        <v>51</v>
      </c>
      <c r="N189" t="s">
        <v>23</v>
      </c>
      <c r="O189" t="s">
        <v>45</v>
      </c>
      <c r="P189">
        <f>Tableau1_2[[#This Row],[Quantité]]*Tableau1_2[[#This Row],[Prix_Unitaire]]</f>
        <v>1008000</v>
      </c>
      <c r="Q189">
        <f>Tableau1_2[[#This Row],[Quantité]]*Tableau1_2[[#This Row],[Coût_Unitaire]]</f>
        <v>741600</v>
      </c>
      <c r="R189">
        <f>Tableau1_2[[#This Row],[CA]]-Tableau1_2[[#This Row],[Cout Total]]</f>
        <v>266400</v>
      </c>
      <c r="S189" s="4">
        <f>Tableau1_2[[#This Row],[Marge]]/Tableau1_2[[#This Row],[CA]]</f>
        <v>0.26428571428571429</v>
      </c>
      <c r="T189" t="str">
        <f>TEXT(Tableau1_2[[#This Row],[Date]],"mmmm")</f>
        <v>juin</v>
      </c>
    </row>
    <row r="190" spans="1:20" x14ac:dyDescent="0.35">
      <c r="A190" t="s">
        <v>584</v>
      </c>
      <c r="B190" s="2">
        <v>46208</v>
      </c>
      <c r="C190" t="s">
        <v>585</v>
      </c>
      <c r="D190" t="s">
        <v>586</v>
      </c>
      <c r="E190" t="s">
        <v>77</v>
      </c>
      <c r="F190" t="s">
        <v>78</v>
      </c>
      <c r="G190" t="s">
        <v>19</v>
      </c>
      <c r="H190" t="s">
        <v>166</v>
      </c>
      <c r="I190">
        <v>5</v>
      </c>
      <c r="J190">
        <v>140000</v>
      </c>
      <c r="K190">
        <v>97000</v>
      </c>
      <c r="L190" t="s">
        <v>80</v>
      </c>
      <c r="M190" t="s">
        <v>51</v>
      </c>
      <c r="N190" t="s">
        <v>23</v>
      </c>
      <c r="O190" t="s">
        <v>24</v>
      </c>
      <c r="P190">
        <f>Tableau1_2[[#This Row],[Quantité]]*Tableau1_2[[#This Row],[Prix_Unitaire]]</f>
        <v>700000</v>
      </c>
      <c r="Q190">
        <f>Tableau1_2[[#This Row],[Quantité]]*Tableau1_2[[#This Row],[Coût_Unitaire]]</f>
        <v>485000</v>
      </c>
      <c r="R190">
        <f>Tableau1_2[[#This Row],[CA]]-Tableau1_2[[#This Row],[Cout Total]]</f>
        <v>215000</v>
      </c>
      <c r="S190" s="4">
        <f>Tableau1_2[[#This Row],[Marge]]/Tableau1_2[[#This Row],[CA]]</f>
        <v>0.30714285714285716</v>
      </c>
      <c r="T190" t="str">
        <f>TEXT(Tableau1_2[[#This Row],[Date]],"mmmm")</f>
        <v>juillet</v>
      </c>
    </row>
    <row r="191" spans="1:20" x14ac:dyDescent="0.35">
      <c r="A191" t="s">
        <v>587</v>
      </c>
      <c r="B191" s="2">
        <v>46202</v>
      </c>
      <c r="C191" t="s">
        <v>588</v>
      </c>
      <c r="D191" t="s">
        <v>589</v>
      </c>
      <c r="E191" t="s">
        <v>18</v>
      </c>
      <c r="F191" t="s">
        <v>18</v>
      </c>
      <c r="G191" t="s">
        <v>34</v>
      </c>
      <c r="H191" t="s">
        <v>141</v>
      </c>
      <c r="I191">
        <v>3</v>
      </c>
      <c r="J191">
        <v>160000</v>
      </c>
      <c r="K191">
        <v>123600</v>
      </c>
      <c r="L191" t="s">
        <v>80</v>
      </c>
      <c r="M191" t="s">
        <v>37</v>
      </c>
      <c r="N191" t="s">
        <v>23</v>
      </c>
      <c r="O191" t="s">
        <v>24</v>
      </c>
      <c r="P191">
        <f>Tableau1_2[[#This Row],[Quantité]]*Tableau1_2[[#This Row],[Prix_Unitaire]]</f>
        <v>480000</v>
      </c>
      <c r="Q191">
        <f>Tableau1_2[[#This Row],[Quantité]]*Tableau1_2[[#This Row],[Coût_Unitaire]]</f>
        <v>370800</v>
      </c>
      <c r="R191">
        <f>Tableau1_2[[#This Row],[CA]]-Tableau1_2[[#This Row],[Cout Total]]</f>
        <v>109200</v>
      </c>
      <c r="S191" s="4">
        <f>Tableau1_2[[#This Row],[Marge]]/Tableau1_2[[#This Row],[CA]]</f>
        <v>0.22750000000000001</v>
      </c>
      <c r="T191" t="str">
        <f>TEXT(Tableau1_2[[#This Row],[Date]],"mmmm")</f>
        <v>juin</v>
      </c>
    </row>
    <row r="192" spans="1:20" x14ac:dyDescent="0.35">
      <c r="A192" t="s">
        <v>590</v>
      </c>
      <c r="B192" s="2">
        <v>46297</v>
      </c>
      <c r="C192" t="s">
        <v>591</v>
      </c>
      <c r="D192" t="s">
        <v>40</v>
      </c>
      <c r="E192" t="s">
        <v>156</v>
      </c>
      <c r="F192" t="s">
        <v>170</v>
      </c>
      <c r="G192" t="s">
        <v>28</v>
      </c>
      <c r="H192" t="s">
        <v>131</v>
      </c>
      <c r="I192">
        <v>6</v>
      </c>
      <c r="J192">
        <v>30000</v>
      </c>
      <c r="K192">
        <v>19000</v>
      </c>
      <c r="L192" t="s">
        <v>36</v>
      </c>
      <c r="M192" t="s">
        <v>31</v>
      </c>
      <c r="N192" t="s">
        <v>52</v>
      </c>
      <c r="O192" t="s">
        <v>24</v>
      </c>
      <c r="P192">
        <f>Tableau1_2[[#This Row],[Quantité]]*Tableau1_2[[#This Row],[Prix_Unitaire]]</f>
        <v>180000</v>
      </c>
      <c r="Q192">
        <f>Tableau1_2[[#This Row],[Quantité]]*Tableau1_2[[#This Row],[Coût_Unitaire]]</f>
        <v>114000</v>
      </c>
      <c r="R192">
        <f>Tableau1_2[[#This Row],[CA]]-Tableau1_2[[#This Row],[Cout Total]]</f>
        <v>66000</v>
      </c>
      <c r="S192" s="4">
        <f>Tableau1_2[[#This Row],[Marge]]/Tableau1_2[[#This Row],[CA]]</f>
        <v>0.36666666666666664</v>
      </c>
      <c r="T192" t="str">
        <f>TEXT(Tableau1_2[[#This Row],[Date]],"mmmm")</f>
        <v>octobre</v>
      </c>
    </row>
    <row r="193" spans="1:20" x14ac:dyDescent="0.35">
      <c r="A193" t="s">
        <v>592</v>
      </c>
      <c r="B193" s="2">
        <v>46055</v>
      </c>
      <c r="C193" t="s">
        <v>593</v>
      </c>
      <c r="D193" t="s">
        <v>594</v>
      </c>
      <c r="E193" t="s">
        <v>84</v>
      </c>
      <c r="F193" t="s">
        <v>85</v>
      </c>
      <c r="G193" t="s">
        <v>34</v>
      </c>
      <c r="H193" t="s">
        <v>35</v>
      </c>
      <c r="I193">
        <v>10</v>
      </c>
      <c r="J193">
        <v>57800</v>
      </c>
      <c r="K193">
        <v>37800</v>
      </c>
      <c r="L193" t="s">
        <v>73</v>
      </c>
      <c r="M193" t="s">
        <v>37</v>
      </c>
      <c r="N193" t="s">
        <v>23</v>
      </c>
      <c r="O193" t="s">
        <v>91</v>
      </c>
      <c r="P193">
        <f>Tableau1_2[[#This Row],[Quantité]]*Tableau1_2[[#This Row],[Prix_Unitaire]]</f>
        <v>578000</v>
      </c>
      <c r="Q193">
        <f>Tableau1_2[[#This Row],[Quantité]]*Tableau1_2[[#This Row],[Coût_Unitaire]]</f>
        <v>378000</v>
      </c>
      <c r="R193">
        <f>Tableau1_2[[#This Row],[CA]]-Tableau1_2[[#This Row],[Cout Total]]</f>
        <v>200000</v>
      </c>
      <c r="S193" s="4">
        <f>Tableau1_2[[#This Row],[Marge]]/Tableau1_2[[#This Row],[CA]]</f>
        <v>0.34602076124567471</v>
      </c>
      <c r="T193" t="str">
        <f>TEXT(Tableau1_2[[#This Row],[Date]],"mmmm")</f>
        <v>février</v>
      </c>
    </row>
    <row r="194" spans="1:20" x14ac:dyDescent="0.35">
      <c r="A194" t="s">
        <v>595</v>
      </c>
      <c r="B194" s="2">
        <v>46179</v>
      </c>
      <c r="C194" t="s">
        <v>596</v>
      </c>
      <c r="D194" t="s">
        <v>332</v>
      </c>
      <c r="E194" t="s">
        <v>56</v>
      </c>
      <c r="F194" t="s">
        <v>57</v>
      </c>
      <c r="G194" t="s">
        <v>34</v>
      </c>
      <c r="H194" t="s">
        <v>158</v>
      </c>
      <c r="I194">
        <v>8</v>
      </c>
      <c r="J194">
        <v>90200</v>
      </c>
      <c r="K194">
        <v>70000</v>
      </c>
      <c r="L194" t="s">
        <v>21</v>
      </c>
      <c r="M194" t="s">
        <v>51</v>
      </c>
      <c r="N194" t="s">
        <v>23</v>
      </c>
      <c r="O194" t="s">
        <v>91</v>
      </c>
      <c r="P194">
        <f>Tableau1_2[[#This Row],[Quantité]]*Tableau1_2[[#This Row],[Prix_Unitaire]]</f>
        <v>721600</v>
      </c>
      <c r="Q194">
        <f>Tableau1_2[[#This Row],[Quantité]]*Tableau1_2[[#This Row],[Coût_Unitaire]]</f>
        <v>560000</v>
      </c>
      <c r="R194">
        <f>Tableau1_2[[#This Row],[CA]]-Tableau1_2[[#This Row],[Cout Total]]</f>
        <v>161600</v>
      </c>
      <c r="S194" s="4">
        <f>Tableau1_2[[#This Row],[Marge]]/Tableau1_2[[#This Row],[CA]]</f>
        <v>0.22394678492239467</v>
      </c>
      <c r="T194" t="str">
        <f>TEXT(Tableau1_2[[#This Row],[Date]],"mmmm")</f>
        <v>juin</v>
      </c>
    </row>
    <row r="195" spans="1:20" x14ac:dyDescent="0.35">
      <c r="A195" t="s">
        <v>597</v>
      </c>
      <c r="B195" s="2">
        <v>46090</v>
      </c>
      <c r="C195" t="s">
        <v>598</v>
      </c>
      <c r="D195" t="s">
        <v>479</v>
      </c>
      <c r="E195" t="s">
        <v>18</v>
      </c>
      <c r="F195" t="s">
        <v>18</v>
      </c>
      <c r="G195" t="s">
        <v>34</v>
      </c>
      <c r="H195" t="s">
        <v>141</v>
      </c>
      <c r="I195">
        <v>4</v>
      </c>
      <c r="J195">
        <v>168000</v>
      </c>
      <c r="K195">
        <v>116400</v>
      </c>
      <c r="L195" t="s">
        <v>96</v>
      </c>
      <c r="M195" t="s">
        <v>51</v>
      </c>
      <c r="N195" t="s">
        <v>23</v>
      </c>
      <c r="O195" t="s">
        <v>24</v>
      </c>
      <c r="P195">
        <f>Tableau1_2[[#This Row],[Quantité]]*Tableau1_2[[#This Row],[Prix_Unitaire]]</f>
        <v>672000</v>
      </c>
      <c r="Q195">
        <f>Tableau1_2[[#This Row],[Quantité]]*Tableau1_2[[#This Row],[Coût_Unitaire]]</f>
        <v>465600</v>
      </c>
      <c r="R195">
        <f>Tableau1_2[[#This Row],[CA]]-Tableau1_2[[#This Row],[Cout Total]]</f>
        <v>206400</v>
      </c>
      <c r="S195" s="4">
        <f>Tableau1_2[[#This Row],[Marge]]/Tableau1_2[[#This Row],[CA]]</f>
        <v>0.30714285714285716</v>
      </c>
      <c r="T195" t="str">
        <f>TEXT(Tableau1_2[[#This Row],[Date]],"mmmm")</f>
        <v>mars</v>
      </c>
    </row>
    <row r="196" spans="1:20" x14ac:dyDescent="0.35">
      <c r="A196" t="s">
        <v>599</v>
      </c>
      <c r="B196" s="2">
        <v>46379</v>
      </c>
      <c r="C196" t="s">
        <v>600</v>
      </c>
      <c r="D196" t="s">
        <v>601</v>
      </c>
      <c r="E196" t="s">
        <v>18</v>
      </c>
      <c r="F196" t="s">
        <v>18</v>
      </c>
      <c r="G196" t="s">
        <v>43</v>
      </c>
      <c r="H196" t="s">
        <v>44</v>
      </c>
      <c r="I196">
        <v>10</v>
      </c>
      <c r="J196">
        <v>15000</v>
      </c>
      <c r="K196">
        <v>9500</v>
      </c>
      <c r="L196" t="s">
        <v>96</v>
      </c>
      <c r="M196" t="s">
        <v>51</v>
      </c>
      <c r="N196" t="s">
        <v>52</v>
      </c>
      <c r="O196" t="s">
        <v>24</v>
      </c>
      <c r="P196">
        <f>Tableau1_2[[#This Row],[Quantité]]*Tableau1_2[[#This Row],[Prix_Unitaire]]</f>
        <v>150000</v>
      </c>
      <c r="Q196">
        <f>Tableau1_2[[#This Row],[Quantité]]*Tableau1_2[[#This Row],[Coût_Unitaire]]</f>
        <v>95000</v>
      </c>
      <c r="R196">
        <f>Tableau1_2[[#This Row],[CA]]-Tableau1_2[[#This Row],[Cout Total]]</f>
        <v>55000</v>
      </c>
      <c r="S196" s="4">
        <f>Tableau1_2[[#This Row],[Marge]]/Tableau1_2[[#This Row],[CA]]</f>
        <v>0.36666666666666664</v>
      </c>
      <c r="T196" t="str">
        <f>TEXT(Tableau1_2[[#This Row],[Date]],"mmmm")</f>
        <v>décembre</v>
      </c>
    </row>
    <row r="197" spans="1:20" x14ac:dyDescent="0.35">
      <c r="A197" t="s">
        <v>602</v>
      </c>
      <c r="B197" s="2">
        <v>46227</v>
      </c>
      <c r="C197" t="s">
        <v>603</v>
      </c>
      <c r="D197" t="s">
        <v>155</v>
      </c>
      <c r="E197" t="s">
        <v>18</v>
      </c>
      <c r="F197" t="s">
        <v>18</v>
      </c>
      <c r="G197" t="s">
        <v>19</v>
      </c>
      <c r="H197" t="s">
        <v>166</v>
      </c>
      <c r="I197">
        <v>7</v>
      </c>
      <c r="J197">
        <v>140000</v>
      </c>
      <c r="K197">
        <v>103000</v>
      </c>
      <c r="L197" t="s">
        <v>96</v>
      </c>
      <c r="M197" t="s">
        <v>37</v>
      </c>
      <c r="N197" t="s">
        <v>23</v>
      </c>
      <c r="O197" t="s">
        <v>24</v>
      </c>
      <c r="P197">
        <f>Tableau1_2[[#This Row],[Quantité]]*Tableau1_2[[#This Row],[Prix_Unitaire]]</f>
        <v>980000</v>
      </c>
      <c r="Q197">
        <f>Tableau1_2[[#This Row],[Quantité]]*Tableau1_2[[#This Row],[Coût_Unitaire]]</f>
        <v>721000</v>
      </c>
      <c r="R197">
        <f>Tableau1_2[[#This Row],[CA]]-Tableau1_2[[#This Row],[Cout Total]]</f>
        <v>259000</v>
      </c>
      <c r="S197" s="4">
        <f>Tableau1_2[[#This Row],[Marge]]/Tableau1_2[[#This Row],[CA]]</f>
        <v>0.26428571428571429</v>
      </c>
      <c r="T197" t="str">
        <f>TEXT(Tableau1_2[[#This Row],[Date]],"mmmm")</f>
        <v>juillet</v>
      </c>
    </row>
    <row r="198" spans="1:20" x14ac:dyDescent="0.35">
      <c r="A198" t="s">
        <v>604</v>
      </c>
      <c r="B198" s="2">
        <v>46309</v>
      </c>
      <c r="C198" t="s">
        <v>605</v>
      </c>
      <c r="D198" t="s">
        <v>189</v>
      </c>
      <c r="E198" t="s">
        <v>190</v>
      </c>
      <c r="F198" t="s">
        <v>191</v>
      </c>
      <c r="G198" t="s">
        <v>28</v>
      </c>
      <c r="H198" t="s">
        <v>131</v>
      </c>
      <c r="I198">
        <v>5</v>
      </c>
      <c r="J198">
        <v>31500</v>
      </c>
      <c r="K198">
        <v>19600</v>
      </c>
      <c r="L198" t="s">
        <v>50</v>
      </c>
      <c r="M198" t="s">
        <v>31</v>
      </c>
      <c r="N198" t="s">
        <v>52</v>
      </c>
      <c r="O198" t="s">
        <v>24</v>
      </c>
      <c r="P198">
        <f>Tableau1_2[[#This Row],[Quantité]]*Tableau1_2[[#This Row],[Prix_Unitaire]]</f>
        <v>157500</v>
      </c>
      <c r="Q198">
        <f>Tableau1_2[[#This Row],[Quantité]]*Tableau1_2[[#This Row],[Coût_Unitaire]]</f>
        <v>98000</v>
      </c>
      <c r="R198">
        <f>Tableau1_2[[#This Row],[CA]]-Tableau1_2[[#This Row],[Cout Total]]</f>
        <v>59500</v>
      </c>
      <c r="S198" s="4">
        <f>Tableau1_2[[#This Row],[Marge]]/Tableau1_2[[#This Row],[CA]]</f>
        <v>0.37777777777777777</v>
      </c>
      <c r="T198" t="str">
        <f>TEXT(Tableau1_2[[#This Row],[Date]],"mmmm")</f>
        <v>octobre</v>
      </c>
    </row>
    <row r="199" spans="1:20" x14ac:dyDescent="0.35">
      <c r="A199" t="s">
        <v>606</v>
      </c>
      <c r="B199" s="2">
        <v>46159</v>
      </c>
      <c r="C199" t="s">
        <v>607</v>
      </c>
      <c r="D199" t="s">
        <v>287</v>
      </c>
      <c r="E199" t="s">
        <v>84</v>
      </c>
      <c r="F199" t="s">
        <v>85</v>
      </c>
      <c r="G199" t="s">
        <v>28</v>
      </c>
      <c r="H199" t="s">
        <v>248</v>
      </c>
      <c r="I199">
        <v>7</v>
      </c>
      <c r="J199">
        <v>25000</v>
      </c>
      <c r="K199">
        <v>16500</v>
      </c>
      <c r="L199" t="s">
        <v>30</v>
      </c>
      <c r="M199" t="s">
        <v>51</v>
      </c>
      <c r="N199" t="s">
        <v>23</v>
      </c>
      <c r="O199" t="s">
        <v>45</v>
      </c>
      <c r="P199">
        <f>Tableau1_2[[#This Row],[Quantité]]*Tableau1_2[[#This Row],[Prix_Unitaire]]</f>
        <v>175000</v>
      </c>
      <c r="Q199">
        <f>Tableau1_2[[#This Row],[Quantité]]*Tableau1_2[[#This Row],[Coût_Unitaire]]</f>
        <v>115500</v>
      </c>
      <c r="R199">
        <f>Tableau1_2[[#This Row],[CA]]-Tableau1_2[[#This Row],[Cout Total]]</f>
        <v>59500</v>
      </c>
      <c r="S199" s="4">
        <f>Tableau1_2[[#This Row],[Marge]]/Tableau1_2[[#This Row],[CA]]</f>
        <v>0.34</v>
      </c>
      <c r="T199" t="str">
        <f>TEXT(Tableau1_2[[#This Row],[Date]],"mmmm")</f>
        <v>mai</v>
      </c>
    </row>
    <row r="200" spans="1:20" x14ac:dyDescent="0.35">
      <c r="A200" t="s">
        <v>608</v>
      </c>
      <c r="B200" s="2">
        <v>46277</v>
      </c>
      <c r="C200" t="s">
        <v>609</v>
      </c>
      <c r="D200" t="s">
        <v>610</v>
      </c>
      <c r="E200" t="s">
        <v>77</v>
      </c>
      <c r="F200" t="s">
        <v>78</v>
      </c>
      <c r="G200" t="s">
        <v>28</v>
      </c>
      <c r="H200" t="s">
        <v>65</v>
      </c>
      <c r="I200">
        <v>10</v>
      </c>
      <c r="J200">
        <v>12000</v>
      </c>
      <c r="K200">
        <v>7500</v>
      </c>
      <c r="L200" t="s">
        <v>96</v>
      </c>
      <c r="M200" t="s">
        <v>22</v>
      </c>
      <c r="N200" t="s">
        <v>23</v>
      </c>
      <c r="O200" t="s">
        <v>24</v>
      </c>
      <c r="P200">
        <f>Tableau1_2[[#This Row],[Quantité]]*Tableau1_2[[#This Row],[Prix_Unitaire]]</f>
        <v>120000</v>
      </c>
      <c r="Q200">
        <f>Tableau1_2[[#This Row],[Quantité]]*Tableau1_2[[#This Row],[Coût_Unitaire]]</f>
        <v>75000</v>
      </c>
      <c r="R200">
        <f>Tableau1_2[[#This Row],[CA]]-Tableau1_2[[#This Row],[Cout Total]]</f>
        <v>45000</v>
      </c>
      <c r="S200" s="4">
        <f>Tableau1_2[[#This Row],[Marge]]/Tableau1_2[[#This Row],[CA]]</f>
        <v>0.375</v>
      </c>
      <c r="T200" t="str">
        <f>TEXT(Tableau1_2[[#This Row],[Date]],"mmmm")</f>
        <v>septembre</v>
      </c>
    </row>
    <row r="201" spans="1:20" x14ac:dyDescent="0.35">
      <c r="A201" t="s">
        <v>611</v>
      </c>
      <c r="B201" s="2">
        <v>46185</v>
      </c>
      <c r="C201" t="s">
        <v>612</v>
      </c>
      <c r="D201" t="s">
        <v>613</v>
      </c>
      <c r="E201" t="s">
        <v>77</v>
      </c>
      <c r="F201" t="s">
        <v>78</v>
      </c>
      <c r="G201" t="s">
        <v>34</v>
      </c>
      <c r="H201" t="s">
        <v>141</v>
      </c>
      <c r="I201">
        <v>2</v>
      </c>
      <c r="J201">
        <v>160000</v>
      </c>
      <c r="K201">
        <v>123600</v>
      </c>
      <c r="L201" t="s">
        <v>30</v>
      </c>
      <c r="M201" t="s">
        <v>37</v>
      </c>
      <c r="N201" t="s">
        <v>23</v>
      </c>
      <c r="O201" t="s">
        <v>24</v>
      </c>
      <c r="P201">
        <f>Tableau1_2[[#This Row],[Quantité]]*Tableau1_2[[#This Row],[Prix_Unitaire]]</f>
        <v>320000</v>
      </c>
      <c r="Q201">
        <f>Tableau1_2[[#This Row],[Quantité]]*Tableau1_2[[#This Row],[Coût_Unitaire]]</f>
        <v>247200</v>
      </c>
      <c r="R201">
        <f>Tableau1_2[[#This Row],[CA]]-Tableau1_2[[#This Row],[Cout Total]]</f>
        <v>72800</v>
      </c>
      <c r="S201" s="4">
        <f>Tableau1_2[[#This Row],[Marge]]/Tableau1_2[[#This Row],[CA]]</f>
        <v>0.22750000000000001</v>
      </c>
      <c r="T201" t="str">
        <f>TEXT(Tableau1_2[[#This Row],[Date]],"mmmm")</f>
        <v>juin</v>
      </c>
    </row>
    <row r="202" spans="1:20" x14ac:dyDescent="0.35">
      <c r="A202" t="s">
        <v>614</v>
      </c>
      <c r="B202" s="2">
        <v>46291</v>
      </c>
      <c r="C202" t="s">
        <v>615</v>
      </c>
      <c r="D202" t="s">
        <v>616</v>
      </c>
      <c r="E202" t="s">
        <v>18</v>
      </c>
      <c r="F202" t="s">
        <v>18</v>
      </c>
      <c r="G202" t="s">
        <v>34</v>
      </c>
      <c r="H202" t="s">
        <v>158</v>
      </c>
      <c r="I202">
        <v>2</v>
      </c>
      <c r="J202">
        <v>95000</v>
      </c>
      <c r="K202">
        <v>70000</v>
      </c>
      <c r="L202" t="s">
        <v>96</v>
      </c>
      <c r="M202" t="s">
        <v>37</v>
      </c>
      <c r="N202" t="s">
        <v>52</v>
      </c>
      <c r="O202" t="s">
        <v>24</v>
      </c>
      <c r="P202">
        <f>Tableau1_2[[#This Row],[Quantité]]*Tableau1_2[[#This Row],[Prix_Unitaire]]</f>
        <v>190000</v>
      </c>
      <c r="Q202">
        <f>Tableau1_2[[#This Row],[Quantité]]*Tableau1_2[[#This Row],[Coût_Unitaire]]</f>
        <v>140000</v>
      </c>
      <c r="R202">
        <f>Tableau1_2[[#This Row],[CA]]-Tableau1_2[[#This Row],[Cout Total]]</f>
        <v>50000</v>
      </c>
      <c r="S202" s="4">
        <f>Tableau1_2[[#This Row],[Marge]]/Tableau1_2[[#This Row],[CA]]</f>
        <v>0.26315789473684209</v>
      </c>
      <c r="T202" t="str">
        <f>TEXT(Tableau1_2[[#This Row],[Date]],"mmmm")</f>
        <v>septembre</v>
      </c>
    </row>
    <row r="203" spans="1:20" x14ac:dyDescent="0.35">
      <c r="A203" t="s">
        <v>617</v>
      </c>
      <c r="B203" s="2">
        <v>46166</v>
      </c>
      <c r="C203" t="s">
        <v>618</v>
      </c>
      <c r="D203" t="s">
        <v>619</v>
      </c>
      <c r="E203" t="s">
        <v>41</v>
      </c>
      <c r="F203" t="s">
        <v>42</v>
      </c>
      <c r="G203" t="s">
        <v>34</v>
      </c>
      <c r="H203" t="s">
        <v>95</v>
      </c>
      <c r="I203">
        <v>7</v>
      </c>
      <c r="J203">
        <v>450000</v>
      </c>
      <c r="K203">
        <v>370000</v>
      </c>
      <c r="L203" t="s">
        <v>36</v>
      </c>
      <c r="M203" t="s">
        <v>31</v>
      </c>
      <c r="N203" t="s">
        <v>87</v>
      </c>
      <c r="O203" t="s">
        <v>24</v>
      </c>
      <c r="P203">
        <f>Tableau1_2[[#This Row],[Quantité]]*Tableau1_2[[#This Row],[Prix_Unitaire]]</f>
        <v>3150000</v>
      </c>
      <c r="Q203">
        <f>Tableau1_2[[#This Row],[Quantité]]*Tableau1_2[[#This Row],[Coût_Unitaire]]</f>
        <v>2590000</v>
      </c>
      <c r="R203">
        <f>Tableau1_2[[#This Row],[CA]]-Tableau1_2[[#This Row],[Cout Total]]</f>
        <v>560000</v>
      </c>
      <c r="S203" s="4">
        <f>Tableau1_2[[#This Row],[Marge]]/Tableau1_2[[#This Row],[CA]]</f>
        <v>0.17777777777777778</v>
      </c>
      <c r="T203" t="str">
        <f>TEXT(Tableau1_2[[#This Row],[Date]],"mmmm")</f>
        <v>mai</v>
      </c>
    </row>
    <row r="204" spans="1:20" x14ac:dyDescent="0.35">
      <c r="A204" t="s">
        <v>620</v>
      </c>
      <c r="B204" s="2">
        <v>46254</v>
      </c>
      <c r="C204" t="s">
        <v>621</v>
      </c>
      <c r="D204" t="s">
        <v>622</v>
      </c>
      <c r="E204" t="s">
        <v>18</v>
      </c>
      <c r="F204" t="s">
        <v>18</v>
      </c>
      <c r="G204" t="s">
        <v>19</v>
      </c>
      <c r="H204" t="s">
        <v>166</v>
      </c>
      <c r="I204">
        <v>4</v>
      </c>
      <c r="J204">
        <v>147000</v>
      </c>
      <c r="K204">
        <v>97000</v>
      </c>
      <c r="L204" t="s">
        <v>30</v>
      </c>
      <c r="M204" t="s">
        <v>37</v>
      </c>
      <c r="N204" t="s">
        <v>23</v>
      </c>
      <c r="O204" t="s">
        <v>24</v>
      </c>
      <c r="P204">
        <f>Tableau1_2[[#This Row],[Quantité]]*Tableau1_2[[#This Row],[Prix_Unitaire]]</f>
        <v>588000</v>
      </c>
      <c r="Q204">
        <f>Tableau1_2[[#This Row],[Quantité]]*Tableau1_2[[#This Row],[Coût_Unitaire]]</f>
        <v>388000</v>
      </c>
      <c r="R204">
        <f>Tableau1_2[[#This Row],[CA]]-Tableau1_2[[#This Row],[Cout Total]]</f>
        <v>200000</v>
      </c>
      <c r="S204" s="4">
        <f>Tableau1_2[[#This Row],[Marge]]/Tableau1_2[[#This Row],[CA]]</f>
        <v>0.3401360544217687</v>
      </c>
      <c r="T204" t="str">
        <f>TEXT(Tableau1_2[[#This Row],[Date]],"mmmm")</f>
        <v>août</v>
      </c>
    </row>
    <row r="205" spans="1:20" x14ac:dyDescent="0.35">
      <c r="A205" t="s">
        <v>623</v>
      </c>
      <c r="B205" s="2">
        <v>46151</v>
      </c>
      <c r="C205" t="s">
        <v>624</v>
      </c>
      <c r="D205" t="s">
        <v>137</v>
      </c>
      <c r="E205" t="s">
        <v>56</v>
      </c>
      <c r="F205" t="s">
        <v>57</v>
      </c>
      <c r="G205" t="s">
        <v>19</v>
      </c>
      <c r="H205" t="s">
        <v>166</v>
      </c>
      <c r="I205">
        <v>2</v>
      </c>
      <c r="J205">
        <v>140000</v>
      </c>
      <c r="K205">
        <v>97000</v>
      </c>
      <c r="L205" t="s">
        <v>80</v>
      </c>
      <c r="M205" t="s">
        <v>37</v>
      </c>
      <c r="N205" t="s">
        <v>23</v>
      </c>
      <c r="O205" t="s">
        <v>45</v>
      </c>
      <c r="P205">
        <f>Tableau1_2[[#This Row],[Quantité]]*Tableau1_2[[#This Row],[Prix_Unitaire]]</f>
        <v>280000</v>
      </c>
      <c r="Q205">
        <f>Tableau1_2[[#This Row],[Quantité]]*Tableau1_2[[#This Row],[Coût_Unitaire]]</f>
        <v>194000</v>
      </c>
      <c r="R205">
        <f>Tableau1_2[[#This Row],[CA]]-Tableau1_2[[#This Row],[Cout Total]]</f>
        <v>86000</v>
      </c>
      <c r="S205" s="4">
        <f>Tableau1_2[[#This Row],[Marge]]/Tableau1_2[[#This Row],[CA]]</f>
        <v>0.30714285714285716</v>
      </c>
      <c r="T205" t="str">
        <f>TEXT(Tableau1_2[[#This Row],[Date]],"mmmm")</f>
        <v>mai</v>
      </c>
    </row>
    <row r="206" spans="1:20" x14ac:dyDescent="0.35">
      <c r="A206" t="s">
        <v>625</v>
      </c>
      <c r="B206" s="2">
        <v>46201</v>
      </c>
      <c r="C206" t="s">
        <v>626</v>
      </c>
      <c r="D206" t="s">
        <v>627</v>
      </c>
      <c r="E206" t="s">
        <v>190</v>
      </c>
      <c r="F206" t="s">
        <v>191</v>
      </c>
      <c r="G206" t="s">
        <v>28</v>
      </c>
      <c r="H206" t="s">
        <v>72</v>
      </c>
      <c r="I206">
        <v>2</v>
      </c>
      <c r="J206">
        <v>10000</v>
      </c>
      <c r="K206">
        <v>6000</v>
      </c>
      <c r="L206" t="s">
        <v>73</v>
      </c>
      <c r="M206" t="s">
        <v>31</v>
      </c>
      <c r="N206" t="s">
        <v>23</v>
      </c>
      <c r="O206" t="s">
        <v>91</v>
      </c>
      <c r="P206">
        <f>Tableau1_2[[#This Row],[Quantité]]*Tableau1_2[[#This Row],[Prix_Unitaire]]</f>
        <v>20000</v>
      </c>
      <c r="Q206">
        <f>Tableau1_2[[#This Row],[Quantité]]*Tableau1_2[[#This Row],[Coût_Unitaire]]</f>
        <v>12000</v>
      </c>
      <c r="R206">
        <f>Tableau1_2[[#This Row],[CA]]-Tableau1_2[[#This Row],[Cout Total]]</f>
        <v>8000</v>
      </c>
      <c r="S206" s="4">
        <f>Tableau1_2[[#This Row],[Marge]]/Tableau1_2[[#This Row],[CA]]</f>
        <v>0.4</v>
      </c>
      <c r="T206" t="str">
        <f>TEXT(Tableau1_2[[#This Row],[Date]],"mmmm")</f>
        <v>juin</v>
      </c>
    </row>
    <row r="207" spans="1:20" x14ac:dyDescent="0.35">
      <c r="A207" t="s">
        <v>628</v>
      </c>
      <c r="B207" s="2">
        <v>46375</v>
      </c>
      <c r="C207" t="s">
        <v>537</v>
      </c>
      <c r="D207" t="s">
        <v>629</v>
      </c>
      <c r="E207" t="s">
        <v>156</v>
      </c>
      <c r="F207" t="s">
        <v>157</v>
      </c>
      <c r="G207" t="s">
        <v>34</v>
      </c>
      <c r="H207" t="s">
        <v>95</v>
      </c>
      <c r="I207">
        <v>10</v>
      </c>
      <c r="J207">
        <v>472500</v>
      </c>
      <c r="K207">
        <v>370000</v>
      </c>
      <c r="L207" t="s">
        <v>30</v>
      </c>
      <c r="M207" t="s">
        <v>51</v>
      </c>
      <c r="N207" t="s">
        <v>52</v>
      </c>
      <c r="O207" t="s">
        <v>24</v>
      </c>
      <c r="P207">
        <f>Tableau1_2[[#This Row],[Quantité]]*Tableau1_2[[#This Row],[Prix_Unitaire]]</f>
        <v>4725000</v>
      </c>
      <c r="Q207">
        <f>Tableau1_2[[#This Row],[Quantité]]*Tableau1_2[[#This Row],[Coût_Unitaire]]</f>
        <v>3700000</v>
      </c>
      <c r="R207">
        <f>Tableau1_2[[#This Row],[CA]]-Tableau1_2[[#This Row],[Cout Total]]</f>
        <v>1025000</v>
      </c>
      <c r="S207" s="4">
        <f>Tableau1_2[[#This Row],[Marge]]/Tableau1_2[[#This Row],[CA]]</f>
        <v>0.21693121693121692</v>
      </c>
      <c r="T207" t="str">
        <f>TEXT(Tableau1_2[[#This Row],[Date]],"mmmm")</f>
        <v>décembre</v>
      </c>
    </row>
    <row r="208" spans="1:20" x14ac:dyDescent="0.35">
      <c r="A208" t="s">
        <v>630</v>
      </c>
      <c r="B208" s="2">
        <v>46273</v>
      </c>
      <c r="C208" t="s">
        <v>376</v>
      </c>
      <c r="D208" t="s">
        <v>631</v>
      </c>
      <c r="E208" t="s">
        <v>18</v>
      </c>
      <c r="F208" t="s">
        <v>18</v>
      </c>
      <c r="G208" t="s">
        <v>19</v>
      </c>
      <c r="H208" t="s">
        <v>20</v>
      </c>
      <c r="I208">
        <v>7</v>
      </c>
      <c r="J208">
        <v>68200</v>
      </c>
      <c r="K208">
        <v>43600</v>
      </c>
      <c r="L208" t="s">
        <v>50</v>
      </c>
      <c r="M208" t="s">
        <v>37</v>
      </c>
      <c r="N208" t="s">
        <v>23</v>
      </c>
      <c r="O208" t="s">
        <v>91</v>
      </c>
      <c r="P208">
        <f>Tableau1_2[[#This Row],[Quantité]]*Tableau1_2[[#This Row],[Prix_Unitaire]]</f>
        <v>477400</v>
      </c>
      <c r="Q208">
        <f>Tableau1_2[[#This Row],[Quantité]]*Tableau1_2[[#This Row],[Coût_Unitaire]]</f>
        <v>305200</v>
      </c>
      <c r="R208">
        <f>Tableau1_2[[#This Row],[CA]]-Tableau1_2[[#This Row],[Cout Total]]</f>
        <v>172200</v>
      </c>
      <c r="S208" s="4">
        <f>Tableau1_2[[#This Row],[Marge]]/Tableau1_2[[#This Row],[CA]]</f>
        <v>0.36070381231671556</v>
      </c>
      <c r="T208" t="str">
        <f>TEXT(Tableau1_2[[#This Row],[Date]],"mmmm")</f>
        <v>septembre</v>
      </c>
    </row>
    <row r="209" spans="1:20" x14ac:dyDescent="0.35">
      <c r="A209" t="s">
        <v>632</v>
      </c>
      <c r="B209" s="2">
        <v>46335</v>
      </c>
      <c r="C209" t="s">
        <v>598</v>
      </c>
      <c r="D209" t="s">
        <v>633</v>
      </c>
      <c r="E209" t="s">
        <v>156</v>
      </c>
      <c r="F209" t="s">
        <v>170</v>
      </c>
      <c r="G209" t="s">
        <v>19</v>
      </c>
      <c r="H209" t="s">
        <v>61</v>
      </c>
      <c r="I209">
        <v>1</v>
      </c>
      <c r="J209">
        <v>209000</v>
      </c>
      <c r="K209">
        <v>160000</v>
      </c>
      <c r="L209" t="s">
        <v>21</v>
      </c>
      <c r="M209" t="s">
        <v>22</v>
      </c>
      <c r="N209" t="s">
        <v>52</v>
      </c>
      <c r="O209" t="s">
        <v>24</v>
      </c>
      <c r="P209">
        <f>Tableau1_2[[#This Row],[Quantité]]*Tableau1_2[[#This Row],[Prix_Unitaire]]</f>
        <v>209000</v>
      </c>
      <c r="Q209">
        <f>Tableau1_2[[#This Row],[Quantité]]*Tableau1_2[[#This Row],[Coût_Unitaire]]</f>
        <v>160000</v>
      </c>
      <c r="R209">
        <f>Tableau1_2[[#This Row],[CA]]-Tableau1_2[[#This Row],[Cout Total]]</f>
        <v>49000</v>
      </c>
      <c r="S209" s="4">
        <f>Tableau1_2[[#This Row],[Marge]]/Tableau1_2[[#This Row],[CA]]</f>
        <v>0.23444976076555024</v>
      </c>
      <c r="T209" t="str">
        <f>TEXT(Tableau1_2[[#This Row],[Date]],"mmmm")</f>
        <v>novembre</v>
      </c>
    </row>
    <row r="210" spans="1:20" x14ac:dyDescent="0.35">
      <c r="A210" t="s">
        <v>634</v>
      </c>
      <c r="B210" s="2">
        <v>46247</v>
      </c>
      <c r="C210" t="s">
        <v>635</v>
      </c>
      <c r="D210" t="s">
        <v>636</v>
      </c>
      <c r="E210" t="s">
        <v>84</v>
      </c>
      <c r="F210" t="s">
        <v>85</v>
      </c>
      <c r="G210" t="s">
        <v>34</v>
      </c>
      <c r="H210" t="s">
        <v>141</v>
      </c>
      <c r="I210">
        <v>4</v>
      </c>
      <c r="J210">
        <v>160000</v>
      </c>
      <c r="K210">
        <v>123600</v>
      </c>
      <c r="L210" t="s">
        <v>30</v>
      </c>
      <c r="M210" t="s">
        <v>37</v>
      </c>
      <c r="N210" t="s">
        <v>23</v>
      </c>
      <c r="O210" t="s">
        <v>24</v>
      </c>
      <c r="P210">
        <f>Tableau1_2[[#This Row],[Quantité]]*Tableau1_2[[#This Row],[Prix_Unitaire]]</f>
        <v>640000</v>
      </c>
      <c r="Q210">
        <f>Tableau1_2[[#This Row],[Quantité]]*Tableau1_2[[#This Row],[Coût_Unitaire]]</f>
        <v>494400</v>
      </c>
      <c r="R210">
        <f>Tableau1_2[[#This Row],[CA]]-Tableau1_2[[#This Row],[Cout Total]]</f>
        <v>145600</v>
      </c>
      <c r="S210" s="4">
        <f>Tableau1_2[[#This Row],[Marge]]/Tableau1_2[[#This Row],[CA]]</f>
        <v>0.22750000000000001</v>
      </c>
      <c r="T210" t="str">
        <f>TEXT(Tableau1_2[[#This Row],[Date]],"mmmm")</f>
        <v>août</v>
      </c>
    </row>
    <row r="211" spans="1:20" x14ac:dyDescent="0.35">
      <c r="A211" t="s">
        <v>637</v>
      </c>
      <c r="B211" s="2">
        <v>46348</v>
      </c>
      <c r="C211" t="s">
        <v>638</v>
      </c>
      <c r="D211" t="s">
        <v>639</v>
      </c>
      <c r="E211" t="s">
        <v>18</v>
      </c>
      <c r="F211" t="s">
        <v>18</v>
      </c>
      <c r="G211" t="s">
        <v>19</v>
      </c>
      <c r="H211" t="s">
        <v>61</v>
      </c>
      <c r="I211">
        <v>10</v>
      </c>
      <c r="J211">
        <v>209000</v>
      </c>
      <c r="K211">
        <v>164800</v>
      </c>
      <c r="L211" t="s">
        <v>96</v>
      </c>
      <c r="M211" t="s">
        <v>51</v>
      </c>
      <c r="N211" t="s">
        <v>23</v>
      </c>
      <c r="O211" t="s">
        <v>24</v>
      </c>
      <c r="P211">
        <f>Tableau1_2[[#This Row],[Quantité]]*Tableau1_2[[#This Row],[Prix_Unitaire]]</f>
        <v>2090000</v>
      </c>
      <c r="Q211">
        <f>Tableau1_2[[#This Row],[Quantité]]*Tableau1_2[[#This Row],[Coût_Unitaire]]</f>
        <v>1648000</v>
      </c>
      <c r="R211">
        <f>Tableau1_2[[#This Row],[CA]]-Tableau1_2[[#This Row],[Cout Total]]</f>
        <v>442000</v>
      </c>
      <c r="S211" s="4">
        <f>Tableau1_2[[#This Row],[Marge]]/Tableau1_2[[#This Row],[CA]]</f>
        <v>0.21148325358851675</v>
      </c>
      <c r="T211" t="str">
        <f>TEXT(Tableau1_2[[#This Row],[Date]],"mmmm")</f>
        <v>novembre</v>
      </c>
    </row>
    <row r="212" spans="1:20" x14ac:dyDescent="0.35">
      <c r="A212" t="s">
        <v>640</v>
      </c>
      <c r="B212" s="2">
        <v>46053</v>
      </c>
      <c r="C212" t="s">
        <v>626</v>
      </c>
      <c r="D212" t="s">
        <v>64</v>
      </c>
      <c r="E212" t="s">
        <v>190</v>
      </c>
      <c r="F212" t="s">
        <v>191</v>
      </c>
      <c r="G212" t="s">
        <v>43</v>
      </c>
      <c r="H212" t="s">
        <v>49</v>
      </c>
      <c r="I212">
        <v>7</v>
      </c>
      <c r="J212">
        <v>8600</v>
      </c>
      <c r="K212">
        <v>5600</v>
      </c>
      <c r="L212" t="s">
        <v>80</v>
      </c>
      <c r="M212" t="s">
        <v>37</v>
      </c>
      <c r="N212" t="s">
        <v>23</v>
      </c>
      <c r="O212" t="s">
        <v>24</v>
      </c>
      <c r="P212">
        <f>Tableau1_2[[#This Row],[Quantité]]*Tableau1_2[[#This Row],[Prix_Unitaire]]</f>
        <v>60200</v>
      </c>
      <c r="Q212">
        <f>Tableau1_2[[#This Row],[Quantité]]*Tableau1_2[[#This Row],[Coût_Unitaire]]</f>
        <v>39200</v>
      </c>
      <c r="R212">
        <f>Tableau1_2[[#This Row],[CA]]-Tableau1_2[[#This Row],[Cout Total]]</f>
        <v>21000</v>
      </c>
      <c r="S212" s="4">
        <f>Tableau1_2[[#This Row],[Marge]]/Tableau1_2[[#This Row],[CA]]</f>
        <v>0.34883720930232559</v>
      </c>
      <c r="T212" t="str">
        <f>TEXT(Tableau1_2[[#This Row],[Date]],"mmmm")</f>
        <v>janvier</v>
      </c>
    </row>
    <row r="213" spans="1:20" x14ac:dyDescent="0.35">
      <c r="A213" t="s">
        <v>641</v>
      </c>
      <c r="B213" s="2">
        <v>46159</v>
      </c>
      <c r="C213" t="s">
        <v>642</v>
      </c>
      <c r="D213" t="s">
        <v>643</v>
      </c>
      <c r="E213" t="s">
        <v>18</v>
      </c>
      <c r="F213" t="s">
        <v>18</v>
      </c>
      <c r="G213" t="s">
        <v>34</v>
      </c>
      <c r="H213" t="s">
        <v>141</v>
      </c>
      <c r="I213">
        <v>9</v>
      </c>
      <c r="J213">
        <v>160000</v>
      </c>
      <c r="K213">
        <v>123600</v>
      </c>
      <c r="L213" t="s">
        <v>50</v>
      </c>
      <c r="M213" t="s">
        <v>37</v>
      </c>
      <c r="N213" t="s">
        <v>23</v>
      </c>
      <c r="O213" t="s">
        <v>24</v>
      </c>
      <c r="P213">
        <f>Tableau1_2[[#This Row],[Quantité]]*Tableau1_2[[#This Row],[Prix_Unitaire]]</f>
        <v>1440000</v>
      </c>
      <c r="Q213">
        <f>Tableau1_2[[#This Row],[Quantité]]*Tableau1_2[[#This Row],[Coût_Unitaire]]</f>
        <v>1112400</v>
      </c>
      <c r="R213">
        <f>Tableau1_2[[#This Row],[CA]]-Tableau1_2[[#This Row],[Cout Total]]</f>
        <v>327600</v>
      </c>
      <c r="S213" s="4">
        <f>Tableau1_2[[#This Row],[Marge]]/Tableau1_2[[#This Row],[CA]]</f>
        <v>0.22750000000000001</v>
      </c>
      <c r="T213" t="str">
        <f>TEXT(Tableau1_2[[#This Row],[Date]],"mmmm")</f>
        <v>mai</v>
      </c>
    </row>
    <row r="214" spans="1:20" x14ac:dyDescent="0.35">
      <c r="A214" t="s">
        <v>644</v>
      </c>
      <c r="B214" s="2">
        <v>46185</v>
      </c>
      <c r="C214" t="s">
        <v>645</v>
      </c>
      <c r="D214" t="s">
        <v>646</v>
      </c>
      <c r="E214" t="s">
        <v>70</v>
      </c>
      <c r="F214" t="s">
        <v>71</v>
      </c>
      <c r="G214" t="s">
        <v>19</v>
      </c>
      <c r="H214" t="s">
        <v>166</v>
      </c>
      <c r="I214">
        <v>4</v>
      </c>
      <c r="J214">
        <v>133000</v>
      </c>
      <c r="K214">
        <v>100000</v>
      </c>
      <c r="L214" t="s">
        <v>21</v>
      </c>
      <c r="M214" t="s">
        <v>51</v>
      </c>
      <c r="N214" t="s">
        <v>52</v>
      </c>
      <c r="O214" t="s">
        <v>24</v>
      </c>
      <c r="P214">
        <f>Tableau1_2[[#This Row],[Quantité]]*Tableau1_2[[#This Row],[Prix_Unitaire]]</f>
        <v>532000</v>
      </c>
      <c r="Q214">
        <f>Tableau1_2[[#This Row],[Quantité]]*Tableau1_2[[#This Row],[Coût_Unitaire]]</f>
        <v>400000</v>
      </c>
      <c r="R214">
        <f>Tableau1_2[[#This Row],[CA]]-Tableau1_2[[#This Row],[Cout Total]]</f>
        <v>132000</v>
      </c>
      <c r="S214" s="4">
        <f>Tableau1_2[[#This Row],[Marge]]/Tableau1_2[[#This Row],[CA]]</f>
        <v>0.24812030075187969</v>
      </c>
      <c r="T214" t="str">
        <f>TEXT(Tableau1_2[[#This Row],[Date]],"mmmm")</f>
        <v>juin</v>
      </c>
    </row>
    <row r="215" spans="1:20" x14ac:dyDescent="0.35">
      <c r="A215" t="s">
        <v>647</v>
      </c>
      <c r="B215" s="2">
        <v>46261</v>
      </c>
      <c r="C215" t="s">
        <v>396</v>
      </c>
      <c r="D215" t="s">
        <v>380</v>
      </c>
      <c r="E215" t="s">
        <v>18</v>
      </c>
      <c r="F215" t="s">
        <v>18</v>
      </c>
      <c r="G215" t="s">
        <v>28</v>
      </c>
      <c r="H215" t="s">
        <v>65</v>
      </c>
      <c r="I215">
        <v>5</v>
      </c>
      <c r="J215">
        <v>11400</v>
      </c>
      <c r="K215">
        <v>7500</v>
      </c>
      <c r="L215" t="s">
        <v>21</v>
      </c>
      <c r="M215" t="s">
        <v>37</v>
      </c>
      <c r="N215" t="s">
        <v>23</v>
      </c>
      <c r="O215" t="s">
        <v>24</v>
      </c>
      <c r="P215">
        <f>Tableau1_2[[#This Row],[Quantité]]*Tableau1_2[[#This Row],[Prix_Unitaire]]</f>
        <v>57000</v>
      </c>
      <c r="Q215">
        <f>Tableau1_2[[#This Row],[Quantité]]*Tableau1_2[[#This Row],[Coût_Unitaire]]</f>
        <v>37500</v>
      </c>
      <c r="R215">
        <f>Tableau1_2[[#This Row],[CA]]-Tableau1_2[[#This Row],[Cout Total]]</f>
        <v>19500</v>
      </c>
      <c r="S215" s="4">
        <f>Tableau1_2[[#This Row],[Marge]]/Tableau1_2[[#This Row],[CA]]</f>
        <v>0.34210526315789475</v>
      </c>
      <c r="T215" t="str">
        <f>TEXT(Tableau1_2[[#This Row],[Date]],"mmmm")</f>
        <v>août</v>
      </c>
    </row>
    <row r="216" spans="1:20" x14ac:dyDescent="0.35">
      <c r="A216" t="s">
        <v>648</v>
      </c>
      <c r="B216" s="2">
        <v>46097</v>
      </c>
      <c r="C216" t="s">
        <v>649</v>
      </c>
      <c r="D216" t="s">
        <v>650</v>
      </c>
      <c r="E216" t="s">
        <v>18</v>
      </c>
      <c r="F216" t="s">
        <v>18</v>
      </c>
      <c r="G216" t="s">
        <v>19</v>
      </c>
      <c r="H216" t="s">
        <v>20</v>
      </c>
      <c r="I216">
        <v>1</v>
      </c>
      <c r="J216">
        <v>68200</v>
      </c>
      <c r="K216">
        <v>43600</v>
      </c>
      <c r="L216" t="s">
        <v>66</v>
      </c>
      <c r="M216" t="s">
        <v>51</v>
      </c>
      <c r="N216" t="s">
        <v>23</v>
      </c>
      <c r="O216" t="s">
        <v>24</v>
      </c>
      <c r="P216">
        <f>Tableau1_2[[#This Row],[Quantité]]*Tableau1_2[[#This Row],[Prix_Unitaire]]</f>
        <v>68200</v>
      </c>
      <c r="Q216">
        <f>Tableau1_2[[#This Row],[Quantité]]*Tableau1_2[[#This Row],[Coût_Unitaire]]</f>
        <v>43600</v>
      </c>
      <c r="R216">
        <f>Tableau1_2[[#This Row],[CA]]-Tableau1_2[[#This Row],[Cout Total]]</f>
        <v>24600</v>
      </c>
      <c r="S216" s="4">
        <f>Tableau1_2[[#This Row],[Marge]]/Tableau1_2[[#This Row],[CA]]</f>
        <v>0.36070381231671556</v>
      </c>
      <c r="T216" t="str">
        <f>TEXT(Tableau1_2[[#This Row],[Date]],"mmmm")</f>
        <v>mars</v>
      </c>
    </row>
    <row r="217" spans="1:20" x14ac:dyDescent="0.35">
      <c r="A217" t="s">
        <v>651</v>
      </c>
      <c r="B217" s="2">
        <v>46133</v>
      </c>
      <c r="C217" t="s">
        <v>652</v>
      </c>
      <c r="D217" t="s">
        <v>374</v>
      </c>
      <c r="E217" t="s">
        <v>41</v>
      </c>
      <c r="F217" t="s">
        <v>42</v>
      </c>
      <c r="G217" t="s">
        <v>368</v>
      </c>
      <c r="H217" t="s">
        <v>35</v>
      </c>
      <c r="I217">
        <v>1</v>
      </c>
      <c r="J217">
        <v>52200</v>
      </c>
      <c r="K217">
        <v>40200</v>
      </c>
      <c r="L217" t="s">
        <v>66</v>
      </c>
      <c r="M217" t="s">
        <v>37</v>
      </c>
      <c r="N217" t="s">
        <v>23</v>
      </c>
      <c r="O217" t="s">
        <v>24</v>
      </c>
      <c r="P217">
        <f>Tableau1_2[[#This Row],[Quantité]]*Tableau1_2[[#This Row],[Prix_Unitaire]]</f>
        <v>52200</v>
      </c>
      <c r="Q217">
        <f>Tableau1_2[[#This Row],[Quantité]]*Tableau1_2[[#This Row],[Coût_Unitaire]]</f>
        <v>40200</v>
      </c>
      <c r="R217">
        <f>Tableau1_2[[#This Row],[CA]]-Tableau1_2[[#This Row],[Cout Total]]</f>
        <v>12000</v>
      </c>
      <c r="S217" s="4">
        <f>Tableau1_2[[#This Row],[Marge]]/Tableau1_2[[#This Row],[CA]]</f>
        <v>0.22988505747126436</v>
      </c>
      <c r="T217" t="str">
        <f>TEXT(Tableau1_2[[#This Row],[Date]],"mmmm")</f>
        <v>avril</v>
      </c>
    </row>
    <row r="218" spans="1:20" x14ac:dyDescent="0.35">
      <c r="A218" t="s">
        <v>653</v>
      </c>
      <c r="B218" s="2">
        <v>46376</v>
      </c>
      <c r="C218" t="s">
        <v>654</v>
      </c>
      <c r="D218" t="s">
        <v>619</v>
      </c>
      <c r="E218" t="s">
        <v>84</v>
      </c>
      <c r="F218" t="s">
        <v>85</v>
      </c>
      <c r="G218" t="s">
        <v>28</v>
      </c>
      <c r="H218" t="s">
        <v>131</v>
      </c>
      <c r="I218">
        <v>6</v>
      </c>
      <c r="J218">
        <v>31500</v>
      </c>
      <c r="K218">
        <v>19600</v>
      </c>
      <c r="L218" t="s">
        <v>96</v>
      </c>
      <c r="M218" t="s">
        <v>22</v>
      </c>
      <c r="N218" t="s">
        <v>23</v>
      </c>
      <c r="O218" t="s">
        <v>24</v>
      </c>
      <c r="P218">
        <f>Tableau1_2[[#This Row],[Quantité]]*Tableau1_2[[#This Row],[Prix_Unitaire]]</f>
        <v>189000</v>
      </c>
      <c r="Q218">
        <f>Tableau1_2[[#This Row],[Quantité]]*Tableau1_2[[#This Row],[Coût_Unitaire]]</f>
        <v>117600</v>
      </c>
      <c r="R218">
        <f>Tableau1_2[[#This Row],[CA]]-Tableau1_2[[#This Row],[Cout Total]]</f>
        <v>71400</v>
      </c>
      <c r="S218" s="4">
        <f>Tableau1_2[[#This Row],[Marge]]/Tableau1_2[[#This Row],[CA]]</f>
        <v>0.37777777777777777</v>
      </c>
      <c r="T218" t="str">
        <f>TEXT(Tableau1_2[[#This Row],[Date]],"mmmm")</f>
        <v>décembre</v>
      </c>
    </row>
    <row r="219" spans="1:20" x14ac:dyDescent="0.35">
      <c r="A219" t="s">
        <v>655</v>
      </c>
      <c r="B219" s="2">
        <v>46136</v>
      </c>
      <c r="C219" t="s">
        <v>656</v>
      </c>
      <c r="D219" t="s">
        <v>589</v>
      </c>
      <c r="E219" t="s">
        <v>84</v>
      </c>
      <c r="F219" t="s">
        <v>85</v>
      </c>
      <c r="G219" t="s">
        <v>28</v>
      </c>
      <c r="H219" t="s">
        <v>65</v>
      </c>
      <c r="I219">
        <v>8</v>
      </c>
      <c r="J219">
        <v>12600</v>
      </c>
      <c r="K219">
        <v>7300</v>
      </c>
      <c r="L219" t="s">
        <v>96</v>
      </c>
      <c r="M219" t="s">
        <v>51</v>
      </c>
      <c r="N219" t="s">
        <v>52</v>
      </c>
      <c r="O219" t="s">
        <v>24</v>
      </c>
      <c r="P219">
        <f>Tableau1_2[[#This Row],[Quantité]]*Tableau1_2[[#This Row],[Prix_Unitaire]]</f>
        <v>100800</v>
      </c>
      <c r="Q219">
        <f>Tableau1_2[[#This Row],[Quantité]]*Tableau1_2[[#This Row],[Coût_Unitaire]]</f>
        <v>58400</v>
      </c>
      <c r="R219">
        <f>Tableau1_2[[#This Row],[CA]]-Tableau1_2[[#This Row],[Cout Total]]</f>
        <v>42400</v>
      </c>
      <c r="S219" s="4">
        <f>Tableau1_2[[#This Row],[Marge]]/Tableau1_2[[#This Row],[CA]]</f>
        <v>0.42063492063492064</v>
      </c>
      <c r="T219" t="str">
        <f>TEXT(Tableau1_2[[#This Row],[Date]],"mmmm")</f>
        <v>avril</v>
      </c>
    </row>
    <row r="220" spans="1:20" x14ac:dyDescent="0.35">
      <c r="A220" t="s">
        <v>657</v>
      </c>
      <c r="B220" s="2">
        <v>46135</v>
      </c>
      <c r="C220" t="s">
        <v>652</v>
      </c>
      <c r="D220" t="s">
        <v>291</v>
      </c>
      <c r="E220" t="s">
        <v>56</v>
      </c>
      <c r="F220" t="s">
        <v>57</v>
      </c>
      <c r="G220" t="s">
        <v>43</v>
      </c>
      <c r="H220" t="s">
        <v>44</v>
      </c>
      <c r="I220">
        <v>2</v>
      </c>
      <c r="J220">
        <v>15000</v>
      </c>
      <c r="K220">
        <v>9800</v>
      </c>
      <c r="L220" t="s">
        <v>50</v>
      </c>
      <c r="M220" t="s">
        <v>51</v>
      </c>
      <c r="N220" t="s">
        <v>87</v>
      </c>
      <c r="O220" t="s">
        <v>24</v>
      </c>
      <c r="P220">
        <f>Tableau1_2[[#This Row],[Quantité]]*Tableau1_2[[#This Row],[Prix_Unitaire]]</f>
        <v>30000</v>
      </c>
      <c r="Q220">
        <f>Tableau1_2[[#This Row],[Quantité]]*Tableau1_2[[#This Row],[Coût_Unitaire]]</f>
        <v>19600</v>
      </c>
      <c r="R220">
        <f>Tableau1_2[[#This Row],[CA]]-Tableau1_2[[#This Row],[Cout Total]]</f>
        <v>10400</v>
      </c>
      <c r="S220" s="4">
        <f>Tableau1_2[[#This Row],[Marge]]/Tableau1_2[[#This Row],[CA]]</f>
        <v>0.34666666666666668</v>
      </c>
      <c r="T220" t="str">
        <f>TEXT(Tableau1_2[[#This Row],[Date]],"mmmm")</f>
        <v>avril</v>
      </c>
    </row>
    <row r="221" spans="1:20" x14ac:dyDescent="0.35">
      <c r="A221" t="s">
        <v>658</v>
      </c>
      <c r="B221" s="2">
        <v>46375</v>
      </c>
      <c r="C221" t="s">
        <v>659</v>
      </c>
      <c r="D221" t="s">
        <v>660</v>
      </c>
      <c r="E221" t="s">
        <v>84</v>
      </c>
      <c r="F221" t="s">
        <v>85</v>
      </c>
      <c r="G221" t="s">
        <v>34</v>
      </c>
      <c r="H221" t="s">
        <v>86</v>
      </c>
      <c r="I221">
        <v>10</v>
      </c>
      <c r="J221">
        <v>189000</v>
      </c>
      <c r="K221">
        <v>131000</v>
      </c>
      <c r="L221" t="s">
        <v>80</v>
      </c>
      <c r="M221" t="s">
        <v>31</v>
      </c>
      <c r="N221" t="s">
        <v>52</v>
      </c>
      <c r="O221" t="s">
        <v>91</v>
      </c>
      <c r="P221">
        <f>Tableau1_2[[#This Row],[Quantité]]*Tableau1_2[[#This Row],[Prix_Unitaire]]</f>
        <v>1890000</v>
      </c>
      <c r="Q221">
        <f>Tableau1_2[[#This Row],[Quantité]]*Tableau1_2[[#This Row],[Coût_Unitaire]]</f>
        <v>1310000</v>
      </c>
      <c r="R221">
        <f>Tableau1_2[[#This Row],[CA]]-Tableau1_2[[#This Row],[Cout Total]]</f>
        <v>580000</v>
      </c>
      <c r="S221" s="4">
        <f>Tableau1_2[[#This Row],[Marge]]/Tableau1_2[[#This Row],[CA]]</f>
        <v>0.30687830687830686</v>
      </c>
      <c r="T221" t="str">
        <f>TEXT(Tableau1_2[[#This Row],[Date]],"mmmm")</f>
        <v>décembre</v>
      </c>
    </row>
    <row r="222" spans="1:20" x14ac:dyDescent="0.35">
      <c r="A222" t="s">
        <v>661</v>
      </c>
      <c r="B222" s="2">
        <v>46081</v>
      </c>
      <c r="C222" t="s">
        <v>133</v>
      </c>
      <c r="D222" t="s">
        <v>662</v>
      </c>
      <c r="E222" t="s">
        <v>18</v>
      </c>
      <c r="F222" t="s">
        <v>18</v>
      </c>
      <c r="G222" t="s">
        <v>19</v>
      </c>
      <c r="H222" t="s">
        <v>166</v>
      </c>
      <c r="I222">
        <v>8</v>
      </c>
      <c r="J222">
        <v>140000</v>
      </c>
      <c r="K222">
        <v>103000</v>
      </c>
      <c r="L222" t="s">
        <v>96</v>
      </c>
      <c r="M222" t="s">
        <v>51</v>
      </c>
      <c r="N222" t="s">
        <v>52</v>
      </c>
      <c r="O222" t="s">
        <v>24</v>
      </c>
      <c r="P222">
        <f>Tableau1_2[[#This Row],[Quantité]]*Tableau1_2[[#This Row],[Prix_Unitaire]]</f>
        <v>1120000</v>
      </c>
      <c r="Q222">
        <f>Tableau1_2[[#This Row],[Quantité]]*Tableau1_2[[#This Row],[Coût_Unitaire]]</f>
        <v>824000</v>
      </c>
      <c r="R222">
        <f>Tableau1_2[[#This Row],[CA]]-Tableau1_2[[#This Row],[Cout Total]]</f>
        <v>296000</v>
      </c>
      <c r="S222" s="4">
        <f>Tableau1_2[[#This Row],[Marge]]/Tableau1_2[[#This Row],[CA]]</f>
        <v>0.26428571428571429</v>
      </c>
      <c r="T222" t="str">
        <f>TEXT(Tableau1_2[[#This Row],[Date]],"mmmm")</f>
        <v>février</v>
      </c>
    </row>
    <row r="223" spans="1:20" x14ac:dyDescent="0.35">
      <c r="A223" t="s">
        <v>663</v>
      </c>
      <c r="B223" s="2">
        <v>46116</v>
      </c>
      <c r="C223" t="s">
        <v>664</v>
      </c>
      <c r="D223" t="s">
        <v>665</v>
      </c>
      <c r="E223" t="s">
        <v>190</v>
      </c>
      <c r="F223" t="s">
        <v>191</v>
      </c>
      <c r="G223" t="s">
        <v>28</v>
      </c>
      <c r="H223" t="s">
        <v>248</v>
      </c>
      <c r="I223">
        <v>8</v>
      </c>
      <c r="J223">
        <v>25000</v>
      </c>
      <c r="K223">
        <v>16000</v>
      </c>
      <c r="L223" t="s">
        <v>66</v>
      </c>
      <c r="M223" t="s">
        <v>51</v>
      </c>
      <c r="N223" t="s">
        <v>23</v>
      </c>
      <c r="O223" t="s">
        <v>91</v>
      </c>
      <c r="P223">
        <f>Tableau1_2[[#This Row],[Quantité]]*Tableau1_2[[#This Row],[Prix_Unitaire]]</f>
        <v>200000</v>
      </c>
      <c r="Q223">
        <f>Tableau1_2[[#This Row],[Quantité]]*Tableau1_2[[#This Row],[Coût_Unitaire]]</f>
        <v>128000</v>
      </c>
      <c r="R223">
        <f>Tableau1_2[[#This Row],[CA]]-Tableau1_2[[#This Row],[Cout Total]]</f>
        <v>72000</v>
      </c>
      <c r="S223" s="4">
        <f>Tableau1_2[[#This Row],[Marge]]/Tableau1_2[[#This Row],[CA]]</f>
        <v>0.36</v>
      </c>
      <c r="T223" t="str">
        <f>TEXT(Tableau1_2[[#This Row],[Date]],"mmmm")</f>
        <v>avril</v>
      </c>
    </row>
    <row r="224" spans="1:20" x14ac:dyDescent="0.35">
      <c r="A224" t="s">
        <v>666</v>
      </c>
      <c r="B224" s="2">
        <v>46296</v>
      </c>
      <c r="C224" t="s">
        <v>376</v>
      </c>
      <c r="D224" t="s">
        <v>667</v>
      </c>
      <c r="E224" t="s">
        <v>77</v>
      </c>
      <c r="F224" t="s">
        <v>78</v>
      </c>
      <c r="G224" t="s">
        <v>34</v>
      </c>
      <c r="H224" t="s">
        <v>158</v>
      </c>
      <c r="I224">
        <v>9</v>
      </c>
      <c r="J224">
        <v>95000</v>
      </c>
      <c r="K224">
        <v>70000</v>
      </c>
      <c r="L224" t="s">
        <v>21</v>
      </c>
      <c r="M224" t="s">
        <v>51</v>
      </c>
      <c r="N224" t="s">
        <v>23</v>
      </c>
      <c r="O224" t="s">
        <v>24</v>
      </c>
      <c r="P224">
        <f>Tableau1_2[[#This Row],[Quantité]]*Tableau1_2[[#This Row],[Prix_Unitaire]]</f>
        <v>855000</v>
      </c>
      <c r="Q224">
        <f>Tableau1_2[[#This Row],[Quantité]]*Tableau1_2[[#This Row],[Coût_Unitaire]]</f>
        <v>630000</v>
      </c>
      <c r="R224">
        <f>Tableau1_2[[#This Row],[CA]]-Tableau1_2[[#This Row],[Cout Total]]</f>
        <v>225000</v>
      </c>
      <c r="S224" s="4">
        <f>Tableau1_2[[#This Row],[Marge]]/Tableau1_2[[#This Row],[CA]]</f>
        <v>0.26315789473684209</v>
      </c>
      <c r="T224" t="str">
        <f>TEXT(Tableau1_2[[#This Row],[Date]],"mmmm")</f>
        <v>octobre</v>
      </c>
    </row>
    <row r="225" spans="1:20" x14ac:dyDescent="0.35">
      <c r="A225" t="s">
        <v>668</v>
      </c>
      <c r="B225" s="2">
        <v>46248</v>
      </c>
      <c r="C225" t="s">
        <v>486</v>
      </c>
      <c r="D225" t="s">
        <v>669</v>
      </c>
      <c r="E225" t="s">
        <v>77</v>
      </c>
      <c r="F225" t="s">
        <v>78</v>
      </c>
      <c r="G225" t="s">
        <v>34</v>
      </c>
      <c r="H225" t="s">
        <v>35</v>
      </c>
      <c r="I225">
        <v>9</v>
      </c>
      <c r="J225">
        <v>57800</v>
      </c>
      <c r="K225">
        <v>39000</v>
      </c>
      <c r="L225" t="s">
        <v>50</v>
      </c>
      <c r="M225" t="s">
        <v>51</v>
      </c>
      <c r="N225" t="s">
        <v>52</v>
      </c>
      <c r="O225" t="s">
        <v>24</v>
      </c>
      <c r="P225">
        <f>Tableau1_2[[#This Row],[Quantité]]*Tableau1_2[[#This Row],[Prix_Unitaire]]</f>
        <v>520200</v>
      </c>
      <c r="Q225">
        <f>Tableau1_2[[#This Row],[Quantité]]*Tableau1_2[[#This Row],[Coût_Unitaire]]</f>
        <v>351000</v>
      </c>
      <c r="R225">
        <f>Tableau1_2[[#This Row],[CA]]-Tableau1_2[[#This Row],[Cout Total]]</f>
        <v>169200</v>
      </c>
      <c r="S225" s="4">
        <f>Tableau1_2[[#This Row],[Marge]]/Tableau1_2[[#This Row],[CA]]</f>
        <v>0.32525951557093424</v>
      </c>
      <c r="T225" t="str">
        <f>TEXT(Tableau1_2[[#This Row],[Date]],"mmmm")</f>
        <v>août</v>
      </c>
    </row>
    <row r="226" spans="1:20" x14ac:dyDescent="0.35">
      <c r="A226" t="s">
        <v>670</v>
      </c>
      <c r="B226" s="2">
        <v>46338</v>
      </c>
      <c r="C226" t="s">
        <v>671</v>
      </c>
      <c r="D226" t="s">
        <v>672</v>
      </c>
      <c r="E226" t="s">
        <v>77</v>
      </c>
      <c r="F226" t="s">
        <v>78</v>
      </c>
      <c r="G226" t="s">
        <v>43</v>
      </c>
      <c r="H226" t="s">
        <v>162</v>
      </c>
      <c r="I226">
        <v>2</v>
      </c>
      <c r="J226">
        <v>8400</v>
      </c>
      <c r="K226">
        <v>4800</v>
      </c>
      <c r="L226" t="s">
        <v>30</v>
      </c>
      <c r="M226" t="s">
        <v>37</v>
      </c>
      <c r="N226" t="s">
        <v>52</v>
      </c>
      <c r="O226" t="s">
        <v>24</v>
      </c>
      <c r="P226">
        <f>Tableau1_2[[#This Row],[Quantité]]*Tableau1_2[[#This Row],[Prix_Unitaire]]</f>
        <v>16800</v>
      </c>
      <c r="Q226">
        <f>Tableau1_2[[#This Row],[Quantité]]*Tableau1_2[[#This Row],[Coût_Unitaire]]</f>
        <v>9600</v>
      </c>
      <c r="R226">
        <f>Tableau1_2[[#This Row],[CA]]-Tableau1_2[[#This Row],[Cout Total]]</f>
        <v>7200</v>
      </c>
      <c r="S226" s="4">
        <f>Tableau1_2[[#This Row],[Marge]]/Tableau1_2[[#This Row],[CA]]</f>
        <v>0.42857142857142855</v>
      </c>
      <c r="T226" t="str">
        <f>TEXT(Tableau1_2[[#This Row],[Date]],"mmmm")</f>
        <v>novembre</v>
      </c>
    </row>
    <row r="227" spans="1:20" x14ac:dyDescent="0.35">
      <c r="A227" t="s">
        <v>673</v>
      </c>
      <c r="B227" s="2">
        <v>46029</v>
      </c>
      <c r="C227" t="s">
        <v>212</v>
      </c>
      <c r="D227" t="s">
        <v>674</v>
      </c>
      <c r="E227" t="s">
        <v>18</v>
      </c>
      <c r="F227" t="s">
        <v>18</v>
      </c>
      <c r="G227" t="s">
        <v>19</v>
      </c>
      <c r="H227" t="s">
        <v>61</v>
      </c>
      <c r="I227">
        <v>5</v>
      </c>
      <c r="J227">
        <v>220000</v>
      </c>
      <c r="K227">
        <v>155200</v>
      </c>
      <c r="L227" t="s">
        <v>66</v>
      </c>
      <c r="M227" t="s">
        <v>51</v>
      </c>
      <c r="N227" t="s">
        <v>87</v>
      </c>
      <c r="O227" t="s">
        <v>24</v>
      </c>
      <c r="P227">
        <f>Tableau1_2[[#This Row],[Quantité]]*Tableau1_2[[#This Row],[Prix_Unitaire]]</f>
        <v>1100000</v>
      </c>
      <c r="Q227">
        <f>Tableau1_2[[#This Row],[Quantité]]*Tableau1_2[[#This Row],[Coût_Unitaire]]</f>
        <v>776000</v>
      </c>
      <c r="R227">
        <f>Tableau1_2[[#This Row],[CA]]-Tableau1_2[[#This Row],[Cout Total]]</f>
        <v>324000</v>
      </c>
      <c r="S227" s="4">
        <f>Tableau1_2[[#This Row],[Marge]]/Tableau1_2[[#This Row],[CA]]</f>
        <v>0.29454545454545455</v>
      </c>
      <c r="T227" t="str">
        <f>TEXT(Tableau1_2[[#This Row],[Date]],"mmmm")</f>
        <v>janvier</v>
      </c>
    </row>
    <row r="228" spans="1:20" x14ac:dyDescent="0.35">
      <c r="A228" t="s">
        <v>675</v>
      </c>
      <c r="B228" s="2">
        <v>46367</v>
      </c>
      <c r="C228" t="s">
        <v>600</v>
      </c>
      <c r="D228" t="s">
        <v>676</v>
      </c>
      <c r="E228" t="s">
        <v>70</v>
      </c>
      <c r="F228" t="s">
        <v>71</v>
      </c>
      <c r="G228" t="s">
        <v>34</v>
      </c>
      <c r="H228" t="s">
        <v>95</v>
      </c>
      <c r="I228">
        <v>7</v>
      </c>
      <c r="J228">
        <v>450000</v>
      </c>
      <c r="K228">
        <v>370000</v>
      </c>
      <c r="L228" t="s">
        <v>50</v>
      </c>
      <c r="M228" t="s">
        <v>51</v>
      </c>
      <c r="N228" t="s">
        <v>23</v>
      </c>
      <c r="O228" t="s">
        <v>24</v>
      </c>
      <c r="P228">
        <f>Tableau1_2[[#This Row],[Quantité]]*Tableau1_2[[#This Row],[Prix_Unitaire]]</f>
        <v>3150000</v>
      </c>
      <c r="Q228">
        <f>Tableau1_2[[#This Row],[Quantité]]*Tableau1_2[[#This Row],[Coût_Unitaire]]</f>
        <v>2590000</v>
      </c>
      <c r="R228">
        <f>Tableau1_2[[#This Row],[CA]]-Tableau1_2[[#This Row],[Cout Total]]</f>
        <v>560000</v>
      </c>
      <c r="S228" s="4">
        <f>Tableau1_2[[#This Row],[Marge]]/Tableau1_2[[#This Row],[CA]]</f>
        <v>0.17777777777777778</v>
      </c>
      <c r="T228" t="str">
        <f>TEXT(Tableau1_2[[#This Row],[Date]],"mmmm")</f>
        <v>décembre</v>
      </c>
    </row>
    <row r="229" spans="1:20" x14ac:dyDescent="0.35">
      <c r="A229" t="s">
        <v>677</v>
      </c>
      <c r="B229" s="2">
        <v>46245</v>
      </c>
      <c r="C229" t="s">
        <v>678</v>
      </c>
      <c r="D229" t="s">
        <v>679</v>
      </c>
      <c r="E229" t="s">
        <v>18</v>
      </c>
      <c r="F229" t="s">
        <v>18</v>
      </c>
      <c r="G229" t="s">
        <v>28</v>
      </c>
      <c r="H229" t="s">
        <v>29</v>
      </c>
      <c r="I229">
        <v>10</v>
      </c>
      <c r="J229">
        <v>7000</v>
      </c>
      <c r="K229">
        <v>4000</v>
      </c>
      <c r="L229" t="s">
        <v>73</v>
      </c>
      <c r="M229" t="s">
        <v>37</v>
      </c>
      <c r="N229" t="s">
        <v>23</v>
      </c>
      <c r="O229" t="s">
        <v>24</v>
      </c>
      <c r="P229">
        <f>Tableau1_2[[#This Row],[Quantité]]*Tableau1_2[[#This Row],[Prix_Unitaire]]</f>
        <v>70000</v>
      </c>
      <c r="Q229">
        <f>Tableau1_2[[#This Row],[Quantité]]*Tableau1_2[[#This Row],[Coût_Unitaire]]</f>
        <v>40000</v>
      </c>
      <c r="R229">
        <f>Tableau1_2[[#This Row],[CA]]-Tableau1_2[[#This Row],[Cout Total]]</f>
        <v>30000</v>
      </c>
      <c r="S229" s="4">
        <f>Tableau1_2[[#This Row],[Marge]]/Tableau1_2[[#This Row],[CA]]</f>
        <v>0.42857142857142855</v>
      </c>
      <c r="T229" t="str">
        <f>TEXT(Tableau1_2[[#This Row],[Date]],"mmmm")</f>
        <v>août</v>
      </c>
    </row>
    <row r="230" spans="1:20" x14ac:dyDescent="0.35">
      <c r="A230" t="s">
        <v>680</v>
      </c>
      <c r="B230" s="2">
        <v>46225</v>
      </c>
      <c r="C230" t="s">
        <v>299</v>
      </c>
      <c r="D230" t="s">
        <v>127</v>
      </c>
      <c r="E230" t="s">
        <v>18</v>
      </c>
      <c r="F230" t="s">
        <v>18</v>
      </c>
      <c r="G230" t="s">
        <v>34</v>
      </c>
      <c r="H230" t="s">
        <v>158</v>
      </c>
      <c r="I230">
        <v>10</v>
      </c>
      <c r="J230">
        <v>95000</v>
      </c>
      <c r="K230">
        <v>72100</v>
      </c>
      <c r="L230" t="s">
        <v>66</v>
      </c>
      <c r="M230" t="s">
        <v>51</v>
      </c>
      <c r="N230" t="s">
        <v>52</v>
      </c>
      <c r="O230" t="s">
        <v>45</v>
      </c>
      <c r="P230">
        <f>Tableau1_2[[#This Row],[Quantité]]*Tableau1_2[[#This Row],[Prix_Unitaire]]</f>
        <v>950000</v>
      </c>
      <c r="Q230">
        <f>Tableau1_2[[#This Row],[Quantité]]*Tableau1_2[[#This Row],[Coût_Unitaire]]</f>
        <v>721000</v>
      </c>
      <c r="R230">
        <f>Tableau1_2[[#This Row],[CA]]-Tableau1_2[[#This Row],[Cout Total]]</f>
        <v>229000</v>
      </c>
      <c r="S230" s="4">
        <f>Tableau1_2[[#This Row],[Marge]]/Tableau1_2[[#This Row],[CA]]</f>
        <v>0.24105263157894738</v>
      </c>
      <c r="T230" t="str">
        <f>TEXT(Tableau1_2[[#This Row],[Date]],"mmmm")</f>
        <v>juillet</v>
      </c>
    </row>
    <row r="231" spans="1:20" x14ac:dyDescent="0.35">
      <c r="A231" t="s">
        <v>681</v>
      </c>
      <c r="B231" s="2">
        <v>46208</v>
      </c>
      <c r="C231" t="s">
        <v>275</v>
      </c>
      <c r="D231" t="s">
        <v>17</v>
      </c>
      <c r="E231" t="s">
        <v>41</v>
      </c>
      <c r="F231" t="s">
        <v>42</v>
      </c>
      <c r="G231" t="s">
        <v>19</v>
      </c>
      <c r="H231" t="s">
        <v>166</v>
      </c>
      <c r="I231">
        <v>5</v>
      </c>
      <c r="J231">
        <v>133000</v>
      </c>
      <c r="K231">
        <v>103000</v>
      </c>
      <c r="L231" t="s">
        <v>50</v>
      </c>
      <c r="M231" t="s">
        <v>51</v>
      </c>
      <c r="N231" t="s">
        <v>52</v>
      </c>
      <c r="O231" t="s">
        <v>24</v>
      </c>
      <c r="P231">
        <f>Tableau1_2[[#This Row],[Quantité]]*Tableau1_2[[#This Row],[Prix_Unitaire]]</f>
        <v>665000</v>
      </c>
      <c r="Q231">
        <f>Tableau1_2[[#This Row],[Quantité]]*Tableau1_2[[#This Row],[Coût_Unitaire]]</f>
        <v>515000</v>
      </c>
      <c r="R231">
        <f>Tableau1_2[[#This Row],[CA]]-Tableau1_2[[#This Row],[Cout Total]]</f>
        <v>150000</v>
      </c>
      <c r="S231" s="4">
        <f>Tableau1_2[[#This Row],[Marge]]/Tableau1_2[[#This Row],[CA]]</f>
        <v>0.22556390977443608</v>
      </c>
      <c r="T231" t="str">
        <f>TEXT(Tableau1_2[[#This Row],[Date]],"mmmm")</f>
        <v>juillet</v>
      </c>
    </row>
    <row r="232" spans="1:20" x14ac:dyDescent="0.35">
      <c r="A232" t="s">
        <v>682</v>
      </c>
      <c r="B232" s="2">
        <v>46082</v>
      </c>
      <c r="C232" t="s">
        <v>683</v>
      </c>
      <c r="D232" t="s">
        <v>586</v>
      </c>
      <c r="E232" t="s">
        <v>156</v>
      </c>
      <c r="F232" t="s">
        <v>170</v>
      </c>
      <c r="G232" t="s">
        <v>34</v>
      </c>
      <c r="H232" t="s">
        <v>141</v>
      </c>
      <c r="I232">
        <v>9</v>
      </c>
      <c r="J232">
        <v>168000</v>
      </c>
      <c r="K232">
        <v>116400</v>
      </c>
      <c r="L232" t="s">
        <v>66</v>
      </c>
      <c r="M232" t="s">
        <v>37</v>
      </c>
      <c r="N232" t="s">
        <v>87</v>
      </c>
      <c r="O232" t="s">
        <v>91</v>
      </c>
      <c r="P232">
        <f>Tableau1_2[[#This Row],[Quantité]]*Tableau1_2[[#This Row],[Prix_Unitaire]]</f>
        <v>1512000</v>
      </c>
      <c r="Q232">
        <f>Tableau1_2[[#This Row],[Quantité]]*Tableau1_2[[#This Row],[Coût_Unitaire]]</f>
        <v>1047600</v>
      </c>
      <c r="R232">
        <f>Tableau1_2[[#This Row],[CA]]-Tableau1_2[[#This Row],[Cout Total]]</f>
        <v>464400</v>
      </c>
      <c r="S232" s="4">
        <f>Tableau1_2[[#This Row],[Marge]]/Tableau1_2[[#This Row],[CA]]</f>
        <v>0.30714285714285716</v>
      </c>
      <c r="T232" t="str">
        <f>TEXT(Tableau1_2[[#This Row],[Date]],"mmmm")</f>
        <v>mars</v>
      </c>
    </row>
    <row r="233" spans="1:20" x14ac:dyDescent="0.35">
      <c r="A233" t="s">
        <v>684</v>
      </c>
      <c r="B233" s="2">
        <v>46260</v>
      </c>
      <c r="C233" t="s">
        <v>685</v>
      </c>
      <c r="D233" t="s">
        <v>519</v>
      </c>
      <c r="E233" t="s">
        <v>77</v>
      </c>
      <c r="F233" t="s">
        <v>78</v>
      </c>
      <c r="G233" t="s">
        <v>43</v>
      </c>
      <c r="H233" t="s">
        <v>44</v>
      </c>
      <c r="I233">
        <v>8</v>
      </c>
      <c r="J233">
        <v>15000</v>
      </c>
      <c r="K233">
        <v>9200</v>
      </c>
      <c r="L233" t="s">
        <v>73</v>
      </c>
      <c r="M233" t="s">
        <v>51</v>
      </c>
      <c r="N233" t="s">
        <v>23</v>
      </c>
      <c r="O233" t="s">
        <v>24</v>
      </c>
      <c r="P233">
        <f>Tableau1_2[[#This Row],[Quantité]]*Tableau1_2[[#This Row],[Prix_Unitaire]]</f>
        <v>120000</v>
      </c>
      <c r="Q233">
        <f>Tableau1_2[[#This Row],[Quantité]]*Tableau1_2[[#This Row],[Coût_Unitaire]]</f>
        <v>73600</v>
      </c>
      <c r="R233">
        <f>Tableau1_2[[#This Row],[CA]]-Tableau1_2[[#This Row],[Cout Total]]</f>
        <v>46400</v>
      </c>
      <c r="S233" s="4">
        <f>Tableau1_2[[#This Row],[Marge]]/Tableau1_2[[#This Row],[CA]]</f>
        <v>0.38666666666666666</v>
      </c>
      <c r="T233" t="str">
        <f>TEXT(Tableau1_2[[#This Row],[Date]],"mmmm")</f>
        <v>août</v>
      </c>
    </row>
    <row r="234" spans="1:20" x14ac:dyDescent="0.35">
      <c r="A234" t="s">
        <v>686</v>
      </c>
      <c r="B234" s="2">
        <v>46107</v>
      </c>
      <c r="C234" t="s">
        <v>687</v>
      </c>
      <c r="D234" t="s">
        <v>688</v>
      </c>
      <c r="E234" t="s">
        <v>84</v>
      </c>
      <c r="F234" t="s">
        <v>85</v>
      </c>
      <c r="G234" t="s">
        <v>34</v>
      </c>
      <c r="H234" t="s">
        <v>86</v>
      </c>
      <c r="I234">
        <v>4</v>
      </c>
      <c r="J234">
        <v>180000</v>
      </c>
      <c r="K234">
        <v>139000</v>
      </c>
      <c r="L234" t="s">
        <v>73</v>
      </c>
      <c r="M234" t="s">
        <v>22</v>
      </c>
      <c r="N234" t="s">
        <v>23</v>
      </c>
      <c r="O234" t="s">
        <v>24</v>
      </c>
      <c r="P234">
        <f>Tableau1_2[[#This Row],[Quantité]]*Tableau1_2[[#This Row],[Prix_Unitaire]]</f>
        <v>720000</v>
      </c>
      <c r="Q234">
        <f>Tableau1_2[[#This Row],[Quantité]]*Tableau1_2[[#This Row],[Coût_Unitaire]]</f>
        <v>556000</v>
      </c>
      <c r="R234">
        <f>Tableau1_2[[#This Row],[CA]]-Tableau1_2[[#This Row],[Cout Total]]</f>
        <v>164000</v>
      </c>
      <c r="S234" s="4">
        <f>Tableau1_2[[#This Row],[Marge]]/Tableau1_2[[#This Row],[CA]]</f>
        <v>0.22777777777777777</v>
      </c>
      <c r="T234" t="str">
        <f>TEXT(Tableau1_2[[#This Row],[Date]],"mmmm")</f>
        <v>mars</v>
      </c>
    </row>
    <row r="235" spans="1:20" x14ac:dyDescent="0.35">
      <c r="A235" t="s">
        <v>689</v>
      </c>
      <c r="B235" s="2">
        <v>46272</v>
      </c>
      <c r="C235" t="s">
        <v>690</v>
      </c>
      <c r="D235" t="s">
        <v>691</v>
      </c>
      <c r="E235" t="s">
        <v>18</v>
      </c>
      <c r="F235" t="s">
        <v>18</v>
      </c>
      <c r="G235" t="s">
        <v>34</v>
      </c>
      <c r="H235" t="s">
        <v>141</v>
      </c>
      <c r="I235">
        <v>10</v>
      </c>
      <c r="J235">
        <v>168000</v>
      </c>
      <c r="K235">
        <v>123600</v>
      </c>
      <c r="L235" t="s">
        <v>66</v>
      </c>
      <c r="M235" t="s">
        <v>22</v>
      </c>
      <c r="N235" t="s">
        <v>23</v>
      </c>
      <c r="O235" t="s">
        <v>24</v>
      </c>
      <c r="P235">
        <f>Tableau1_2[[#This Row],[Quantité]]*Tableau1_2[[#This Row],[Prix_Unitaire]]</f>
        <v>1680000</v>
      </c>
      <c r="Q235">
        <f>Tableau1_2[[#This Row],[Quantité]]*Tableau1_2[[#This Row],[Coût_Unitaire]]</f>
        <v>1236000</v>
      </c>
      <c r="R235">
        <f>Tableau1_2[[#This Row],[CA]]-Tableau1_2[[#This Row],[Cout Total]]</f>
        <v>444000</v>
      </c>
      <c r="S235" s="4">
        <f>Tableau1_2[[#This Row],[Marge]]/Tableau1_2[[#This Row],[CA]]</f>
        <v>0.26428571428571429</v>
      </c>
      <c r="T235" t="str">
        <f>TEXT(Tableau1_2[[#This Row],[Date]],"mmmm")</f>
        <v>septembre</v>
      </c>
    </row>
    <row r="236" spans="1:20" x14ac:dyDescent="0.35">
      <c r="A236" t="s">
        <v>692</v>
      </c>
      <c r="B236" s="2">
        <v>46284</v>
      </c>
      <c r="C236" t="s">
        <v>252</v>
      </c>
      <c r="D236" t="s">
        <v>676</v>
      </c>
      <c r="E236" t="s">
        <v>18</v>
      </c>
      <c r="F236" t="s">
        <v>18</v>
      </c>
      <c r="G236" t="s">
        <v>43</v>
      </c>
      <c r="H236" t="s">
        <v>49</v>
      </c>
      <c r="I236">
        <v>2</v>
      </c>
      <c r="J236">
        <v>8600</v>
      </c>
      <c r="K236">
        <v>5600</v>
      </c>
      <c r="L236" t="s">
        <v>30</v>
      </c>
      <c r="M236" t="s">
        <v>37</v>
      </c>
      <c r="N236" t="s">
        <v>87</v>
      </c>
      <c r="O236" t="s">
        <v>45</v>
      </c>
      <c r="P236">
        <f>Tableau1_2[[#This Row],[Quantité]]*Tableau1_2[[#This Row],[Prix_Unitaire]]</f>
        <v>17200</v>
      </c>
      <c r="Q236">
        <f>Tableau1_2[[#This Row],[Quantité]]*Tableau1_2[[#This Row],[Coût_Unitaire]]</f>
        <v>11200</v>
      </c>
      <c r="R236">
        <f>Tableau1_2[[#This Row],[CA]]-Tableau1_2[[#This Row],[Cout Total]]</f>
        <v>6000</v>
      </c>
      <c r="S236" s="4">
        <f>Tableau1_2[[#This Row],[Marge]]/Tableau1_2[[#This Row],[CA]]</f>
        <v>0.34883720930232559</v>
      </c>
      <c r="T236" t="str">
        <f>TEXT(Tableau1_2[[#This Row],[Date]],"mmmm")</f>
        <v>septembre</v>
      </c>
    </row>
    <row r="237" spans="1:20" x14ac:dyDescent="0.35">
      <c r="A237" t="s">
        <v>693</v>
      </c>
      <c r="B237" s="2">
        <v>46118</v>
      </c>
      <c r="C237" t="s">
        <v>694</v>
      </c>
      <c r="D237" t="s">
        <v>695</v>
      </c>
      <c r="E237" t="s">
        <v>18</v>
      </c>
      <c r="F237" t="s">
        <v>18</v>
      </c>
      <c r="G237" t="s">
        <v>28</v>
      </c>
      <c r="H237" t="s">
        <v>29</v>
      </c>
      <c r="I237">
        <v>9</v>
      </c>
      <c r="J237">
        <v>7000</v>
      </c>
      <c r="K237">
        <v>4000</v>
      </c>
      <c r="L237" t="s">
        <v>30</v>
      </c>
      <c r="M237" t="s">
        <v>51</v>
      </c>
      <c r="N237" t="s">
        <v>23</v>
      </c>
      <c r="O237" t="s">
        <v>24</v>
      </c>
      <c r="P237">
        <f>Tableau1_2[[#This Row],[Quantité]]*Tableau1_2[[#This Row],[Prix_Unitaire]]</f>
        <v>63000</v>
      </c>
      <c r="Q237">
        <f>Tableau1_2[[#This Row],[Quantité]]*Tableau1_2[[#This Row],[Coût_Unitaire]]</f>
        <v>36000</v>
      </c>
      <c r="R237">
        <f>Tableau1_2[[#This Row],[CA]]-Tableau1_2[[#This Row],[Cout Total]]</f>
        <v>27000</v>
      </c>
      <c r="S237" s="4">
        <f>Tableau1_2[[#This Row],[Marge]]/Tableau1_2[[#This Row],[CA]]</f>
        <v>0.42857142857142855</v>
      </c>
      <c r="T237" t="str">
        <f>TEXT(Tableau1_2[[#This Row],[Date]],"mmmm")</f>
        <v>avril</v>
      </c>
    </row>
    <row r="238" spans="1:20" x14ac:dyDescent="0.35">
      <c r="A238" t="s">
        <v>696</v>
      </c>
      <c r="B238" s="2">
        <v>46091</v>
      </c>
      <c r="C238" t="s">
        <v>523</v>
      </c>
      <c r="D238" t="s">
        <v>697</v>
      </c>
      <c r="E238" t="s">
        <v>18</v>
      </c>
      <c r="F238" t="s">
        <v>18</v>
      </c>
      <c r="G238" t="s">
        <v>28</v>
      </c>
      <c r="H238" t="s">
        <v>248</v>
      </c>
      <c r="I238">
        <v>10</v>
      </c>
      <c r="J238">
        <v>26200</v>
      </c>
      <c r="K238">
        <v>16000</v>
      </c>
      <c r="L238" t="s">
        <v>36</v>
      </c>
      <c r="M238" t="s">
        <v>51</v>
      </c>
      <c r="N238" t="s">
        <v>52</v>
      </c>
      <c r="O238" t="s">
        <v>24</v>
      </c>
      <c r="P238">
        <f>Tableau1_2[[#This Row],[Quantité]]*Tableau1_2[[#This Row],[Prix_Unitaire]]</f>
        <v>262000</v>
      </c>
      <c r="Q238">
        <f>Tableau1_2[[#This Row],[Quantité]]*Tableau1_2[[#This Row],[Coût_Unitaire]]</f>
        <v>160000</v>
      </c>
      <c r="R238">
        <f>Tableau1_2[[#This Row],[CA]]-Tableau1_2[[#This Row],[Cout Total]]</f>
        <v>102000</v>
      </c>
      <c r="S238" s="4">
        <f>Tableau1_2[[#This Row],[Marge]]/Tableau1_2[[#This Row],[CA]]</f>
        <v>0.38931297709923662</v>
      </c>
      <c r="T238" t="str">
        <f>TEXT(Tableau1_2[[#This Row],[Date]],"mmmm")</f>
        <v>mars</v>
      </c>
    </row>
    <row r="239" spans="1:20" x14ac:dyDescent="0.35">
      <c r="A239" t="s">
        <v>698</v>
      </c>
      <c r="B239" s="2">
        <v>46090</v>
      </c>
      <c r="C239" t="s">
        <v>699</v>
      </c>
      <c r="D239" t="s">
        <v>700</v>
      </c>
      <c r="E239" t="s">
        <v>41</v>
      </c>
      <c r="F239" t="s">
        <v>42</v>
      </c>
      <c r="G239" t="s">
        <v>28</v>
      </c>
      <c r="H239" t="s">
        <v>65</v>
      </c>
      <c r="I239">
        <v>1</v>
      </c>
      <c r="J239">
        <v>12000</v>
      </c>
      <c r="K239">
        <v>7300</v>
      </c>
      <c r="L239" t="s">
        <v>96</v>
      </c>
      <c r="M239" t="s">
        <v>51</v>
      </c>
      <c r="N239" t="s">
        <v>52</v>
      </c>
      <c r="O239" t="s">
        <v>24</v>
      </c>
      <c r="P239">
        <f>Tableau1_2[[#This Row],[Quantité]]*Tableau1_2[[#This Row],[Prix_Unitaire]]</f>
        <v>12000</v>
      </c>
      <c r="Q239">
        <f>Tableau1_2[[#This Row],[Quantité]]*Tableau1_2[[#This Row],[Coût_Unitaire]]</f>
        <v>7300</v>
      </c>
      <c r="R239">
        <f>Tableau1_2[[#This Row],[CA]]-Tableau1_2[[#This Row],[Cout Total]]</f>
        <v>4700</v>
      </c>
      <c r="S239" s="4">
        <f>Tableau1_2[[#This Row],[Marge]]/Tableau1_2[[#This Row],[CA]]</f>
        <v>0.39166666666666666</v>
      </c>
      <c r="T239" t="str">
        <f>TEXT(Tableau1_2[[#This Row],[Date]],"mmmm")</f>
        <v>mars</v>
      </c>
    </row>
    <row r="240" spans="1:20" x14ac:dyDescent="0.35">
      <c r="A240" t="s">
        <v>701</v>
      </c>
      <c r="B240" s="2">
        <v>46323</v>
      </c>
      <c r="C240" t="s">
        <v>702</v>
      </c>
      <c r="D240" t="s">
        <v>703</v>
      </c>
      <c r="E240" t="s">
        <v>70</v>
      </c>
      <c r="F240" t="s">
        <v>71</v>
      </c>
      <c r="G240" t="s">
        <v>34</v>
      </c>
      <c r="H240" t="s">
        <v>95</v>
      </c>
      <c r="I240">
        <v>5</v>
      </c>
      <c r="J240">
        <v>450000</v>
      </c>
      <c r="K240">
        <v>381100</v>
      </c>
      <c r="L240" t="s">
        <v>36</v>
      </c>
      <c r="M240" t="s">
        <v>37</v>
      </c>
      <c r="N240" t="s">
        <v>52</v>
      </c>
      <c r="O240" t="s">
        <v>24</v>
      </c>
      <c r="P240">
        <f>Tableau1_2[[#This Row],[Quantité]]*Tableau1_2[[#This Row],[Prix_Unitaire]]</f>
        <v>2250000</v>
      </c>
      <c r="Q240">
        <f>Tableau1_2[[#This Row],[Quantité]]*Tableau1_2[[#This Row],[Coût_Unitaire]]</f>
        <v>1905500</v>
      </c>
      <c r="R240">
        <f>Tableau1_2[[#This Row],[CA]]-Tableau1_2[[#This Row],[Cout Total]]</f>
        <v>344500</v>
      </c>
      <c r="S240" s="4">
        <f>Tableau1_2[[#This Row],[Marge]]/Tableau1_2[[#This Row],[CA]]</f>
        <v>0.15311111111111111</v>
      </c>
      <c r="T240" t="str">
        <f>TEXT(Tableau1_2[[#This Row],[Date]],"mmmm")</f>
        <v>octobre</v>
      </c>
    </row>
    <row r="241" spans="1:20" x14ac:dyDescent="0.35">
      <c r="A241" t="s">
        <v>704</v>
      </c>
      <c r="B241" s="2">
        <v>46351</v>
      </c>
      <c r="C241" t="s">
        <v>373</v>
      </c>
      <c r="D241" t="s">
        <v>705</v>
      </c>
      <c r="E241" t="s">
        <v>18</v>
      </c>
      <c r="F241" t="s">
        <v>18</v>
      </c>
      <c r="G241" t="s">
        <v>34</v>
      </c>
      <c r="H241" t="s">
        <v>141</v>
      </c>
      <c r="I241">
        <v>3</v>
      </c>
      <c r="J241">
        <v>168000</v>
      </c>
      <c r="K241">
        <v>120000</v>
      </c>
      <c r="L241" t="s">
        <v>80</v>
      </c>
      <c r="M241" t="s">
        <v>51</v>
      </c>
      <c r="N241" t="s">
        <v>52</v>
      </c>
      <c r="O241" t="s">
        <v>24</v>
      </c>
      <c r="P241">
        <f>Tableau1_2[[#This Row],[Quantité]]*Tableau1_2[[#This Row],[Prix_Unitaire]]</f>
        <v>504000</v>
      </c>
      <c r="Q241">
        <f>Tableau1_2[[#This Row],[Quantité]]*Tableau1_2[[#This Row],[Coût_Unitaire]]</f>
        <v>360000</v>
      </c>
      <c r="R241">
        <f>Tableau1_2[[#This Row],[CA]]-Tableau1_2[[#This Row],[Cout Total]]</f>
        <v>144000</v>
      </c>
      <c r="S241" s="4">
        <f>Tableau1_2[[#This Row],[Marge]]/Tableau1_2[[#This Row],[CA]]</f>
        <v>0.2857142857142857</v>
      </c>
      <c r="T241" t="str">
        <f>TEXT(Tableau1_2[[#This Row],[Date]],"mmmm")</f>
        <v>novembre</v>
      </c>
    </row>
    <row r="242" spans="1:20" x14ac:dyDescent="0.35">
      <c r="A242" t="s">
        <v>706</v>
      </c>
      <c r="B242" s="2">
        <v>46371</v>
      </c>
      <c r="C242" t="s">
        <v>707</v>
      </c>
      <c r="D242" t="s">
        <v>291</v>
      </c>
      <c r="E242" t="s">
        <v>84</v>
      </c>
      <c r="F242" t="s">
        <v>85</v>
      </c>
      <c r="G242" t="s">
        <v>28</v>
      </c>
      <c r="H242" t="s">
        <v>72</v>
      </c>
      <c r="I242">
        <v>5</v>
      </c>
      <c r="J242">
        <v>9500</v>
      </c>
      <c r="K242">
        <v>6200</v>
      </c>
      <c r="L242" t="s">
        <v>73</v>
      </c>
      <c r="M242" t="s">
        <v>31</v>
      </c>
      <c r="N242" t="s">
        <v>87</v>
      </c>
      <c r="O242" t="s">
        <v>45</v>
      </c>
      <c r="P242">
        <f>Tableau1_2[[#This Row],[Quantité]]*Tableau1_2[[#This Row],[Prix_Unitaire]]</f>
        <v>47500</v>
      </c>
      <c r="Q242">
        <f>Tableau1_2[[#This Row],[Quantité]]*Tableau1_2[[#This Row],[Coût_Unitaire]]</f>
        <v>31000</v>
      </c>
      <c r="R242">
        <f>Tableau1_2[[#This Row],[CA]]-Tableau1_2[[#This Row],[Cout Total]]</f>
        <v>16500</v>
      </c>
      <c r="S242" s="4">
        <f>Tableau1_2[[#This Row],[Marge]]/Tableau1_2[[#This Row],[CA]]</f>
        <v>0.3473684210526316</v>
      </c>
      <c r="T242" t="str">
        <f>TEXT(Tableau1_2[[#This Row],[Date]],"mmmm")</f>
        <v>décembre</v>
      </c>
    </row>
    <row r="243" spans="1:20" x14ac:dyDescent="0.35">
      <c r="A243" t="s">
        <v>708</v>
      </c>
      <c r="B243" s="2">
        <v>46376</v>
      </c>
      <c r="C243" t="s">
        <v>305</v>
      </c>
      <c r="D243" t="s">
        <v>709</v>
      </c>
      <c r="E243" t="s">
        <v>18</v>
      </c>
      <c r="F243" t="s">
        <v>18</v>
      </c>
      <c r="G243" t="s">
        <v>43</v>
      </c>
      <c r="H243" t="s">
        <v>79</v>
      </c>
      <c r="I243">
        <v>5</v>
      </c>
      <c r="J243">
        <v>5700</v>
      </c>
      <c r="K243">
        <v>4100</v>
      </c>
      <c r="L243" t="s">
        <v>66</v>
      </c>
      <c r="M243" t="s">
        <v>37</v>
      </c>
      <c r="N243" t="s">
        <v>23</v>
      </c>
      <c r="O243" t="s">
        <v>24</v>
      </c>
      <c r="P243">
        <f>Tableau1_2[[#This Row],[Quantité]]*Tableau1_2[[#This Row],[Prix_Unitaire]]</f>
        <v>28500</v>
      </c>
      <c r="Q243">
        <f>Tableau1_2[[#This Row],[Quantité]]*Tableau1_2[[#This Row],[Coût_Unitaire]]</f>
        <v>20500</v>
      </c>
      <c r="R243">
        <f>Tableau1_2[[#This Row],[CA]]-Tableau1_2[[#This Row],[Cout Total]]</f>
        <v>8000</v>
      </c>
      <c r="S243" s="4">
        <f>Tableau1_2[[#This Row],[Marge]]/Tableau1_2[[#This Row],[CA]]</f>
        <v>0.2807017543859649</v>
      </c>
      <c r="T243" t="str">
        <f>TEXT(Tableau1_2[[#This Row],[Date]],"mmmm")</f>
        <v>décembre</v>
      </c>
    </row>
    <row r="244" spans="1:20" x14ac:dyDescent="0.35">
      <c r="A244" t="s">
        <v>710</v>
      </c>
      <c r="B244" s="2">
        <v>46129</v>
      </c>
      <c r="C244" t="s">
        <v>626</v>
      </c>
      <c r="D244" t="s">
        <v>711</v>
      </c>
      <c r="E244" t="s">
        <v>70</v>
      </c>
      <c r="F244" t="s">
        <v>71</v>
      </c>
      <c r="G244" t="s">
        <v>19</v>
      </c>
      <c r="H244" t="s">
        <v>20</v>
      </c>
      <c r="I244">
        <v>2</v>
      </c>
      <c r="J244">
        <v>61800</v>
      </c>
      <c r="K244">
        <v>45000</v>
      </c>
      <c r="L244" t="s">
        <v>73</v>
      </c>
      <c r="M244" t="s">
        <v>51</v>
      </c>
      <c r="N244" t="s">
        <v>52</v>
      </c>
      <c r="O244" t="s">
        <v>91</v>
      </c>
      <c r="P244">
        <f>Tableau1_2[[#This Row],[Quantité]]*Tableau1_2[[#This Row],[Prix_Unitaire]]</f>
        <v>123600</v>
      </c>
      <c r="Q244">
        <f>Tableau1_2[[#This Row],[Quantité]]*Tableau1_2[[#This Row],[Coût_Unitaire]]</f>
        <v>90000</v>
      </c>
      <c r="R244">
        <f>Tableau1_2[[#This Row],[CA]]-Tableau1_2[[#This Row],[Cout Total]]</f>
        <v>33600</v>
      </c>
      <c r="S244" s="4">
        <f>Tableau1_2[[#This Row],[Marge]]/Tableau1_2[[#This Row],[CA]]</f>
        <v>0.27184466019417475</v>
      </c>
      <c r="T244" t="str">
        <f>TEXT(Tableau1_2[[#This Row],[Date]],"mmmm")</f>
        <v>avril</v>
      </c>
    </row>
    <row r="245" spans="1:20" x14ac:dyDescent="0.35">
      <c r="A245" t="s">
        <v>712</v>
      </c>
      <c r="B245" s="2">
        <v>46032</v>
      </c>
      <c r="C245" t="s">
        <v>199</v>
      </c>
      <c r="D245" t="s">
        <v>713</v>
      </c>
      <c r="E245" t="s">
        <v>156</v>
      </c>
      <c r="F245" t="s">
        <v>157</v>
      </c>
      <c r="G245" t="s">
        <v>34</v>
      </c>
      <c r="H245" t="s">
        <v>158</v>
      </c>
      <c r="I245">
        <v>1</v>
      </c>
      <c r="J245">
        <v>90200</v>
      </c>
      <c r="K245">
        <v>67900</v>
      </c>
      <c r="L245" t="s">
        <v>50</v>
      </c>
      <c r="M245" t="s">
        <v>51</v>
      </c>
      <c r="N245" t="s">
        <v>87</v>
      </c>
      <c r="O245" t="s">
        <v>45</v>
      </c>
      <c r="P245">
        <f>Tableau1_2[[#This Row],[Quantité]]*Tableau1_2[[#This Row],[Prix_Unitaire]]</f>
        <v>90200</v>
      </c>
      <c r="Q245">
        <f>Tableau1_2[[#This Row],[Quantité]]*Tableau1_2[[#This Row],[Coût_Unitaire]]</f>
        <v>67900</v>
      </c>
      <c r="R245">
        <f>Tableau1_2[[#This Row],[CA]]-Tableau1_2[[#This Row],[Cout Total]]</f>
        <v>22300</v>
      </c>
      <c r="S245" s="4">
        <f>Tableau1_2[[#This Row],[Marge]]/Tableau1_2[[#This Row],[CA]]</f>
        <v>0.24722838137472283</v>
      </c>
      <c r="T245" t="str">
        <f>TEXT(Tableau1_2[[#This Row],[Date]],"mmmm")</f>
        <v>janvier</v>
      </c>
    </row>
    <row r="246" spans="1:20" x14ac:dyDescent="0.35">
      <c r="A246" t="s">
        <v>714</v>
      </c>
      <c r="B246" s="2">
        <v>46032</v>
      </c>
      <c r="C246" t="s">
        <v>694</v>
      </c>
      <c r="D246" t="s">
        <v>715</v>
      </c>
      <c r="E246" t="s">
        <v>156</v>
      </c>
      <c r="F246" t="s">
        <v>170</v>
      </c>
      <c r="G246" t="s">
        <v>34</v>
      </c>
      <c r="H246" t="s">
        <v>86</v>
      </c>
      <c r="I246">
        <v>6</v>
      </c>
      <c r="J246">
        <v>189000</v>
      </c>
      <c r="K246">
        <v>131000</v>
      </c>
      <c r="L246" t="s">
        <v>30</v>
      </c>
      <c r="M246" t="s">
        <v>51</v>
      </c>
      <c r="N246" t="s">
        <v>23</v>
      </c>
      <c r="O246" t="s">
        <v>24</v>
      </c>
      <c r="P246">
        <f>Tableau1_2[[#This Row],[Quantité]]*Tableau1_2[[#This Row],[Prix_Unitaire]]</f>
        <v>1134000</v>
      </c>
      <c r="Q246">
        <f>Tableau1_2[[#This Row],[Quantité]]*Tableau1_2[[#This Row],[Coût_Unitaire]]</f>
        <v>786000</v>
      </c>
      <c r="R246">
        <f>Tableau1_2[[#This Row],[CA]]-Tableau1_2[[#This Row],[Cout Total]]</f>
        <v>348000</v>
      </c>
      <c r="S246" s="4">
        <f>Tableau1_2[[#This Row],[Marge]]/Tableau1_2[[#This Row],[CA]]</f>
        <v>0.30687830687830686</v>
      </c>
      <c r="T246" t="str">
        <f>TEXT(Tableau1_2[[#This Row],[Date]],"mmmm")</f>
        <v>janvier</v>
      </c>
    </row>
    <row r="247" spans="1:20" x14ac:dyDescent="0.35">
      <c r="A247" t="s">
        <v>716</v>
      </c>
      <c r="B247" s="2">
        <v>46240</v>
      </c>
      <c r="C247" t="s">
        <v>717</v>
      </c>
      <c r="D247" t="s">
        <v>718</v>
      </c>
      <c r="E247" t="s">
        <v>18</v>
      </c>
      <c r="F247" t="s">
        <v>18</v>
      </c>
      <c r="G247" t="s">
        <v>34</v>
      </c>
      <c r="H247" t="s">
        <v>35</v>
      </c>
      <c r="I247">
        <v>10</v>
      </c>
      <c r="J247">
        <v>55000</v>
      </c>
      <c r="K247">
        <v>40200</v>
      </c>
      <c r="L247" t="s">
        <v>36</v>
      </c>
      <c r="M247" t="s">
        <v>22</v>
      </c>
      <c r="N247" t="s">
        <v>87</v>
      </c>
      <c r="O247" t="s">
        <v>24</v>
      </c>
      <c r="P247">
        <f>Tableau1_2[[#This Row],[Quantité]]*Tableau1_2[[#This Row],[Prix_Unitaire]]</f>
        <v>550000</v>
      </c>
      <c r="Q247">
        <f>Tableau1_2[[#This Row],[Quantité]]*Tableau1_2[[#This Row],[Coût_Unitaire]]</f>
        <v>402000</v>
      </c>
      <c r="R247">
        <f>Tableau1_2[[#This Row],[CA]]-Tableau1_2[[#This Row],[Cout Total]]</f>
        <v>148000</v>
      </c>
      <c r="S247" s="4">
        <f>Tableau1_2[[#This Row],[Marge]]/Tableau1_2[[#This Row],[CA]]</f>
        <v>0.2690909090909091</v>
      </c>
      <c r="T247" t="str">
        <f>TEXT(Tableau1_2[[#This Row],[Date]],"mmmm")</f>
        <v>août</v>
      </c>
    </row>
    <row r="248" spans="1:20" x14ac:dyDescent="0.35">
      <c r="A248" t="s">
        <v>719</v>
      </c>
      <c r="B248" s="2">
        <v>46249</v>
      </c>
      <c r="C248" t="s">
        <v>618</v>
      </c>
      <c r="D248" t="s">
        <v>720</v>
      </c>
      <c r="E248" t="s">
        <v>41</v>
      </c>
      <c r="F248" t="s">
        <v>42</v>
      </c>
      <c r="G248" t="s">
        <v>19</v>
      </c>
      <c r="H248" t="s">
        <v>20</v>
      </c>
      <c r="I248">
        <v>2</v>
      </c>
      <c r="J248">
        <v>65000</v>
      </c>
      <c r="K248">
        <v>46400</v>
      </c>
      <c r="L248" t="s">
        <v>36</v>
      </c>
      <c r="M248" t="s">
        <v>31</v>
      </c>
      <c r="N248" t="s">
        <v>52</v>
      </c>
      <c r="O248" t="s">
        <v>24</v>
      </c>
      <c r="P248">
        <f>Tableau1_2[[#This Row],[Quantité]]*Tableau1_2[[#This Row],[Prix_Unitaire]]</f>
        <v>130000</v>
      </c>
      <c r="Q248">
        <f>Tableau1_2[[#This Row],[Quantité]]*Tableau1_2[[#This Row],[Coût_Unitaire]]</f>
        <v>92800</v>
      </c>
      <c r="R248">
        <f>Tableau1_2[[#This Row],[CA]]-Tableau1_2[[#This Row],[Cout Total]]</f>
        <v>37200</v>
      </c>
      <c r="S248" s="4">
        <f>Tableau1_2[[#This Row],[Marge]]/Tableau1_2[[#This Row],[CA]]</f>
        <v>0.28615384615384615</v>
      </c>
      <c r="T248" t="str">
        <f>TEXT(Tableau1_2[[#This Row],[Date]],"mmmm")</f>
        <v>août</v>
      </c>
    </row>
    <row r="249" spans="1:20" x14ac:dyDescent="0.35">
      <c r="A249" t="s">
        <v>721</v>
      </c>
      <c r="B249" s="2">
        <v>46172</v>
      </c>
      <c r="C249" t="s">
        <v>117</v>
      </c>
      <c r="D249" t="s">
        <v>662</v>
      </c>
      <c r="E249" t="s">
        <v>156</v>
      </c>
      <c r="F249" t="s">
        <v>157</v>
      </c>
      <c r="G249" t="s">
        <v>34</v>
      </c>
      <c r="H249" t="s">
        <v>141</v>
      </c>
      <c r="I249">
        <v>3</v>
      </c>
      <c r="J249">
        <v>160000</v>
      </c>
      <c r="K249">
        <v>120000</v>
      </c>
      <c r="L249" t="s">
        <v>96</v>
      </c>
      <c r="M249" t="s">
        <v>51</v>
      </c>
      <c r="N249" t="s">
        <v>52</v>
      </c>
      <c r="O249" t="s">
        <v>45</v>
      </c>
      <c r="P249">
        <f>Tableau1_2[[#This Row],[Quantité]]*Tableau1_2[[#This Row],[Prix_Unitaire]]</f>
        <v>480000</v>
      </c>
      <c r="Q249">
        <f>Tableau1_2[[#This Row],[Quantité]]*Tableau1_2[[#This Row],[Coût_Unitaire]]</f>
        <v>360000</v>
      </c>
      <c r="R249">
        <f>Tableau1_2[[#This Row],[CA]]-Tableau1_2[[#This Row],[Cout Total]]</f>
        <v>120000</v>
      </c>
      <c r="S249" s="4">
        <f>Tableau1_2[[#This Row],[Marge]]/Tableau1_2[[#This Row],[CA]]</f>
        <v>0.25</v>
      </c>
      <c r="T249" t="str">
        <f>TEXT(Tableau1_2[[#This Row],[Date]],"mmmm")</f>
        <v>mai</v>
      </c>
    </row>
    <row r="250" spans="1:20" x14ac:dyDescent="0.35">
      <c r="A250" t="s">
        <v>722</v>
      </c>
      <c r="B250" s="2">
        <v>46351</v>
      </c>
      <c r="C250" t="s">
        <v>618</v>
      </c>
      <c r="D250" t="s">
        <v>155</v>
      </c>
      <c r="E250" t="s">
        <v>18</v>
      </c>
      <c r="F250" t="s">
        <v>18</v>
      </c>
      <c r="G250" t="s">
        <v>43</v>
      </c>
      <c r="H250" t="s">
        <v>162</v>
      </c>
      <c r="I250">
        <v>10</v>
      </c>
      <c r="J250">
        <v>8000</v>
      </c>
      <c r="K250">
        <v>5200</v>
      </c>
      <c r="L250" t="s">
        <v>66</v>
      </c>
      <c r="M250" t="s">
        <v>37</v>
      </c>
      <c r="N250" t="s">
        <v>87</v>
      </c>
      <c r="O250" t="s">
        <v>24</v>
      </c>
      <c r="P250">
        <f>Tableau1_2[[#This Row],[Quantité]]*Tableau1_2[[#This Row],[Prix_Unitaire]]</f>
        <v>80000</v>
      </c>
      <c r="Q250">
        <f>Tableau1_2[[#This Row],[Quantité]]*Tableau1_2[[#This Row],[Coût_Unitaire]]</f>
        <v>52000</v>
      </c>
      <c r="R250">
        <f>Tableau1_2[[#This Row],[CA]]-Tableau1_2[[#This Row],[Cout Total]]</f>
        <v>28000</v>
      </c>
      <c r="S250" s="4">
        <f>Tableau1_2[[#This Row],[Marge]]/Tableau1_2[[#This Row],[CA]]</f>
        <v>0.35</v>
      </c>
      <c r="T250" t="str">
        <f>TEXT(Tableau1_2[[#This Row],[Date]],"mmmm")</f>
        <v>novembre</v>
      </c>
    </row>
    <row r="251" spans="1:20" x14ac:dyDescent="0.35">
      <c r="A251" t="s">
        <v>723</v>
      </c>
      <c r="B251" s="2">
        <v>46229</v>
      </c>
      <c r="C251" t="s">
        <v>326</v>
      </c>
      <c r="D251" t="s">
        <v>724</v>
      </c>
      <c r="E251" t="s">
        <v>18</v>
      </c>
      <c r="F251" t="s">
        <v>18</v>
      </c>
      <c r="G251" t="s">
        <v>28</v>
      </c>
      <c r="H251" t="s">
        <v>248</v>
      </c>
      <c r="I251">
        <v>6</v>
      </c>
      <c r="J251">
        <v>25000</v>
      </c>
      <c r="K251">
        <v>16000</v>
      </c>
      <c r="L251" t="s">
        <v>73</v>
      </c>
      <c r="M251" t="s">
        <v>22</v>
      </c>
      <c r="N251" t="s">
        <v>23</v>
      </c>
      <c r="O251" t="s">
        <v>24</v>
      </c>
      <c r="P251">
        <f>Tableau1_2[[#This Row],[Quantité]]*Tableau1_2[[#This Row],[Prix_Unitaire]]</f>
        <v>150000</v>
      </c>
      <c r="Q251">
        <f>Tableau1_2[[#This Row],[Quantité]]*Tableau1_2[[#This Row],[Coût_Unitaire]]</f>
        <v>96000</v>
      </c>
      <c r="R251">
        <f>Tableau1_2[[#This Row],[CA]]-Tableau1_2[[#This Row],[Cout Total]]</f>
        <v>54000</v>
      </c>
      <c r="S251" s="4">
        <f>Tableau1_2[[#This Row],[Marge]]/Tableau1_2[[#This Row],[CA]]</f>
        <v>0.36</v>
      </c>
      <c r="T251" t="str">
        <f>TEXT(Tableau1_2[[#This Row],[Date]],"mmmm")</f>
        <v>juillet</v>
      </c>
    </row>
    <row r="252" spans="1:20" x14ac:dyDescent="0.35">
      <c r="A252" t="s">
        <v>725</v>
      </c>
      <c r="B252" s="2">
        <v>46275</v>
      </c>
      <c r="C252" t="s">
        <v>266</v>
      </c>
      <c r="D252" t="s">
        <v>397</v>
      </c>
      <c r="E252" t="s">
        <v>190</v>
      </c>
      <c r="F252" t="s">
        <v>191</v>
      </c>
      <c r="G252" t="s">
        <v>43</v>
      </c>
      <c r="H252" t="s">
        <v>44</v>
      </c>
      <c r="I252">
        <v>1</v>
      </c>
      <c r="J252">
        <v>15800</v>
      </c>
      <c r="K252">
        <v>9800</v>
      </c>
      <c r="L252" t="s">
        <v>50</v>
      </c>
      <c r="M252" t="s">
        <v>31</v>
      </c>
      <c r="N252" t="s">
        <v>87</v>
      </c>
      <c r="O252" t="s">
        <v>24</v>
      </c>
      <c r="P252">
        <f>Tableau1_2[[#This Row],[Quantité]]*Tableau1_2[[#This Row],[Prix_Unitaire]]</f>
        <v>15800</v>
      </c>
      <c r="Q252">
        <f>Tableau1_2[[#This Row],[Quantité]]*Tableau1_2[[#This Row],[Coût_Unitaire]]</f>
        <v>9800</v>
      </c>
      <c r="R252">
        <f>Tableau1_2[[#This Row],[CA]]-Tableau1_2[[#This Row],[Cout Total]]</f>
        <v>6000</v>
      </c>
      <c r="S252" s="4">
        <f>Tableau1_2[[#This Row],[Marge]]/Tableau1_2[[#This Row],[CA]]</f>
        <v>0.379746835443038</v>
      </c>
      <c r="T252" t="str">
        <f>TEXT(Tableau1_2[[#This Row],[Date]],"mmmm")</f>
        <v>septembre</v>
      </c>
    </row>
    <row r="253" spans="1:20" x14ac:dyDescent="0.35">
      <c r="A253" t="s">
        <v>726</v>
      </c>
      <c r="B253" s="2">
        <v>46111</v>
      </c>
      <c r="C253" t="s">
        <v>727</v>
      </c>
      <c r="D253" t="s">
        <v>728</v>
      </c>
      <c r="E253" t="s">
        <v>18</v>
      </c>
      <c r="F253" t="s">
        <v>18</v>
      </c>
      <c r="G253" t="s">
        <v>19</v>
      </c>
      <c r="H253" t="s">
        <v>166</v>
      </c>
      <c r="I253">
        <v>4</v>
      </c>
      <c r="J253">
        <v>140000</v>
      </c>
      <c r="K253">
        <v>103000</v>
      </c>
      <c r="L253" t="s">
        <v>21</v>
      </c>
      <c r="M253" t="s">
        <v>31</v>
      </c>
      <c r="N253" t="s">
        <v>87</v>
      </c>
      <c r="O253" t="s">
        <v>24</v>
      </c>
      <c r="P253">
        <f>Tableau1_2[[#This Row],[Quantité]]*Tableau1_2[[#This Row],[Prix_Unitaire]]</f>
        <v>560000</v>
      </c>
      <c r="Q253">
        <f>Tableau1_2[[#This Row],[Quantité]]*Tableau1_2[[#This Row],[Coût_Unitaire]]</f>
        <v>412000</v>
      </c>
      <c r="R253">
        <f>Tableau1_2[[#This Row],[CA]]-Tableau1_2[[#This Row],[Cout Total]]</f>
        <v>148000</v>
      </c>
      <c r="S253" s="4">
        <f>Tableau1_2[[#This Row],[Marge]]/Tableau1_2[[#This Row],[CA]]</f>
        <v>0.26428571428571429</v>
      </c>
      <c r="T253" t="str">
        <f>TEXT(Tableau1_2[[#This Row],[Date]],"mmmm")</f>
        <v>mars</v>
      </c>
    </row>
    <row r="254" spans="1:20" x14ac:dyDescent="0.35">
      <c r="A254" t="s">
        <v>729</v>
      </c>
      <c r="B254" s="2">
        <v>46241</v>
      </c>
      <c r="C254" t="s">
        <v>730</v>
      </c>
      <c r="D254" t="s">
        <v>731</v>
      </c>
      <c r="E254" t="s">
        <v>18</v>
      </c>
      <c r="F254" t="s">
        <v>18</v>
      </c>
      <c r="G254" t="s">
        <v>28</v>
      </c>
      <c r="H254" t="s">
        <v>131</v>
      </c>
      <c r="I254">
        <v>4</v>
      </c>
      <c r="J254">
        <v>31500</v>
      </c>
      <c r="K254">
        <v>19000</v>
      </c>
      <c r="L254" t="s">
        <v>96</v>
      </c>
      <c r="M254" t="s">
        <v>37</v>
      </c>
      <c r="N254" t="s">
        <v>23</v>
      </c>
      <c r="O254" t="s">
        <v>24</v>
      </c>
      <c r="P254">
        <f>Tableau1_2[[#This Row],[Quantité]]*Tableau1_2[[#This Row],[Prix_Unitaire]]</f>
        <v>126000</v>
      </c>
      <c r="Q254">
        <f>Tableau1_2[[#This Row],[Quantité]]*Tableau1_2[[#This Row],[Coût_Unitaire]]</f>
        <v>76000</v>
      </c>
      <c r="R254">
        <f>Tableau1_2[[#This Row],[CA]]-Tableau1_2[[#This Row],[Cout Total]]</f>
        <v>50000</v>
      </c>
      <c r="S254" s="4">
        <f>Tableau1_2[[#This Row],[Marge]]/Tableau1_2[[#This Row],[CA]]</f>
        <v>0.3968253968253968</v>
      </c>
      <c r="T254" t="str">
        <f>TEXT(Tableau1_2[[#This Row],[Date]],"mmmm")</f>
        <v>août</v>
      </c>
    </row>
    <row r="255" spans="1:20" x14ac:dyDescent="0.35">
      <c r="A255" t="s">
        <v>734</v>
      </c>
      <c r="B255" s="2">
        <v>46365</v>
      </c>
      <c r="C255" t="s">
        <v>735</v>
      </c>
      <c r="D255" t="s">
        <v>736</v>
      </c>
      <c r="E255" t="s">
        <v>70</v>
      </c>
      <c r="F255" t="s">
        <v>71</v>
      </c>
      <c r="G255" t="s">
        <v>19</v>
      </c>
      <c r="H255" t="s">
        <v>61</v>
      </c>
      <c r="I255">
        <v>1</v>
      </c>
      <c r="J255">
        <v>231000</v>
      </c>
      <c r="K255">
        <v>155200</v>
      </c>
      <c r="L255" t="s">
        <v>21</v>
      </c>
      <c r="M255" t="s">
        <v>37</v>
      </c>
      <c r="N255" t="s">
        <v>23</v>
      </c>
      <c r="O255" t="s">
        <v>45</v>
      </c>
      <c r="P255">
        <f>Tableau1_2[[#This Row],[Quantité]]*Tableau1_2[[#This Row],[Prix_Unitaire]]</f>
        <v>231000</v>
      </c>
      <c r="Q255">
        <f>Tableau1_2[[#This Row],[Quantité]]*Tableau1_2[[#This Row],[Coût_Unitaire]]</f>
        <v>155200</v>
      </c>
      <c r="R255">
        <f>Tableau1_2[[#This Row],[CA]]-Tableau1_2[[#This Row],[Cout Total]]</f>
        <v>75800</v>
      </c>
      <c r="S255" s="4">
        <f>Tableau1_2[[#This Row],[Marge]]/Tableau1_2[[#This Row],[CA]]</f>
        <v>0.32813852813852812</v>
      </c>
      <c r="T255" t="str">
        <f>TEXT(Tableau1_2[[#This Row],[Date]],"mmmm")</f>
        <v>décembre</v>
      </c>
    </row>
    <row r="256" spans="1:20" x14ac:dyDescent="0.35">
      <c r="A256" t="s">
        <v>737</v>
      </c>
      <c r="B256" s="2">
        <v>46096</v>
      </c>
      <c r="C256" t="s">
        <v>580</v>
      </c>
      <c r="D256" t="s">
        <v>738</v>
      </c>
      <c r="E256" t="s">
        <v>18</v>
      </c>
      <c r="F256" t="s">
        <v>18</v>
      </c>
      <c r="G256" t="s">
        <v>34</v>
      </c>
      <c r="H256" t="s">
        <v>141</v>
      </c>
      <c r="I256">
        <v>8</v>
      </c>
      <c r="J256">
        <v>152000</v>
      </c>
      <c r="K256">
        <v>120000</v>
      </c>
      <c r="L256" t="s">
        <v>66</v>
      </c>
      <c r="M256" t="s">
        <v>22</v>
      </c>
      <c r="N256" t="s">
        <v>52</v>
      </c>
      <c r="O256" t="s">
        <v>24</v>
      </c>
      <c r="P256">
        <f>Tableau1_2[[#This Row],[Quantité]]*Tableau1_2[[#This Row],[Prix_Unitaire]]</f>
        <v>1216000</v>
      </c>
      <c r="Q256">
        <f>Tableau1_2[[#This Row],[Quantité]]*Tableau1_2[[#This Row],[Coût_Unitaire]]</f>
        <v>960000</v>
      </c>
      <c r="R256">
        <f>Tableau1_2[[#This Row],[CA]]-Tableau1_2[[#This Row],[Cout Total]]</f>
        <v>256000</v>
      </c>
      <c r="S256" s="4">
        <f>Tableau1_2[[#This Row],[Marge]]/Tableau1_2[[#This Row],[CA]]</f>
        <v>0.21052631578947367</v>
      </c>
      <c r="T256" t="str">
        <f>TEXT(Tableau1_2[[#This Row],[Date]],"mmmm")</f>
        <v>mars</v>
      </c>
    </row>
    <row r="257" spans="1:20" x14ac:dyDescent="0.35">
      <c r="A257" t="s">
        <v>739</v>
      </c>
      <c r="B257" s="2">
        <v>46353</v>
      </c>
      <c r="C257" t="s">
        <v>649</v>
      </c>
      <c r="D257" t="s">
        <v>134</v>
      </c>
      <c r="E257" t="s">
        <v>18</v>
      </c>
      <c r="F257" t="s">
        <v>18</v>
      </c>
      <c r="G257" t="s">
        <v>43</v>
      </c>
      <c r="H257" t="s">
        <v>162</v>
      </c>
      <c r="I257">
        <v>3</v>
      </c>
      <c r="J257">
        <v>7600</v>
      </c>
      <c r="K257">
        <v>4800</v>
      </c>
      <c r="L257" t="s">
        <v>66</v>
      </c>
      <c r="M257" t="s">
        <v>37</v>
      </c>
      <c r="N257" t="s">
        <v>87</v>
      </c>
      <c r="O257" t="s">
        <v>24</v>
      </c>
      <c r="P257">
        <f>Tableau1_2[[#This Row],[Quantité]]*Tableau1_2[[#This Row],[Prix_Unitaire]]</f>
        <v>22800</v>
      </c>
      <c r="Q257">
        <f>Tableau1_2[[#This Row],[Quantité]]*Tableau1_2[[#This Row],[Coût_Unitaire]]</f>
        <v>14400</v>
      </c>
      <c r="R257">
        <f>Tableau1_2[[#This Row],[CA]]-Tableau1_2[[#This Row],[Cout Total]]</f>
        <v>8400</v>
      </c>
      <c r="S257" s="4">
        <f>Tableau1_2[[#This Row],[Marge]]/Tableau1_2[[#This Row],[CA]]</f>
        <v>0.36842105263157893</v>
      </c>
      <c r="T257" t="str">
        <f>TEXT(Tableau1_2[[#This Row],[Date]],"mmmm")</f>
        <v>novembre</v>
      </c>
    </row>
    <row r="258" spans="1:20" x14ac:dyDescent="0.35">
      <c r="A258" t="s">
        <v>740</v>
      </c>
      <c r="B258" s="2">
        <v>46170</v>
      </c>
      <c r="C258" t="s">
        <v>645</v>
      </c>
      <c r="D258" t="s">
        <v>741</v>
      </c>
      <c r="E258" t="s">
        <v>41</v>
      </c>
      <c r="F258" t="s">
        <v>42</v>
      </c>
      <c r="G258" t="s">
        <v>34</v>
      </c>
      <c r="H258" t="s">
        <v>95</v>
      </c>
      <c r="I258">
        <v>4</v>
      </c>
      <c r="J258">
        <v>472500</v>
      </c>
      <c r="K258">
        <v>358900</v>
      </c>
      <c r="L258" t="s">
        <v>36</v>
      </c>
      <c r="M258" t="s">
        <v>37</v>
      </c>
      <c r="N258" t="s">
        <v>52</v>
      </c>
      <c r="O258" t="s">
        <v>24</v>
      </c>
      <c r="P258">
        <f>Tableau1_2[[#This Row],[Quantité]]*Tableau1_2[[#This Row],[Prix_Unitaire]]</f>
        <v>1890000</v>
      </c>
      <c r="Q258">
        <f>Tableau1_2[[#This Row],[Quantité]]*Tableau1_2[[#This Row],[Coût_Unitaire]]</f>
        <v>1435600</v>
      </c>
      <c r="R258">
        <f>Tableau1_2[[#This Row],[CA]]-Tableau1_2[[#This Row],[Cout Total]]</f>
        <v>454400</v>
      </c>
      <c r="S258" s="4">
        <f>Tableau1_2[[#This Row],[Marge]]/Tableau1_2[[#This Row],[CA]]</f>
        <v>0.24042328042328043</v>
      </c>
      <c r="T258" t="str">
        <f>TEXT(Tableau1_2[[#This Row],[Date]],"mmmm")</f>
        <v>mai</v>
      </c>
    </row>
    <row r="259" spans="1:20" x14ac:dyDescent="0.35">
      <c r="A259" t="s">
        <v>742</v>
      </c>
      <c r="B259" s="2">
        <v>46195</v>
      </c>
      <c r="C259" t="s">
        <v>413</v>
      </c>
      <c r="D259" t="s">
        <v>743</v>
      </c>
      <c r="E259" t="s">
        <v>84</v>
      </c>
      <c r="F259" t="s">
        <v>85</v>
      </c>
      <c r="G259" t="s">
        <v>28</v>
      </c>
      <c r="H259" t="s">
        <v>248</v>
      </c>
      <c r="I259">
        <v>8</v>
      </c>
      <c r="J259">
        <v>26200</v>
      </c>
      <c r="K259">
        <v>16500</v>
      </c>
      <c r="L259" t="s">
        <v>21</v>
      </c>
      <c r="M259" t="s">
        <v>31</v>
      </c>
      <c r="N259" t="s">
        <v>52</v>
      </c>
      <c r="O259" t="s">
        <v>45</v>
      </c>
      <c r="P259">
        <f>Tableau1_2[[#This Row],[Quantité]]*Tableau1_2[[#This Row],[Prix_Unitaire]]</f>
        <v>209600</v>
      </c>
      <c r="Q259">
        <f>Tableau1_2[[#This Row],[Quantité]]*Tableau1_2[[#This Row],[Coût_Unitaire]]</f>
        <v>132000</v>
      </c>
      <c r="R259">
        <f>Tableau1_2[[#This Row],[CA]]-Tableau1_2[[#This Row],[Cout Total]]</f>
        <v>77600</v>
      </c>
      <c r="S259" s="4">
        <f>Tableau1_2[[#This Row],[Marge]]/Tableau1_2[[#This Row],[CA]]</f>
        <v>0.37022900763358779</v>
      </c>
      <c r="T259" t="str">
        <f>TEXT(Tableau1_2[[#This Row],[Date]],"mmmm")</f>
        <v>juin</v>
      </c>
    </row>
    <row r="260" spans="1:20" x14ac:dyDescent="0.35">
      <c r="A260" t="s">
        <v>744</v>
      </c>
      <c r="B260" s="2">
        <v>46111</v>
      </c>
      <c r="C260" t="s">
        <v>559</v>
      </c>
      <c r="D260" t="s">
        <v>705</v>
      </c>
      <c r="E260" t="s">
        <v>18</v>
      </c>
      <c r="F260" t="s">
        <v>18</v>
      </c>
      <c r="G260" t="s">
        <v>28</v>
      </c>
      <c r="H260" t="s">
        <v>248</v>
      </c>
      <c r="I260">
        <v>2</v>
      </c>
      <c r="J260">
        <v>25000</v>
      </c>
      <c r="K260">
        <v>15500</v>
      </c>
      <c r="L260" t="s">
        <v>50</v>
      </c>
      <c r="M260" t="s">
        <v>37</v>
      </c>
      <c r="N260" t="s">
        <v>23</v>
      </c>
      <c r="O260" t="s">
        <v>24</v>
      </c>
      <c r="P260">
        <f>Tableau1_2[[#This Row],[Quantité]]*Tableau1_2[[#This Row],[Prix_Unitaire]]</f>
        <v>50000</v>
      </c>
      <c r="Q260">
        <f>Tableau1_2[[#This Row],[Quantité]]*Tableau1_2[[#This Row],[Coût_Unitaire]]</f>
        <v>31000</v>
      </c>
      <c r="R260">
        <f>Tableau1_2[[#This Row],[CA]]-Tableau1_2[[#This Row],[Cout Total]]</f>
        <v>19000</v>
      </c>
      <c r="S260" s="4">
        <f>Tableau1_2[[#This Row],[Marge]]/Tableau1_2[[#This Row],[CA]]</f>
        <v>0.38</v>
      </c>
      <c r="T260" t="str">
        <f>TEXT(Tableau1_2[[#This Row],[Date]],"mmmm")</f>
        <v>mars</v>
      </c>
    </row>
    <row r="261" spans="1:20" x14ac:dyDescent="0.35">
      <c r="A261" t="s">
        <v>745</v>
      </c>
      <c r="B261" s="2">
        <v>46329</v>
      </c>
      <c r="C261" t="s">
        <v>746</v>
      </c>
      <c r="D261" t="s">
        <v>747</v>
      </c>
      <c r="E261" t="s">
        <v>190</v>
      </c>
      <c r="F261" t="s">
        <v>191</v>
      </c>
      <c r="G261" t="s">
        <v>19</v>
      </c>
      <c r="H261" t="s">
        <v>20</v>
      </c>
      <c r="I261">
        <v>3</v>
      </c>
      <c r="J261">
        <v>61800</v>
      </c>
      <c r="K261">
        <v>45000</v>
      </c>
      <c r="L261" t="s">
        <v>21</v>
      </c>
      <c r="M261" t="s">
        <v>31</v>
      </c>
      <c r="N261" t="s">
        <v>87</v>
      </c>
      <c r="O261" t="s">
        <v>91</v>
      </c>
      <c r="P261">
        <f>Tableau1_2[[#This Row],[Quantité]]*Tableau1_2[[#This Row],[Prix_Unitaire]]</f>
        <v>185400</v>
      </c>
      <c r="Q261">
        <f>Tableau1_2[[#This Row],[Quantité]]*Tableau1_2[[#This Row],[Coût_Unitaire]]</f>
        <v>135000</v>
      </c>
      <c r="R261">
        <f>Tableau1_2[[#This Row],[CA]]-Tableau1_2[[#This Row],[Cout Total]]</f>
        <v>50400</v>
      </c>
      <c r="S261" s="4">
        <f>Tableau1_2[[#This Row],[Marge]]/Tableau1_2[[#This Row],[CA]]</f>
        <v>0.27184466019417475</v>
      </c>
      <c r="T261" t="str">
        <f>TEXT(Tableau1_2[[#This Row],[Date]],"mmmm")</f>
        <v>novembre</v>
      </c>
    </row>
    <row r="262" spans="1:20" x14ac:dyDescent="0.35">
      <c r="A262" t="s">
        <v>748</v>
      </c>
      <c r="B262" s="2">
        <v>46262</v>
      </c>
      <c r="C262" t="s">
        <v>749</v>
      </c>
      <c r="D262" t="s">
        <v>750</v>
      </c>
      <c r="E262" t="s">
        <v>41</v>
      </c>
      <c r="F262" t="s">
        <v>42</v>
      </c>
      <c r="G262" t="s">
        <v>19</v>
      </c>
      <c r="H262" t="s">
        <v>20</v>
      </c>
      <c r="I262">
        <v>2</v>
      </c>
      <c r="J262">
        <v>65000</v>
      </c>
      <c r="K262">
        <v>46400</v>
      </c>
      <c r="L262" t="s">
        <v>21</v>
      </c>
      <c r="M262" t="s">
        <v>37</v>
      </c>
      <c r="N262" t="s">
        <v>23</v>
      </c>
      <c r="O262" t="s">
        <v>91</v>
      </c>
      <c r="P262">
        <f>Tableau1_2[[#This Row],[Quantité]]*Tableau1_2[[#This Row],[Prix_Unitaire]]</f>
        <v>130000</v>
      </c>
      <c r="Q262">
        <f>Tableau1_2[[#This Row],[Quantité]]*Tableau1_2[[#This Row],[Coût_Unitaire]]</f>
        <v>92800</v>
      </c>
      <c r="R262">
        <f>Tableau1_2[[#This Row],[CA]]-Tableau1_2[[#This Row],[Cout Total]]</f>
        <v>37200</v>
      </c>
      <c r="S262" s="4">
        <f>Tableau1_2[[#This Row],[Marge]]/Tableau1_2[[#This Row],[CA]]</f>
        <v>0.28615384615384615</v>
      </c>
      <c r="T262" t="str">
        <f>TEXT(Tableau1_2[[#This Row],[Date]],"mmmm")</f>
        <v>août</v>
      </c>
    </row>
    <row r="263" spans="1:20" x14ac:dyDescent="0.35">
      <c r="A263" t="s">
        <v>751</v>
      </c>
      <c r="B263" s="2">
        <v>46214</v>
      </c>
      <c r="C263" t="s">
        <v>379</v>
      </c>
      <c r="D263" t="s">
        <v>504</v>
      </c>
      <c r="E263" t="s">
        <v>41</v>
      </c>
      <c r="F263" t="s">
        <v>42</v>
      </c>
      <c r="G263" t="s">
        <v>28</v>
      </c>
      <c r="H263" t="s">
        <v>65</v>
      </c>
      <c r="I263">
        <v>3</v>
      </c>
      <c r="J263">
        <v>12600</v>
      </c>
      <c r="K263">
        <v>7700</v>
      </c>
      <c r="L263" t="s">
        <v>80</v>
      </c>
      <c r="M263" t="s">
        <v>37</v>
      </c>
      <c r="N263" t="s">
        <v>87</v>
      </c>
      <c r="O263" t="s">
        <v>24</v>
      </c>
      <c r="P263">
        <f>Tableau1_2[[#This Row],[Quantité]]*Tableau1_2[[#This Row],[Prix_Unitaire]]</f>
        <v>37800</v>
      </c>
      <c r="Q263">
        <f>Tableau1_2[[#This Row],[Quantité]]*Tableau1_2[[#This Row],[Coût_Unitaire]]</f>
        <v>23100</v>
      </c>
      <c r="R263">
        <f>Tableau1_2[[#This Row],[CA]]-Tableau1_2[[#This Row],[Cout Total]]</f>
        <v>14700</v>
      </c>
      <c r="S263" s="4">
        <f>Tableau1_2[[#This Row],[Marge]]/Tableau1_2[[#This Row],[CA]]</f>
        <v>0.3888888888888889</v>
      </c>
      <c r="T263" t="str">
        <f>TEXT(Tableau1_2[[#This Row],[Date]],"mmmm")</f>
        <v>juillet</v>
      </c>
    </row>
    <row r="264" spans="1:20" x14ac:dyDescent="0.35">
      <c r="A264" t="s">
        <v>752</v>
      </c>
      <c r="B264" s="2">
        <v>46323</v>
      </c>
      <c r="C264" t="s">
        <v>753</v>
      </c>
      <c r="D264" t="s">
        <v>747</v>
      </c>
      <c r="E264" t="s">
        <v>56</v>
      </c>
      <c r="F264" t="s">
        <v>57</v>
      </c>
      <c r="G264" t="s">
        <v>28</v>
      </c>
      <c r="H264" t="s">
        <v>248</v>
      </c>
      <c r="I264">
        <v>3</v>
      </c>
      <c r="J264">
        <v>26200</v>
      </c>
      <c r="K264">
        <v>16500</v>
      </c>
      <c r="L264" t="s">
        <v>66</v>
      </c>
      <c r="M264" t="s">
        <v>37</v>
      </c>
      <c r="N264" t="s">
        <v>87</v>
      </c>
      <c r="O264" t="s">
        <v>45</v>
      </c>
      <c r="P264">
        <f>Tableau1_2[[#This Row],[Quantité]]*Tableau1_2[[#This Row],[Prix_Unitaire]]</f>
        <v>78600</v>
      </c>
      <c r="Q264">
        <f>Tableau1_2[[#This Row],[Quantité]]*Tableau1_2[[#This Row],[Coût_Unitaire]]</f>
        <v>49500</v>
      </c>
      <c r="R264">
        <f>Tableau1_2[[#This Row],[CA]]-Tableau1_2[[#This Row],[Cout Total]]</f>
        <v>29100</v>
      </c>
      <c r="S264" s="4">
        <f>Tableau1_2[[#This Row],[Marge]]/Tableau1_2[[#This Row],[CA]]</f>
        <v>0.37022900763358779</v>
      </c>
      <c r="T264" t="str">
        <f>TEXT(Tableau1_2[[#This Row],[Date]],"mmmm")</f>
        <v>octobre</v>
      </c>
    </row>
    <row r="265" spans="1:20" x14ac:dyDescent="0.35">
      <c r="A265" t="s">
        <v>754</v>
      </c>
      <c r="B265" s="2">
        <v>46291</v>
      </c>
      <c r="C265" t="s">
        <v>126</v>
      </c>
      <c r="D265" t="s">
        <v>755</v>
      </c>
      <c r="E265" t="s">
        <v>156</v>
      </c>
      <c r="F265" t="s">
        <v>170</v>
      </c>
      <c r="G265" t="s">
        <v>43</v>
      </c>
      <c r="H265" t="s">
        <v>49</v>
      </c>
      <c r="I265">
        <v>10</v>
      </c>
      <c r="J265">
        <v>9000</v>
      </c>
      <c r="K265">
        <v>6000</v>
      </c>
      <c r="L265" t="s">
        <v>73</v>
      </c>
      <c r="M265" t="s">
        <v>37</v>
      </c>
      <c r="N265" t="s">
        <v>23</v>
      </c>
      <c r="O265" t="s">
        <v>24</v>
      </c>
      <c r="P265">
        <f>Tableau1_2[[#This Row],[Quantité]]*Tableau1_2[[#This Row],[Prix_Unitaire]]</f>
        <v>90000</v>
      </c>
      <c r="Q265">
        <f>Tableau1_2[[#This Row],[Quantité]]*Tableau1_2[[#This Row],[Coût_Unitaire]]</f>
        <v>60000</v>
      </c>
      <c r="R265">
        <f>Tableau1_2[[#This Row],[CA]]-Tableau1_2[[#This Row],[Cout Total]]</f>
        <v>30000</v>
      </c>
      <c r="S265" s="4">
        <f>Tableau1_2[[#This Row],[Marge]]/Tableau1_2[[#This Row],[CA]]</f>
        <v>0.33333333333333331</v>
      </c>
      <c r="T265" t="str">
        <f>TEXT(Tableau1_2[[#This Row],[Date]],"mmmm")</f>
        <v>septembre</v>
      </c>
    </row>
    <row r="266" spans="1:20" x14ac:dyDescent="0.35">
      <c r="A266" t="s">
        <v>756</v>
      </c>
      <c r="B266" s="2">
        <v>46249</v>
      </c>
      <c r="C266" t="s">
        <v>757</v>
      </c>
      <c r="D266" t="s">
        <v>479</v>
      </c>
      <c r="E266" t="s">
        <v>41</v>
      </c>
      <c r="F266" t="s">
        <v>42</v>
      </c>
      <c r="G266" t="s">
        <v>34</v>
      </c>
      <c r="H266" t="s">
        <v>158</v>
      </c>
      <c r="I266">
        <v>2</v>
      </c>
      <c r="J266">
        <v>90200</v>
      </c>
      <c r="K266">
        <v>70000</v>
      </c>
      <c r="L266" t="s">
        <v>21</v>
      </c>
      <c r="M266" t="s">
        <v>51</v>
      </c>
      <c r="N266" t="s">
        <v>52</v>
      </c>
      <c r="O266" t="s">
        <v>24</v>
      </c>
      <c r="P266">
        <f>Tableau1_2[[#This Row],[Quantité]]*Tableau1_2[[#This Row],[Prix_Unitaire]]</f>
        <v>180400</v>
      </c>
      <c r="Q266">
        <f>Tableau1_2[[#This Row],[Quantité]]*Tableau1_2[[#This Row],[Coût_Unitaire]]</f>
        <v>140000</v>
      </c>
      <c r="R266">
        <f>Tableau1_2[[#This Row],[CA]]-Tableau1_2[[#This Row],[Cout Total]]</f>
        <v>40400</v>
      </c>
      <c r="S266" s="4">
        <f>Tableau1_2[[#This Row],[Marge]]/Tableau1_2[[#This Row],[CA]]</f>
        <v>0.22394678492239467</v>
      </c>
      <c r="T266" t="str">
        <f>TEXT(Tableau1_2[[#This Row],[Date]],"mmmm")</f>
        <v>août</v>
      </c>
    </row>
    <row r="267" spans="1:20" x14ac:dyDescent="0.35">
      <c r="A267" t="s">
        <v>758</v>
      </c>
      <c r="B267" s="2">
        <v>46324</v>
      </c>
      <c r="C267" t="s">
        <v>759</v>
      </c>
      <c r="D267" t="s">
        <v>760</v>
      </c>
      <c r="E267" t="s">
        <v>70</v>
      </c>
      <c r="F267" t="s">
        <v>71</v>
      </c>
      <c r="G267" t="s">
        <v>34</v>
      </c>
      <c r="H267" t="s">
        <v>86</v>
      </c>
      <c r="I267">
        <v>5</v>
      </c>
      <c r="J267">
        <v>180000</v>
      </c>
      <c r="K267">
        <v>135000</v>
      </c>
      <c r="L267" t="s">
        <v>36</v>
      </c>
      <c r="M267" t="s">
        <v>37</v>
      </c>
      <c r="N267" t="s">
        <v>52</v>
      </c>
      <c r="O267" t="s">
        <v>24</v>
      </c>
      <c r="P267">
        <f>Tableau1_2[[#This Row],[Quantité]]*Tableau1_2[[#This Row],[Prix_Unitaire]]</f>
        <v>900000</v>
      </c>
      <c r="Q267">
        <f>Tableau1_2[[#This Row],[Quantité]]*Tableau1_2[[#This Row],[Coût_Unitaire]]</f>
        <v>675000</v>
      </c>
      <c r="R267">
        <f>Tableau1_2[[#This Row],[CA]]-Tableau1_2[[#This Row],[Cout Total]]</f>
        <v>225000</v>
      </c>
      <c r="S267" s="4">
        <f>Tableau1_2[[#This Row],[Marge]]/Tableau1_2[[#This Row],[CA]]</f>
        <v>0.25</v>
      </c>
      <c r="T267" t="str">
        <f>TEXT(Tableau1_2[[#This Row],[Date]],"mmmm")</f>
        <v>octobre</v>
      </c>
    </row>
    <row r="268" spans="1:20" x14ac:dyDescent="0.35">
      <c r="A268" t="s">
        <v>761</v>
      </c>
      <c r="B268" s="2">
        <v>46060</v>
      </c>
      <c r="C268" t="s">
        <v>361</v>
      </c>
      <c r="D268" t="s">
        <v>284</v>
      </c>
      <c r="E268" t="s">
        <v>84</v>
      </c>
      <c r="F268" t="s">
        <v>85</v>
      </c>
      <c r="G268" t="s">
        <v>43</v>
      </c>
      <c r="H268" t="s">
        <v>44</v>
      </c>
      <c r="I268">
        <v>6</v>
      </c>
      <c r="J268">
        <v>15000</v>
      </c>
      <c r="K268">
        <v>9200</v>
      </c>
      <c r="L268" t="s">
        <v>66</v>
      </c>
      <c r="M268" t="s">
        <v>31</v>
      </c>
      <c r="N268" t="s">
        <v>52</v>
      </c>
      <c r="O268" t="s">
        <v>24</v>
      </c>
      <c r="P268">
        <f>Tableau1_2[[#This Row],[Quantité]]*Tableau1_2[[#This Row],[Prix_Unitaire]]</f>
        <v>90000</v>
      </c>
      <c r="Q268">
        <f>Tableau1_2[[#This Row],[Quantité]]*Tableau1_2[[#This Row],[Coût_Unitaire]]</f>
        <v>55200</v>
      </c>
      <c r="R268">
        <f>Tableau1_2[[#This Row],[CA]]-Tableau1_2[[#This Row],[Cout Total]]</f>
        <v>34800</v>
      </c>
      <c r="S268" s="4">
        <f>Tableau1_2[[#This Row],[Marge]]/Tableau1_2[[#This Row],[CA]]</f>
        <v>0.38666666666666666</v>
      </c>
      <c r="T268" t="str">
        <f>TEXT(Tableau1_2[[#This Row],[Date]],"mmmm")</f>
        <v>février</v>
      </c>
    </row>
    <row r="269" spans="1:20" x14ac:dyDescent="0.35">
      <c r="A269" t="s">
        <v>762</v>
      </c>
      <c r="B269" s="2">
        <v>46362</v>
      </c>
      <c r="C269" t="s">
        <v>424</v>
      </c>
      <c r="D269" t="s">
        <v>411</v>
      </c>
      <c r="E269" t="s">
        <v>156</v>
      </c>
      <c r="F269" t="s">
        <v>157</v>
      </c>
      <c r="G269" t="s">
        <v>34</v>
      </c>
      <c r="H269" t="s">
        <v>158</v>
      </c>
      <c r="I269">
        <v>6</v>
      </c>
      <c r="J269">
        <v>95000</v>
      </c>
      <c r="K269">
        <v>67900</v>
      </c>
      <c r="L269" t="s">
        <v>30</v>
      </c>
      <c r="M269" t="s">
        <v>37</v>
      </c>
      <c r="N269" t="s">
        <v>52</v>
      </c>
      <c r="O269" t="s">
        <v>24</v>
      </c>
      <c r="P269">
        <f>Tableau1_2[[#This Row],[Quantité]]*Tableau1_2[[#This Row],[Prix_Unitaire]]</f>
        <v>570000</v>
      </c>
      <c r="Q269">
        <f>Tableau1_2[[#This Row],[Quantité]]*Tableau1_2[[#This Row],[Coût_Unitaire]]</f>
        <v>407400</v>
      </c>
      <c r="R269">
        <f>Tableau1_2[[#This Row],[CA]]-Tableau1_2[[#This Row],[Cout Total]]</f>
        <v>162600</v>
      </c>
      <c r="S269" s="4">
        <f>Tableau1_2[[#This Row],[Marge]]/Tableau1_2[[#This Row],[CA]]</f>
        <v>0.28526315789473683</v>
      </c>
      <c r="T269" t="str">
        <f>TEXT(Tableau1_2[[#This Row],[Date]],"mmmm")</f>
        <v>décembre</v>
      </c>
    </row>
    <row r="270" spans="1:20" x14ac:dyDescent="0.35">
      <c r="A270" t="s">
        <v>763</v>
      </c>
      <c r="B270" s="2">
        <v>46248</v>
      </c>
      <c r="C270" t="s">
        <v>63</v>
      </c>
      <c r="D270" t="s">
        <v>764</v>
      </c>
      <c r="E270" t="s">
        <v>190</v>
      </c>
      <c r="F270" t="s">
        <v>191</v>
      </c>
      <c r="G270" t="s">
        <v>34</v>
      </c>
      <c r="H270" t="s">
        <v>141</v>
      </c>
      <c r="I270">
        <v>3</v>
      </c>
      <c r="J270">
        <v>160000</v>
      </c>
      <c r="K270">
        <v>116400</v>
      </c>
      <c r="L270" t="s">
        <v>66</v>
      </c>
      <c r="M270" t="s">
        <v>51</v>
      </c>
      <c r="N270" t="s">
        <v>52</v>
      </c>
      <c r="O270" t="s">
        <v>24</v>
      </c>
      <c r="P270">
        <f>Tableau1_2[[#This Row],[Quantité]]*Tableau1_2[[#This Row],[Prix_Unitaire]]</f>
        <v>480000</v>
      </c>
      <c r="Q270">
        <f>Tableau1_2[[#This Row],[Quantité]]*Tableau1_2[[#This Row],[Coût_Unitaire]]</f>
        <v>349200</v>
      </c>
      <c r="R270">
        <f>Tableau1_2[[#This Row],[CA]]-Tableau1_2[[#This Row],[Cout Total]]</f>
        <v>130800</v>
      </c>
      <c r="S270" s="4">
        <f>Tableau1_2[[#This Row],[Marge]]/Tableau1_2[[#This Row],[CA]]</f>
        <v>0.27250000000000002</v>
      </c>
      <c r="T270" t="str">
        <f>TEXT(Tableau1_2[[#This Row],[Date]],"mmmm")</f>
        <v>août</v>
      </c>
    </row>
    <row r="271" spans="1:20" x14ac:dyDescent="0.35">
      <c r="A271" t="s">
        <v>765</v>
      </c>
      <c r="B271" s="2">
        <v>46029</v>
      </c>
      <c r="C271" t="s">
        <v>766</v>
      </c>
      <c r="D271" t="s">
        <v>767</v>
      </c>
      <c r="E271" t="s">
        <v>18</v>
      </c>
      <c r="F271" t="s">
        <v>18</v>
      </c>
      <c r="G271" t="s">
        <v>34</v>
      </c>
      <c r="H271" t="s">
        <v>158</v>
      </c>
      <c r="I271">
        <v>5</v>
      </c>
      <c r="J271">
        <v>95000</v>
      </c>
      <c r="K271">
        <v>70000</v>
      </c>
      <c r="L271" t="s">
        <v>73</v>
      </c>
      <c r="M271" t="s">
        <v>51</v>
      </c>
      <c r="N271" t="s">
        <v>52</v>
      </c>
      <c r="O271" t="s">
        <v>24</v>
      </c>
      <c r="P271">
        <f>Tableau1_2[[#This Row],[Quantité]]*Tableau1_2[[#This Row],[Prix_Unitaire]]</f>
        <v>475000</v>
      </c>
      <c r="Q271">
        <f>Tableau1_2[[#This Row],[Quantité]]*Tableau1_2[[#This Row],[Coût_Unitaire]]</f>
        <v>350000</v>
      </c>
      <c r="R271">
        <f>Tableau1_2[[#This Row],[CA]]-Tableau1_2[[#This Row],[Cout Total]]</f>
        <v>125000</v>
      </c>
      <c r="S271" s="4">
        <f>Tableau1_2[[#This Row],[Marge]]/Tableau1_2[[#This Row],[CA]]</f>
        <v>0.26315789473684209</v>
      </c>
      <c r="T271" t="str">
        <f>TEXT(Tableau1_2[[#This Row],[Date]],"mmmm")</f>
        <v>janvier</v>
      </c>
    </row>
    <row r="272" spans="1:20" x14ac:dyDescent="0.35">
      <c r="A272" t="s">
        <v>768</v>
      </c>
      <c r="B272" s="2">
        <v>46325</v>
      </c>
      <c r="C272" t="s">
        <v>769</v>
      </c>
      <c r="D272" t="s">
        <v>208</v>
      </c>
      <c r="E272" t="s">
        <v>190</v>
      </c>
      <c r="F272" t="s">
        <v>191</v>
      </c>
      <c r="G272" t="s">
        <v>28</v>
      </c>
      <c r="H272" t="s">
        <v>29</v>
      </c>
      <c r="I272">
        <v>8</v>
      </c>
      <c r="J272">
        <v>7000</v>
      </c>
      <c r="K272">
        <v>4000</v>
      </c>
      <c r="L272" t="s">
        <v>96</v>
      </c>
      <c r="M272" t="s">
        <v>37</v>
      </c>
      <c r="N272" t="s">
        <v>52</v>
      </c>
      <c r="O272" t="s">
        <v>24</v>
      </c>
      <c r="P272">
        <f>Tableau1_2[[#This Row],[Quantité]]*Tableau1_2[[#This Row],[Prix_Unitaire]]</f>
        <v>56000</v>
      </c>
      <c r="Q272">
        <f>Tableau1_2[[#This Row],[Quantité]]*Tableau1_2[[#This Row],[Coût_Unitaire]]</f>
        <v>32000</v>
      </c>
      <c r="R272">
        <f>Tableau1_2[[#This Row],[CA]]-Tableau1_2[[#This Row],[Cout Total]]</f>
        <v>24000</v>
      </c>
      <c r="S272" s="4">
        <f>Tableau1_2[[#This Row],[Marge]]/Tableau1_2[[#This Row],[CA]]</f>
        <v>0.42857142857142855</v>
      </c>
      <c r="T272" t="str">
        <f>TEXT(Tableau1_2[[#This Row],[Date]],"mmmm")</f>
        <v>octobre</v>
      </c>
    </row>
    <row r="273" spans="1:20" x14ac:dyDescent="0.35">
      <c r="A273" t="s">
        <v>770</v>
      </c>
      <c r="B273" s="2">
        <v>46214</v>
      </c>
      <c r="C273" t="s">
        <v>771</v>
      </c>
      <c r="D273" t="s">
        <v>27</v>
      </c>
      <c r="E273" t="s">
        <v>56</v>
      </c>
      <c r="F273" t="s">
        <v>57</v>
      </c>
      <c r="G273" t="s">
        <v>43</v>
      </c>
      <c r="H273" t="s">
        <v>44</v>
      </c>
      <c r="I273">
        <v>3</v>
      </c>
      <c r="J273">
        <v>15800</v>
      </c>
      <c r="K273">
        <v>9200</v>
      </c>
      <c r="L273" t="s">
        <v>21</v>
      </c>
      <c r="M273" t="s">
        <v>51</v>
      </c>
      <c r="N273" t="s">
        <v>23</v>
      </c>
      <c r="O273" t="s">
        <v>45</v>
      </c>
      <c r="P273">
        <f>Tableau1_2[[#This Row],[Quantité]]*Tableau1_2[[#This Row],[Prix_Unitaire]]</f>
        <v>47400</v>
      </c>
      <c r="Q273">
        <f>Tableau1_2[[#This Row],[Quantité]]*Tableau1_2[[#This Row],[Coût_Unitaire]]</f>
        <v>27600</v>
      </c>
      <c r="R273">
        <f>Tableau1_2[[#This Row],[CA]]-Tableau1_2[[#This Row],[Cout Total]]</f>
        <v>19800</v>
      </c>
      <c r="S273" s="4">
        <f>Tableau1_2[[#This Row],[Marge]]/Tableau1_2[[#This Row],[CA]]</f>
        <v>0.41772151898734178</v>
      </c>
      <c r="T273" t="str">
        <f>TEXT(Tableau1_2[[#This Row],[Date]],"mmmm")</f>
        <v>juillet</v>
      </c>
    </row>
    <row r="274" spans="1:20" x14ac:dyDescent="0.35">
      <c r="A274" t="s">
        <v>772</v>
      </c>
      <c r="B274" s="2">
        <v>46170</v>
      </c>
      <c r="C274" t="s">
        <v>266</v>
      </c>
      <c r="D274" t="s">
        <v>118</v>
      </c>
      <c r="E274" t="s">
        <v>18</v>
      </c>
      <c r="F274" t="s">
        <v>18</v>
      </c>
      <c r="G274" t="s">
        <v>43</v>
      </c>
      <c r="H274" t="s">
        <v>79</v>
      </c>
      <c r="I274">
        <v>10</v>
      </c>
      <c r="J274">
        <v>6000</v>
      </c>
      <c r="K274">
        <v>4200</v>
      </c>
      <c r="L274" t="s">
        <v>36</v>
      </c>
      <c r="M274" t="s">
        <v>22</v>
      </c>
      <c r="N274" t="s">
        <v>23</v>
      </c>
      <c r="O274" t="s">
        <v>24</v>
      </c>
      <c r="P274">
        <f>Tableau1_2[[#This Row],[Quantité]]*Tableau1_2[[#This Row],[Prix_Unitaire]]</f>
        <v>60000</v>
      </c>
      <c r="Q274">
        <f>Tableau1_2[[#This Row],[Quantité]]*Tableau1_2[[#This Row],[Coût_Unitaire]]</f>
        <v>42000</v>
      </c>
      <c r="R274">
        <f>Tableau1_2[[#This Row],[CA]]-Tableau1_2[[#This Row],[Cout Total]]</f>
        <v>18000</v>
      </c>
      <c r="S274" s="4">
        <f>Tableau1_2[[#This Row],[Marge]]/Tableau1_2[[#This Row],[CA]]</f>
        <v>0.3</v>
      </c>
      <c r="T274" t="str">
        <f>TEXT(Tableau1_2[[#This Row],[Date]],"mmmm")</f>
        <v>mai</v>
      </c>
    </row>
    <row r="275" spans="1:20" x14ac:dyDescent="0.35">
      <c r="A275" t="s">
        <v>773</v>
      </c>
      <c r="B275" s="2">
        <v>46196</v>
      </c>
      <c r="C275" t="s">
        <v>774</v>
      </c>
      <c r="D275" t="s">
        <v>775</v>
      </c>
      <c r="E275" t="s">
        <v>18</v>
      </c>
      <c r="F275" t="s">
        <v>18</v>
      </c>
      <c r="G275" t="s">
        <v>34</v>
      </c>
      <c r="H275" t="s">
        <v>86</v>
      </c>
      <c r="I275">
        <v>2</v>
      </c>
      <c r="J275">
        <v>189000</v>
      </c>
      <c r="K275">
        <v>131000</v>
      </c>
      <c r="L275" t="s">
        <v>21</v>
      </c>
      <c r="M275" t="s">
        <v>37</v>
      </c>
      <c r="N275" t="s">
        <v>23</v>
      </c>
      <c r="O275" t="s">
        <v>24</v>
      </c>
      <c r="P275">
        <f>Tableau1_2[[#This Row],[Quantité]]*Tableau1_2[[#This Row],[Prix_Unitaire]]</f>
        <v>378000</v>
      </c>
      <c r="Q275">
        <f>Tableau1_2[[#This Row],[Quantité]]*Tableau1_2[[#This Row],[Coût_Unitaire]]</f>
        <v>262000</v>
      </c>
      <c r="R275">
        <f>Tableau1_2[[#This Row],[CA]]-Tableau1_2[[#This Row],[Cout Total]]</f>
        <v>116000</v>
      </c>
      <c r="S275" s="4">
        <f>Tableau1_2[[#This Row],[Marge]]/Tableau1_2[[#This Row],[CA]]</f>
        <v>0.30687830687830686</v>
      </c>
      <c r="T275" t="str">
        <f>TEXT(Tableau1_2[[#This Row],[Date]],"mmmm")</f>
        <v>juin</v>
      </c>
    </row>
    <row r="276" spans="1:20" x14ac:dyDescent="0.35">
      <c r="A276" t="s">
        <v>776</v>
      </c>
      <c r="B276" s="2">
        <v>46105</v>
      </c>
      <c r="C276" t="s">
        <v>777</v>
      </c>
      <c r="D276" t="s">
        <v>586</v>
      </c>
      <c r="E276" t="s">
        <v>41</v>
      </c>
      <c r="F276" t="s">
        <v>42</v>
      </c>
      <c r="G276" t="s">
        <v>34</v>
      </c>
      <c r="H276" t="s">
        <v>141</v>
      </c>
      <c r="I276">
        <v>10</v>
      </c>
      <c r="J276">
        <v>168000</v>
      </c>
      <c r="K276">
        <v>123600</v>
      </c>
      <c r="L276" t="s">
        <v>96</v>
      </c>
      <c r="M276" t="s">
        <v>37</v>
      </c>
      <c r="N276" t="s">
        <v>23</v>
      </c>
      <c r="O276" t="s">
        <v>45</v>
      </c>
      <c r="P276">
        <f>Tableau1_2[[#This Row],[Quantité]]*Tableau1_2[[#This Row],[Prix_Unitaire]]</f>
        <v>1680000</v>
      </c>
      <c r="Q276">
        <f>Tableau1_2[[#This Row],[Quantité]]*Tableau1_2[[#This Row],[Coût_Unitaire]]</f>
        <v>1236000</v>
      </c>
      <c r="R276">
        <f>Tableau1_2[[#This Row],[CA]]-Tableau1_2[[#This Row],[Cout Total]]</f>
        <v>444000</v>
      </c>
      <c r="S276" s="4">
        <f>Tableau1_2[[#This Row],[Marge]]/Tableau1_2[[#This Row],[CA]]</f>
        <v>0.26428571428571429</v>
      </c>
      <c r="T276" t="str">
        <f>TEXT(Tableau1_2[[#This Row],[Date]],"mmmm")</f>
        <v>mars</v>
      </c>
    </row>
    <row r="277" spans="1:20" x14ac:dyDescent="0.35">
      <c r="A277" t="s">
        <v>778</v>
      </c>
      <c r="B277" s="2">
        <v>46065</v>
      </c>
      <c r="C277" t="s">
        <v>656</v>
      </c>
      <c r="D277" t="s">
        <v>779</v>
      </c>
      <c r="E277" t="s">
        <v>156</v>
      </c>
      <c r="F277" t="s">
        <v>157</v>
      </c>
      <c r="G277" t="s">
        <v>19</v>
      </c>
      <c r="H277" t="s">
        <v>166</v>
      </c>
      <c r="I277">
        <v>4</v>
      </c>
      <c r="J277">
        <v>140000</v>
      </c>
      <c r="K277">
        <v>100000</v>
      </c>
      <c r="L277" t="s">
        <v>30</v>
      </c>
      <c r="M277" t="s">
        <v>22</v>
      </c>
      <c r="N277" t="s">
        <v>23</v>
      </c>
      <c r="O277" t="s">
        <v>24</v>
      </c>
      <c r="P277">
        <f>Tableau1_2[[#This Row],[Quantité]]*Tableau1_2[[#This Row],[Prix_Unitaire]]</f>
        <v>560000</v>
      </c>
      <c r="Q277">
        <f>Tableau1_2[[#This Row],[Quantité]]*Tableau1_2[[#This Row],[Coût_Unitaire]]</f>
        <v>400000</v>
      </c>
      <c r="R277">
        <f>Tableau1_2[[#This Row],[CA]]-Tableau1_2[[#This Row],[Cout Total]]</f>
        <v>160000</v>
      </c>
      <c r="S277" s="4">
        <f>Tableau1_2[[#This Row],[Marge]]/Tableau1_2[[#This Row],[CA]]</f>
        <v>0.2857142857142857</v>
      </c>
      <c r="T277" t="str">
        <f>TEXT(Tableau1_2[[#This Row],[Date]],"mmmm")</f>
        <v>février</v>
      </c>
    </row>
    <row r="278" spans="1:20" x14ac:dyDescent="0.35">
      <c r="A278" t="s">
        <v>780</v>
      </c>
      <c r="B278" s="2">
        <v>46068</v>
      </c>
      <c r="C278" t="s">
        <v>656</v>
      </c>
      <c r="D278" t="s">
        <v>781</v>
      </c>
      <c r="E278" t="s">
        <v>18</v>
      </c>
      <c r="F278" t="s">
        <v>18</v>
      </c>
      <c r="G278" t="s">
        <v>34</v>
      </c>
      <c r="H278" t="s">
        <v>35</v>
      </c>
      <c r="I278">
        <v>3</v>
      </c>
      <c r="J278">
        <v>52200</v>
      </c>
      <c r="K278">
        <v>40200</v>
      </c>
      <c r="L278" t="s">
        <v>66</v>
      </c>
      <c r="M278" t="s">
        <v>37</v>
      </c>
      <c r="N278" t="s">
        <v>52</v>
      </c>
      <c r="O278" t="s">
        <v>24</v>
      </c>
      <c r="P278">
        <f>Tableau1_2[[#This Row],[Quantité]]*Tableau1_2[[#This Row],[Prix_Unitaire]]</f>
        <v>156600</v>
      </c>
      <c r="Q278">
        <f>Tableau1_2[[#This Row],[Quantité]]*Tableau1_2[[#This Row],[Coût_Unitaire]]</f>
        <v>120600</v>
      </c>
      <c r="R278">
        <f>Tableau1_2[[#This Row],[CA]]-Tableau1_2[[#This Row],[Cout Total]]</f>
        <v>36000</v>
      </c>
      <c r="S278" s="4">
        <f>Tableau1_2[[#This Row],[Marge]]/Tableau1_2[[#This Row],[CA]]</f>
        <v>0.22988505747126436</v>
      </c>
      <c r="T278" t="str">
        <f>TEXT(Tableau1_2[[#This Row],[Date]],"mmmm")</f>
        <v>février</v>
      </c>
    </row>
    <row r="279" spans="1:20" x14ac:dyDescent="0.35">
      <c r="A279" t="s">
        <v>782</v>
      </c>
      <c r="B279" s="2">
        <v>46212</v>
      </c>
      <c r="C279" t="s">
        <v>783</v>
      </c>
      <c r="D279" t="s">
        <v>784</v>
      </c>
      <c r="E279" t="s">
        <v>18</v>
      </c>
      <c r="F279" t="s">
        <v>18</v>
      </c>
      <c r="G279" t="s">
        <v>28</v>
      </c>
      <c r="H279" t="s">
        <v>65</v>
      </c>
      <c r="I279">
        <v>8</v>
      </c>
      <c r="J279">
        <v>12600</v>
      </c>
      <c r="K279">
        <v>7500</v>
      </c>
      <c r="L279" t="s">
        <v>66</v>
      </c>
      <c r="M279" t="s">
        <v>37</v>
      </c>
      <c r="N279" t="s">
        <v>87</v>
      </c>
      <c r="O279" t="s">
        <v>24</v>
      </c>
      <c r="P279">
        <f>Tableau1_2[[#This Row],[Quantité]]*Tableau1_2[[#This Row],[Prix_Unitaire]]</f>
        <v>100800</v>
      </c>
      <c r="Q279">
        <f>Tableau1_2[[#This Row],[Quantité]]*Tableau1_2[[#This Row],[Coût_Unitaire]]</f>
        <v>60000</v>
      </c>
      <c r="R279">
        <f>Tableau1_2[[#This Row],[CA]]-Tableau1_2[[#This Row],[Cout Total]]</f>
        <v>40800</v>
      </c>
      <c r="S279" s="4">
        <f>Tableau1_2[[#This Row],[Marge]]/Tableau1_2[[#This Row],[CA]]</f>
        <v>0.40476190476190477</v>
      </c>
      <c r="T279" t="str">
        <f>TEXT(Tableau1_2[[#This Row],[Date]],"mmmm")</f>
        <v>juillet</v>
      </c>
    </row>
    <row r="280" spans="1:20" x14ac:dyDescent="0.35">
      <c r="A280" t="s">
        <v>785</v>
      </c>
      <c r="B280" s="2">
        <v>46168</v>
      </c>
      <c r="C280" t="s">
        <v>786</v>
      </c>
      <c r="D280" t="s">
        <v>111</v>
      </c>
      <c r="E280" t="s">
        <v>70</v>
      </c>
      <c r="F280" t="s">
        <v>71</v>
      </c>
      <c r="G280" t="s">
        <v>34</v>
      </c>
      <c r="H280" t="s">
        <v>86</v>
      </c>
      <c r="I280">
        <v>10</v>
      </c>
      <c r="J280">
        <v>180000</v>
      </c>
      <c r="K280">
        <v>139000</v>
      </c>
      <c r="L280" t="s">
        <v>30</v>
      </c>
      <c r="M280" t="s">
        <v>37</v>
      </c>
      <c r="N280" t="s">
        <v>23</v>
      </c>
      <c r="O280" t="s">
        <v>24</v>
      </c>
      <c r="P280">
        <f>Tableau1_2[[#This Row],[Quantité]]*Tableau1_2[[#This Row],[Prix_Unitaire]]</f>
        <v>1800000</v>
      </c>
      <c r="Q280">
        <f>Tableau1_2[[#This Row],[Quantité]]*Tableau1_2[[#This Row],[Coût_Unitaire]]</f>
        <v>1390000</v>
      </c>
      <c r="R280">
        <f>Tableau1_2[[#This Row],[CA]]-Tableau1_2[[#This Row],[Cout Total]]</f>
        <v>410000</v>
      </c>
      <c r="S280" s="4">
        <f>Tableau1_2[[#This Row],[Marge]]/Tableau1_2[[#This Row],[CA]]</f>
        <v>0.22777777777777777</v>
      </c>
      <c r="T280" t="str">
        <f>TEXT(Tableau1_2[[#This Row],[Date]],"mmmm")</f>
        <v>mai</v>
      </c>
    </row>
    <row r="281" spans="1:20" x14ac:dyDescent="0.35">
      <c r="A281" t="s">
        <v>787</v>
      </c>
      <c r="B281" s="2">
        <v>46026</v>
      </c>
      <c r="C281" t="s">
        <v>788</v>
      </c>
      <c r="D281" t="s">
        <v>789</v>
      </c>
      <c r="E281" t="s">
        <v>77</v>
      </c>
      <c r="F281" t="s">
        <v>78</v>
      </c>
      <c r="G281" t="s">
        <v>34</v>
      </c>
      <c r="H281" t="s">
        <v>158</v>
      </c>
      <c r="I281">
        <v>4</v>
      </c>
      <c r="J281">
        <v>99800</v>
      </c>
      <c r="K281">
        <v>70000</v>
      </c>
      <c r="L281" t="s">
        <v>30</v>
      </c>
      <c r="M281" t="s">
        <v>31</v>
      </c>
      <c r="N281" t="s">
        <v>23</v>
      </c>
      <c r="O281" t="s">
        <v>24</v>
      </c>
      <c r="P281">
        <f>Tableau1_2[[#This Row],[Quantité]]*Tableau1_2[[#This Row],[Prix_Unitaire]]</f>
        <v>399200</v>
      </c>
      <c r="Q281">
        <f>Tableau1_2[[#This Row],[Quantité]]*Tableau1_2[[#This Row],[Coût_Unitaire]]</f>
        <v>280000</v>
      </c>
      <c r="R281">
        <f>Tableau1_2[[#This Row],[CA]]-Tableau1_2[[#This Row],[Cout Total]]</f>
        <v>119200</v>
      </c>
      <c r="S281" s="4">
        <f>Tableau1_2[[#This Row],[Marge]]/Tableau1_2[[#This Row],[CA]]</f>
        <v>0.29859719438877758</v>
      </c>
      <c r="T281" t="str">
        <f>TEXT(Tableau1_2[[#This Row],[Date]],"mmmm")</f>
        <v>janvier</v>
      </c>
    </row>
    <row r="282" spans="1:20" x14ac:dyDescent="0.35">
      <c r="A282" t="s">
        <v>790</v>
      </c>
      <c r="B282" s="2">
        <v>46129</v>
      </c>
      <c r="C282" t="s">
        <v>791</v>
      </c>
      <c r="D282" t="s">
        <v>432</v>
      </c>
      <c r="E282" t="s">
        <v>41</v>
      </c>
      <c r="F282" t="s">
        <v>42</v>
      </c>
      <c r="G282" t="s">
        <v>34</v>
      </c>
      <c r="H282" t="s">
        <v>95</v>
      </c>
      <c r="I282">
        <v>8</v>
      </c>
      <c r="J282">
        <v>450000</v>
      </c>
      <c r="K282">
        <v>358900</v>
      </c>
      <c r="L282" t="s">
        <v>66</v>
      </c>
      <c r="M282" t="s">
        <v>22</v>
      </c>
      <c r="N282" t="s">
        <v>87</v>
      </c>
      <c r="O282" t="s">
        <v>24</v>
      </c>
      <c r="P282">
        <f>Tableau1_2[[#This Row],[Quantité]]*Tableau1_2[[#This Row],[Prix_Unitaire]]</f>
        <v>3600000</v>
      </c>
      <c r="Q282">
        <f>Tableau1_2[[#This Row],[Quantité]]*Tableau1_2[[#This Row],[Coût_Unitaire]]</f>
        <v>2871200</v>
      </c>
      <c r="R282">
        <f>Tableau1_2[[#This Row],[CA]]-Tableau1_2[[#This Row],[Cout Total]]</f>
        <v>728800</v>
      </c>
      <c r="S282" s="4">
        <f>Tableau1_2[[#This Row],[Marge]]/Tableau1_2[[#This Row],[CA]]</f>
        <v>0.20244444444444445</v>
      </c>
      <c r="T282" t="str">
        <f>TEXT(Tableau1_2[[#This Row],[Date]],"mmmm")</f>
        <v>avril</v>
      </c>
    </row>
    <row r="283" spans="1:20" x14ac:dyDescent="0.35">
      <c r="A283" t="s">
        <v>792</v>
      </c>
      <c r="B283" s="2">
        <v>46221</v>
      </c>
      <c r="C283" t="s">
        <v>793</v>
      </c>
      <c r="D283" t="s">
        <v>619</v>
      </c>
      <c r="E283" t="s">
        <v>18</v>
      </c>
      <c r="F283" t="s">
        <v>18</v>
      </c>
      <c r="G283" t="s">
        <v>34</v>
      </c>
      <c r="H283" t="s">
        <v>141</v>
      </c>
      <c r="I283">
        <v>4</v>
      </c>
      <c r="J283">
        <v>152000</v>
      </c>
      <c r="K283">
        <v>116400</v>
      </c>
      <c r="L283" t="s">
        <v>66</v>
      </c>
      <c r="M283" t="s">
        <v>51</v>
      </c>
      <c r="N283" t="s">
        <v>52</v>
      </c>
      <c r="O283" t="s">
        <v>24</v>
      </c>
      <c r="P283">
        <f>Tableau1_2[[#This Row],[Quantité]]*Tableau1_2[[#This Row],[Prix_Unitaire]]</f>
        <v>608000</v>
      </c>
      <c r="Q283">
        <f>Tableau1_2[[#This Row],[Quantité]]*Tableau1_2[[#This Row],[Coût_Unitaire]]</f>
        <v>465600</v>
      </c>
      <c r="R283">
        <f>Tableau1_2[[#This Row],[CA]]-Tableau1_2[[#This Row],[Cout Total]]</f>
        <v>142400</v>
      </c>
      <c r="S283" s="4">
        <f>Tableau1_2[[#This Row],[Marge]]/Tableau1_2[[#This Row],[CA]]</f>
        <v>0.23421052631578948</v>
      </c>
      <c r="T283" t="str">
        <f>TEXT(Tableau1_2[[#This Row],[Date]],"mmmm")</f>
        <v>juillet</v>
      </c>
    </row>
    <row r="284" spans="1:20" x14ac:dyDescent="0.35">
      <c r="A284" t="s">
        <v>794</v>
      </c>
      <c r="B284" s="2">
        <v>46286</v>
      </c>
      <c r="C284" t="s">
        <v>795</v>
      </c>
      <c r="D284" t="s">
        <v>796</v>
      </c>
      <c r="E284" t="s">
        <v>18</v>
      </c>
      <c r="F284" t="s">
        <v>18</v>
      </c>
      <c r="G284" t="s">
        <v>43</v>
      </c>
      <c r="H284" t="s">
        <v>79</v>
      </c>
      <c r="I284">
        <v>4</v>
      </c>
      <c r="J284">
        <v>6000</v>
      </c>
      <c r="K284">
        <v>4100</v>
      </c>
      <c r="L284" t="s">
        <v>96</v>
      </c>
      <c r="M284" t="s">
        <v>22</v>
      </c>
      <c r="N284" t="s">
        <v>23</v>
      </c>
      <c r="O284" t="s">
        <v>24</v>
      </c>
      <c r="P284">
        <f>Tableau1_2[[#This Row],[Quantité]]*Tableau1_2[[#This Row],[Prix_Unitaire]]</f>
        <v>24000</v>
      </c>
      <c r="Q284">
        <f>Tableau1_2[[#This Row],[Quantité]]*Tableau1_2[[#This Row],[Coût_Unitaire]]</f>
        <v>16400</v>
      </c>
      <c r="R284">
        <f>Tableau1_2[[#This Row],[CA]]-Tableau1_2[[#This Row],[Cout Total]]</f>
        <v>7600</v>
      </c>
      <c r="S284" s="4">
        <f>Tableau1_2[[#This Row],[Marge]]/Tableau1_2[[#This Row],[CA]]</f>
        <v>0.31666666666666665</v>
      </c>
      <c r="T284" t="str">
        <f>TEXT(Tableau1_2[[#This Row],[Date]],"mmmm")</f>
        <v>septembre</v>
      </c>
    </row>
    <row r="285" spans="1:20" x14ac:dyDescent="0.35">
      <c r="A285" t="s">
        <v>797</v>
      </c>
      <c r="B285" s="2">
        <v>46325</v>
      </c>
      <c r="C285" t="s">
        <v>529</v>
      </c>
      <c r="D285" t="s">
        <v>259</v>
      </c>
      <c r="E285" t="s">
        <v>18</v>
      </c>
      <c r="F285" t="s">
        <v>18</v>
      </c>
      <c r="G285" t="s">
        <v>34</v>
      </c>
      <c r="H285" t="s">
        <v>158</v>
      </c>
      <c r="I285">
        <v>6</v>
      </c>
      <c r="J285">
        <v>90200</v>
      </c>
      <c r="K285">
        <v>67900</v>
      </c>
      <c r="L285" t="s">
        <v>73</v>
      </c>
      <c r="M285" t="s">
        <v>37</v>
      </c>
      <c r="N285" t="s">
        <v>52</v>
      </c>
      <c r="O285" t="s">
        <v>24</v>
      </c>
      <c r="P285">
        <f>Tableau1_2[[#This Row],[Quantité]]*Tableau1_2[[#This Row],[Prix_Unitaire]]</f>
        <v>541200</v>
      </c>
      <c r="Q285">
        <f>Tableau1_2[[#This Row],[Quantité]]*Tableau1_2[[#This Row],[Coût_Unitaire]]</f>
        <v>407400</v>
      </c>
      <c r="R285">
        <f>Tableau1_2[[#This Row],[CA]]-Tableau1_2[[#This Row],[Cout Total]]</f>
        <v>133800</v>
      </c>
      <c r="S285" s="4">
        <f>Tableau1_2[[#This Row],[Marge]]/Tableau1_2[[#This Row],[CA]]</f>
        <v>0.24722838137472283</v>
      </c>
      <c r="T285" t="str">
        <f>TEXT(Tableau1_2[[#This Row],[Date]],"mmmm")</f>
        <v>octobre</v>
      </c>
    </row>
    <row r="286" spans="1:20" x14ac:dyDescent="0.35">
      <c r="A286" t="s">
        <v>798</v>
      </c>
      <c r="B286" s="2">
        <v>46272</v>
      </c>
      <c r="C286" t="s">
        <v>799</v>
      </c>
      <c r="D286" t="s">
        <v>800</v>
      </c>
      <c r="E286" t="s">
        <v>18</v>
      </c>
      <c r="F286" t="s">
        <v>18</v>
      </c>
      <c r="G286" t="s">
        <v>43</v>
      </c>
      <c r="H286" t="s">
        <v>49</v>
      </c>
      <c r="I286">
        <v>4</v>
      </c>
      <c r="J286">
        <v>9000</v>
      </c>
      <c r="K286">
        <v>6000</v>
      </c>
      <c r="L286" t="s">
        <v>66</v>
      </c>
      <c r="M286" t="s">
        <v>37</v>
      </c>
      <c r="N286" t="s">
        <v>23</v>
      </c>
      <c r="O286" t="s">
        <v>24</v>
      </c>
      <c r="P286">
        <f>Tableau1_2[[#This Row],[Quantité]]*Tableau1_2[[#This Row],[Prix_Unitaire]]</f>
        <v>36000</v>
      </c>
      <c r="Q286">
        <f>Tableau1_2[[#This Row],[Quantité]]*Tableau1_2[[#This Row],[Coût_Unitaire]]</f>
        <v>24000</v>
      </c>
      <c r="R286">
        <f>Tableau1_2[[#This Row],[CA]]-Tableau1_2[[#This Row],[Cout Total]]</f>
        <v>12000</v>
      </c>
      <c r="S286" s="4">
        <f>Tableau1_2[[#This Row],[Marge]]/Tableau1_2[[#This Row],[CA]]</f>
        <v>0.33333333333333331</v>
      </c>
      <c r="T286" t="str">
        <f>TEXT(Tableau1_2[[#This Row],[Date]],"mmmm")</f>
        <v>septembre</v>
      </c>
    </row>
    <row r="287" spans="1:20" x14ac:dyDescent="0.35">
      <c r="A287" t="s">
        <v>801</v>
      </c>
      <c r="B287" s="2">
        <v>46110</v>
      </c>
      <c r="C287" t="s">
        <v>390</v>
      </c>
      <c r="D287" t="s">
        <v>631</v>
      </c>
      <c r="E287" t="s">
        <v>156</v>
      </c>
      <c r="F287" t="s">
        <v>170</v>
      </c>
      <c r="G287" t="s">
        <v>34</v>
      </c>
      <c r="H287" t="s">
        <v>141</v>
      </c>
      <c r="I287">
        <v>2</v>
      </c>
      <c r="J287">
        <v>152000</v>
      </c>
      <c r="K287">
        <v>123600</v>
      </c>
      <c r="L287" t="s">
        <v>36</v>
      </c>
      <c r="M287" t="s">
        <v>51</v>
      </c>
      <c r="N287" t="s">
        <v>23</v>
      </c>
      <c r="O287" t="s">
        <v>24</v>
      </c>
      <c r="P287">
        <f>Tableau1_2[[#This Row],[Quantité]]*Tableau1_2[[#This Row],[Prix_Unitaire]]</f>
        <v>304000</v>
      </c>
      <c r="Q287">
        <f>Tableau1_2[[#This Row],[Quantité]]*Tableau1_2[[#This Row],[Coût_Unitaire]]</f>
        <v>247200</v>
      </c>
      <c r="R287">
        <f>Tableau1_2[[#This Row],[CA]]-Tableau1_2[[#This Row],[Cout Total]]</f>
        <v>56800</v>
      </c>
      <c r="S287" s="4">
        <f>Tableau1_2[[#This Row],[Marge]]/Tableau1_2[[#This Row],[CA]]</f>
        <v>0.18684210526315789</v>
      </c>
      <c r="T287" t="str">
        <f>TEXT(Tableau1_2[[#This Row],[Date]],"mmmm")</f>
        <v>mars</v>
      </c>
    </row>
    <row r="288" spans="1:20" x14ac:dyDescent="0.35">
      <c r="A288" t="s">
        <v>802</v>
      </c>
      <c r="B288" s="2">
        <v>46073</v>
      </c>
      <c r="C288" t="s">
        <v>283</v>
      </c>
      <c r="D288" t="s">
        <v>803</v>
      </c>
      <c r="E288" t="s">
        <v>18</v>
      </c>
      <c r="F288" t="s">
        <v>18</v>
      </c>
      <c r="G288" t="s">
        <v>19</v>
      </c>
      <c r="H288" t="s">
        <v>112</v>
      </c>
      <c r="I288">
        <v>4</v>
      </c>
      <c r="J288">
        <v>85000</v>
      </c>
      <c r="K288">
        <v>60100</v>
      </c>
      <c r="L288" t="s">
        <v>36</v>
      </c>
      <c r="M288" t="s">
        <v>37</v>
      </c>
      <c r="N288" t="s">
        <v>23</v>
      </c>
      <c r="O288" t="s">
        <v>24</v>
      </c>
      <c r="P288">
        <f>Tableau1_2[[#This Row],[Quantité]]*Tableau1_2[[#This Row],[Prix_Unitaire]]</f>
        <v>340000</v>
      </c>
      <c r="Q288">
        <f>Tableau1_2[[#This Row],[Quantité]]*Tableau1_2[[#This Row],[Coût_Unitaire]]</f>
        <v>240400</v>
      </c>
      <c r="R288">
        <f>Tableau1_2[[#This Row],[CA]]-Tableau1_2[[#This Row],[Cout Total]]</f>
        <v>99600</v>
      </c>
      <c r="S288" s="4">
        <f>Tableau1_2[[#This Row],[Marge]]/Tableau1_2[[#This Row],[CA]]</f>
        <v>0.29294117647058826</v>
      </c>
      <c r="T288" t="str">
        <f>TEXT(Tableau1_2[[#This Row],[Date]],"mmmm")</f>
        <v>février</v>
      </c>
    </row>
    <row r="289" spans="1:20" x14ac:dyDescent="0.35">
      <c r="A289" t="s">
        <v>804</v>
      </c>
      <c r="B289" s="2">
        <v>46153</v>
      </c>
      <c r="C289" t="s">
        <v>805</v>
      </c>
      <c r="D289" t="s">
        <v>806</v>
      </c>
      <c r="E289" t="s">
        <v>156</v>
      </c>
      <c r="F289" t="s">
        <v>157</v>
      </c>
      <c r="G289" t="s">
        <v>34</v>
      </c>
      <c r="H289" t="s">
        <v>35</v>
      </c>
      <c r="I289">
        <v>6</v>
      </c>
      <c r="J289">
        <v>55000</v>
      </c>
      <c r="K289">
        <v>39000</v>
      </c>
      <c r="L289" t="s">
        <v>80</v>
      </c>
      <c r="M289" t="s">
        <v>37</v>
      </c>
      <c r="N289" t="s">
        <v>23</v>
      </c>
      <c r="O289" t="s">
        <v>24</v>
      </c>
      <c r="P289">
        <f>Tableau1_2[[#This Row],[Quantité]]*Tableau1_2[[#This Row],[Prix_Unitaire]]</f>
        <v>330000</v>
      </c>
      <c r="Q289">
        <f>Tableau1_2[[#This Row],[Quantité]]*Tableau1_2[[#This Row],[Coût_Unitaire]]</f>
        <v>234000</v>
      </c>
      <c r="R289">
        <f>Tableau1_2[[#This Row],[CA]]-Tableau1_2[[#This Row],[Cout Total]]</f>
        <v>96000</v>
      </c>
      <c r="S289" s="4">
        <f>Tableau1_2[[#This Row],[Marge]]/Tableau1_2[[#This Row],[CA]]</f>
        <v>0.29090909090909089</v>
      </c>
      <c r="T289" t="str">
        <f>TEXT(Tableau1_2[[#This Row],[Date]],"mmmm")</f>
        <v>mai</v>
      </c>
    </row>
    <row r="290" spans="1:20" x14ac:dyDescent="0.35">
      <c r="A290" t="s">
        <v>807</v>
      </c>
      <c r="B290" s="2">
        <v>46192</v>
      </c>
      <c r="C290" t="s">
        <v>808</v>
      </c>
      <c r="D290" t="s">
        <v>809</v>
      </c>
      <c r="E290" t="s">
        <v>190</v>
      </c>
      <c r="F290" t="s">
        <v>191</v>
      </c>
      <c r="G290" t="s">
        <v>34</v>
      </c>
      <c r="H290" t="s">
        <v>86</v>
      </c>
      <c r="I290">
        <v>10</v>
      </c>
      <c r="J290">
        <v>189000</v>
      </c>
      <c r="K290">
        <v>135000</v>
      </c>
      <c r="L290" t="s">
        <v>30</v>
      </c>
      <c r="M290" t="s">
        <v>37</v>
      </c>
      <c r="N290" t="s">
        <v>23</v>
      </c>
      <c r="O290" t="s">
        <v>24</v>
      </c>
      <c r="P290">
        <f>Tableau1_2[[#This Row],[Quantité]]*Tableau1_2[[#This Row],[Prix_Unitaire]]</f>
        <v>1890000</v>
      </c>
      <c r="Q290">
        <f>Tableau1_2[[#This Row],[Quantité]]*Tableau1_2[[#This Row],[Coût_Unitaire]]</f>
        <v>1350000</v>
      </c>
      <c r="R290">
        <f>Tableau1_2[[#This Row],[CA]]-Tableau1_2[[#This Row],[Cout Total]]</f>
        <v>540000</v>
      </c>
      <c r="S290" s="4">
        <f>Tableau1_2[[#This Row],[Marge]]/Tableau1_2[[#This Row],[CA]]</f>
        <v>0.2857142857142857</v>
      </c>
      <c r="T290" t="str">
        <f>TEXT(Tableau1_2[[#This Row],[Date]],"mmmm")</f>
        <v>juin</v>
      </c>
    </row>
    <row r="291" spans="1:20" x14ac:dyDescent="0.35">
      <c r="A291" t="s">
        <v>810</v>
      </c>
      <c r="B291" s="2">
        <v>46033</v>
      </c>
      <c r="C291" t="s">
        <v>811</v>
      </c>
      <c r="D291" t="s">
        <v>812</v>
      </c>
      <c r="E291" t="s">
        <v>156</v>
      </c>
      <c r="F291" t="s">
        <v>157</v>
      </c>
      <c r="G291" t="s">
        <v>43</v>
      </c>
      <c r="H291" t="s">
        <v>79</v>
      </c>
      <c r="I291">
        <v>5</v>
      </c>
      <c r="J291">
        <v>6300</v>
      </c>
      <c r="K291">
        <v>4300</v>
      </c>
      <c r="L291" t="s">
        <v>66</v>
      </c>
      <c r="M291" t="s">
        <v>37</v>
      </c>
      <c r="N291" t="s">
        <v>52</v>
      </c>
      <c r="O291" t="s">
        <v>24</v>
      </c>
      <c r="P291">
        <f>Tableau1_2[[#This Row],[Quantité]]*Tableau1_2[[#This Row],[Prix_Unitaire]]</f>
        <v>31500</v>
      </c>
      <c r="Q291">
        <f>Tableau1_2[[#This Row],[Quantité]]*Tableau1_2[[#This Row],[Coût_Unitaire]]</f>
        <v>21500</v>
      </c>
      <c r="R291">
        <f>Tableau1_2[[#This Row],[CA]]-Tableau1_2[[#This Row],[Cout Total]]</f>
        <v>10000</v>
      </c>
      <c r="S291" s="4">
        <f>Tableau1_2[[#This Row],[Marge]]/Tableau1_2[[#This Row],[CA]]</f>
        <v>0.31746031746031744</v>
      </c>
      <c r="T291" t="str">
        <f>TEXT(Tableau1_2[[#This Row],[Date]],"mmmm")</f>
        <v>janvier</v>
      </c>
    </row>
    <row r="292" spans="1:20" x14ac:dyDescent="0.35">
      <c r="A292" t="s">
        <v>813</v>
      </c>
      <c r="B292" s="2">
        <v>46228</v>
      </c>
      <c r="C292" t="s">
        <v>788</v>
      </c>
      <c r="D292" t="s">
        <v>814</v>
      </c>
      <c r="E292" t="s">
        <v>41</v>
      </c>
      <c r="F292" t="s">
        <v>42</v>
      </c>
      <c r="G292" t="s">
        <v>43</v>
      </c>
      <c r="H292" t="s">
        <v>177</v>
      </c>
      <c r="I292">
        <v>7</v>
      </c>
      <c r="J292">
        <v>18000</v>
      </c>
      <c r="K292">
        <v>12900</v>
      </c>
      <c r="L292" t="s">
        <v>30</v>
      </c>
      <c r="M292" t="s">
        <v>51</v>
      </c>
      <c r="N292" t="s">
        <v>23</v>
      </c>
      <c r="O292" t="s">
        <v>24</v>
      </c>
      <c r="P292">
        <f>Tableau1_2[[#This Row],[Quantité]]*Tableau1_2[[#This Row],[Prix_Unitaire]]</f>
        <v>126000</v>
      </c>
      <c r="Q292">
        <f>Tableau1_2[[#This Row],[Quantité]]*Tableau1_2[[#This Row],[Coût_Unitaire]]</f>
        <v>90300</v>
      </c>
      <c r="R292">
        <f>Tableau1_2[[#This Row],[CA]]-Tableau1_2[[#This Row],[Cout Total]]</f>
        <v>35700</v>
      </c>
      <c r="S292" s="4">
        <f>Tableau1_2[[#This Row],[Marge]]/Tableau1_2[[#This Row],[CA]]</f>
        <v>0.28333333333333333</v>
      </c>
      <c r="T292" t="str">
        <f>TEXT(Tableau1_2[[#This Row],[Date]],"mmmm")</f>
        <v>juillet</v>
      </c>
    </row>
    <row r="293" spans="1:20" x14ac:dyDescent="0.35">
      <c r="A293" t="s">
        <v>815</v>
      </c>
      <c r="B293" s="2">
        <v>46151</v>
      </c>
      <c r="C293" t="s">
        <v>816</v>
      </c>
      <c r="D293" t="s">
        <v>244</v>
      </c>
      <c r="E293" t="s">
        <v>41</v>
      </c>
      <c r="F293" t="s">
        <v>42</v>
      </c>
      <c r="G293" t="s">
        <v>34</v>
      </c>
      <c r="H293" t="s">
        <v>158</v>
      </c>
      <c r="I293">
        <v>3</v>
      </c>
      <c r="J293">
        <v>95000</v>
      </c>
      <c r="K293">
        <v>72100</v>
      </c>
      <c r="L293" t="s">
        <v>73</v>
      </c>
      <c r="M293" t="s">
        <v>51</v>
      </c>
      <c r="N293" t="s">
        <v>52</v>
      </c>
      <c r="O293" t="s">
        <v>24</v>
      </c>
      <c r="P293">
        <f>Tableau1_2[[#This Row],[Quantité]]*Tableau1_2[[#This Row],[Prix_Unitaire]]</f>
        <v>285000</v>
      </c>
      <c r="Q293">
        <f>Tableau1_2[[#This Row],[Quantité]]*Tableau1_2[[#This Row],[Coût_Unitaire]]</f>
        <v>216300</v>
      </c>
      <c r="R293">
        <f>Tableau1_2[[#This Row],[CA]]-Tableau1_2[[#This Row],[Cout Total]]</f>
        <v>68700</v>
      </c>
      <c r="S293" s="4">
        <f>Tableau1_2[[#This Row],[Marge]]/Tableau1_2[[#This Row],[CA]]</f>
        <v>0.24105263157894738</v>
      </c>
      <c r="T293" t="str">
        <f>TEXT(Tableau1_2[[#This Row],[Date]],"mmmm")</f>
        <v>mai</v>
      </c>
    </row>
    <row r="294" spans="1:20" x14ac:dyDescent="0.35">
      <c r="A294" t="s">
        <v>817</v>
      </c>
      <c r="B294" s="2">
        <v>46364</v>
      </c>
      <c r="C294" t="s">
        <v>818</v>
      </c>
      <c r="D294" t="s">
        <v>83</v>
      </c>
      <c r="E294" t="s">
        <v>41</v>
      </c>
      <c r="F294" t="s">
        <v>42</v>
      </c>
      <c r="G294" t="s">
        <v>34</v>
      </c>
      <c r="H294" t="s">
        <v>86</v>
      </c>
      <c r="I294">
        <v>10</v>
      </c>
      <c r="J294">
        <v>189000</v>
      </c>
      <c r="K294">
        <v>131000</v>
      </c>
      <c r="L294" t="s">
        <v>36</v>
      </c>
      <c r="M294" t="s">
        <v>22</v>
      </c>
      <c r="N294" t="s">
        <v>23</v>
      </c>
      <c r="O294" t="s">
        <v>24</v>
      </c>
      <c r="P294">
        <f>Tableau1_2[[#This Row],[Quantité]]*Tableau1_2[[#This Row],[Prix_Unitaire]]</f>
        <v>1890000</v>
      </c>
      <c r="Q294">
        <f>Tableau1_2[[#This Row],[Quantité]]*Tableau1_2[[#This Row],[Coût_Unitaire]]</f>
        <v>1310000</v>
      </c>
      <c r="R294">
        <f>Tableau1_2[[#This Row],[CA]]-Tableau1_2[[#This Row],[Cout Total]]</f>
        <v>580000</v>
      </c>
      <c r="S294" s="4">
        <f>Tableau1_2[[#This Row],[Marge]]/Tableau1_2[[#This Row],[CA]]</f>
        <v>0.30687830687830686</v>
      </c>
      <c r="T294" t="str">
        <f>TEXT(Tableau1_2[[#This Row],[Date]],"mmmm")</f>
        <v>décembre</v>
      </c>
    </row>
    <row r="295" spans="1:20" x14ac:dyDescent="0.35">
      <c r="A295" t="s">
        <v>819</v>
      </c>
      <c r="B295" s="2">
        <v>46122</v>
      </c>
      <c r="C295" t="s">
        <v>820</v>
      </c>
      <c r="D295" t="s">
        <v>821</v>
      </c>
      <c r="E295" t="s">
        <v>18</v>
      </c>
      <c r="F295" t="s">
        <v>18</v>
      </c>
      <c r="G295" t="s">
        <v>28</v>
      </c>
      <c r="H295" t="s">
        <v>65</v>
      </c>
      <c r="I295">
        <v>6</v>
      </c>
      <c r="J295">
        <v>12000</v>
      </c>
      <c r="K295">
        <v>7700</v>
      </c>
      <c r="L295" t="s">
        <v>73</v>
      </c>
      <c r="M295" t="s">
        <v>37</v>
      </c>
      <c r="N295" t="s">
        <v>23</v>
      </c>
      <c r="O295" t="s">
        <v>24</v>
      </c>
      <c r="P295">
        <f>Tableau1_2[[#This Row],[Quantité]]*Tableau1_2[[#This Row],[Prix_Unitaire]]</f>
        <v>72000</v>
      </c>
      <c r="Q295">
        <f>Tableau1_2[[#This Row],[Quantité]]*Tableau1_2[[#This Row],[Coût_Unitaire]]</f>
        <v>46200</v>
      </c>
      <c r="R295">
        <f>Tableau1_2[[#This Row],[CA]]-Tableau1_2[[#This Row],[Cout Total]]</f>
        <v>25800</v>
      </c>
      <c r="S295" s="4">
        <f>Tableau1_2[[#This Row],[Marge]]/Tableau1_2[[#This Row],[CA]]</f>
        <v>0.35833333333333334</v>
      </c>
      <c r="T295" t="str">
        <f>TEXT(Tableau1_2[[#This Row],[Date]],"mmmm")</f>
        <v>avril</v>
      </c>
    </row>
    <row r="296" spans="1:20" x14ac:dyDescent="0.35">
      <c r="A296" t="s">
        <v>822</v>
      </c>
      <c r="B296" s="2">
        <v>46224</v>
      </c>
      <c r="C296" t="s">
        <v>475</v>
      </c>
      <c r="D296" t="s">
        <v>823</v>
      </c>
      <c r="E296" t="s">
        <v>18</v>
      </c>
      <c r="F296" t="s">
        <v>18</v>
      </c>
      <c r="G296" t="s">
        <v>34</v>
      </c>
      <c r="H296" t="s">
        <v>158</v>
      </c>
      <c r="I296">
        <v>9</v>
      </c>
      <c r="J296">
        <v>99800</v>
      </c>
      <c r="K296">
        <v>72100</v>
      </c>
      <c r="L296" t="s">
        <v>73</v>
      </c>
      <c r="M296" t="s">
        <v>37</v>
      </c>
      <c r="N296" t="s">
        <v>52</v>
      </c>
      <c r="O296" t="s">
        <v>24</v>
      </c>
      <c r="P296">
        <f>Tableau1_2[[#This Row],[Quantité]]*Tableau1_2[[#This Row],[Prix_Unitaire]]</f>
        <v>898200</v>
      </c>
      <c r="Q296">
        <f>Tableau1_2[[#This Row],[Quantité]]*Tableau1_2[[#This Row],[Coût_Unitaire]]</f>
        <v>648900</v>
      </c>
      <c r="R296">
        <f>Tableau1_2[[#This Row],[CA]]-Tableau1_2[[#This Row],[Cout Total]]</f>
        <v>249300</v>
      </c>
      <c r="S296" s="4">
        <f>Tableau1_2[[#This Row],[Marge]]/Tableau1_2[[#This Row],[CA]]</f>
        <v>0.27755511022044088</v>
      </c>
      <c r="T296" t="str">
        <f>TEXT(Tableau1_2[[#This Row],[Date]],"mmmm")</f>
        <v>juillet</v>
      </c>
    </row>
    <row r="297" spans="1:20" x14ac:dyDescent="0.35">
      <c r="A297" t="s">
        <v>824</v>
      </c>
      <c r="B297" s="2">
        <v>46215</v>
      </c>
      <c r="C297" t="s">
        <v>825</v>
      </c>
      <c r="D297" t="s">
        <v>27</v>
      </c>
      <c r="E297" t="s">
        <v>84</v>
      </c>
      <c r="F297" t="s">
        <v>85</v>
      </c>
      <c r="G297" t="s">
        <v>34</v>
      </c>
      <c r="H297" t="s">
        <v>141</v>
      </c>
      <c r="I297">
        <v>1</v>
      </c>
      <c r="J297">
        <v>168000</v>
      </c>
      <c r="K297">
        <v>120000</v>
      </c>
      <c r="L297" t="s">
        <v>36</v>
      </c>
      <c r="M297" t="s">
        <v>31</v>
      </c>
      <c r="N297" t="s">
        <v>23</v>
      </c>
      <c r="O297" t="s">
        <v>24</v>
      </c>
      <c r="P297">
        <f>Tableau1_2[[#This Row],[Quantité]]*Tableau1_2[[#This Row],[Prix_Unitaire]]</f>
        <v>168000</v>
      </c>
      <c r="Q297">
        <f>Tableau1_2[[#This Row],[Quantité]]*Tableau1_2[[#This Row],[Coût_Unitaire]]</f>
        <v>120000</v>
      </c>
      <c r="R297">
        <f>Tableau1_2[[#This Row],[CA]]-Tableau1_2[[#This Row],[Cout Total]]</f>
        <v>48000</v>
      </c>
      <c r="S297" s="4">
        <f>Tableau1_2[[#This Row],[Marge]]/Tableau1_2[[#This Row],[CA]]</f>
        <v>0.2857142857142857</v>
      </c>
      <c r="T297" t="str">
        <f>TEXT(Tableau1_2[[#This Row],[Date]],"mmmm")</f>
        <v>juillet</v>
      </c>
    </row>
    <row r="298" spans="1:20" x14ac:dyDescent="0.35">
      <c r="A298" t="s">
        <v>826</v>
      </c>
      <c r="B298" s="2">
        <v>46225</v>
      </c>
      <c r="C298" t="s">
        <v>827</v>
      </c>
      <c r="D298" t="s">
        <v>828</v>
      </c>
      <c r="E298" t="s">
        <v>56</v>
      </c>
      <c r="F298" t="s">
        <v>57</v>
      </c>
      <c r="G298" t="s">
        <v>34</v>
      </c>
      <c r="H298" t="s">
        <v>86</v>
      </c>
      <c r="I298">
        <v>4</v>
      </c>
      <c r="J298">
        <v>180000</v>
      </c>
      <c r="K298">
        <v>139000</v>
      </c>
      <c r="L298" t="s">
        <v>80</v>
      </c>
      <c r="M298" t="s">
        <v>22</v>
      </c>
      <c r="N298" t="s">
        <v>87</v>
      </c>
      <c r="O298" t="s">
        <v>24</v>
      </c>
      <c r="P298">
        <f>Tableau1_2[[#This Row],[Quantité]]*Tableau1_2[[#This Row],[Prix_Unitaire]]</f>
        <v>720000</v>
      </c>
      <c r="Q298">
        <f>Tableau1_2[[#This Row],[Quantité]]*Tableau1_2[[#This Row],[Coût_Unitaire]]</f>
        <v>556000</v>
      </c>
      <c r="R298">
        <f>Tableau1_2[[#This Row],[CA]]-Tableau1_2[[#This Row],[Cout Total]]</f>
        <v>164000</v>
      </c>
      <c r="S298" s="4">
        <f>Tableau1_2[[#This Row],[Marge]]/Tableau1_2[[#This Row],[CA]]</f>
        <v>0.22777777777777777</v>
      </c>
      <c r="T298" t="str">
        <f>TEXT(Tableau1_2[[#This Row],[Date]],"mmmm")</f>
        <v>juillet</v>
      </c>
    </row>
    <row r="299" spans="1:20" x14ac:dyDescent="0.35">
      <c r="A299" t="s">
        <v>829</v>
      </c>
      <c r="B299" s="2">
        <v>46288</v>
      </c>
      <c r="C299" t="s">
        <v>830</v>
      </c>
      <c r="D299" t="s">
        <v>317</v>
      </c>
      <c r="E299" t="s">
        <v>18</v>
      </c>
      <c r="F299" t="s">
        <v>18</v>
      </c>
      <c r="G299" t="s">
        <v>34</v>
      </c>
      <c r="H299" t="s">
        <v>35</v>
      </c>
      <c r="I299">
        <v>6</v>
      </c>
      <c r="J299">
        <v>55000</v>
      </c>
      <c r="K299">
        <v>39000</v>
      </c>
      <c r="L299" t="s">
        <v>21</v>
      </c>
      <c r="M299" t="s">
        <v>37</v>
      </c>
      <c r="N299" t="s">
        <v>52</v>
      </c>
      <c r="O299" t="s">
        <v>24</v>
      </c>
      <c r="P299">
        <f>Tableau1_2[[#This Row],[Quantité]]*Tableau1_2[[#This Row],[Prix_Unitaire]]</f>
        <v>330000</v>
      </c>
      <c r="Q299">
        <f>Tableau1_2[[#This Row],[Quantité]]*Tableau1_2[[#This Row],[Coût_Unitaire]]</f>
        <v>234000</v>
      </c>
      <c r="R299">
        <f>Tableau1_2[[#This Row],[CA]]-Tableau1_2[[#This Row],[Cout Total]]</f>
        <v>96000</v>
      </c>
      <c r="S299" s="4">
        <f>Tableau1_2[[#This Row],[Marge]]/Tableau1_2[[#This Row],[CA]]</f>
        <v>0.29090909090909089</v>
      </c>
      <c r="T299" t="str">
        <f>TEXT(Tableau1_2[[#This Row],[Date]],"mmmm")</f>
        <v>septembre</v>
      </c>
    </row>
    <row r="300" spans="1:20" x14ac:dyDescent="0.35">
      <c r="A300" t="s">
        <v>831</v>
      </c>
      <c r="B300" s="2">
        <v>46173</v>
      </c>
      <c r="C300" t="s">
        <v>832</v>
      </c>
      <c r="D300" t="s">
        <v>833</v>
      </c>
      <c r="E300" t="s">
        <v>156</v>
      </c>
      <c r="F300" t="s">
        <v>157</v>
      </c>
      <c r="G300" t="s">
        <v>34</v>
      </c>
      <c r="H300" t="s">
        <v>35</v>
      </c>
      <c r="I300">
        <v>4</v>
      </c>
      <c r="J300">
        <v>52200</v>
      </c>
      <c r="K300">
        <v>40200</v>
      </c>
      <c r="L300" t="s">
        <v>21</v>
      </c>
      <c r="M300" t="s">
        <v>51</v>
      </c>
      <c r="N300" t="s">
        <v>87</v>
      </c>
      <c r="O300" t="s">
        <v>24</v>
      </c>
      <c r="P300">
        <f>Tableau1_2[[#This Row],[Quantité]]*Tableau1_2[[#This Row],[Prix_Unitaire]]</f>
        <v>208800</v>
      </c>
      <c r="Q300">
        <f>Tableau1_2[[#This Row],[Quantité]]*Tableau1_2[[#This Row],[Coût_Unitaire]]</f>
        <v>160800</v>
      </c>
      <c r="R300">
        <f>Tableau1_2[[#This Row],[CA]]-Tableau1_2[[#This Row],[Cout Total]]</f>
        <v>48000</v>
      </c>
      <c r="S300" s="4">
        <f>Tableau1_2[[#This Row],[Marge]]/Tableau1_2[[#This Row],[CA]]</f>
        <v>0.22988505747126436</v>
      </c>
      <c r="T300" t="str">
        <f>TEXT(Tableau1_2[[#This Row],[Date]],"mmmm")</f>
        <v>mai</v>
      </c>
    </row>
    <row r="301" spans="1:20" x14ac:dyDescent="0.35">
      <c r="A301" t="s">
        <v>834</v>
      </c>
      <c r="B301" s="2">
        <v>46142</v>
      </c>
      <c r="C301" t="s">
        <v>193</v>
      </c>
      <c r="D301" t="s">
        <v>667</v>
      </c>
      <c r="E301" t="s">
        <v>18</v>
      </c>
      <c r="F301" t="s">
        <v>18</v>
      </c>
      <c r="G301" t="s">
        <v>34</v>
      </c>
      <c r="H301" t="s">
        <v>95</v>
      </c>
      <c r="I301">
        <v>2</v>
      </c>
      <c r="J301">
        <v>450000</v>
      </c>
      <c r="K301">
        <v>358900</v>
      </c>
      <c r="L301" t="s">
        <v>73</v>
      </c>
      <c r="M301" t="s">
        <v>37</v>
      </c>
      <c r="N301" t="s">
        <v>23</v>
      </c>
      <c r="O301" t="s">
        <v>24</v>
      </c>
      <c r="P301">
        <f>Tableau1_2[[#This Row],[Quantité]]*Tableau1_2[[#This Row],[Prix_Unitaire]]</f>
        <v>900000</v>
      </c>
      <c r="Q301">
        <f>Tableau1_2[[#This Row],[Quantité]]*Tableau1_2[[#This Row],[Coût_Unitaire]]</f>
        <v>717800</v>
      </c>
      <c r="R301">
        <f>Tableau1_2[[#This Row],[CA]]-Tableau1_2[[#This Row],[Cout Total]]</f>
        <v>182200</v>
      </c>
      <c r="S301" s="4">
        <f>Tableau1_2[[#This Row],[Marge]]/Tableau1_2[[#This Row],[CA]]</f>
        <v>0.20244444444444445</v>
      </c>
      <c r="T301" t="str">
        <f>TEXT(Tableau1_2[[#This Row],[Date]],"mmmm")</f>
        <v>avril</v>
      </c>
    </row>
    <row r="302" spans="1:20" x14ac:dyDescent="0.35">
      <c r="A302" t="s">
        <v>835</v>
      </c>
      <c r="B302" s="2">
        <v>46215</v>
      </c>
      <c r="C302" t="s">
        <v>836</v>
      </c>
      <c r="D302" t="s">
        <v>781</v>
      </c>
      <c r="E302" t="s">
        <v>18</v>
      </c>
      <c r="F302" t="s">
        <v>18</v>
      </c>
      <c r="G302" t="s">
        <v>19</v>
      </c>
      <c r="H302" t="s">
        <v>112</v>
      </c>
      <c r="I302">
        <v>7</v>
      </c>
      <c r="J302">
        <v>85000</v>
      </c>
      <c r="K302">
        <v>60100</v>
      </c>
      <c r="L302" t="s">
        <v>21</v>
      </c>
      <c r="M302" t="s">
        <v>22</v>
      </c>
      <c r="N302" t="s">
        <v>52</v>
      </c>
      <c r="O302" t="s">
        <v>24</v>
      </c>
      <c r="P302">
        <f>Tableau1_2[[#This Row],[Quantité]]*Tableau1_2[[#This Row],[Prix_Unitaire]]</f>
        <v>595000</v>
      </c>
      <c r="Q302">
        <f>Tableau1_2[[#This Row],[Quantité]]*Tableau1_2[[#This Row],[Coût_Unitaire]]</f>
        <v>420700</v>
      </c>
      <c r="R302">
        <f>Tableau1_2[[#This Row],[CA]]-Tableau1_2[[#This Row],[Cout Total]]</f>
        <v>174300</v>
      </c>
      <c r="S302" s="4">
        <f>Tableau1_2[[#This Row],[Marge]]/Tableau1_2[[#This Row],[CA]]</f>
        <v>0.29294117647058826</v>
      </c>
      <c r="T302" t="str">
        <f>TEXT(Tableau1_2[[#This Row],[Date]],"mmmm")</f>
        <v>juillet</v>
      </c>
    </row>
    <row r="303" spans="1:20" x14ac:dyDescent="0.35">
      <c r="A303" t="s">
        <v>837</v>
      </c>
      <c r="B303" s="2">
        <v>46354</v>
      </c>
      <c r="C303" t="s">
        <v>838</v>
      </c>
      <c r="D303" t="s">
        <v>839</v>
      </c>
      <c r="E303" t="s">
        <v>156</v>
      </c>
      <c r="F303" t="s">
        <v>157</v>
      </c>
      <c r="G303" t="s">
        <v>43</v>
      </c>
      <c r="H303" t="s">
        <v>177</v>
      </c>
      <c r="I303">
        <v>2</v>
      </c>
      <c r="J303">
        <v>18900</v>
      </c>
      <c r="K303">
        <v>12100</v>
      </c>
      <c r="L303" t="s">
        <v>36</v>
      </c>
      <c r="M303" t="s">
        <v>31</v>
      </c>
      <c r="N303" t="s">
        <v>52</v>
      </c>
      <c r="O303" t="s">
        <v>24</v>
      </c>
      <c r="P303">
        <f>Tableau1_2[[#This Row],[Quantité]]*Tableau1_2[[#This Row],[Prix_Unitaire]]</f>
        <v>37800</v>
      </c>
      <c r="Q303">
        <f>Tableau1_2[[#This Row],[Quantité]]*Tableau1_2[[#This Row],[Coût_Unitaire]]</f>
        <v>24200</v>
      </c>
      <c r="R303">
        <f>Tableau1_2[[#This Row],[CA]]-Tableau1_2[[#This Row],[Cout Total]]</f>
        <v>13600</v>
      </c>
      <c r="S303" s="4">
        <f>Tableau1_2[[#This Row],[Marge]]/Tableau1_2[[#This Row],[CA]]</f>
        <v>0.35978835978835977</v>
      </c>
      <c r="T303" t="str">
        <f>TEXT(Tableau1_2[[#This Row],[Date]],"mmmm")</f>
        <v>novembre</v>
      </c>
    </row>
    <row r="304" spans="1:20" x14ac:dyDescent="0.35">
      <c r="A304" t="s">
        <v>840</v>
      </c>
      <c r="B304" s="2">
        <v>46138</v>
      </c>
      <c r="C304" t="s">
        <v>841</v>
      </c>
      <c r="D304" t="s">
        <v>842</v>
      </c>
      <c r="E304" t="s">
        <v>56</v>
      </c>
      <c r="F304" t="s">
        <v>57</v>
      </c>
      <c r="G304" t="s">
        <v>28</v>
      </c>
      <c r="H304" t="s">
        <v>72</v>
      </c>
      <c r="I304">
        <v>3</v>
      </c>
      <c r="J304">
        <v>10000</v>
      </c>
      <c r="K304">
        <v>6000</v>
      </c>
      <c r="L304" t="s">
        <v>50</v>
      </c>
      <c r="M304" t="s">
        <v>22</v>
      </c>
      <c r="N304" t="s">
        <v>87</v>
      </c>
      <c r="O304" t="s">
        <v>24</v>
      </c>
      <c r="P304">
        <f>Tableau1_2[[#This Row],[Quantité]]*Tableau1_2[[#This Row],[Prix_Unitaire]]</f>
        <v>30000</v>
      </c>
      <c r="Q304">
        <f>Tableau1_2[[#This Row],[Quantité]]*Tableau1_2[[#This Row],[Coût_Unitaire]]</f>
        <v>18000</v>
      </c>
      <c r="R304">
        <f>Tableau1_2[[#This Row],[CA]]-Tableau1_2[[#This Row],[Cout Total]]</f>
        <v>12000</v>
      </c>
      <c r="S304" s="4">
        <f>Tableau1_2[[#This Row],[Marge]]/Tableau1_2[[#This Row],[CA]]</f>
        <v>0.4</v>
      </c>
      <c r="T304" t="str">
        <f>TEXT(Tableau1_2[[#This Row],[Date]],"mmmm")</f>
        <v>avril</v>
      </c>
    </row>
    <row r="305" spans="1:20" x14ac:dyDescent="0.35">
      <c r="A305" t="s">
        <v>843</v>
      </c>
      <c r="B305" s="2">
        <v>46129</v>
      </c>
      <c r="C305" t="s">
        <v>694</v>
      </c>
      <c r="D305" t="s">
        <v>844</v>
      </c>
      <c r="E305" t="s">
        <v>41</v>
      </c>
      <c r="F305" t="s">
        <v>42</v>
      </c>
      <c r="G305" t="s">
        <v>43</v>
      </c>
      <c r="H305" t="s">
        <v>49</v>
      </c>
      <c r="I305">
        <v>8</v>
      </c>
      <c r="J305">
        <v>9000</v>
      </c>
      <c r="K305">
        <v>6000</v>
      </c>
      <c r="L305" t="s">
        <v>30</v>
      </c>
      <c r="M305" t="s">
        <v>51</v>
      </c>
      <c r="N305" t="s">
        <v>87</v>
      </c>
      <c r="O305" t="s">
        <v>45</v>
      </c>
      <c r="P305">
        <f>Tableau1_2[[#This Row],[Quantité]]*Tableau1_2[[#This Row],[Prix_Unitaire]]</f>
        <v>72000</v>
      </c>
      <c r="Q305">
        <f>Tableau1_2[[#This Row],[Quantité]]*Tableau1_2[[#This Row],[Coût_Unitaire]]</f>
        <v>48000</v>
      </c>
      <c r="R305">
        <f>Tableau1_2[[#This Row],[CA]]-Tableau1_2[[#This Row],[Cout Total]]</f>
        <v>24000</v>
      </c>
      <c r="S305" s="4">
        <f>Tableau1_2[[#This Row],[Marge]]/Tableau1_2[[#This Row],[CA]]</f>
        <v>0.33333333333333331</v>
      </c>
      <c r="T305" t="str">
        <f>TEXT(Tableau1_2[[#This Row],[Date]],"mmmm")</f>
        <v>avril</v>
      </c>
    </row>
    <row r="306" spans="1:20" x14ac:dyDescent="0.35">
      <c r="A306" t="s">
        <v>845</v>
      </c>
      <c r="B306" s="2">
        <v>46273</v>
      </c>
      <c r="C306" t="s">
        <v>607</v>
      </c>
      <c r="D306" t="s">
        <v>846</v>
      </c>
      <c r="E306" t="s">
        <v>41</v>
      </c>
      <c r="F306" t="s">
        <v>42</v>
      </c>
      <c r="G306" t="s">
        <v>28</v>
      </c>
      <c r="H306" t="s">
        <v>65</v>
      </c>
      <c r="I306">
        <v>4</v>
      </c>
      <c r="J306">
        <v>11400</v>
      </c>
      <c r="K306">
        <v>7500</v>
      </c>
      <c r="L306" t="s">
        <v>66</v>
      </c>
      <c r="M306" t="s">
        <v>37</v>
      </c>
      <c r="N306" t="s">
        <v>23</v>
      </c>
      <c r="O306" t="s">
        <v>24</v>
      </c>
      <c r="P306">
        <f>Tableau1_2[[#This Row],[Quantité]]*Tableau1_2[[#This Row],[Prix_Unitaire]]</f>
        <v>45600</v>
      </c>
      <c r="Q306">
        <f>Tableau1_2[[#This Row],[Quantité]]*Tableau1_2[[#This Row],[Coût_Unitaire]]</f>
        <v>30000</v>
      </c>
      <c r="R306">
        <f>Tableau1_2[[#This Row],[CA]]-Tableau1_2[[#This Row],[Cout Total]]</f>
        <v>15600</v>
      </c>
      <c r="S306" s="4">
        <f>Tableau1_2[[#This Row],[Marge]]/Tableau1_2[[#This Row],[CA]]</f>
        <v>0.34210526315789475</v>
      </c>
      <c r="T306" t="str">
        <f>TEXT(Tableau1_2[[#This Row],[Date]],"mmmm")</f>
        <v>septembre</v>
      </c>
    </row>
    <row r="307" spans="1:20" x14ac:dyDescent="0.35">
      <c r="A307" t="s">
        <v>847</v>
      </c>
      <c r="B307" s="2">
        <v>46292</v>
      </c>
      <c r="C307" t="s">
        <v>848</v>
      </c>
      <c r="D307" t="s">
        <v>276</v>
      </c>
      <c r="E307" t="s">
        <v>156</v>
      </c>
      <c r="F307" t="s">
        <v>157</v>
      </c>
      <c r="G307" t="s">
        <v>19</v>
      </c>
      <c r="H307" t="s">
        <v>166</v>
      </c>
      <c r="I307">
        <v>6</v>
      </c>
      <c r="J307">
        <v>133000</v>
      </c>
      <c r="K307">
        <v>103000</v>
      </c>
      <c r="L307" t="s">
        <v>21</v>
      </c>
      <c r="M307" t="s">
        <v>31</v>
      </c>
      <c r="N307" t="s">
        <v>23</v>
      </c>
      <c r="O307" t="s">
        <v>91</v>
      </c>
      <c r="P307">
        <f>Tableau1_2[[#This Row],[Quantité]]*Tableau1_2[[#This Row],[Prix_Unitaire]]</f>
        <v>798000</v>
      </c>
      <c r="Q307">
        <f>Tableau1_2[[#This Row],[Quantité]]*Tableau1_2[[#This Row],[Coût_Unitaire]]</f>
        <v>618000</v>
      </c>
      <c r="R307">
        <f>Tableau1_2[[#This Row],[CA]]-Tableau1_2[[#This Row],[Cout Total]]</f>
        <v>180000</v>
      </c>
      <c r="S307" s="4">
        <f>Tableau1_2[[#This Row],[Marge]]/Tableau1_2[[#This Row],[CA]]</f>
        <v>0.22556390977443608</v>
      </c>
      <c r="T307" t="str">
        <f>TEXT(Tableau1_2[[#This Row],[Date]],"mmmm")</f>
        <v>septembre</v>
      </c>
    </row>
    <row r="308" spans="1:20" x14ac:dyDescent="0.35">
      <c r="A308" t="s">
        <v>849</v>
      </c>
      <c r="B308" s="2">
        <v>46217</v>
      </c>
      <c r="C308" t="s">
        <v>850</v>
      </c>
      <c r="D308" t="s">
        <v>55</v>
      </c>
      <c r="E308" t="s">
        <v>77</v>
      </c>
      <c r="F308" t="s">
        <v>78</v>
      </c>
      <c r="G308" t="s">
        <v>34</v>
      </c>
      <c r="H308" t="s">
        <v>95</v>
      </c>
      <c r="I308">
        <v>5</v>
      </c>
      <c r="J308">
        <v>427500</v>
      </c>
      <c r="K308">
        <v>370000</v>
      </c>
      <c r="L308" t="s">
        <v>96</v>
      </c>
      <c r="M308" t="s">
        <v>37</v>
      </c>
      <c r="N308" t="s">
        <v>52</v>
      </c>
      <c r="O308" t="s">
        <v>45</v>
      </c>
      <c r="P308">
        <f>Tableau1_2[[#This Row],[Quantité]]*Tableau1_2[[#This Row],[Prix_Unitaire]]</f>
        <v>2137500</v>
      </c>
      <c r="Q308">
        <f>Tableau1_2[[#This Row],[Quantité]]*Tableau1_2[[#This Row],[Coût_Unitaire]]</f>
        <v>1850000</v>
      </c>
      <c r="R308">
        <f>Tableau1_2[[#This Row],[CA]]-Tableau1_2[[#This Row],[Cout Total]]</f>
        <v>287500</v>
      </c>
      <c r="S308" s="4">
        <f>Tableau1_2[[#This Row],[Marge]]/Tableau1_2[[#This Row],[CA]]</f>
        <v>0.13450292397660818</v>
      </c>
      <c r="T308" t="str">
        <f>TEXT(Tableau1_2[[#This Row],[Date]],"mmmm")</f>
        <v>juillet</v>
      </c>
    </row>
    <row r="309" spans="1:20" x14ac:dyDescent="0.35">
      <c r="A309" t="s">
        <v>851</v>
      </c>
      <c r="B309" s="2">
        <v>46336</v>
      </c>
      <c r="C309" t="s">
        <v>510</v>
      </c>
      <c r="D309" t="s">
        <v>152</v>
      </c>
      <c r="E309" t="s">
        <v>190</v>
      </c>
      <c r="F309" t="s">
        <v>191</v>
      </c>
      <c r="G309" t="s">
        <v>34</v>
      </c>
      <c r="H309" t="s">
        <v>86</v>
      </c>
      <c r="I309">
        <v>3</v>
      </c>
      <c r="J309">
        <v>171000</v>
      </c>
      <c r="K309">
        <v>139000</v>
      </c>
      <c r="L309" t="s">
        <v>50</v>
      </c>
      <c r="M309" t="s">
        <v>51</v>
      </c>
      <c r="N309" t="s">
        <v>87</v>
      </c>
      <c r="O309" t="s">
        <v>24</v>
      </c>
      <c r="P309">
        <f>Tableau1_2[[#This Row],[Quantité]]*Tableau1_2[[#This Row],[Prix_Unitaire]]</f>
        <v>513000</v>
      </c>
      <c r="Q309">
        <f>Tableau1_2[[#This Row],[Quantité]]*Tableau1_2[[#This Row],[Coût_Unitaire]]</f>
        <v>417000</v>
      </c>
      <c r="R309">
        <f>Tableau1_2[[#This Row],[CA]]-Tableau1_2[[#This Row],[Cout Total]]</f>
        <v>96000</v>
      </c>
      <c r="S309" s="4">
        <f>Tableau1_2[[#This Row],[Marge]]/Tableau1_2[[#This Row],[CA]]</f>
        <v>0.1871345029239766</v>
      </c>
      <c r="T309" t="str">
        <f>TEXT(Tableau1_2[[#This Row],[Date]],"mmmm")</f>
        <v>novembre</v>
      </c>
    </row>
    <row r="310" spans="1:20" x14ac:dyDescent="0.35">
      <c r="A310" t="s">
        <v>852</v>
      </c>
      <c r="B310" s="2">
        <v>46367</v>
      </c>
      <c r="C310" t="s">
        <v>853</v>
      </c>
      <c r="D310" t="s">
        <v>854</v>
      </c>
      <c r="E310" t="s">
        <v>18</v>
      </c>
      <c r="F310" t="s">
        <v>18</v>
      </c>
      <c r="G310" t="s">
        <v>43</v>
      </c>
      <c r="H310" t="s">
        <v>162</v>
      </c>
      <c r="I310">
        <v>7</v>
      </c>
      <c r="J310">
        <v>8000</v>
      </c>
      <c r="K310">
        <v>5000</v>
      </c>
      <c r="L310" t="s">
        <v>66</v>
      </c>
      <c r="M310" t="s">
        <v>37</v>
      </c>
      <c r="N310" t="s">
        <v>52</v>
      </c>
      <c r="O310" t="s">
        <v>24</v>
      </c>
      <c r="P310">
        <f>Tableau1_2[[#This Row],[Quantité]]*Tableau1_2[[#This Row],[Prix_Unitaire]]</f>
        <v>56000</v>
      </c>
      <c r="Q310">
        <f>Tableau1_2[[#This Row],[Quantité]]*Tableau1_2[[#This Row],[Coût_Unitaire]]</f>
        <v>35000</v>
      </c>
      <c r="R310">
        <f>Tableau1_2[[#This Row],[CA]]-Tableau1_2[[#This Row],[Cout Total]]</f>
        <v>21000</v>
      </c>
      <c r="S310" s="4">
        <f>Tableau1_2[[#This Row],[Marge]]/Tableau1_2[[#This Row],[CA]]</f>
        <v>0.375</v>
      </c>
      <c r="T310" t="str">
        <f>TEXT(Tableau1_2[[#This Row],[Date]],"mmmm")</f>
        <v>décembre</v>
      </c>
    </row>
    <row r="311" spans="1:20" x14ac:dyDescent="0.35">
      <c r="A311" t="s">
        <v>855</v>
      </c>
      <c r="B311" s="2">
        <v>46196</v>
      </c>
      <c r="C311" t="s">
        <v>231</v>
      </c>
      <c r="D311" t="s">
        <v>856</v>
      </c>
      <c r="E311" t="s">
        <v>77</v>
      </c>
      <c r="F311" t="s">
        <v>78</v>
      </c>
      <c r="G311" t="s">
        <v>34</v>
      </c>
      <c r="H311" t="s">
        <v>86</v>
      </c>
      <c r="I311">
        <v>6</v>
      </c>
      <c r="J311">
        <v>171000</v>
      </c>
      <c r="K311">
        <v>135000</v>
      </c>
      <c r="L311" t="s">
        <v>73</v>
      </c>
      <c r="M311" t="s">
        <v>37</v>
      </c>
      <c r="N311" t="s">
        <v>52</v>
      </c>
      <c r="O311" t="s">
        <v>24</v>
      </c>
      <c r="P311">
        <f>Tableau1_2[[#This Row],[Quantité]]*Tableau1_2[[#This Row],[Prix_Unitaire]]</f>
        <v>1026000</v>
      </c>
      <c r="Q311">
        <f>Tableau1_2[[#This Row],[Quantité]]*Tableau1_2[[#This Row],[Coût_Unitaire]]</f>
        <v>810000</v>
      </c>
      <c r="R311">
        <f>Tableau1_2[[#This Row],[CA]]-Tableau1_2[[#This Row],[Cout Total]]</f>
        <v>216000</v>
      </c>
      <c r="S311" s="4">
        <f>Tableau1_2[[#This Row],[Marge]]/Tableau1_2[[#This Row],[CA]]</f>
        <v>0.21052631578947367</v>
      </c>
      <c r="T311" t="str">
        <f>TEXT(Tableau1_2[[#This Row],[Date]],"mmmm")</f>
        <v>juin</v>
      </c>
    </row>
    <row r="312" spans="1:20" x14ac:dyDescent="0.35">
      <c r="A312" t="s">
        <v>857</v>
      </c>
      <c r="B312" s="2">
        <v>46159</v>
      </c>
      <c r="C312" t="s">
        <v>858</v>
      </c>
      <c r="D312" t="s">
        <v>859</v>
      </c>
      <c r="E312" t="s">
        <v>41</v>
      </c>
      <c r="F312" t="s">
        <v>42</v>
      </c>
      <c r="G312" t="s">
        <v>34</v>
      </c>
      <c r="H312" t="s">
        <v>141</v>
      </c>
      <c r="I312">
        <v>10</v>
      </c>
      <c r="J312">
        <v>168000</v>
      </c>
      <c r="K312">
        <v>116400</v>
      </c>
      <c r="L312" t="s">
        <v>80</v>
      </c>
      <c r="M312" t="s">
        <v>37</v>
      </c>
      <c r="N312" t="s">
        <v>23</v>
      </c>
      <c r="O312" t="s">
        <v>24</v>
      </c>
      <c r="P312">
        <f>Tableau1_2[[#This Row],[Quantité]]*Tableau1_2[[#This Row],[Prix_Unitaire]]</f>
        <v>1680000</v>
      </c>
      <c r="Q312">
        <f>Tableau1_2[[#This Row],[Quantité]]*Tableau1_2[[#This Row],[Coût_Unitaire]]</f>
        <v>1164000</v>
      </c>
      <c r="R312">
        <f>Tableau1_2[[#This Row],[CA]]-Tableau1_2[[#This Row],[Cout Total]]</f>
        <v>516000</v>
      </c>
      <c r="S312" s="4">
        <f>Tableau1_2[[#This Row],[Marge]]/Tableau1_2[[#This Row],[CA]]</f>
        <v>0.30714285714285716</v>
      </c>
      <c r="T312" t="str">
        <f>TEXT(Tableau1_2[[#This Row],[Date]],"mmmm")</f>
        <v>mai</v>
      </c>
    </row>
    <row r="313" spans="1:20" x14ac:dyDescent="0.35">
      <c r="A313" t="s">
        <v>860</v>
      </c>
      <c r="B313" s="2">
        <v>46368</v>
      </c>
      <c r="C313" t="s">
        <v>148</v>
      </c>
      <c r="D313" t="s">
        <v>259</v>
      </c>
      <c r="E313" t="s">
        <v>18</v>
      </c>
      <c r="F313" t="s">
        <v>18</v>
      </c>
      <c r="G313" t="s">
        <v>28</v>
      </c>
      <c r="H313" t="s">
        <v>65</v>
      </c>
      <c r="I313">
        <v>5</v>
      </c>
      <c r="J313">
        <v>12000</v>
      </c>
      <c r="K313">
        <v>7500</v>
      </c>
      <c r="L313" t="s">
        <v>80</v>
      </c>
      <c r="M313" t="s">
        <v>51</v>
      </c>
      <c r="N313" t="s">
        <v>23</v>
      </c>
      <c r="O313" t="s">
        <v>24</v>
      </c>
      <c r="P313">
        <f>Tableau1_2[[#This Row],[Quantité]]*Tableau1_2[[#This Row],[Prix_Unitaire]]</f>
        <v>60000</v>
      </c>
      <c r="Q313">
        <f>Tableau1_2[[#This Row],[Quantité]]*Tableau1_2[[#This Row],[Coût_Unitaire]]</f>
        <v>37500</v>
      </c>
      <c r="R313">
        <f>Tableau1_2[[#This Row],[CA]]-Tableau1_2[[#This Row],[Cout Total]]</f>
        <v>22500</v>
      </c>
      <c r="S313" s="4">
        <f>Tableau1_2[[#This Row],[Marge]]/Tableau1_2[[#This Row],[CA]]</f>
        <v>0.375</v>
      </c>
      <c r="T313" t="str">
        <f>TEXT(Tableau1_2[[#This Row],[Date]],"mmmm")</f>
        <v>décembre</v>
      </c>
    </row>
    <row r="314" spans="1:20" x14ac:dyDescent="0.35">
      <c r="A314" t="s">
        <v>861</v>
      </c>
      <c r="B314" s="2">
        <v>46083</v>
      </c>
      <c r="C314" t="s">
        <v>850</v>
      </c>
      <c r="D314" t="s">
        <v>465</v>
      </c>
      <c r="E314" t="s">
        <v>41</v>
      </c>
      <c r="F314" t="s">
        <v>42</v>
      </c>
      <c r="G314" t="s">
        <v>34</v>
      </c>
      <c r="H314" t="s">
        <v>95</v>
      </c>
      <c r="I314">
        <v>3</v>
      </c>
      <c r="J314">
        <v>472500</v>
      </c>
      <c r="K314">
        <v>370000</v>
      </c>
      <c r="L314" t="s">
        <v>73</v>
      </c>
      <c r="M314" t="s">
        <v>51</v>
      </c>
      <c r="N314" t="s">
        <v>23</v>
      </c>
      <c r="O314" t="s">
        <v>24</v>
      </c>
      <c r="P314">
        <f>Tableau1_2[[#This Row],[Quantité]]*Tableau1_2[[#This Row],[Prix_Unitaire]]</f>
        <v>1417500</v>
      </c>
      <c r="Q314">
        <f>Tableau1_2[[#This Row],[Quantité]]*Tableau1_2[[#This Row],[Coût_Unitaire]]</f>
        <v>1110000</v>
      </c>
      <c r="R314">
        <f>Tableau1_2[[#This Row],[CA]]-Tableau1_2[[#This Row],[Cout Total]]</f>
        <v>307500</v>
      </c>
      <c r="S314" s="4">
        <f>Tableau1_2[[#This Row],[Marge]]/Tableau1_2[[#This Row],[CA]]</f>
        <v>0.21693121693121692</v>
      </c>
      <c r="T314" t="str">
        <f>TEXT(Tableau1_2[[#This Row],[Date]],"mmmm")</f>
        <v>mars</v>
      </c>
    </row>
    <row r="315" spans="1:20" x14ac:dyDescent="0.35">
      <c r="A315" t="s">
        <v>862</v>
      </c>
      <c r="B315" s="2">
        <v>46163</v>
      </c>
      <c r="C315" t="s">
        <v>863</v>
      </c>
      <c r="D315" t="s">
        <v>516</v>
      </c>
      <c r="E315" t="s">
        <v>70</v>
      </c>
      <c r="F315" t="s">
        <v>71</v>
      </c>
      <c r="G315" t="s">
        <v>28</v>
      </c>
      <c r="H315" t="s">
        <v>131</v>
      </c>
      <c r="I315">
        <v>2</v>
      </c>
      <c r="J315">
        <v>30000</v>
      </c>
      <c r="K315">
        <v>18400</v>
      </c>
      <c r="L315" t="s">
        <v>36</v>
      </c>
      <c r="M315" t="s">
        <v>37</v>
      </c>
      <c r="N315" t="s">
        <v>23</v>
      </c>
      <c r="O315" t="s">
        <v>24</v>
      </c>
      <c r="P315">
        <f>Tableau1_2[[#This Row],[Quantité]]*Tableau1_2[[#This Row],[Prix_Unitaire]]</f>
        <v>60000</v>
      </c>
      <c r="Q315">
        <f>Tableau1_2[[#This Row],[Quantité]]*Tableau1_2[[#This Row],[Coût_Unitaire]]</f>
        <v>36800</v>
      </c>
      <c r="R315">
        <f>Tableau1_2[[#This Row],[CA]]-Tableau1_2[[#This Row],[Cout Total]]</f>
        <v>23200</v>
      </c>
      <c r="S315" s="4">
        <f>Tableau1_2[[#This Row],[Marge]]/Tableau1_2[[#This Row],[CA]]</f>
        <v>0.38666666666666666</v>
      </c>
      <c r="T315" t="str">
        <f>TEXT(Tableau1_2[[#This Row],[Date]],"mmmm")</f>
        <v>mai</v>
      </c>
    </row>
    <row r="316" spans="1:20" x14ac:dyDescent="0.35">
      <c r="A316" t="s">
        <v>864</v>
      </c>
      <c r="B316" s="2">
        <v>46285</v>
      </c>
      <c r="C316" t="s">
        <v>452</v>
      </c>
      <c r="D316" t="s">
        <v>821</v>
      </c>
      <c r="E316" t="s">
        <v>156</v>
      </c>
      <c r="F316" t="s">
        <v>157</v>
      </c>
      <c r="G316" t="s">
        <v>34</v>
      </c>
      <c r="H316" t="s">
        <v>158</v>
      </c>
      <c r="I316">
        <v>4</v>
      </c>
      <c r="J316">
        <v>90200</v>
      </c>
      <c r="K316">
        <v>67900</v>
      </c>
      <c r="L316" t="s">
        <v>21</v>
      </c>
      <c r="M316" t="s">
        <v>51</v>
      </c>
      <c r="N316" t="s">
        <v>23</v>
      </c>
      <c r="O316" t="s">
        <v>24</v>
      </c>
      <c r="P316">
        <f>Tableau1_2[[#This Row],[Quantité]]*Tableau1_2[[#This Row],[Prix_Unitaire]]</f>
        <v>360800</v>
      </c>
      <c r="Q316">
        <f>Tableau1_2[[#This Row],[Quantité]]*Tableau1_2[[#This Row],[Coût_Unitaire]]</f>
        <v>271600</v>
      </c>
      <c r="R316">
        <f>Tableau1_2[[#This Row],[CA]]-Tableau1_2[[#This Row],[Cout Total]]</f>
        <v>89200</v>
      </c>
      <c r="S316" s="4">
        <f>Tableau1_2[[#This Row],[Marge]]/Tableau1_2[[#This Row],[CA]]</f>
        <v>0.24722838137472283</v>
      </c>
      <c r="T316" t="str">
        <f>TEXT(Tableau1_2[[#This Row],[Date]],"mmmm")</f>
        <v>septembre</v>
      </c>
    </row>
    <row r="317" spans="1:20" x14ac:dyDescent="0.35">
      <c r="A317" t="s">
        <v>865</v>
      </c>
      <c r="B317" s="2">
        <v>46195</v>
      </c>
      <c r="C317" t="s">
        <v>104</v>
      </c>
      <c r="D317" t="s">
        <v>866</v>
      </c>
      <c r="E317" t="s">
        <v>18</v>
      </c>
      <c r="F317" t="s">
        <v>18</v>
      </c>
      <c r="G317" t="s">
        <v>43</v>
      </c>
      <c r="H317" t="s">
        <v>79</v>
      </c>
      <c r="I317">
        <v>7</v>
      </c>
      <c r="J317">
        <v>5700</v>
      </c>
      <c r="K317">
        <v>4100</v>
      </c>
      <c r="L317" t="s">
        <v>96</v>
      </c>
      <c r="M317" t="s">
        <v>51</v>
      </c>
      <c r="N317" t="s">
        <v>23</v>
      </c>
      <c r="O317" t="s">
        <v>24</v>
      </c>
      <c r="P317">
        <f>Tableau1_2[[#This Row],[Quantité]]*Tableau1_2[[#This Row],[Prix_Unitaire]]</f>
        <v>39900</v>
      </c>
      <c r="Q317">
        <f>Tableau1_2[[#This Row],[Quantité]]*Tableau1_2[[#This Row],[Coût_Unitaire]]</f>
        <v>28700</v>
      </c>
      <c r="R317">
        <f>Tableau1_2[[#This Row],[CA]]-Tableau1_2[[#This Row],[Cout Total]]</f>
        <v>11200</v>
      </c>
      <c r="S317" s="4">
        <f>Tableau1_2[[#This Row],[Marge]]/Tableau1_2[[#This Row],[CA]]</f>
        <v>0.2807017543859649</v>
      </c>
      <c r="T317" t="str">
        <f>TEXT(Tableau1_2[[#This Row],[Date]],"mmmm")</f>
        <v>juin</v>
      </c>
    </row>
    <row r="318" spans="1:20" x14ac:dyDescent="0.35">
      <c r="A318" t="s">
        <v>867</v>
      </c>
      <c r="B318" s="2">
        <v>46026</v>
      </c>
      <c r="C318" t="s">
        <v>868</v>
      </c>
      <c r="D318" t="s">
        <v>869</v>
      </c>
      <c r="E318" t="s">
        <v>18</v>
      </c>
      <c r="F318" t="s">
        <v>18</v>
      </c>
      <c r="G318" t="s">
        <v>28</v>
      </c>
      <c r="H318" t="s">
        <v>72</v>
      </c>
      <c r="I318">
        <v>10</v>
      </c>
      <c r="J318">
        <v>10500</v>
      </c>
      <c r="K318">
        <v>6200</v>
      </c>
      <c r="L318" t="s">
        <v>80</v>
      </c>
      <c r="M318" t="s">
        <v>37</v>
      </c>
      <c r="N318" t="s">
        <v>23</v>
      </c>
      <c r="O318" t="s">
        <v>24</v>
      </c>
      <c r="P318">
        <f>Tableau1_2[[#This Row],[Quantité]]*Tableau1_2[[#This Row],[Prix_Unitaire]]</f>
        <v>105000</v>
      </c>
      <c r="Q318">
        <f>Tableau1_2[[#This Row],[Quantité]]*Tableau1_2[[#This Row],[Coût_Unitaire]]</f>
        <v>62000</v>
      </c>
      <c r="R318">
        <f>Tableau1_2[[#This Row],[CA]]-Tableau1_2[[#This Row],[Cout Total]]</f>
        <v>43000</v>
      </c>
      <c r="S318" s="4">
        <f>Tableau1_2[[#This Row],[Marge]]/Tableau1_2[[#This Row],[CA]]</f>
        <v>0.40952380952380951</v>
      </c>
      <c r="T318" t="str">
        <f>TEXT(Tableau1_2[[#This Row],[Date]],"mmmm")</f>
        <v>janvier</v>
      </c>
    </row>
    <row r="319" spans="1:20" x14ac:dyDescent="0.35">
      <c r="A319" t="s">
        <v>870</v>
      </c>
      <c r="B319" s="2">
        <v>46087</v>
      </c>
      <c r="C319" t="s">
        <v>871</v>
      </c>
      <c r="D319" t="s">
        <v>872</v>
      </c>
      <c r="E319" t="s">
        <v>84</v>
      </c>
      <c r="F319" t="s">
        <v>85</v>
      </c>
      <c r="G319" t="s">
        <v>34</v>
      </c>
      <c r="H319" t="s">
        <v>95</v>
      </c>
      <c r="I319">
        <v>9</v>
      </c>
      <c r="J319">
        <v>450000</v>
      </c>
      <c r="K319">
        <v>358900</v>
      </c>
      <c r="L319" t="s">
        <v>80</v>
      </c>
      <c r="M319" t="s">
        <v>51</v>
      </c>
      <c r="N319" t="s">
        <v>23</v>
      </c>
      <c r="O319" t="s">
        <v>24</v>
      </c>
      <c r="P319">
        <f>Tableau1_2[[#This Row],[Quantité]]*Tableau1_2[[#This Row],[Prix_Unitaire]]</f>
        <v>4050000</v>
      </c>
      <c r="Q319">
        <f>Tableau1_2[[#This Row],[Quantité]]*Tableau1_2[[#This Row],[Coût_Unitaire]]</f>
        <v>3230100</v>
      </c>
      <c r="R319">
        <f>Tableau1_2[[#This Row],[CA]]-Tableau1_2[[#This Row],[Cout Total]]</f>
        <v>819900</v>
      </c>
      <c r="S319" s="4">
        <f>Tableau1_2[[#This Row],[Marge]]/Tableau1_2[[#This Row],[CA]]</f>
        <v>0.20244444444444445</v>
      </c>
      <c r="T319" t="str">
        <f>TEXT(Tableau1_2[[#This Row],[Date]],"mmmm")</f>
        <v>mars</v>
      </c>
    </row>
    <row r="320" spans="1:20" x14ac:dyDescent="0.35">
      <c r="A320" t="s">
        <v>873</v>
      </c>
      <c r="B320" s="2">
        <v>46296</v>
      </c>
      <c r="C320" t="s">
        <v>874</v>
      </c>
      <c r="D320" t="s">
        <v>875</v>
      </c>
      <c r="E320" t="s">
        <v>156</v>
      </c>
      <c r="F320" t="s">
        <v>157</v>
      </c>
      <c r="G320" t="s">
        <v>34</v>
      </c>
      <c r="H320" t="s">
        <v>35</v>
      </c>
      <c r="I320">
        <v>7</v>
      </c>
      <c r="J320">
        <v>55000</v>
      </c>
      <c r="K320">
        <v>40200</v>
      </c>
      <c r="L320" t="s">
        <v>30</v>
      </c>
      <c r="M320" t="s">
        <v>37</v>
      </c>
      <c r="N320" t="s">
        <v>87</v>
      </c>
      <c r="O320" t="s">
        <v>45</v>
      </c>
      <c r="P320">
        <f>Tableau1_2[[#This Row],[Quantité]]*Tableau1_2[[#This Row],[Prix_Unitaire]]</f>
        <v>385000</v>
      </c>
      <c r="Q320">
        <f>Tableau1_2[[#This Row],[Quantité]]*Tableau1_2[[#This Row],[Coût_Unitaire]]</f>
        <v>281400</v>
      </c>
      <c r="R320">
        <f>Tableau1_2[[#This Row],[CA]]-Tableau1_2[[#This Row],[Cout Total]]</f>
        <v>103600</v>
      </c>
      <c r="S320" s="4">
        <f>Tableau1_2[[#This Row],[Marge]]/Tableau1_2[[#This Row],[CA]]</f>
        <v>0.2690909090909091</v>
      </c>
      <c r="T320" t="str">
        <f>TEXT(Tableau1_2[[#This Row],[Date]],"mmmm")</f>
        <v>octobre</v>
      </c>
    </row>
    <row r="321" spans="1:20" x14ac:dyDescent="0.35">
      <c r="A321" t="s">
        <v>876</v>
      </c>
      <c r="B321" s="2">
        <v>46304</v>
      </c>
      <c r="C321" t="s">
        <v>877</v>
      </c>
      <c r="D321" t="s">
        <v>878</v>
      </c>
      <c r="E321" t="s">
        <v>156</v>
      </c>
      <c r="F321" t="s">
        <v>157</v>
      </c>
      <c r="G321" t="s">
        <v>43</v>
      </c>
      <c r="H321" t="s">
        <v>49</v>
      </c>
      <c r="I321">
        <v>3</v>
      </c>
      <c r="J321">
        <v>9400</v>
      </c>
      <c r="K321">
        <v>6000</v>
      </c>
      <c r="L321" t="s">
        <v>96</v>
      </c>
      <c r="M321" t="s">
        <v>31</v>
      </c>
      <c r="N321" t="s">
        <v>87</v>
      </c>
      <c r="O321" t="s">
        <v>24</v>
      </c>
      <c r="P321">
        <f>Tableau1_2[[#This Row],[Quantité]]*Tableau1_2[[#This Row],[Prix_Unitaire]]</f>
        <v>28200</v>
      </c>
      <c r="Q321">
        <f>Tableau1_2[[#This Row],[Quantité]]*Tableau1_2[[#This Row],[Coût_Unitaire]]</f>
        <v>18000</v>
      </c>
      <c r="R321">
        <f>Tableau1_2[[#This Row],[CA]]-Tableau1_2[[#This Row],[Cout Total]]</f>
        <v>10200</v>
      </c>
      <c r="S321" s="4">
        <f>Tableau1_2[[#This Row],[Marge]]/Tableau1_2[[#This Row],[CA]]</f>
        <v>0.36170212765957449</v>
      </c>
      <c r="T321" t="str">
        <f>TEXT(Tableau1_2[[#This Row],[Date]],"mmmm")</f>
        <v>octobre</v>
      </c>
    </row>
    <row r="322" spans="1:20" x14ac:dyDescent="0.35">
      <c r="A322" t="s">
        <v>879</v>
      </c>
      <c r="B322" s="2">
        <v>46382</v>
      </c>
      <c r="C322" t="s">
        <v>393</v>
      </c>
      <c r="D322" t="s">
        <v>880</v>
      </c>
      <c r="E322" t="s">
        <v>18</v>
      </c>
      <c r="F322" t="s">
        <v>18</v>
      </c>
      <c r="G322" t="s">
        <v>34</v>
      </c>
      <c r="H322" t="s">
        <v>95</v>
      </c>
      <c r="I322">
        <v>8</v>
      </c>
      <c r="J322">
        <v>450000</v>
      </c>
      <c r="K322">
        <v>358900</v>
      </c>
      <c r="L322" t="s">
        <v>21</v>
      </c>
      <c r="M322" t="s">
        <v>51</v>
      </c>
      <c r="N322" t="s">
        <v>87</v>
      </c>
      <c r="O322" t="s">
        <v>91</v>
      </c>
      <c r="P322">
        <f>Tableau1_2[[#This Row],[Quantité]]*Tableau1_2[[#This Row],[Prix_Unitaire]]</f>
        <v>3600000</v>
      </c>
      <c r="Q322">
        <f>Tableau1_2[[#This Row],[Quantité]]*Tableau1_2[[#This Row],[Coût_Unitaire]]</f>
        <v>2871200</v>
      </c>
      <c r="R322">
        <f>Tableau1_2[[#This Row],[CA]]-Tableau1_2[[#This Row],[Cout Total]]</f>
        <v>728800</v>
      </c>
      <c r="S322" s="4">
        <f>Tableau1_2[[#This Row],[Marge]]/Tableau1_2[[#This Row],[CA]]</f>
        <v>0.20244444444444445</v>
      </c>
      <c r="T322" t="str">
        <f>TEXT(Tableau1_2[[#This Row],[Date]],"mmmm")</f>
        <v>décembre</v>
      </c>
    </row>
    <row r="323" spans="1:20" x14ac:dyDescent="0.35">
      <c r="A323" t="s">
        <v>881</v>
      </c>
      <c r="B323" s="2">
        <v>46271</v>
      </c>
      <c r="C323" t="s">
        <v>882</v>
      </c>
      <c r="D323" t="s">
        <v>169</v>
      </c>
      <c r="E323" t="s">
        <v>156</v>
      </c>
      <c r="F323" t="s">
        <v>157</v>
      </c>
      <c r="G323" t="s">
        <v>34</v>
      </c>
      <c r="H323" t="s">
        <v>141</v>
      </c>
      <c r="I323">
        <v>6</v>
      </c>
      <c r="J323">
        <v>160000</v>
      </c>
      <c r="K323">
        <v>123600</v>
      </c>
      <c r="L323" t="s">
        <v>30</v>
      </c>
      <c r="M323" t="s">
        <v>37</v>
      </c>
      <c r="N323" t="s">
        <v>23</v>
      </c>
      <c r="O323" t="s">
        <v>24</v>
      </c>
      <c r="P323">
        <f>Tableau1_2[[#This Row],[Quantité]]*Tableau1_2[[#This Row],[Prix_Unitaire]]</f>
        <v>960000</v>
      </c>
      <c r="Q323">
        <f>Tableau1_2[[#This Row],[Quantité]]*Tableau1_2[[#This Row],[Coût_Unitaire]]</f>
        <v>741600</v>
      </c>
      <c r="R323">
        <f>Tableau1_2[[#This Row],[CA]]-Tableau1_2[[#This Row],[Cout Total]]</f>
        <v>218400</v>
      </c>
      <c r="S323" s="4">
        <f>Tableau1_2[[#This Row],[Marge]]/Tableau1_2[[#This Row],[CA]]</f>
        <v>0.22750000000000001</v>
      </c>
      <c r="T323" t="str">
        <f>TEXT(Tableau1_2[[#This Row],[Date]],"mmmm")</f>
        <v>septembre</v>
      </c>
    </row>
    <row r="324" spans="1:20" x14ac:dyDescent="0.35">
      <c r="A324" t="s">
        <v>883</v>
      </c>
      <c r="B324" s="2">
        <v>46274</v>
      </c>
      <c r="C324" t="s">
        <v>39</v>
      </c>
      <c r="D324" t="s">
        <v>507</v>
      </c>
      <c r="E324" t="s">
        <v>18</v>
      </c>
      <c r="F324" t="s">
        <v>18</v>
      </c>
      <c r="G324" t="s">
        <v>34</v>
      </c>
      <c r="H324" t="s">
        <v>158</v>
      </c>
      <c r="I324">
        <v>10</v>
      </c>
      <c r="J324">
        <v>99800</v>
      </c>
      <c r="K324">
        <v>72100</v>
      </c>
      <c r="L324" t="s">
        <v>96</v>
      </c>
      <c r="M324" t="s">
        <v>31</v>
      </c>
      <c r="N324" t="s">
        <v>23</v>
      </c>
      <c r="O324" t="s">
        <v>45</v>
      </c>
      <c r="P324">
        <f>Tableau1_2[[#This Row],[Quantité]]*Tableau1_2[[#This Row],[Prix_Unitaire]]</f>
        <v>998000</v>
      </c>
      <c r="Q324">
        <f>Tableau1_2[[#This Row],[Quantité]]*Tableau1_2[[#This Row],[Coût_Unitaire]]</f>
        <v>721000</v>
      </c>
      <c r="R324">
        <f>Tableau1_2[[#This Row],[CA]]-Tableau1_2[[#This Row],[Cout Total]]</f>
        <v>277000</v>
      </c>
      <c r="S324" s="4">
        <f>Tableau1_2[[#This Row],[Marge]]/Tableau1_2[[#This Row],[CA]]</f>
        <v>0.27755511022044088</v>
      </c>
      <c r="T324" t="str">
        <f>TEXT(Tableau1_2[[#This Row],[Date]],"mmmm")</f>
        <v>septembre</v>
      </c>
    </row>
    <row r="325" spans="1:20" x14ac:dyDescent="0.35">
      <c r="A325" t="s">
        <v>884</v>
      </c>
      <c r="B325" s="2">
        <v>46077</v>
      </c>
      <c r="C325" t="s">
        <v>101</v>
      </c>
      <c r="D325" t="s">
        <v>276</v>
      </c>
      <c r="E325" t="s">
        <v>18</v>
      </c>
      <c r="F325" t="s">
        <v>18</v>
      </c>
      <c r="G325" t="s">
        <v>43</v>
      </c>
      <c r="H325" t="s">
        <v>49</v>
      </c>
      <c r="I325">
        <v>7</v>
      </c>
      <c r="J325">
        <v>9000</v>
      </c>
      <c r="K325">
        <v>5600</v>
      </c>
      <c r="L325" t="s">
        <v>21</v>
      </c>
      <c r="M325" t="s">
        <v>37</v>
      </c>
      <c r="N325" t="s">
        <v>23</v>
      </c>
      <c r="O325" t="s">
        <v>24</v>
      </c>
      <c r="P325">
        <f>Tableau1_2[[#This Row],[Quantité]]*Tableau1_2[[#This Row],[Prix_Unitaire]]</f>
        <v>63000</v>
      </c>
      <c r="Q325">
        <f>Tableau1_2[[#This Row],[Quantité]]*Tableau1_2[[#This Row],[Coût_Unitaire]]</f>
        <v>39200</v>
      </c>
      <c r="R325">
        <f>Tableau1_2[[#This Row],[CA]]-Tableau1_2[[#This Row],[Cout Total]]</f>
        <v>23800</v>
      </c>
      <c r="S325" s="4">
        <f>Tableau1_2[[#This Row],[Marge]]/Tableau1_2[[#This Row],[CA]]</f>
        <v>0.37777777777777777</v>
      </c>
      <c r="T325" t="str">
        <f>TEXT(Tableau1_2[[#This Row],[Date]],"mmmm")</f>
        <v>février</v>
      </c>
    </row>
    <row r="326" spans="1:20" x14ac:dyDescent="0.35">
      <c r="A326" t="s">
        <v>885</v>
      </c>
      <c r="B326" s="2">
        <v>46299</v>
      </c>
      <c r="C326" t="s">
        <v>886</v>
      </c>
      <c r="D326" t="s">
        <v>833</v>
      </c>
      <c r="E326" t="s">
        <v>77</v>
      </c>
      <c r="F326" t="s">
        <v>78</v>
      </c>
      <c r="G326" t="s">
        <v>28</v>
      </c>
      <c r="H326" t="s">
        <v>72</v>
      </c>
      <c r="I326">
        <v>2</v>
      </c>
      <c r="J326">
        <v>10500</v>
      </c>
      <c r="K326">
        <v>6000</v>
      </c>
      <c r="L326" t="s">
        <v>50</v>
      </c>
      <c r="M326" t="s">
        <v>22</v>
      </c>
      <c r="N326" t="s">
        <v>23</v>
      </c>
      <c r="O326" t="s">
        <v>24</v>
      </c>
      <c r="P326">
        <f>Tableau1_2[[#This Row],[Quantité]]*Tableau1_2[[#This Row],[Prix_Unitaire]]</f>
        <v>21000</v>
      </c>
      <c r="Q326">
        <f>Tableau1_2[[#This Row],[Quantité]]*Tableau1_2[[#This Row],[Coût_Unitaire]]</f>
        <v>12000</v>
      </c>
      <c r="R326">
        <f>Tableau1_2[[#This Row],[CA]]-Tableau1_2[[#This Row],[Cout Total]]</f>
        <v>9000</v>
      </c>
      <c r="S326" s="4">
        <f>Tableau1_2[[#This Row],[Marge]]/Tableau1_2[[#This Row],[CA]]</f>
        <v>0.42857142857142855</v>
      </c>
      <c r="T326" t="str">
        <f>TEXT(Tableau1_2[[#This Row],[Date]],"mmmm")</f>
        <v>octobre</v>
      </c>
    </row>
    <row r="327" spans="1:20" x14ac:dyDescent="0.35">
      <c r="A327" t="s">
        <v>887</v>
      </c>
      <c r="B327" s="2">
        <v>46272</v>
      </c>
      <c r="C327" t="s">
        <v>888</v>
      </c>
      <c r="D327" t="s">
        <v>889</v>
      </c>
      <c r="E327" t="s">
        <v>41</v>
      </c>
      <c r="F327" t="s">
        <v>42</v>
      </c>
      <c r="G327" t="s">
        <v>43</v>
      </c>
      <c r="H327" t="s">
        <v>79</v>
      </c>
      <c r="I327">
        <v>4</v>
      </c>
      <c r="J327">
        <v>6000</v>
      </c>
      <c r="K327">
        <v>4100</v>
      </c>
      <c r="L327" t="s">
        <v>21</v>
      </c>
      <c r="M327" t="s">
        <v>31</v>
      </c>
      <c r="N327" t="s">
        <v>23</v>
      </c>
      <c r="O327" t="s">
        <v>24</v>
      </c>
      <c r="P327">
        <f>Tableau1_2[[#This Row],[Quantité]]*Tableau1_2[[#This Row],[Prix_Unitaire]]</f>
        <v>24000</v>
      </c>
      <c r="Q327">
        <f>Tableau1_2[[#This Row],[Quantité]]*Tableau1_2[[#This Row],[Coût_Unitaire]]</f>
        <v>16400</v>
      </c>
      <c r="R327">
        <f>Tableau1_2[[#This Row],[CA]]-Tableau1_2[[#This Row],[Cout Total]]</f>
        <v>7600</v>
      </c>
      <c r="S327" s="4">
        <f>Tableau1_2[[#This Row],[Marge]]/Tableau1_2[[#This Row],[CA]]</f>
        <v>0.31666666666666665</v>
      </c>
      <c r="T327" t="str">
        <f>TEXT(Tableau1_2[[#This Row],[Date]],"mmmm")</f>
        <v>septembre</v>
      </c>
    </row>
    <row r="328" spans="1:20" x14ac:dyDescent="0.35">
      <c r="A328" t="s">
        <v>890</v>
      </c>
      <c r="B328" s="2">
        <v>46190</v>
      </c>
      <c r="C328" t="s">
        <v>175</v>
      </c>
      <c r="D328" t="s">
        <v>755</v>
      </c>
      <c r="E328" t="s">
        <v>18</v>
      </c>
      <c r="F328" t="s">
        <v>18</v>
      </c>
      <c r="G328" t="s">
        <v>43</v>
      </c>
      <c r="H328" t="s">
        <v>44</v>
      </c>
      <c r="I328">
        <v>9</v>
      </c>
      <c r="J328">
        <v>14200</v>
      </c>
      <c r="K328">
        <v>9800</v>
      </c>
      <c r="L328" t="s">
        <v>50</v>
      </c>
      <c r="M328" t="s">
        <v>31</v>
      </c>
      <c r="N328" t="s">
        <v>23</v>
      </c>
      <c r="O328" t="s">
        <v>24</v>
      </c>
      <c r="P328">
        <f>Tableau1_2[[#This Row],[Quantité]]*Tableau1_2[[#This Row],[Prix_Unitaire]]</f>
        <v>127800</v>
      </c>
      <c r="Q328">
        <f>Tableau1_2[[#This Row],[Quantité]]*Tableau1_2[[#This Row],[Coût_Unitaire]]</f>
        <v>88200</v>
      </c>
      <c r="R328">
        <f>Tableau1_2[[#This Row],[CA]]-Tableau1_2[[#This Row],[Cout Total]]</f>
        <v>39600</v>
      </c>
      <c r="S328" s="4">
        <f>Tableau1_2[[#This Row],[Marge]]/Tableau1_2[[#This Row],[CA]]</f>
        <v>0.30985915492957744</v>
      </c>
      <c r="T328" t="str">
        <f>TEXT(Tableau1_2[[#This Row],[Date]],"mmmm")</f>
        <v>juin</v>
      </c>
    </row>
    <row r="329" spans="1:20" x14ac:dyDescent="0.35">
      <c r="A329" t="s">
        <v>891</v>
      </c>
      <c r="B329" s="2">
        <v>46358</v>
      </c>
      <c r="C329" t="s">
        <v>892</v>
      </c>
      <c r="D329" t="s">
        <v>893</v>
      </c>
      <c r="E329" t="s">
        <v>18</v>
      </c>
      <c r="F329" t="s">
        <v>18</v>
      </c>
      <c r="G329" t="s">
        <v>19</v>
      </c>
      <c r="H329" t="s">
        <v>112</v>
      </c>
      <c r="I329">
        <v>7</v>
      </c>
      <c r="J329">
        <v>85000</v>
      </c>
      <c r="K329">
        <v>63900</v>
      </c>
      <c r="L329" t="s">
        <v>30</v>
      </c>
      <c r="M329" t="s">
        <v>31</v>
      </c>
      <c r="N329" t="s">
        <v>52</v>
      </c>
      <c r="O329" t="s">
        <v>91</v>
      </c>
      <c r="P329">
        <f>Tableau1_2[[#This Row],[Quantité]]*Tableau1_2[[#This Row],[Prix_Unitaire]]</f>
        <v>595000</v>
      </c>
      <c r="Q329">
        <f>Tableau1_2[[#This Row],[Quantité]]*Tableau1_2[[#This Row],[Coût_Unitaire]]</f>
        <v>447300</v>
      </c>
      <c r="R329">
        <f>Tableau1_2[[#This Row],[CA]]-Tableau1_2[[#This Row],[Cout Total]]</f>
        <v>147700</v>
      </c>
      <c r="S329" s="4">
        <f>Tableau1_2[[#This Row],[Marge]]/Tableau1_2[[#This Row],[CA]]</f>
        <v>0.24823529411764705</v>
      </c>
      <c r="T329" t="str">
        <f>TEXT(Tableau1_2[[#This Row],[Date]],"mmmm")</f>
        <v>décembre</v>
      </c>
    </row>
    <row r="330" spans="1:20" x14ac:dyDescent="0.35">
      <c r="A330" t="s">
        <v>894</v>
      </c>
      <c r="B330" s="2">
        <v>46128</v>
      </c>
      <c r="C330" t="s">
        <v>642</v>
      </c>
      <c r="D330" t="s">
        <v>374</v>
      </c>
      <c r="E330" t="s">
        <v>18</v>
      </c>
      <c r="F330" t="s">
        <v>18</v>
      </c>
      <c r="G330" t="s">
        <v>43</v>
      </c>
      <c r="H330" t="s">
        <v>49</v>
      </c>
      <c r="I330">
        <v>1</v>
      </c>
      <c r="J330">
        <v>9000</v>
      </c>
      <c r="K330">
        <v>6000</v>
      </c>
      <c r="L330" t="s">
        <v>36</v>
      </c>
      <c r="M330" t="s">
        <v>22</v>
      </c>
      <c r="N330" t="s">
        <v>23</v>
      </c>
      <c r="O330" t="s">
        <v>24</v>
      </c>
      <c r="P330">
        <f>Tableau1_2[[#This Row],[Quantité]]*Tableau1_2[[#This Row],[Prix_Unitaire]]</f>
        <v>9000</v>
      </c>
      <c r="Q330">
        <f>Tableau1_2[[#This Row],[Quantité]]*Tableau1_2[[#This Row],[Coût_Unitaire]]</f>
        <v>6000</v>
      </c>
      <c r="R330">
        <f>Tableau1_2[[#This Row],[CA]]-Tableau1_2[[#This Row],[Cout Total]]</f>
        <v>3000</v>
      </c>
      <c r="S330" s="4">
        <f>Tableau1_2[[#This Row],[Marge]]/Tableau1_2[[#This Row],[CA]]</f>
        <v>0.33333333333333331</v>
      </c>
      <c r="T330" t="str">
        <f>TEXT(Tableau1_2[[#This Row],[Date]],"mmmm")</f>
        <v>avril</v>
      </c>
    </row>
    <row r="331" spans="1:20" x14ac:dyDescent="0.35">
      <c r="A331" t="s">
        <v>895</v>
      </c>
      <c r="B331" s="2">
        <v>46170</v>
      </c>
      <c r="C331" t="s">
        <v>896</v>
      </c>
      <c r="D331" t="s">
        <v>256</v>
      </c>
      <c r="E331" t="s">
        <v>18</v>
      </c>
      <c r="F331" t="s">
        <v>18</v>
      </c>
      <c r="G331" t="s">
        <v>34</v>
      </c>
      <c r="H331" t="s">
        <v>35</v>
      </c>
      <c r="I331">
        <v>6</v>
      </c>
      <c r="J331">
        <v>52200</v>
      </c>
      <c r="K331">
        <v>37800</v>
      </c>
      <c r="L331" t="s">
        <v>30</v>
      </c>
      <c r="M331" t="s">
        <v>51</v>
      </c>
      <c r="N331" t="s">
        <v>23</v>
      </c>
      <c r="O331" t="s">
        <v>24</v>
      </c>
      <c r="P331">
        <f>Tableau1_2[[#This Row],[Quantité]]*Tableau1_2[[#This Row],[Prix_Unitaire]]</f>
        <v>313200</v>
      </c>
      <c r="Q331">
        <f>Tableau1_2[[#This Row],[Quantité]]*Tableau1_2[[#This Row],[Coût_Unitaire]]</f>
        <v>226800</v>
      </c>
      <c r="R331">
        <f>Tableau1_2[[#This Row],[CA]]-Tableau1_2[[#This Row],[Cout Total]]</f>
        <v>86400</v>
      </c>
      <c r="S331" s="4">
        <f>Tableau1_2[[#This Row],[Marge]]/Tableau1_2[[#This Row],[CA]]</f>
        <v>0.27586206896551724</v>
      </c>
      <c r="T331" t="str">
        <f>TEXT(Tableau1_2[[#This Row],[Date]],"mmmm")</f>
        <v>mai</v>
      </c>
    </row>
    <row r="332" spans="1:20" x14ac:dyDescent="0.35">
      <c r="A332" t="s">
        <v>897</v>
      </c>
      <c r="B332" s="2">
        <v>46176</v>
      </c>
      <c r="C332" t="s">
        <v>243</v>
      </c>
      <c r="D332" t="s">
        <v>898</v>
      </c>
      <c r="E332" t="s">
        <v>70</v>
      </c>
      <c r="F332" t="s">
        <v>71</v>
      </c>
      <c r="G332" t="s">
        <v>43</v>
      </c>
      <c r="H332" t="s">
        <v>177</v>
      </c>
      <c r="I332">
        <v>8</v>
      </c>
      <c r="J332">
        <v>18000</v>
      </c>
      <c r="K332">
        <v>12500</v>
      </c>
      <c r="L332" t="s">
        <v>73</v>
      </c>
      <c r="M332" t="s">
        <v>51</v>
      </c>
      <c r="N332" t="s">
        <v>87</v>
      </c>
      <c r="O332" t="s">
        <v>24</v>
      </c>
      <c r="P332">
        <f>Tableau1_2[[#This Row],[Quantité]]*Tableau1_2[[#This Row],[Prix_Unitaire]]</f>
        <v>144000</v>
      </c>
      <c r="Q332">
        <f>Tableau1_2[[#This Row],[Quantité]]*Tableau1_2[[#This Row],[Coût_Unitaire]]</f>
        <v>100000</v>
      </c>
      <c r="R332">
        <f>Tableau1_2[[#This Row],[CA]]-Tableau1_2[[#This Row],[Cout Total]]</f>
        <v>44000</v>
      </c>
      <c r="S332" s="4">
        <f>Tableau1_2[[#This Row],[Marge]]/Tableau1_2[[#This Row],[CA]]</f>
        <v>0.30555555555555558</v>
      </c>
      <c r="T332" t="str">
        <f>TEXT(Tableau1_2[[#This Row],[Date]],"mmmm")</f>
        <v>juin</v>
      </c>
    </row>
    <row r="333" spans="1:20" x14ac:dyDescent="0.35">
      <c r="A333" t="s">
        <v>899</v>
      </c>
      <c r="B333" s="2">
        <v>46250</v>
      </c>
      <c r="C333" t="s">
        <v>841</v>
      </c>
      <c r="D333" t="s">
        <v>391</v>
      </c>
      <c r="E333" t="s">
        <v>190</v>
      </c>
      <c r="F333" t="s">
        <v>191</v>
      </c>
      <c r="G333" t="s">
        <v>28</v>
      </c>
      <c r="H333" t="s">
        <v>29</v>
      </c>
      <c r="I333">
        <v>5</v>
      </c>
      <c r="J333">
        <v>7400</v>
      </c>
      <c r="K333">
        <v>3900</v>
      </c>
      <c r="L333" t="s">
        <v>50</v>
      </c>
      <c r="M333" t="s">
        <v>51</v>
      </c>
      <c r="N333" t="s">
        <v>87</v>
      </c>
      <c r="O333" t="s">
        <v>24</v>
      </c>
      <c r="P333">
        <f>Tableau1_2[[#This Row],[Quantité]]*Tableau1_2[[#This Row],[Prix_Unitaire]]</f>
        <v>37000</v>
      </c>
      <c r="Q333">
        <f>Tableau1_2[[#This Row],[Quantité]]*Tableau1_2[[#This Row],[Coût_Unitaire]]</f>
        <v>19500</v>
      </c>
      <c r="R333">
        <f>Tableau1_2[[#This Row],[CA]]-Tableau1_2[[#This Row],[Cout Total]]</f>
        <v>17500</v>
      </c>
      <c r="S333" s="4">
        <f>Tableau1_2[[#This Row],[Marge]]/Tableau1_2[[#This Row],[CA]]</f>
        <v>0.47297297297297297</v>
      </c>
      <c r="T333" t="str">
        <f>TEXT(Tableau1_2[[#This Row],[Date]],"mmmm")</f>
        <v>août</v>
      </c>
    </row>
    <row r="334" spans="1:20" x14ac:dyDescent="0.35">
      <c r="A334" t="s">
        <v>900</v>
      </c>
      <c r="B334" s="2">
        <v>46305</v>
      </c>
      <c r="C334" t="s">
        <v>901</v>
      </c>
      <c r="D334" t="s">
        <v>823</v>
      </c>
      <c r="E334" t="s">
        <v>190</v>
      </c>
      <c r="F334" t="s">
        <v>191</v>
      </c>
      <c r="G334" t="s">
        <v>34</v>
      </c>
      <c r="H334" t="s">
        <v>158</v>
      </c>
      <c r="I334">
        <v>9</v>
      </c>
      <c r="J334">
        <v>99800</v>
      </c>
      <c r="K334">
        <v>67900</v>
      </c>
      <c r="L334" t="s">
        <v>73</v>
      </c>
      <c r="M334" t="s">
        <v>22</v>
      </c>
      <c r="N334" t="s">
        <v>87</v>
      </c>
      <c r="O334" t="s">
        <v>24</v>
      </c>
      <c r="P334">
        <f>Tableau1_2[[#This Row],[Quantité]]*Tableau1_2[[#This Row],[Prix_Unitaire]]</f>
        <v>898200</v>
      </c>
      <c r="Q334">
        <f>Tableau1_2[[#This Row],[Quantité]]*Tableau1_2[[#This Row],[Coût_Unitaire]]</f>
        <v>611100</v>
      </c>
      <c r="R334">
        <f>Tableau1_2[[#This Row],[CA]]-Tableau1_2[[#This Row],[Cout Total]]</f>
        <v>287100</v>
      </c>
      <c r="S334" s="4">
        <f>Tableau1_2[[#This Row],[Marge]]/Tableau1_2[[#This Row],[CA]]</f>
        <v>0.31963927855711421</v>
      </c>
      <c r="T334" t="str">
        <f>TEXT(Tableau1_2[[#This Row],[Date]],"mmmm")</f>
        <v>octobre</v>
      </c>
    </row>
    <row r="335" spans="1:20" x14ac:dyDescent="0.35">
      <c r="A335" t="s">
        <v>902</v>
      </c>
      <c r="B335" s="2">
        <v>46028</v>
      </c>
      <c r="C335" t="s">
        <v>903</v>
      </c>
      <c r="D335" t="s">
        <v>904</v>
      </c>
      <c r="E335" t="s">
        <v>18</v>
      </c>
      <c r="F335" t="s">
        <v>18</v>
      </c>
      <c r="G335" t="s">
        <v>43</v>
      </c>
      <c r="H335" t="s">
        <v>44</v>
      </c>
      <c r="I335">
        <v>9</v>
      </c>
      <c r="J335">
        <v>15000</v>
      </c>
      <c r="K335">
        <v>9800</v>
      </c>
      <c r="L335" t="s">
        <v>36</v>
      </c>
      <c r="M335" t="s">
        <v>22</v>
      </c>
      <c r="N335" t="s">
        <v>23</v>
      </c>
      <c r="O335" t="s">
        <v>91</v>
      </c>
      <c r="P335">
        <f>Tableau1_2[[#This Row],[Quantité]]*Tableau1_2[[#This Row],[Prix_Unitaire]]</f>
        <v>135000</v>
      </c>
      <c r="Q335">
        <f>Tableau1_2[[#This Row],[Quantité]]*Tableau1_2[[#This Row],[Coût_Unitaire]]</f>
        <v>88200</v>
      </c>
      <c r="R335">
        <f>Tableau1_2[[#This Row],[CA]]-Tableau1_2[[#This Row],[Cout Total]]</f>
        <v>46800</v>
      </c>
      <c r="S335" s="4">
        <f>Tableau1_2[[#This Row],[Marge]]/Tableau1_2[[#This Row],[CA]]</f>
        <v>0.34666666666666668</v>
      </c>
      <c r="T335" t="str">
        <f>TEXT(Tableau1_2[[#This Row],[Date]],"mmmm")</f>
        <v>janvier</v>
      </c>
    </row>
    <row r="336" spans="1:20" x14ac:dyDescent="0.35">
      <c r="A336" t="s">
        <v>905</v>
      </c>
      <c r="B336" s="2">
        <v>46102</v>
      </c>
      <c r="C336" t="s">
        <v>361</v>
      </c>
      <c r="D336" t="s">
        <v>906</v>
      </c>
      <c r="E336" t="s">
        <v>56</v>
      </c>
      <c r="F336" t="s">
        <v>57</v>
      </c>
      <c r="G336" t="s">
        <v>43</v>
      </c>
      <c r="H336" t="s">
        <v>79</v>
      </c>
      <c r="I336">
        <v>3</v>
      </c>
      <c r="J336">
        <v>6000</v>
      </c>
      <c r="K336">
        <v>4100</v>
      </c>
      <c r="L336" t="s">
        <v>73</v>
      </c>
      <c r="M336" t="s">
        <v>31</v>
      </c>
      <c r="N336" t="s">
        <v>52</v>
      </c>
      <c r="O336" t="s">
        <v>24</v>
      </c>
      <c r="P336">
        <f>Tableau1_2[[#This Row],[Quantité]]*Tableau1_2[[#This Row],[Prix_Unitaire]]</f>
        <v>18000</v>
      </c>
      <c r="Q336">
        <f>Tableau1_2[[#This Row],[Quantité]]*Tableau1_2[[#This Row],[Coût_Unitaire]]</f>
        <v>12300</v>
      </c>
      <c r="R336">
        <f>Tableau1_2[[#This Row],[CA]]-Tableau1_2[[#This Row],[Cout Total]]</f>
        <v>5700</v>
      </c>
      <c r="S336" s="4">
        <f>Tableau1_2[[#This Row],[Marge]]/Tableau1_2[[#This Row],[CA]]</f>
        <v>0.31666666666666665</v>
      </c>
      <c r="T336" t="str">
        <f>TEXT(Tableau1_2[[#This Row],[Date]],"mmmm")</f>
        <v>mars</v>
      </c>
    </row>
    <row r="337" spans="1:20" x14ac:dyDescent="0.35">
      <c r="A337" t="s">
        <v>907</v>
      </c>
      <c r="B337" s="2">
        <v>46294</v>
      </c>
      <c r="C337" t="s">
        <v>908</v>
      </c>
      <c r="D337" t="s">
        <v>909</v>
      </c>
      <c r="E337" t="s">
        <v>18</v>
      </c>
      <c r="F337" t="s">
        <v>18</v>
      </c>
      <c r="G337" t="s">
        <v>43</v>
      </c>
      <c r="H337" t="s">
        <v>162</v>
      </c>
      <c r="I337">
        <v>10</v>
      </c>
      <c r="J337">
        <v>8000</v>
      </c>
      <c r="K337">
        <v>5000</v>
      </c>
      <c r="L337" t="s">
        <v>73</v>
      </c>
      <c r="M337" t="s">
        <v>37</v>
      </c>
      <c r="N337" t="s">
        <v>23</v>
      </c>
      <c r="O337" t="s">
        <v>24</v>
      </c>
      <c r="P337">
        <f>Tableau1_2[[#This Row],[Quantité]]*Tableau1_2[[#This Row],[Prix_Unitaire]]</f>
        <v>80000</v>
      </c>
      <c r="Q337">
        <f>Tableau1_2[[#This Row],[Quantité]]*Tableau1_2[[#This Row],[Coût_Unitaire]]</f>
        <v>50000</v>
      </c>
      <c r="R337">
        <f>Tableau1_2[[#This Row],[CA]]-Tableau1_2[[#This Row],[Cout Total]]</f>
        <v>30000</v>
      </c>
      <c r="S337" s="4">
        <f>Tableau1_2[[#This Row],[Marge]]/Tableau1_2[[#This Row],[CA]]</f>
        <v>0.375</v>
      </c>
      <c r="T337" t="str">
        <f>TEXT(Tableau1_2[[#This Row],[Date]],"mmmm")</f>
        <v>septembre</v>
      </c>
    </row>
    <row r="338" spans="1:20" x14ac:dyDescent="0.35">
      <c r="A338" t="s">
        <v>910</v>
      </c>
      <c r="B338" s="2">
        <v>46373</v>
      </c>
      <c r="C338" t="s">
        <v>877</v>
      </c>
      <c r="D338" t="s">
        <v>911</v>
      </c>
      <c r="E338" t="s">
        <v>18</v>
      </c>
      <c r="F338" t="s">
        <v>18</v>
      </c>
      <c r="G338" t="s">
        <v>34</v>
      </c>
      <c r="H338" t="s">
        <v>35</v>
      </c>
      <c r="I338">
        <v>3</v>
      </c>
      <c r="J338">
        <v>55000</v>
      </c>
      <c r="K338">
        <v>37800</v>
      </c>
      <c r="L338" t="s">
        <v>36</v>
      </c>
      <c r="M338" t="s">
        <v>37</v>
      </c>
      <c r="N338" t="s">
        <v>23</v>
      </c>
      <c r="O338" t="s">
        <v>24</v>
      </c>
      <c r="P338">
        <f>Tableau1_2[[#This Row],[Quantité]]*Tableau1_2[[#This Row],[Prix_Unitaire]]</f>
        <v>165000</v>
      </c>
      <c r="Q338">
        <f>Tableau1_2[[#This Row],[Quantité]]*Tableau1_2[[#This Row],[Coût_Unitaire]]</f>
        <v>113400</v>
      </c>
      <c r="R338">
        <f>Tableau1_2[[#This Row],[CA]]-Tableau1_2[[#This Row],[Cout Total]]</f>
        <v>51600</v>
      </c>
      <c r="S338" s="4">
        <f>Tableau1_2[[#This Row],[Marge]]/Tableau1_2[[#This Row],[CA]]</f>
        <v>0.31272727272727274</v>
      </c>
      <c r="T338" t="str">
        <f>TEXT(Tableau1_2[[#This Row],[Date]],"mmmm")</f>
        <v>décembre</v>
      </c>
    </row>
    <row r="339" spans="1:20" x14ac:dyDescent="0.35">
      <c r="A339" t="s">
        <v>912</v>
      </c>
      <c r="B339" s="2">
        <v>46115</v>
      </c>
      <c r="C339" t="s">
        <v>913</v>
      </c>
      <c r="D339" t="s">
        <v>914</v>
      </c>
      <c r="E339" t="s">
        <v>56</v>
      </c>
      <c r="F339" t="s">
        <v>57</v>
      </c>
      <c r="G339" t="s">
        <v>28</v>
      </c>
      <c r="H339" t="s">
        <v>65</v>
      </c>
      <c r="I339">
        <v>8</v>
      </c>
      <c r="J339">
        <v>12000</v>
      </c>
      <c r="K339">
        <v>7300</v>
      </c>
      <c r="L339" t="s">
        <v>66</v>
      </c>
      <c r="M339" t="s">
        <v>22</v>
      </c>
      <c r="N339" t="s">
        <v>23</v>
      </c>
      <c r="O339" t="s">
        <v>24</v>
      </c>
      <c r="P339">
        <f>Tableau1_2[[#This Row],[Quantité]]*Tableau1_2[[#This Row],[Prix_Unitaire]]</f>
        <v>96000</v>
      </c>
      <c r="Q339">
        <f>Tableau1_2[[#This Row],[Quantité]]*Tableau1_2[[#This Row],[Coût_Unitaire]]</f>
        <v>58400</v>
      </c>
      <c r="R339">
        <f>Tableau1_2[[#This Row],[CA]]-Tableau1_2[[#This Row],[Cout Total]]</f>
        <v>37600</v>
      </c>
      <c r="S339" s="4">
        <f>Tableau1_2[[#This Row],[Marge]]/Tableau1_2[[#This Row],[CA]]</f>
        <v>0.39166666666666666</v>
      </c>
      <c r="T339" t="str">
        <f>TEXT(Tableau1_2[[#This Row],[Date]],"mmmm")</f>
        <v>avril</v>
      </c>
    </row>
    <row r="340" spans="1:20" x14ac:dyDescent="0.35">
      <c r="A340" t="s">
        <v>915</v>
      </c>
      <c r="B340" s="2">
        <v>46142</v>
      </c>
      <c r="C340" t="s">
        <v>916</v>
      </c>
      <c r="D340" t="s">
        <v>140</v>
      </c>
      <c r="E340" t="s">
        <v>190</v>
      </c>
      <c r="F340" t="s">
        <v>191</v>
      </c>
      <c r="G340" t="s">
        <v>43</v>
      </c>
      <c r="H340" t="s">
        <v>177</v>
      </c>
      <c r="I340">
        <v>3</v>
      </c>
      <c r="J340">
        <v>17100</v>
      </c>
      <c r="K340">
        <v>12500</v>
      </c>
      <c r="L340" t="s">
        <v>30</v>
      </c>
      <c r="M340" t="s">
        <v>37</v>
      </c>
      <c r="N340" t="s">
        <v>23</v>
      </c>
      <c r="O340" t="s">
        <v>24</v>
      </c>
      <c r="P340">
        <f>Tableau1_2[[#This Row],[Quantité]]*Tableau1_2[[#This Row],[Prix_Unitaire]]</f>
        <v>51300</v>
      </c>
      <c r="Q340">
        <f>Tableau1_2[[#This Row],[Quantité]]*Tableau1_2[[#This Row],[Coût_Unitaire]]</f>
        <v>37500</v>
      </c>
      <c r="R340">
        <f>Tableau1_2[[#This Row],[CA]]-Tableau1_2[[#This Row],[Cout Total]]</f>
        <v>13800</v>
      </c>
      <c r="S340" s="4">
        <f>Tableau1_2[[#This Row],[Marge]]/Tableau1_2[[#This Row],[CA]]</f>
        <v>0.26900584795321636</v>
      </c>
      <c r="T340" t="str">
        <f>TEXT(Tableau1_2[[#This Row],[Date]],"mmmm")</f>
        <v>avril</v>
      </c>
    </row>
    <row r="341" spans="1:20" x14ac:dyDescent="0.35">
      <c r="A341" t="s">
        <v>917</v>
      </c>
      <c r="B341" s="2">
        <v>46149</v>
      </c>
      <c r="C341" t="s">
        <v>39</v>
      </c>
      <c r="D341" t="s">
        <v>613</v>
      </c>
      <c r="E341" t="s">
        <v>156</v>
      </c>
      <c r="F341" t="s">
        <v>170</v>
      </c>
      <c r="G341" t="s">
        <v>28</v>
      </c>
      <c r="H341" t="s">
        <v>65</v>
      </c>
      <c r="I341">
        <v>9</v>
      </c>
      <c r="J341">
        <v>12000</v>
      </c>
      <c r="K341">
        <v>7500</v>
      </c>
      <c r="L341" t="s">
        <v>36</v>
      </c>
      <c r="M341" t="s">
        <v>37</v>
      </c>
      <c r="N341" t="s">
        <v>52</v>
      </c>
      <c r="O341" t="s">
        <v>24</v>
      </c>
      <c r="P341">
        <f>Tableau1_2[[#This Row],[Quantité]]*Tableau1_2[[#This Row],[Prix_Unitaire]]</f>
        <v>108000</v>
      </c>
      <c r="Q341">
        <f>Tableau1_2[[#This Row],[Quantité]]*Tableau1_2[[#This Row],[Coût_Unitaire]]</f>
        <v>67500</v>
      </c>
      <c r="R341">
        <f>Tableau1_2[[#This Row],[CA]]-Tableau1_2[[#This Row],[Cout Total]]</f>
        <v>40500</v>
      </c>
      <c r="S341" s="4">
        <f>Tableau1_2[[#This Row],[Marge]]/Tableau1_2[[#This Row],[CA]]</f>
        <v>0.375</v>
      </c>
      <c r="T341" t="str">
        <f>TEXT(Tableau1_2[[#This Row],[Date]],"mmmm")</f>
        <v>mai</v>
      </c>
    </row>
    <row r="342" spans="1:20" x14ac:dyDescent="0.35">
      <c r="A342" t="s">
        <v>918</v>
      </c>
      <c r="B342" s="2">
        <v>46169</v>
      </c>
      <c r="C342" t="s">
        <v>919</v>
      </c>
      <c r="D342" t="s">
        <v>473</v>
      </c>
      <c r="E342" t="s">
        <v>18</v>
      </c>
      <c r="F342" t="s">
        <v>18</v>
      </c>
      <c r="G342" t="s">
        <v>19</v>
      </c>
      <c r="H342" t="s">
        <v>20</v>
      </c>
      <c r="I342">
        <v>6</v>
      </c>
      <c r="J342">
        <v>65000</v>
      </c>
      <c r="K342">
        <v>46400</v>
      </c>
      <c r="L342" t="s">
        <v>30</v>
      </c>
      <c r="M342" t="s">
        <v>37</v>
      </c>
      <c r="N342" t="s">
        <v>52</v>
      </c>
      <c r="O342" t="s">
        <v>45</v>
      </c>
      <c r="P342">
        <f>Tableau1_2[[#This Row],[Quantité]]*Tableau1_2[[#This Row],[Prix_Unitaire]]</f>
        <v>390000</v>
      </c>
      <c r="Q342">
        <f>Tableau1_2[[#This Row],[Quantité]]*Tableau1_2[[#This Row],[Coût_Unitaire]]</f>
        <v>278400</v>
      </c>
      <c r="R342">
        <f>Tableau1_2[[#This Row],[CA]]-Tableau1_2[[#This Row],[Cout Total]]</f>
        <v>111600</v>
      </c>
      <c r="S342" s="4">
        <f>Tableau1_2[[#This Row],[Marge]]/Tableau1_2[[#This Row],[CA]]</f>
        <v>0.28615384615384615</v>
      </c>
      <c r="T342" t="str">
        <f>TEXT(Tableau1_2[[#This Row],[Date]],"mmmm")</f>
        <v>mai</v>
      </c>
    </row>
    <row r="343" spans="1:20" x14ac:dyDescent="0.35">
      <c r="A343" t="s">
        <v>920</v>
      </c>
      <c r="B343" s="2">
        <v>46360</v>
      </c>
      <c r="C343" t="s">
        <v>193</v>
      </c>
      <c r="D343" t="s">
        <v>560</v>
      </c>
      <c r="E343" t="s">
        <v>190</v>
      </c>
      <c r="F343" t="s">
        <v>191</v>
      </c>
      <c r="G343" t="s">
        <v>34</v>
      </c>
      <c r="H343" t="s">
        <v>35</v>
      </c>
      <c r="I343">
        <v>4</v>
      </c>
      <c r="J343">
        <v>57800</v>
      </c>
      <c r="K343">
        <v>40200</v>
      </c>
      <c r="L343" t="s">
        <v>66</v>
      </c>
      <c r="M343" t="s">
        <v>22</v>
      </c>
      <c r="N343" t="s">
        <v>52</v>
      </c>
      <c r="O343" t="s">
        <v>24</v>
      </c>
      <c r="P343">
        <f>Tableau1_2[[#This Row],[Quantité]]*Tableau1_2[[#This Row],[Prix_Unitaire]]</f>
        <v>231200</v>
      </c>
      <c r="Q343">
        <f>Tableau1_2[[#This Row],[Quantité]]*Tableau1_2[[#This Row],[Coût_Unitaire]]</f>
        <v>160800</v>
      </c>
      <c r="R343">
        <f>Tableau1_2[[#This Row],[CA]]-Tableau1_2[[#This Row],[Cout Total]]</f>
        <v>70400</v>
      </c>
      <c r="S343" s="4">
        <f>Tableau1_2[[#This Row],[Marge]]/Tableau1_2[[#This Row],[CA]]</f>
        <v>0.30449826989619377</v>
      </c>
      <c r="T343" t="str">
        <f>TEXT(Tableau1_2[[#This Row],[Date]],"mmmm")</f>
        <v>décembre</v>
      </c>
    </row>
    <row r="344" spans="1:20" x14ac:dyDescent="0.35">
      <c r="A344" t="s">
        <v>921</v>
      </c>
      <c r="B344" s="2">
        <v>46276</v>
      </c>
      <c r="C344" t="s">
        <v>591</v>
      </c>
      <c r="D344" t="s">
        <v>922</v>
      </c>
      <c r="E344" t="s">
        <v>77</v>
      </c>
      <c r="F344" t="s">
        <v>78</v>
      </c>
      <c r="G344" t="s">
        <v>19</v>
      </c>
      <c r="H344" t="s">
        <v>112</v>
      </c>
      <c r="I344">
        <v>4</v>
      </c>
      <c r="J344">
        <v>80800</v>
      </c>
      <c r="K344">
        <v>63900</v>
      </c>
      <c r="L344" t="s">
        <v>66</v>
      </c>
      <c r="M344" t="s">
        <v>37</v>
      </c>
      <c r="N344" t="s">
        <v>23</v>
      </c>
      <c r="O344" t="s">
        <v>24</v>
      </c>
      <c r="P344">
        <f>Tableau1_2[[#This Row],[Quantité]]*Tableau1_2[[#This Row],[Prix_Unitaire]]</f>
        <v>323200</v>
      </c>
      <c r="Q344">
        <f>Tableau1_2[[#This Row],[Quantité]]*Tableau1_2[[#This Row],[Coût_Unitaire]]</f>
        <v>255600</v>
      </c>
      <c r="R344">
        <f>Tableau1_2[[#This Row],[CA]]-Tableau1_2[[#This Row],[Cout Total]]</f>
        <v>67600</v>
      </c>
      <c r="S344" s="4">
        <f>Tableau1_2[[#This Row],[Marge]]/Tableau1_2[[#This Row],[CA]]</f>
        <v>0.20915841584158415</v>
      </c>
      <c r="T344" t="str">
        <f>TEXT(Tableau1_2[[#This Row],[Date]],"mmmm")</f>
        <v>septembre</v>
      </c>
    </row>
    <row r="345" spans="1:20" x14ac:dyDescent="0.35">
      <c r="A345" t="s">
        <v>923</v>
      </c>
      <c r="B345" s="2">
        <v>46162</v>
      </c>
      <c r="C345" t="s">
        <v>749</v>
      </c>
      <c r="D345" t="s">
        <v>476</v>
      </c>
      <c r="E345" t="s">
        <v>156</v>
      </c>
      <c r="F345" t="s">
        <v>170</v>
      </c>
      <c r="G345" t="s">
        <v>34</v>
      </c>
      <c r="H345" t="s">
        <v>95</v>
      </c>
      <c r="I345">
        <v>4</v>
      </c>
      <c r="J345">
        <v>450000</v>
      </c>
      <c r="K345">
        <v>370000</v>
      </c>
      <c r="L345" t="s">
        <v>80</v>
      </c>
      <c r="M345" t="s">
        <v>37</v>
      </c>
      <c r="N345" t="s">
        <v>52</v>
      </c>
      <c r="O345" t="s">
        <v>91</v>
      </c>
      <c r="P345">
        <f>Tableau1_2[[#This Row],[Quantité]]*Tableau1_2[[#This Row],[Prix_Unitaire]]</f>
        <v>1800000</v>
      </c>
      <c r="Q345">
        <f>Tableau1_2[[#This Row],[Quantité]]*Tableau1_2[[#This Row],[Coût_Unitaire]]</f>
        <v>1480000</v>
      </c>
      <c r="R345">
        <f>Tableau1_2[[#This Row],[CA]]-Tableau1_2[[#This Row],[Cout Total]]</f>
        <v>320000</v>
      </c>
      <c r="S345" s="4">
        <f>Tableau1_2[[#This Row],[Marge]]/Tableau1_2[[#This Row],[CA]]</f>
        <v>0.17777777777777778</v>
      </c>
      <c r="T345" t="str">
        <f>TEXT(Tableau1_2[[#This Row],[Date]],"mmmm")</f>
        <v>mai</v>
      </c>
    </row>
    <row r="346" spans="1:20" x14ac:dyDescent="0.35">
      <c r="A346" t="s">
        <v>924</v>
      </c>
      <c r="B346" s="2">
        <v>46256</v>
      </c>
      <c r="C346" t="s">
        <v>925</v>
      </c>
      <c r="D346" t="s">
        <v>487</v>
      </c>
      <c r="E346" t="s">
        <v>41</v>
      </c>
      <c r="F346" t="s">
        <v>42</v>
      </c>
      <c r="G346" t="s">
        <v>43</v>
      </c>
      <c r="H346" t="s">
        <v>49</v>
      </c>
      <c r="I346">
        <v>5</v>
      </c>
      <c r="J346">
        <v>9000</v>
      </c>
      <c r="K346">
        <v>5600</v>
      </c>
      <c r="L346" t="s">
        <v>73</v>
      </c>
      <c r="M346" t="s">
        <v>51</v>
      </c>
      <c r="N346" t="s">
        <v>52</v>
      </c>
      <c r="O346" t="s">
        <v>24</v>
      </c>
      <c r="P346">
        <f>Tableau1_2[[#This Row],[Quantité]]*Tableau1_2[[#This Row],[Prix_Unitaire]]</f>
        <v>45000</v>
      </c>
      <c r="Q346">
        <f>Tableau1_2[[#This Row],[Quantité]]*Tableau1_2[[#This Row],[Coût_Unitaire]]</f>
        <v>28000</v>
      </c>
      <c r="R346">
        <f>Tableau1_2[[#This Row],[CA]]-Tableau1_2[[#This Row],[Cout Total]]</f>
        <v>17000</v>
      </c>
      <c r="S346" s="4">
        <f>Tableau1_2[[#This Row],[Marge]]/Tableau1_2[[#This Row],[CA]]</f>
        <v>0.37777777777777777</v>
      </c>
      <c r="T346" t="str">
        <f>TEXT(Tableau1_2[[#This Row],[Date]],"mmmm")</f>
        <v>août</v>
      </c>
    </row>
    <row r="347" spans="1:20" x14ac:dyDescent="0.35">
      <c r="A347" t="s">
        <v>926</v>
      </c>
      <c r="B347" s="2">
        <v>46266</v>
      </c>
      <c r="C347" t="s">
        <v>927</v>
      </c>
      <c r="D347" t="s">
        <v>422</v>
      </c>
      <c r="E347" t="s">
        <v>41</v>
      </c>
      <c r="F347" t="s">
        <v>42</v>
      </c>
      <c r="G347" t="s">
        <v>28</v>
      </c>
      <c r="H347" t="s">
        <v>248</v>
      </c>
      <c r="I347">
        <v>2</v>
      </c>
      <c r="J347">
        <v>25000</v>
      </c>
      <c r="K347">
        <v>16000</v>
      </c>
      <c r="L347" t="s">
        <v>73</v>
      </c>
      <c r="M347" t="s">
        <v>37</v>
      </c>
      <c r="N347" t="s">
        <v>23</v>
      </c>
      <c r="O347" t="s">
        <v>24</v>
      </c>
      <c r="P347">
        <f>Tableau1_2[[#This Row],[Quantité]]*Tableau1_2[[#This Row],[Prix_Unitaire]]</f>
        <v>50000</v>
      </c>
      <c r="Q347">
        <f>Tableau1_2[[#This Row],[Quantité]]*Tableau1_2[[#This Row],[Coût_Unitaire]]</f>
        <v>32000</v>
      </c>
      <c r="R347">
        <f>Tableau1_2[[#This Row],[CA]]-Tableau1_2[[#This Row],[Cout Total]]</f>
        <v>18000</v>
      </c>
      <c r="S347" s="4">
        <f>Tableau1_2[[#This Row],[Marge]]/Tableau1_2[[#This Row],[CA]]</f>
        <v>0.36</v>
      </c>
      <c r="T347" t="str">
        <f>TEXT(Tableau1_2[[#This Row],[Date]],"mmmm")</f>
        <v>septembre</v>
      </c>
    </row>
    <row r="348" spans="1:20" x14ac:dyDescent="0.35">
      <c r="A348" t="s">
        <v>928</v>
      </c>
      <c r="B348" s="2">
        <v>46121</v>
      </c>
      <c r="C348" t="s">
        <v>896</v>
      </c>
      <c r="D348" t="s">
        <v>94</v>
      </c>
      <c r="E348" t="s">
        <v>70</v>
      </c>
      <c r="F348" t="s">
        <v>71</v>
      </c>
      <c r="G348" t="s">
        <v>34</v>
      </c>
      <c r="H348" t="s">
        <v>35</v>
      </c>
      <c r="I348">
        <v>6</v>
      </c>
      <c r="J348">
        <v>55000</v>
      </c>
      <c r="K348">
        <v>37800</v>
      </c>
      <c r="L348" t="s">
        <v>30</v>
      </c>
      <c r="M348" t="s">
        <v>37</v>
      </c>
      <c r="N348" t="s">
        <v>23</v>
      </c>
      <c r="O348" t="s">
        <v>24</v>
      </c>
      <c r="P348">
        <f>Tableau1_2[[#This Row],[Quantité]]*Tableau1_2[[#This Row],[Prix_Unitaire]]</f>
        <v>330000</v>
      </c>
      <c r="Q348">
        <f>Tableau1_2[[#This Row],[Quantité]]*Tableau1_2[[#This Row],[Coût_Unitaire]]</f>
        <v>226800</v>
      </c>
      <c r="R348">
        <f>Tableau1_2[[#This Row],[CA]]-Tableau1_2[[#This Row],[Cout Total]]</f>
        <v>103200</v>
      </c>
      <c r="S348" s="4">
        <f>Tableau1_2[[#This Row],[Marge]]/Tableau1_2[[#This Row],[CA]]</f>
        <v>0.31272727272727274</v>
      </c>
      <c r="T348" t="str">
        <f>TEXT(Tableau1_2[[#This Row],[Date]],"mmmm")</f>
        <v>avril</v>
      </c>
    </row>
    <row r="349" spans="1:20" x14ac:dyDescent="0.35">
      <c r="A349" t="s">
        <v>929</v>
      </c>
      <c r="B349" s="2">
        <v>46159</v>
      </c>
      <c r="C349" t="s">
        <v>930</v>
      </c>
      <c r="D349" t="s">
        <v>250</v>
      </c>
      <c r="E349" t="s">
        <v>41</v>
      </c>
      <c r="F349" t="s">
        <v>42</v>
      </c>
      <c r="G349" t="s">
        <v>43</v>
      </c>
      <c r="H349" t="s">
        <v>79</v>
      </c>
      <c r="I349">
        <v>9</v>
      </c>
      <c r="J349">
        <v>6300</v>
      </c>
      <c r="K349">
        <v>4200</v>
      </c>
      <c r="L349" t="s">
        <v>96</v>
      </c>
      <c r="M349" t="s">
        <v>51</v>
      </c>
      <c r="N349" t="s">
        <v>52</v>
      </c>
      <c r="O349" t="s">
        <v>24</v>
      </c>
      <c r="P349">
        <f>Tableau1_2[[#This Row],[Quantité]]*Tableau1_2[[#This Row],[Prix_Unitaire]]</f>
        <v>56700</v>
      </c>
      <c r="Q349">
        <f>Tableau1_2[[#This Row],[Quantité]]*Tableau1_2[[#This Row],[Coût_Unitaire]]</f>
        <v>37800</v>
      </c>
      <c r="R349">
        <f>Tableau1_2[[#This Row],[CA]]-Tableau1_2[[#This Row],[Cout Total]]</f>
        <v>18900</v>
      </c>
      <c r="S349" s="4">
        <f>Tableau1_2[[#This Row],[Marge]]/Tableau1_2[[#This Row],[CA]]</f>
        <v>0.33333333333333331</v>
      </c>
      <c r="T349" t="str">
        <f>TEXT(Tableau1_2[[#This Row],[Date]],"mmmm")</f>
        <v>mai</v>
      </c>
    </row>
    <row r="350" spans="1:20" x14ac:dyDescent="0.35">
      <c r="A350" t="s">
        <v>931</v>
      </c>
      <c r="B350" s="2">
        <v>46129</v>
      </c>
      <c r="C350" t="s">
        <v>783</v>
      </c>
      <c r="D350" t="s">
        <v>775</v>
      </c>
      <c r="E350" t="s">
        <v>18</v>
      </c>
      <c r="F350" t="s">
        <v>18</v>
      </c>
      <c r="G350" t="s">
        <v>34</v>
      </c>
      <c r="H350" t="s">
        <v>35</v>
      </c>
      <c r="I350">
        <v>4</v>
      </c>
      <c r="J350">
        <v>57800</v>
      </c>
      <c r="K350">
        <v>37800</v>
      </c>
      <c r="L350" t="s">
        <v>73</v>
      </c>
      <c r="M350" t="s">
        <v>37</v>
      </c>
      <c r="N350" t="s">
        <v>87</v>
      </c>
      <c r="O350" t="s">
        <v>45</v>
      </c>
      <c r="P350">
        <f>Tableau1_2[[#This Row],[Quantité]]*Tableau1_2[[#This Row],[Prix_Unitaire]]</f>
        <v>231200</v>
      </c>
      <c r="Q350">
        <f>Tableau1_2[[#This Row],[Quantité]]*Tableau1_2[[#This Row],[Coût_Unitaire]]</f>
        <v>151200</v>
      </c>
      <c r="R350">
        <f>Tableau1_2[[#This Row],[CA]]-Tableau1_2[[#This Row],[Cout Total]]</f>
        <v>80000</v>
      </c>
      <c r="S350" s="4">
        <f>Tableau1_2[[#This Row],[Marge]]/Tableau1_2[[#This Row],[CA]]</f>
        <v>0.34602076124567471</v>
      </c>
      <c r="T350" t="str">
        <f>TEXT(Tableau1_2[[#This Row],[Date]],"mmmm")</f>
        <v>avril</v>
      </c>
    </row>
    <row r="351" spans="1:20" x14ac:dyDescent="0.35">
      <c r="A351" t="s">
        <v>932</v>
      </c>
      <c r="B351" s="2">
        <v>46044</v>
      </c>
      <c r="C351" t="s">
        <v>290</v>
      </c>
      <c r="D351" t="s">
        <v>414</v>
      </c>
      <c r="E351" t="s">
        <v>70</v>
      </c>
      <c r="F351" t="s">
        <v>71</v>
      </c>
      <c r="G351" t="s">
        <v>34</v>
      </c>
      <c r="H351" t="s">
        <v>95</v>
      </c>
      <c r="I351">
        <v>1</v>
      </c>
      <c r="J351">
        <v>472500</v>
      </c>
      <c r="K351">
        <v>381100</v>
      </c>
      <c r="L351" t="s">
        <v>50</v>
      </c>
      <c r="M351" t="s">
        <v>37</v>
      </c>
      <c r="N351" t="s">
        <v>23</v>
      </c>
      <c r="O351" t="s">
        <v>24</v>
      </c>
      <c r="P351">
        <f>Tableau1_2[[#This Row],[Quantité]]*Tableau1_2[[#This Row],[Prix_Unitaire]]</f>
        <v>472500</v>
      </c>
      <c r="Q351">
        <f>Tableau1_2[[#This Row],[Quantité]]*Tableau1_2[[#This Row],[Coût_Unitaire]]</f>
        <v>381100</v>
      </c>
      <c r="R351">
        <f>Tableau1_2[[#This Row],[CA]]-Tableau1_2[[#This Row],[Cout Total]]</f>
        <v>91400</v>
      </c>
      <c r="S351" s="4">
        <f>Tableau1_2[[#This Row],[Marge]]/Tableau1_2[[#This Row],[CA]]</f>
        <v>0.19343915343915344</v>
      </c>
      <c r="T351" t="str">
        <f>TEXT(Tableau1_2[[#This Row],[Date]],"mmmm")</f>
        <v>janvier</v>
      </c>
    </row>
    <row r="352" spans="1:20" x14ac:dyDescent="0.35">
      <c r="A352" t="s">
        <v>933</v>
      </c>
      <c r="B352" s="2">
        <v>46325</v>
      </c>
      <c r="C352" t="s">
        <v>934</v>
      </c>
      <c r="D352" t="s">
        <v>800</v>
      </c>
      <c r="E352" t="s">
        <v>18</v>
      </c>
      <c r="F352" t="s">
        <v>18</v>
      </c>
      <c r="G352" t="s">
        <v>34</v>
      </c>
      <c r="H352" t="s">
        <v>86</v>
      </c>
      <c r="I352">
        <v>9</v>
      </c>
      <c r="J352">
        <v>180000</v>
      </c>
      <c r="K352">
        <v>139000</v>
      </c>
      <c r="L352" t="s">
        <v>50</v>
      </c>
      <c r="M352" t="s">
        <v>22</v>
      </c>
      <c r="N352" t="s">
        <v>23</v>
      </c>
      <c r="O352" t="s">
        <v>24</v>
      </c>
      <c r="P352">
        <f>Tableau1_2[[#This Row],[Quantité]]*Tableau1_2[[#This Row],[Prix_Unitaire]]</f>
        <v>1620000</v>
      </c>
      <c r="Q352">
        <f>Tableau1_2[[#This Row],[Quantité]]*Tableau1_2[[#This Row],[Coût_Unitaire]]</f>
        <v>1251000</v>
      </c>
      <c r="R352">
        <f>Tableau1_2[[#This Row],[CA]]-Tableau1_2[[#This Row],[Cout Total]]</f>
        <v>369000</v>
      </c>
      <c r="S352" s="4">
        <f>Tableau1_2[[#This Row],[Marge]]/Tableau1_2[[#This Row],[CA]]</f>
        <v>0.22777777777777777</v>
      </c>
      <c r="T352" t="str">
        <f>TEXT(Tableau1_2[[#This Row],[Date]],"mmmm")</f>
        <v>octobre</v>
      </c>
    </row>
    <row r="353" spans="1:20" x14ac:dyDescent="0.35">
      <c r="A353" t="s">
        <v>935</v>
      </c>
      <c r="B353" s="2">
        <v>46277</v>
      </c>
      <c r="C353" t="s">
        <v>769</v>
      </c>
      <c r="D353" t="s">
        <v>576</v>
      </c>
      <c r="E353" t="s">
        <v>18</v>
      </c>
      <c r="F353" t="s">
        <v>18</v>
      </c>
      <c r="G353" t="s">
        <v>34</v>
      </c>
      <c r="H353" t="s">
        <v>95</v>
      </c>
      <c r="I353">
        <v>4</v>
      </c>
      <c r="J353">
        <v>472500</v>
      </c>
      <c r="K353">
        <v>381100</v>
      </c>
      <c r="L353" t="s">
        <v>50</v>
      </c>
      <c r="M353" t="s">
        <v>51</v>
      </c>
      <c r="N353" t="s">
        <v>52</v>
      </c>
      <c r="O353" t="s">
        <v>24</v>
      </c>
      <c r="P353">
        <f>Tableau1_2[[#This Row],[Quantité]]*Tableau1_2[[#This Row],[Prix_Unitaire]]</f>
        <v>1890000</v>
      </c>
      <c r="Q353">
        <f>Tableau1_2[[#This Row],[Quantité]]*Tableau1_2[[#This Row],[Coût_Unitaire]]</f>
        <v>1524400</v>
      </c>
      <c r="R353">
        <f>Tableau1_2[[#This Row],[CA]]-Tableau1_2[[#This Row],[Cout Total]]</f>
        <v>365600</v>
      </c>
      <c r="S353" s="4">
        <f>Tableau1_2[[#This Row],[Marge]]/Tableau1_2[[#This Row],[CA]]</f>
        <v>0.19343915343915344</v>
      </c>
      <c r="T353" t="str">
        <f>TEXT(Tableau1_2[[#This Row],[Date]],"mmmm")</f>
        <v>septembre</v>
      </c>
    </row>
    <row r="354" spans="1:20" x14ac:dyDescent="0.35">
      <c r="A354" t="s">
        <v>936</v>
      </c>
      <c r="B354" s="2">
        <v>46306</v>
      </c>
      <c r="C354" t="s">
        <v>193</v>
      </c>
      <c r="D354" t="s">
        <v>856</v>
      </c>
      <c r="E354" t="s">
        <v>77</v>
      </c>
      <c r="F354" t="s">
        <v>78</v>
      </c>
      <c r="G354" t="s">
        <v>34</v>
      </c>
      <c r="H354" t="s">
        <v>141</v>
      </c>
      <c r="I354">
        <v>5</v>
      </c>
      <c r="J354">
        <v>160000</v>
      </c>
      <c r="K354">
        <v>120000</v>
      </c>
      <c r="L354" t="s">
        <v>50</v>
      </c>
      <c r="M354" t="s">
        <v>37</v>
      </c>
      <c r="N354" t="s">
        <v>52</v>
      </c>
      <c r="O354" t="s">
        <v>24</v>
      </c>
      <c r="P354">
        <f>Tableau1_2[[#This Row],[Quantité]]*Tableau1_2[[#This Row],[Prix_Unitaire]]</f>
        <v>800000</v>
      </c>
      <c r="Q354">
        <f>Tableau1_2[[#This Row],[Quantité]]*Tableau1_2[[#This Row],[Coût_Unitaire]]</f>
        <v>600000</v>
      </c>
      <c r="R354">
        <f>Tableau1_2[[#This Row],[CA]]-Tableau1_2[[#This Row],[Cout Total]]</f>
        <v>200000</v>
      </c>
      <c r="S354" s="4">
        <f>Tableau1_2[[#This Row],[Marge]]/Tableau1_2[[#This Row],[CA]]</f>
        <v>0.25</v>
      </c>
      <c r="T354" t="str">
        <f>TEXT(Tableau1_2[[#This Row],[Date]],"mmmm")</f>
        <v>octobre</v>
      </c>
    </row>
    <row r="355" spans="1:20" x14ac:dyDescent="0.35">
      <c r="A355" t="s">
        <v>937</v>
      </c>
      <c r="B355" s="2">
        <v>46120</v>
      </c>
      <c r="C355" t="s">
        <v>938</v>
      </c>
      <c r="D355" t="s">
        <v>939</v>
      </c>
      <c r="E355" t="s">
        <v>18</v>
      </c>
      <c r="F355" t="s">
        <v>18</v>
      </c>
      <c r="G355" t="s">
        <v>19</v>
      </c>
      <c r="H355" t="s">
        <v>20</v>
      </c>
      <c r="I355">
        <v>6</v>
      </c>
      <c r="J355">
        <v>65000</v>
      </c>
      <c r="K355">
        <v>43600</v>
      </c>
      <c r="L355" t="s">
        <v>66</v>
      </c>
      <c r="M355" t="s">
        <v>22</v>
      </c>
      <c r="N355" t="s">
        <v>23</v>
      </c>
      <c r="O355" t="s">
        <v>45</v>
      </c>
      <c r="P355">
        <f>Tableau1_2[[#This Row],[Quantité]]*Tableau1_2[[#This Row],[Prix_Unitaire]]</f>
        <v>390000</v>
      </c>
      <c r="Q355">
        <f>Tableau1_2[[#This Row],[Quantité]]*Tableau1_2[[#This Row],[Coût_Unitaire]]</f>
        <v>261600</v>
      </c>
      <c r="R355">
        <f>Tableau1_2[[#This Row],[CA]]-Tableau1_2[[#This Row],[Cout Total]]</f>
        <v>128400</v>
      </c>
      <c r="S355" s="4">
        <f>Tableau1_2[[#This Row],[Marge]]/Tableau1_2[[#This Row],[CA]]</f>
        <v>0.32923076923076922</v>
      </c>
      <c r="T355" t="str">
        <f>TEXT(Tableau1_2[[#This Row],[Date]],"mmmm")</f>
        <v>avril</v>
      </c>
    </row>
    <row r="356" spans="1:20" x14ac:dyDescent="0.35">
      <c r="A356" t="s">
        <v>940</v>
      </c>
      <c r="B356" s="2">
        <v>46039</v>
      </c>
      <c r="C356" t="s">
        <v>941</v>
      </c>
      <c r="D356" t="s">
        <v>259</v>
      </c>
      <c r="E356" t="s">
        <v>190</v>
      </c>
      <c r="F356" t="s">
        <v>191</v>
      </c>
      <c r="G356" t="s">
        <v>43</v>
      </c>
      <c r="H356" t="s">
        <v>162</v>
      </c>
      <c r="I356">
        <v>9</v>
      </c>
      <c r="J356">
        <v>8400</v>
      </c>
      <c r="K356">
        <v>5200</v>
      </c>
      <c r="L356" t="s">
        <v>50</v>
      </c>
      <c r="M356" t="s">
        <v>51</v>
      </c>
      <c r="N356" t="s">
        <v>23</v>
      </c>
      <c r="O356" t="s">
        <v>24</v>
      </c>
      <c r="P356">
        <f>Tableau1_2[[#This Row],[Quantité]]*Tableau1_2[[#This Row],[Prix_Unitaire]]</f>
        <v>75600</v>
      </c>
      <c r="Q356">
        <f>Tableau1_2[[#This Row],[Quantité]]*Tableau1_2[[#This Row],[Coût_Unitaire]]</f>
        <v>46800</v>
      </c>
      <c r="R356">
        <f>Tableau1_2[[#This Row],[CA]]-Tableau1_2[[#This Row],[Cout Total]]</f>
        <v>28800</v>
      </c>
      <c r="S356" s="4">
        <f>Tableau1_2[[#This Row],[Marge]]/Tableau1_2[[#This Row],[CA]]</f>
        <v>0.38095238095238093</v>
      </c>
      <c r="T356" t="str">
        <f>TEXT(Tableau1_2[[#This Row],[Date]],"mmmm")</f>
        <v>janvier</v>
      </c>
    </row>
    <row r="357" spans="1:20" x14ac:dyDescent="0.35">
      <c r="A357" t="s">
        <v>942</v>
      </c>
      <c r="B357" s="2">
        <v>46309</v>
      </c>
      <c r="C357" t="s">
        <v>943</v>
      </c>
      <c r="D357" t="s">
        <v>422</v>
      </c>
      <c r="E357" t="s">
        <v>156</v>
      </c>
      <c r="F357" t="s">
        <v>157</v>
      </c>
      <c r="G357" t="s">
        <v>19</v>
      </c>
      <c r="H357" t="s">
        <v>112</v>
      </c>
      <c r="I357">
        <v>7</v>
      </c>
      <c r="J357">
        <v>85000</v>
      </c>
      <c r="K357">
        <v>60100</v>
      </c>
      <c r="L357" t="s">
        <v>30</v>
      </c>
      <c r="M357" t="s">
        <v>51</v>
      </c>
      <c r="N357" t="s">
        <v>23</v>
      </c>
      <c r="O357" t="s">
        <v>24</v>
      </c>
      <c r="P357">
        <f>Tableau1_2[[#This Row],[Quantité]]*Tableau1_2[[#This Row],[Prix_Unitaire]]</f>
        <v>595000</v>
      </c>
      <c r="Q357">
        <f>Tableau1_2[[#This Row],[Quantité]]*Tableau1_2[[#This Row],[Coût_Unitaire]]</f>
        <v>420700</v>
      </c>
      <c r="R357">
        <f>Tableau1_2[[#This Row],[CA]]-Tableau1_2[[#This Row],[Cout Total]]</f>
        <v>174300</v>
      </c>
      <c r="S357" s="4">
        <f>Tableau1_2[[#This Row],[Marge]]/Tableau1_2[[#This Row],[CA]]</f>
        <v>0.29294117647058826</v>
      </c>
      <c r="T357" t="str">
        <f>TEXT(Tableau1_2[[#This Row],[Date]],"mmmm")</f>
        <v>octobre</v>
      </c>
    </row>
    <row r="358" spans="1:20" x14ac:dyDescent="0.35">
      <c r="A358" t="s">
        <v>944</v>
      </c>
      <c r="B358" s="2">
        <v>46178</v>
      </c>
      <c r="C358" t="s">
        <v>945</v>
      </c>
      <c r="D358" t="s">
        <v>262</v>
      </c>
      <c r="E358" t="s">
        <v>56</v>
      </c>
      <c r="F358" t="s">
        <v>57</v>
      </c>
      <c r="G358" t="s">
        <v>43</v>
      </c>
      <c r="H358" t="s">
        <v>79</v>
      </c>
      <c r="I358">
        <v>5</v>
      </c>
      <c r="J358">
        <v>5700</v>
      </c>
      <c r="K358">
        <v>4200</v>
      </c>
      <c r="L358" t="s">
        <v>21</v>
      </c>
      <c r="M358" t="s">
        <v>51</v>
      </c>
      <c r="N358" t="s">
        <v>52</v>
      </c>
      <c r="O358" t="s">
        <v>24</v>
      </c>
      <c r="P358">
        <f>Tableau1_2[[#This Row],[Quantité]]*Tableau1_2[[#This Row],[Prix_Unitaire]]</f>
        <v>28500</v>
      </c>
      <c r="Q358">
        <f>Tableau1_2[[#This Row],[Quantité]]*Tableau1_2[[#This Row],[Coût_Unitaire]]</f>
        <v>21000</v>
      </c>
      <c r="R358">
        <f>Tableau1_2[[#This Row],[CA]]-Tableau1_2[[#This Row],[Cout Total]]</f>
        <v>7500</v>
      </c>
      <c r="S358" s="4">
        <f>Tableau1_2[[#This Row],[Marge]]/Tableau1_2[[#This Row],[CA]]</f>
        <v>0.26315789473684209</v>
      </c>
      <c r="T358" t="str">
        <f>TEXT(Tableau1_2[[#This Row],[Date]],"mmmm")</f>
        <v>juin</v>
      </c>
    </row>
    <row r="359" spans="1:20" x14ac:dyDescent="0.35">
      <c r="A359" t="s">
        <v>946</v>
      </c>
      <c r="B359" s="2">
        <v>46327</v>
      </c>
      <c r="C359" t="s">
        <v>947</v>
      </c>
      <c r="D359" t="s">
        <v>180</v>
      </c>
      <c r="E359" t="s">
        <v>56</v>
      </c>
      <c r="F359" t="s">
        <v>57</v>
      </c>
      <c r="G359" t="s">
        <v>43</v>
      </c>
      <c r="H359" t="s">
        <v>162</v>
      </c>
      <c r="I359">
        <v>1</v>
      </c>
      <c r="J359">
        <v>8000</v>
      </c>
      <c r="K359">
        <v>5200</v>
      </c>
      <c r="L359" t="s">
        <v>36</v>
      </c>
      <c r="M359" t="s">
        <v>31</v>
      </c>
      <c r="N359" t="s">
        <v>52</v>
      </c>
      <c r="O359" t="s">
        <v>91</v>
      </c>
      <c r="P359">
        <f>Tableau1_2[[#This Row],[Quantité]]*Tableau1_2[[#This Row],[Prix_Unitaire]]</f>
        <v>8000</v>
      </c>
      <c r="Q359">
        <f>Tableau1_2[[#This Row],[Quantité]]*Tableau1_2[[#This Row],[Coût_Unitaire]]</f>
        <v>5200</v>
      </c>
      <c r="R359">
        <f>Tableau1_2[[#This Row],[CA]]-Tableau1_2[[#This Row],[Cout Total]]</f>
        <v>2800</v>
      </c>
      <c r="S359" s="4">
        <f>Tableau1_2[[#This Row],[Marge]]/Tableau1_2[[#This Row],[CA]]</f>
        <v>0.35</v>
      </c>
      <c r="T359" t="str">
        <f>TEXT(Tableau1_2[[#This Row],[Date]],"mmmm")</f>
        <v>novembre</v>
      </c>
    </row>
    <row r="360" spans="1:20" x14ac:dyDescent="0.35">
      <c r="A360" t="s">
        <v>948</v>
      </c>
      <c r="B360" s="2">
        <v>46054</v>
      </c>
      <c r="C360" t="s">
        <v>949</v>
      </c>
      <c r="D360" t="s">
        <v>950</v>
      </c>
      <c r="E360" t="s">
        <v>18</v>
      </c>
      <c r="F360" t="s">
        <v>18</v>
      </c>
      <c r="G360" t="s">
        <v>34</v>
      </c>
      <c r="H360" t="s">
        <v>141</v>
      </c>
      <c r="I360">
        <v>2</v>
      </c>
      <c r="J360">
        <v>160000</v>
      </c>
      <c r="K360">
        <v>120000</v>
      </c>
      <c r="L360" t="s">
        <v>96</v>
      </c>
      <c r="M360" t="s">
        <v>51</v>
      </c>
      <c r="N360" t="s">
        <v>52</v>
      </c>
      <c r="O360" t="s">
        <v>45</v>
      </c>
      <c r="P360">
        <f>Tableau1_2[[#This Row],[Quantité]]*Tableau1_2[[#This Row],[Prix_Unitaire]]</f>
        <v>320000</v>
      </c>
      <c r="Q360">
        <f>Tableau1_2[[#This Row],[Quantité]]*Tableau1_2[[#This Row],[Coût_Unitaire]]</f>
        <v>240000</v>
      </c>
      <c r="R360">
        <f>Tableau1_2[[#This Row],[CA]]-Tableau1_2[[#This Row],[Cout Total]]</f>
        <v>80000</v>
      </c>
      <c r="S360" s="4">
        <f>Tableau1_2[[#This Row],[Marge]]/Tableau1_2[[#This Row],[CA]]</f>
        <v>0.25</v>
      </c>
      <c r="T360" t="str">
        <f>TEXT(Tableau1_2[[#This Row],[Date]],"mmmm")</f>
        <v>février</v>
      </c>
    </row>
    <row r="361" spans="1:20" x14ac:dyDescent="0.35">
      <c r="A361" t="s">
        <v>951</v>
      </c>
      <c r="B361" s="2">
        <v>46134</v>
      </c>
      <c r="C361" t="s">
        <v>952</v>
      </c>
      <c r="D361" t="s">
        <v>953</v>
      </c>
      <c r="E361" t="s">
        <v>18</v>
      </c>
      <c r="F361" t="s">
        <v>18</v>
      </c>
      <c r="G361" t="s">
        <v>43</v>
      </c>
      <c r="H361" t="s">
        <v>79</v>
      </c>
      <c r="I361">
        <v>9</v>
      </c>
      <c r="J361">
        <v>6000</v>
      </c>
      <c r="K361">
        <v>4300</v>
      </c>
      <c r="L361" t="s">
        <v>80</v>
      </c>
      <c r="M361" t="s">
        <v>37</v>
      </c>
      <c r="N361" t="s">
        <v>52</v>
      </c>
      <c r="O361" t="s">
        <v>24</v>
      </c>
      <c r="P361">
        <f>Tableau1_2[[#This Row],[Quantité]]*Tableau1_2[[#This Row],[Prix_Unitaire]]</f>
        <v>54000</v>
      </c>
      <c r="Q361">
        <f>Tableau1_2[[#This Row],[Quantité]]*Tableau1_2[[#This Row],[Coût_Unitaire]]</f>
        <v>38700</v>
      </c>
      <c r="R361">
        <f>Tableau1_2[[#This Row],[CA]]-Tableau1_2[[#This Row],[Cout Total]]</f>
        <v>15300</v>
      </c>
      <c r="S361" s="4">
        <f>Tableau1_2[[#This Row],[Marge]]/Tableau1_2[[#This Row],[CA]]</f>
        <v>0.28333333333333333</v>
      </c>
      <c r="T361" t="str">
        <f>TEXT(Tableau1_2[[#This Row],[Date]],"mmmm")</f>
        <v>avril</v>
      </c>
    </row>
    <row r="362" spans="1:20" x14ac:dyDescent="0.35">
      <c r="A362" t="s">
        <v>954</v>
      </c>
      <c r="B362" s="2">
        <v>46062</v>
      </c>
      <c r="C362" t="s">
        <v>955</v>
      </c>
      <c r="D362" t="s">
        <v>284</v>
      </c>
      <c r="E362" t="s">
        <v>18</v>
      </c>
      <c r="F362" t="s">
        <v>18</v>
      </c>
      <c r="G362" t="s">
        <v>43</v>
      </c>
      <c r="H362" t="s">
        <v>44</v>
      </c>
      <c r="I362">
        <v>9</v>
      </c>
      <c r="J362">
        <v>14200</v>
      </c>
      <c r="K362">
        <v>9800</v>
      </c>
      <c r="L362" t="s">
        <v>73</v>
      </c>
      <c r="M362" t="s">
        <v>22</v>
      </c>
      <c r="N362" t="s">
        <v>87</v>
      </c>
      <c r="O362" t="s">
        <v>24</v>
      </c>
      <c r="P362">
        <f>Tableau1_2[[#This Row],[Quantité]]*Tableau1_2[[#This Row],[Prix_Unitaire]]</f>
        <v>127800</v>
      </c>
      <c r="Q362">
        <f>Tableau1_2[[#This Row],[Quantité]]*Tableau1_2[[#This Row],[Coût_Unitaire]]</f>
        <v>88200</v>
      </c>
      <c r="R362">
        <f>Tableau1_2[[#This Row],[CA]]-Tableau1_2[[#This Row],[Cout Total]]</f>
        <v>39600</v>
      </c>
      <c r="S362" s="4">
        <f>Tableau1_2[[#This Row],[Marge]]/Tableau1_2[[#This Row],[CA]]</f>
        <v>0.30985915492957744</v>
      </c>
      <c r="T362" t="str">
        <f>TEXT(Tableau1_2[[#This Row],[Date]],"mmmm")</f>
        <v>février</v>
      </c>
    </row>
    <row r="363" spans="1:20" x14ac:dyDescent="0.35">
      <c r="A363" t="s">
        <v>956</v>
      </c>
      <c r="B363" s="2">
        <v>46311</v>
      </c>
      <c r="C363" t="s">
        <v>275</v>
      </c>
      <c r="D363" t="s">
        <v>711</v>
      </c>
      <c r="E363" t="s">
        <v>18</v>
      </c>
      <c r="F363" t="s">
        <v>18</v>
      </c>
      <c r="G363" t="s">
        <v>34</v>
      </c>
      <c r="H363" t="s">
        <v>141</v>
      </c>
      <c r="I363">
        <v>4</v>
      </c>
      <c r="J363">
        <v>160000</v>
      </c>
      <c r="K363">
        <v>116400</v>
      </c>
      <c r="L363" t="s">
        <v>80</v>
      </c>
      <c r="M363" t="s">
        <v>37</v>
      </c>
      <c r="N363" t="s">
        <v>23</v>
      </c>
      <c r="O363" t="s">
        <v>24</v>
      </c>
      <c r="P363">
        <f>Tableau1_2[[#This Row],[Quantité]]*Tableau1_2[[#This Row],[Prix_Unitaire]]</f>
        <v>640000</v>
      </c>
      <c r="Q363">
        <f>Tableau1_2[[#This Row],[Quantité]]*Tableau1_2[[#This Row],[Coût_Unitaire]]</f>
        <v>465600</v>
      </c>
      <c r="R363">
        <f>Tableau1_2[[#This Row],[CA]]-Tableau1_2[[#This Row],[Cout Total]]</f>
        <v>174400</v>
      </c>
      <c r="S363" s="4">
        <f>Tableau1_2[[#This Row],[Marge]]/Tableau1_2[[#This Row],[CA]]</f>
        <v>0.27250000000000002</v>
      </c>
      <c r="T363" t="str">
        <f>TEXT(Tableau1_2[[#This Row],[Date]],"mmmm")</f>
        <v>octobre</v>
      </c>
    </row>
    <row r="364" spans="1:20" x14ac:dyDescent="0.35">
      <c r="A364" t="s">
        <v>957</v>
      </c>
      <c r="B364" s="2">
        <v>46043</v>
      </c>
      <c r="C364" t="s">
        <v>757</v>
      </c>
      <c r="D364" t="s">
        <v>317</v>
      </c>
      <c r="E364" t="s">
        <v>18</v>
      </c>
      <c r="F364" t="s">
        <v>18</v>
      </c>
      <c r="G364" t="s">
        <v>28</v>
      </c>
      <c r="H364" t="s">
        <v>65</v>
      </c>
      <c r="I364">
        <v>2</v>
      </c>
      <c r="J364">
        <v>12600</v>
      </c>
      <c r="K364">
        <v>7300</v>
      </c>
      <c r="L364" t="s">
        <v>21</v>
      </c>
      <c r="M364" t="s">
        <v>51</v>
      </c>
      <c r="N364" t="s">
        <v>87</v>
      </c>
      <c r="O364" t="s">
        <v>45</v>
      </c>
      <c r="P364">
        <f>Tableau1_2[[#This Row],[Quantité]]*Tableau1_2[[#This Row],[Prix_Unitaire]]</f>
        <v>25200</v>
      </c>
      <c r="Q364">
        <f>Tableau1_2[[#This Row],[Quantité]]*Tableau1_2[[#This Row],[Coût_Unitaire]]</f>
        <v>14600</v>
      </c>
      <c r="R364">
        <f>Tableau1_2[[#This Row],[CA]]-Tableau1_2[[#This Row],[Cout Total]]</f>
        <v>10600</v>
      </c>
      <c r="S364" s="4">
        <f>Tableau1_2[[#This Row],[Marge]]/Tableau1_2[[#This Row],[CA]]</f>
        <v>0.42063492063492064</v>
      </c>
      <c r="T364" t="str">
        <f>TEXT(Tableau1_2[[#This Row],[Date]],"mmmm")</f>
        <v>janvier</v>
      </c>
    </row>
    <row r="365" spans="1:20" x14ac:dyDescent="0.35">
      <c r="A365" t="s">
        <v>958</v>
      </c>
      <c r="B365" s="2">
        <v>46364</v>
      </c>
      <c r="C365" t="s">
        <v>495</v>
      </c>
      <c r="D365" t="s">
        <v>144</v>
      </c>
      <c r="E365" t="s">
        <v>18</v>
      </c>
      <c r="F365" t="s">
        <v>18</v>
      </c>
      <c r="G365" t="s">
        <v>28</v>
      </c>
      <c r="H365" t="s">
        <v>65</v>
      </c>
      <c r="I365">
        <v>4</v>
      </c>
      <c r="J365">
        <v>11400</v>
      </c>
      <c r="K365">
        <v>7700</v>
      </c>
      <c r="L365" t="s">
        <v>80</v>
      </c>
      <c r="M365" t="s">
        <v>37</v>
      </c>
      <c r="N365" t="s">
        <v>23</v>
      </c>
      <c r="O365" t="s">
        <v>24</v>
      </c>
      <c r="P365">
        <f>Tableau1_2[[#This Row],[Quantité]]*Tableau1_2[[#This Row],[Prix_Unitaire]]</f>
        <v>45600</v>
      </c>
      <c r="Q365">
        <f>Tableau1_2[[#This Row],[Quantité]]*Tableau1_2[[#This Row],[Coût_Unitaire]]</f>
        <v>30800</v>
      </c>
      <c r="R365">
        <f>Tableau1_2[[#This Row],[CA]]-Tableau1_2[[#This Row],[Cout Total]]</f>
        <v>14800</v>
      </c>
      <c r="S365" s="4">
        <f>Tableau1_2[[#This Row],[Marge]]/Tableau1_2[[#This Row],[CA]]</f>
        <v>0.32456140350877194</v>
      </c>
      <c r="T365" t="str">
        <f>TEXT(Tableau1_2[[#This Row],[Date]],"mmmm")</f>
        <v>décembre</v>
      </c>
    </row>
    <row r="366" spans="1:20" x14ac:dyDescent="0.35">
      <c r="A366" t="s">
        <v>959</v>
      </c>
      <c r="B366" s="2">
        <v>46264</v>
      </c>
      <c r="C366" t="s">
        <v>683</v>
      </c>
      <c r="D366" t="s">
        <v>960</v>
      </c>
      <c r="E366" t="s">
        <v>18</v>
      </c>
      <c r="F366" t="s">
        <v>18</v>
      </c>
      <c r="G366" t="s">
        <v>34</v>
      </c>
      <c r="H366" t="s">
        <v>86</v>
      </c>
      <c r="I366">
        <v>1</v>
      </c>
      <c r="J366">
        <v>180000</v>
      </c>
      <c r="K366">
        <v>131000</v>
      </c>
      <c r="L366" t="s">
        <v>50</v>
      </c>
      <c r="M366" t="s">
        <v>51</v>
      </c>
      <c r="N366" t="s">
        <v>23</v>
      </c>
      <c r="O366" t="s">
        <v>24</v>
      </c>
      <c r="P366">
        <f>Tableau1_2[[#This Row],[Quantité]]*Tableau1_2[[#This Row],[Prix_Unitaire]]</f>
        <v>180000</v>
      </c>
      <c r="Q366">
        <f>Tableau1_2[[#This Row],[Quantité]]*Tableau1_2[[#This Row],[Coût_Unitaire]]</f>
        <v>131000</v>
      </c>
      <c r="R366">
        <f>Tableau1_2[[#This Row],[CA]]-Tableau1_2[[#This Row],[Cout Total]]</f>
        <v>49000</v>
      </c>
      <c r="S366" s="4">
        <f>Tableau1_2[[#This Row],[Marge]]/Tableau1_2[[#This Row],[CA]]</f>
        <v>0.2722222222222222</v>
      </c>
      <c r="T366" t="str">
        <f>TEXT(Tableau1_2[[#This Row],[Date]],"mmmm")</f>
        <v>août</v>
      </c>
    </row>
    <row r="367" spans="1:20" x14ac:dyDescent="0.35">
      <c r="A367" t="s">
        <v>961</v>
      </c>
      <c r="B367" s="2">
        <v>46380</v>
      </c>
      <c r="C367" t="s">
        <v>962</v>
      </c>
      <c r="D367" t="s">
        <v>963</v>
      </c>
      <c r="E367" t="s">
        <v>77</v>
      </c>
      <c r="F367" t="s">
        <v>78</v>
      </c>
      <c r="G367" t="s">
        <v>34</v>
      </c>
      <c r="H367" t="s">
        <v>141</v>
      </c>
      <c r="I367">
        <v>4</v>
      </c>
      <c r="J367">
        <v>160000</v>
      </c>
      <c r="K367">
        <v>120000</v>
      </c>
      <c r="L367" t="s">
        <v>21</v>
      </c>
      <c r="M367" t="s">
        <v>37</v>
      </c>
      <c r="N367" t="s">
        <v>52</v>
      </c>
      <c r="O367" t="s">
        <v>24</v>
      </c>
      <c r="P367">
        <f>Tableau1_2[[#This Row],[Quantité]]*Tableau1_2[[#This Row],[Prix_Unitaire]]</f>
        <v>640000</v>
      </c>
      <c r="Q367">
        <f>Tableau1_2[[#This Row],[Quantité]]*Tableau1_2[[#This Row],[Coût_Unitaire]]</f>
        <v>480000</v>
      </c>
      <c r="R367">
        <f>Tableau1_2[[#This Row],[CA]]-Tableau1_2[[#This Row],[Cout Total]]</f>
        <v>160000</v>
      </c>
      <c r="S367" s="4">
        <f>Tableau1_2[[#This Row],[Marge]]/Tableau1_2[[#This Row],[CA]]</f>
        <v>0.25</v>
      </c>
      <c r="T367" t="str">
        <f>TEXT(Tableau1_2[[#This Row],[Date]],"mmmm")</f>
        <v>décembre</v>
      </c>
    </row>
    <row r="368" spans="1:20" x14ac:dyDescent="0.35">
      <c r="A368" t="s">
        <v>964</v>
      </c>
      <c r="B368" s="2">
        <v>46249</v>
      </c>
      <c r="C368" t="s">
        <v>965</v>
      </c>
      <c r="D368" t="s">
        <v>420</v>
      </c>
      <c r="E368" t="s">
        <v>77</v>
      </c>
      <c r="F368" t="s">
        <v>78</v>
      </c>
      <c r="G368" t="s">
        <v>43</v>
      </c>
      <c r="H368" t="s">
        <v>79</v>
      </c>
      <c r="I368">
        <v>6</v>
      </c>
      <c r="J368">
        <v>6000</v>
      </c>
      <c r="K368">
        <v>4200</v>
      </c>
      <c r="L368" t="s">
        <v>50</v>
      </c>
      <c r="M368" t="s">
        <v>31</v>
      </c>
      <c r="N368" t="s">
        <v>52</v>
      </c>
      <c r="O368" t="s">
        <v>24</v>
      </c>
      <c r="P368">
        <f>Tableau1_2[[#This Row],[Quantité]]*Tableau1_2[[#This Row],[Prix_Unitaire]]</f>
        <v>36000</v>
      </c>
      <c r="Q368">
        <f>Tableau1_2[[#This Row],[Quantité]]*Tableau1_2[[#This Row],[Coût_Unitaire]]</f>
        <v>25200</v>
      </c>
      <c r="R368">
        <f>Tableau1_2[[#This Row],[CA]]-Tableau1_2[[#This Row],[Cout Total]]</f>
        <v>10800</v>
      </c>
      <c r="S368" s="4">
        <f>Tableau1_2[[#This Row],[Marge]]/Tableau1_2[[#This Row],[CA]]</f>
        <v>0.3</v>
      </c>
      <c r="T368" t="str">
        <f>TEXT(Tableau1_2[[#This Row],[Date]],"mmmm")</f>
        <v>août</v>
      </c>
    </row>
    <row r="369" spans="1:20" x14ac:dyDescent="0.35">
      <c r="A369" t="s">
        <v>966</v>
      </c>
      <c r="B369" s="2">
        <v>46048</v>
      </c>
      <c r="C369" t="s">
        <v>967</v>
      </c>
      <c r="D369" t="s">
        <v>750</v>
      </c>
      <c r="E369" t="s">
        <v>70</v>
      </c>
      <c r="F369" t="s">
        <v>71</v>
      </c>
      <c r="G369" t="s">
        <v>28</v>
      </c>
      <c r="H369" t="s">
        <v>131</v>
      </c>
      <c r="I369">
        <v>6</v>
      </c>
      <c r="J369">
        <v>30000</v>
      </c>
      <c r="K369">
        <v>19600</v>
      </c>
      <c r="L369" t="s">
        <v>66</v>
      </c>
      <c r="M369" t="s">
        <v>37</v>
      </c>
      <c r="N369" t="s">
        <v>52</v>
      </c>
      <c r="O369" t="s">
        <v>24</v>
      </c>
      <c r="P369">
        <f>Tableau1_2[[#This Row],[Quantité]]*Tableau1_2[[#This Row],[Prix_Unitaire]]</f>
        <v>180000</v>
      </c>
      <c r="Q369">
        <f>Tableau1_2[[#This Row],[Quantité]]*Tableau1_2[[#This Row],[Coût_Unitaire]]</f>
        <v>117600</v>
      </c>
      <c r="R369">
        <f>Tableau1_2[[#This Row],[CA]]-Tableau1_2[[#This Row],[Cout Total]]</f>
        <v>62400</v>
      </c>
      <c r="S369" s="4">
        <f>Tableau1_2[[#This Row],[Marge]]/Tableau1_2[[#This Row],[CA]]</f>
        <v>0.34666666666666668</v>
      </c>
      <c r="T369" t="str">
        <f>TEXT(Tableau1_2[[#This Row],[Date]],"mmmm")</f>
        <v>janvier</v>
      </c>
    </row>
    <row r="370" spans="1:20" x14ac:dyDescent="0.35">
      <c r="A370" t="s">
        <v>968</v>
      </c>
      <c r="B370" s="2">
        <v>46104</v>
      </c>
      <c r="C370" t="s">
        <v>402</v>
      </c>
      <c r="D370" t="s">
        <v>969</v>
      </c>
      <c r="E370" t="s">
        <v>190</v>
      </c>
      <c r="F370" t="s">
        <v>191</v>
      </c>
      <c r="G370" t="s">
        <v>28</v>
      </c>
      <c r="H370" t="s">
        <v>248</v>
      </c>
      <c r="I370">
        <v>5</v>
      </c>
      <c r="J370">
        <v>23800</v>
      </c>
      <c r="K370">
        <v>15500</v>
      </c>
      <c r="L370" t="s">
        <v>66</v>
      </c>
      <c r="M370" t="s">
        <v>22</v>
      </c>
      <c r="N370" t="s">
        <v>52</v>
      </c>
      <c r="O370" t="s">
        <v>24</v>
      </c>
      <c r="P370">
        <f>Tableau1_2[[#This Row],[Quantité]]*Tableau1_2[[#This Row],[Prix_Unitaire]]</f>
        <v>119000</v>
      </c>
      <c r="Q370">
        <f>Tableau1_2[[#This Row],[Quantité]]*Tableau1_2[[#This Row],[Coût_Unitaire]]</f>
        <v>77500</v>
      </c>
      <c r="R370">
        <f>Tableau1_2[[#This Row],[CA]]-Tableau1_2[[#This Row],[Cout Total]]</f>
        <v>41500</v>
      </c>
      <c r="S370" s="4">
        <f>Tableau1_2[[#This Row],[Marge]]/Tableau1_2[[#This Row],[CA]]</f>
        <v>0.34873949579831931</v>
      </c>
      <c r="T370" t="str">
        <f>TEXT(Tableau1_2[[#This Row],[Date]],"mmmm")</f>
        <v>mars</v>
      </c>
    </row>
    <row r="371" spans="1:20" x14ac:dyDescent="0.35">
      <c r="A371" t="s">
        <v>970</v>
      </c>
      <c r="B371" s="2">
        <v>46307</v>
      </c>
      <c r="C371" t="s">
        <v>148</v>
      </c>
      <c r="D371" t="s">
        <v>971</v>
      </c>
      <c r="E371" t="s">
        <v>18</v>
      </c>
      <c r="F371" t="s">
        <v>18</v>
      </c>
      <c r="G371" t="s">
        <v>43</v>
      </c>
      <c r="H371" t="s">
        <v>162</v>
      </c>
      <c r="I371">
        <v>2</v>
      </c>
      <c r="J371">
        <v>8400</v>
      </c>
      <c r="K371">
        <v>5200</v>
      </c>
      <c r="L371" t="s">
        <v>96</v>
      </c>
      <c r="M371" t="s">
        <v>51</v>
      </c>
      <c r="N371" t="s">
        <v>52</v>
      </c>
      <c r="O371" t="s">
        <v>24</v>
      </c>
      <c r="P371">
        <f>Tableau1_2[[#This Row],[Quantité]]*Tableau1_2[[#This Row],[Prix_Unitaire]]</f>
        <v>16800</v>
      </c>
      <c r="Q371">
        <f>Tableau1_2[[#This Row],[Quantité]]*Tableau1_2[[#This Row],[Coût_Unitaire]]</f>
        <v>10400</v>
      </c>
      <c r="R371">
        <f>Tableau1_2[[#This Row],[CA]]-Tableau1_2[[#This Row],[Cout Total]]</f>
        <v>6400</v>
      </c>
      <c r="S371" s="4">
        <f>Tableau1_2[[#This Row],[Marge]]/Tableau1_2[[#This Row],[CA]]</f>
        <v>0.38095238095238093</v>
      </c>
      <c r="T371" t="str">
        <f>TEXT(Tableau1_2[[#This Row],[Date]],"mmmm")</f>
        <v>octobre</v>
      </c>
    </row>
    <row r="372" spans="1:20" x14ac:dyDescent="0.35">
      <c r="A372" t="s">
        <v>972</v>
      </c>
      <c r="B372" s="2">
        <v>46101</v>
      </c>
      <c r="C372" t="s">
        <v>564</v>
      </c>
      <c r="D372" t="s">
        <v>345</v>
      </c>
      <c r="E372" t="s">
        <v>156</v>
      </c>
      <c r="F372" t="s">
        <v>157</v>
      </c>
      <c r="G372" t="s">
        <v>34</v>
      </c>
      <c r="H372" t="s">
        <v>35</v>
      </c>
      <c r="I372">
        <v>4</v>
      </c>
      <c r="J372">
        <v>55000</v>
      </c>
      <c r="K372">
        <v>37800</v>
      </c>
      <c r="L372" t="s">
        <v>73</v>
      </c>
      <c r="M372" t="s">
        <v>22</v>
      </c>
      <c r="N372" t="s">
        <v>23</v>
      </c>
      <c r="O372" t="s">
        <v>24</v>
      </c>
      <c r="P372">
        <f>Tableau1_2[[#This Row],[Quantité]]*Tableau1_2[[#This Row],[Prix_Unitaire]]</f>
        <v>220000</v>
      </c>
      <c r="Q372">
        <f>Tableau1_2[[#This Row],[Quantité]]*Tableau1_2[[#This Row],[Coût_Unitaire]]</f>
        <v>151200</v>
      </c>
      <c r="R372">
        <f>Tableau1_2[[#This Row],[CA]]-Tableau1_2[[#This Row],[Cout Total]]</f>
        <v>68800</v>
      </c>
      <c r="S372" s="4">
        <f>Tableau1_2[[#This Row],[Marge]]/Tableau1_2[[#This Row],[CA]]</f>
        <v>0.31272727272727274</v>
      </c>
      <c r="T372" t="str">
        <f>TEXT(Tableau1_2[[#This Row],[Date]],"mmmm")</f>
        <v>mars</v>
      </c>
    </row>
    <row r="373" spans="1:20" x14ac:dyDescent="0.35">
      <c r="A373" t="s">
        <v>973</v>
      </c>
      <c r="B373" s="2">
        <v>46056</v>
      </c>
      <c r="C373" t="s">
        <v>117</v>
      </c>
      <c r="D373" t="s">
        <v>974</v>
      </c>
      <c r="E373" t="s">
        <v>18</v>
      </c>
      <c r="F373" t="s">
        <v>18</v>
      </c>
      <c r="G373" t="s">
        <v>34</v>
      </c>
      <c r="H373" t="s">
        <v>141</v>
      </c>
      <c r="I373">
        <v>6</v>
      </c>
      <c r="J373">
        <v>160000</v>
      </c>
      <c r="K373">
        <v>120000</v>
      </c>
      <c r="L373" t="s">
        <v>21</v>
      </c>
      <c r="M373" t="s">
        <v>31</v>
      </c>
      <c r="N373" t="s">
        <v>87</v>
      </c>
      <c r="O373" t="s">
        <v>45</v>
      </c>
      <c r="P373">
        <f>Tableau1_2[[#This Row],[Quantité]]*Tableau1_2[[#This Row],[Prix_Unitaire]]</f>
        <v>960000</v>
      </c>
      <c r="Q373">
        <f>Tableau1_2[[#This Row],[Quantité]]*Tableau1_2[[#This Row],[Coût_Unitaire]]</f>
        <v>720000</v>
      </c>
      <c r="R373">
        <f>Tableau1_2[[#This Row],[CA]]-Tableau1_2[[#This Row],[Cout Total]]</f>
        <v>240000</v>
      </c>
      <c r="S373" s="4">
        <f>Tableau1_2[[#This Row],[Marge]]/Tableau1_2[[#This Row],[CA]]</f>
        <v>0.25</v>
      </c>
      <c r="T373" t="str">
        <f>TEXT(Tableau1_2[[#This Row],[Date]],"mmmm")</f>
        <v>février</v>
      </c>
    </row>
    <row r="374" spans="1:20" x14ac:dyDescent="0.35">
      <c r="A374" t="s">
        <v>975</v>
      </c>
      <c r="B374" s="2">
        <v>46307</v>
      </c>
      <c r="C374" t="s">
        <v>976</v>
      </c>
      <c r="D374" t="s">
        <v>977</v>
      </c>
      <c r="E374" t="s">
        <v>156</v>
      </c>
      <c r="F374" t="s">
        <v>170</v>
      </c>
      <c r="G374" t="s">
        <v>19</v>
      </c>
      <c r="H374" t="s">
        <v>61</v>
      </c>
      <c r="I374">
        <v>3</v>
      </c>
      <c r="J374">
        <v>209000</v>
      </c>
      <c r="K374">
        <v>160000</v>
      </c>
      <c r="L374" t="s">
        <v>66</v>
      </c>
      <c r="M374" t="s">
        <v>31</v>
      </c>
      <c r="N374" t="s">
        <v>52</v>
      </c>
      <c r="O374" t="s">
        <v>24</v>
      </c>
      <c r="P374">
        <f>Tableau1_2[[#This Row],[Quantité]]*Tableau1_2[[#This Row],[Prix_Unitaire]]</f>
        <v>627000</v>
      </c>
      <c r="Q374">
        <f>Tableau1_2[[#This Row],[Quantité]]*Tableau1_2[[#This Row],[Coût_Unitaire]]</f>
        <v>480000</v>
      </c>
      <c r="R374">
        <f>Tableau1_2[[#This Row],[CA]]-Tableau1_2[[#This Row],[Cout Total]]</f>
        <v>147000</v>
      </c>
      <c r="S374" s="4">
        <f>Tableau1_2[[#This Row],[Marge]]/Tableau1_2[[#This Row],[CA]]</f>
        <v>0.23444976076555024</v>
      </c>
      <c r="T374" t="str">
        <f>TEXT(Tableau1_2[[#This Row],[Date]],"mmmm")</f>
        <v>octobre</v>
      </c>
    </row>
    <row r="375" spans="1:20" x14ac:dyDescent="0.35">
      <c r="A375" t="s">
        <v>978</v>
      </c>
      <c r="B375" s="2">
        <v>46282</v>
      </c>
      <c r="C375" t="s">
        <v>475</v>
      </c>
      <c r="D375" t="s">
        <v>979</v>
      </c>
      <c r="E375" t="s">
        <v>41</v>
      </c>
      <c r="F375" t="s">
        <v>42</v>
      </c>
      <c r="G375" t="s">
        <v>34</v>
      </c>
      <c r="H375" t="s">
        <v>95</v>
      </c>
      <c r="I375">
        <v>6</v>
      </c>
      <c r="J375">
        <v>472500</v>
      </c>
      <c r="K375">
        <v>370000</v>
      </c>
      <c r="L375" t="s">
        <v>96</v>
      </c>
      <c r="M375" t="s">
        <v>22</v>
      </c>
      <c r="N375" t="s">
        <v>23</v>
      </c>
      <c r="O375" t="s">
        <v>24</v>
      </c>
      <c r="P375">
        <f>Tableau1_2[[#This Row],[Quantité]]*Tableau1_2[[#This Row],[Prix_Unitaire]]</f>
        <v>2835000</v>
      </c>
      <c r="Q375">
        <f>Tableau1_2[[#This Row],[Quantité]]*Tableau1_2[[#This Row],[Coût_Unitaire]]</f>
        <v>2220000</v>
      </c>
      <c r="R375">
        <f>Tableau1_2[[#This Row],[CA]]-Tableau1_2[[#This Row],[Cout Total]]</f>
        <v>615000</v>
      </c>
      <c r="S375" s="4">
        <f>Tableau1_2[[#This Row],[Marge]]/Tableau1_2[[#This Row],[CA]]</f>
        <v>0.21693121693121692</v>
      </c>
      <c r="T375" t="str">
        <f>TEXT(Tableau1_2[[#This Row],[Date]],"mmmm")</f>
        <v>septembre</v>
      </c>
    </row>
    <row r="376" spans="1:20" x14ac:dyDescent="0.35">
      <c r="A376" t="s">
        <v>980</v>
      </c>
      <c r="B376" s="2">
        <v>46339</v>
      </c>
      <c r="C376" t="s">
        <v>981</v>
      </c>
      <c r="D376" t="s">
        <v>501</v>
      </c>
      <c r="E376" t="s">
        <v>18</v>
      </c>
      <c r="F376" t="s">
        <v>18</v>
      </c>
      <c r="G376" t="s">
        <v>43</v>
      </c>
      <c r="H376" t="s">
        <v>162</v>
      </c>
      <c r="I376">
        <v>8</v>
      </c>
      <c r="J376">
        <v>7600</v>
      </c>
      <c r="K376">
        <v>4800</v>
      </c>
      <c r="L376" t="s">
        <v>36</v>
      </c>
      <c r="M376" t="s">
        <v>22</v>
      </c>
      <c r="N376" t="s">
        <v>87</v>
      </c>
      <c r="O376" t="s">
        <v>24</v>
      </c>
      <c r="P376">
        <f>Tableau1_2[[#This Row],[Quantité]]*Tableau1_2[[#This Row],[Prix_Unitaire]]</f>
        <v>60800</v>
      </c>
      <c r="Q376">
        <f>Tableau1_2[[#This Row],[Quantité]]*Tableau1_2[[#This Row],[Coût_Unitaire]]</f>
        <v>38400</v>
      </c>
      <c r="R376">
        <f>Tableau1_2[[#This Row],[CA]]-Tableau1_2[[#This Row],[Cout Total]]</f>
        <v>22400</v>
      </c>
      <c r="S376" s="4">
        <f>Tableau1_2[[#This Row],[Marge]]/Tableau1_2[[#This Row],[CA]]</f>
        <v>0.36842105263157893</v>
      </c>
      <c r="T376" t="str">
        <f>TEXT(Tableau1_2[[#This Row],[Date]],"mmmm")</f>
        <v>novembre</v>
      </c>
    </row>
    <row r="377" spans="1:20" x14ac:dyDescent="0.35">
      <c r="A377" t="s">
        <v>982</v>
      </c>
      <c r="B377" s="2">
        <v>46276</v>
      </c>
      <c r="C377" t="s">
        <v>220</v>
      </c>
      <c r="D377" t="s">
        <v>180</v>
      </c>
      <c r="E377" t="s">
        <v>18</v>
      </c>
      <c r="F377" t="s">
        <v>18</v>
      </c>
      <c r="G377" t="s">
        <v>19</v>
      </c>
      <c r="H377" t="s">
        <v>166</v>
      </c>
      <c r="I377">
        <v>4</v>
      </c>
      <c r="J377">
        <v>133000</v>
      </c>
      <c r="K377">
        <v>100000</v>
      </c>
      <c r="L377" t="s">
        <v>36</v>
      </c>
      <c r="M377" t="s">
        <v>37</v>
      </c>
      <c r="N377" t="s">
        <v>23</v>
      </c>
      <c r="O377" t="s">
        <v>45</v>
      </c>
      <c r="P377">
        <f>Tableau1_2[[#This Row],[Quantité]]*Tableau1_2[[#This Row],[Prix_Unitaire]]</f>
        <v>532000</v>
      </c>
      <c r="Q377">
        <f>Tableau1_2[[#This Row],[Quantité]]*Tableau1_2[[#This Row],[Coût_Unitaire]]</f>
        <v>400000</v>
      </c>
      <c r="R377">
        <f>Tableau1_2[[#This Row],[CA]]-Tableau1_2[[#This Row],[Cout Total]]</f>
        <v>132000</v>
      </c>
      <c r="S377" s="4">
        <f>Tableau1_2[[#This Row],[Marge]]/Tableau1_2[[#This Row],[CA]]</f>
        <v>0.24812030075187969</v>
      </c>
      <c r="T377" t="str">
        <f>TEXT(Tableau1_2[[#This Row],[Date]],"mmmm")</f>
        <v>septembre</v>
      </c>
    </row>
    <row r="378" spans="1:20" x14ac:dyDescent="0.35">
      <c r="A378" t="s">
        <v>983</v>
      </c>
      <c r="B378" s="2">
        <v>46145</v>
      </c>
      <c r="C378" t="s">
        <v>373</v>
      </c>
      <c r="D378" t="s">
        <v>984</v>
      </c>
      <c r="E378" t="s">
        <v>18</v>
      </c>
      <c r="F378" t="s">
        <v>18</v>
      </c>
      <c r="G378" t="s">
        <v>34</v>
      </c>
      <c r="H378" t="s">
        <v>95</v>
      </c>
      <c r="I378">
        <v>5</v>
      </c>
      <c r="J378">
        <v>427500</v>
      </c>
      <c r="K378">
        <v>381100</v>
      </c>
      <c r="L378" t="s">
        <v>80</v>
      </c>
      <c r="M378" t="s">
        <v>37</v>
      </c>
      <c r="N378" t="s">
        <v>23</v>
      </c>
      <c r="O378" t="s">
        <v>45</v>
      </c>
      <c r="P378">
        <f>Tableau1_2[[#This Row],[Quantité]]*Tableau1_2[[#This Row],[Prix_Unitaire]]</f>
        <v>2137500</v>
      </c>
      <c r="Q378">
        <f>Tableau1_2[[#This Row],[Quantité]]*Tableau1_2[[#This Row],[Coût_Unitaire]]</f>
        <v>1905500</v>
      </c>
      <c r="R378">
        <f>Tableau1_2[[#This Row],[CA]]-Tableau1_2[[#This Row],[Cout Total]]</f>
        <v>232000</v>
      </c>
      <c r="S378" s="4">
        <f>Tableau1_2[[#This Row],[Marge]]/Tableau1_2[[#This Row],[CA]]</f>
        <v>0.10853801169590643</v>
      </c>
      <c r="T378" t="str">
        <f>TEXT(Tableau1_2[[#This Row],[Date]],"mmmm")</f>
        <v>mai</v>
      </c>
    </row>
    <row r="379" spans="1:20" x14ac:dyDescent="0.35">
      <c r="A379" t="s">
        <v>985</v>
      </c>
      <c r="B379" s="2">
        <v>46305</v>
      </c>
      <c r="C379" t="s">
        <v>446</v>
      </c>
      <c r="D379" t="s">
        <v>986</v>
      </c>
      <c r="E379" t="s">
        <v>18</v>
      </c>
      <c r="F379" t="s">
        <v>18</v>
      </c>
      <c r="G379" t="s">
        <v>34</v>
      </c>
      <c r="H379" t="s">
        <v>141</v>
      </c>
      <c r="I379">
        <v>1</v>
      </c>
      <c r="J379">
        <v>168000</v>
      </c>
      <c r="K379">
        <v>123600</v>
      </c>
      <c r="L379" t="s">
        <v>21</v>
      </c>
      <c r="M379" t="s">
        <v>31</v>
      </c>
      <c r="N379" t="s">
        <v>52</v>
      </c>
      <c r="O379" t="s">
        <v>24</v>
      </c>
      <c r="P379">
        <f>Tableau1_2[[#This Row],[Quantité]]*Tableau1_2[[#This Row],[Prix_Unitaire]]</f>
        <v>168000</v>
      </c>
      <c r="Q379">
        <f>Tableau1_2[[#This Row],[Quantité]]*Tableau1_2[[#This Row],[Coût_Unitaire]]</f>
        <v>123600</v>
      </c>
      <c r="R379">
        <f>Tableau1_2[[#This Row],[CA]]-Tableau1_2[[#This Row],[Cout Total]]</f>
        <v>44400</v>
      </c>
      <c r="S379" s="4">
        <f>Tableau1_2[[#This Row],[Marge]]/Tableau1_2[[#This Row],[CA]]</f>
        <v>0.26428571428571429</v>
      </c>
      <c r="T379" t="str">
        <f>TEXT(Tableau1_2[[#This Row],[Date]],"mmmm")</f>
        <v>octobre</v>
      </c>
    </row>
    <row r="380" spans="1:20" x14ac:dyDescent="0.35">
      <c r="A380" t="s">
        <v>987</v>
      </c>
      <c r="B380" s="2">
        <v>46307</v>
      </c>
      <c r="C380" t="s">
        <v>777</v>
      </c>
      <c r="D380" t="s">
        <v>988</v>
      </c>
      <c r="E380" t="s">
        <v>77</v>
      </c>
      <c r="F380" t="s">
        <v>78</v>
      </c>
      <c r="G380" t="s">
        <v>28</v>
      </c>
      <c r="H380" t="s">
        <v>72</v>
      </c>
      <c r="I380">
        <v>9</v>
      </c>
      <c r="J380">
        <v>10000</v>
      </c>
      <c r="K380">
        <v>6000</v>
      </c>
      <c r="L380" t="s">
        <v>21</v>
      </c>
      <c r="M380" t="s">
        <v>51</v>
      </c>
      <c r="N380" t="s">
        <v>23</v>
      </c>
      <c r="O380" t="s">
        <v>24</v>
      </c>
      <c r="P380">
        <f>Tableau1_2[[#This Row],[Quantité]]*Tableau1_2[[#This Row],[Prix_Unitaire]]</f>
        <v>90000</v>
      </c>
      <c r="Q380">
        <f>Tableau1_2[[#This Row],[Quantité]]*Tableau1_2[[#This Row],[Coût_Unitaire]]</f>
        <v>54000</v>
      </c>
      <c r="R380">
        <f>Tableau1_2[[#This Row],[CA]]-Tableau1_2[[#This Row],[Cout Total]]</f>
        <v>36000</v>
      </c>
      <c r="S380" s="4">
        <f>Tableau1_2[[#This Row],[Marge]]/Tableau1_2[[#This Row],[CA]]</f>
        <v>0.4</v>
      </c>
      <c r="T380" t="str">
        <f>TEXT(Tableau1_2[[#This Row],[Date]],"mmmm")</f>
        <v>octobre</v>
      </c>
    </row>
    <row r="381" spans="1:20" x14ac:dyDescent="0.35">
      <c r="A381" t="s">
        <v>989</v>
      </c>
      <c r="B381" s="2">
        <v>46083</v>
      </c>
      <c r="C381" t="s">
        <v>896</v>
      </c>
      <c r="D381" t="s">
        <v>990</v>
      </c>
      <c r="E381" t="s">
        <v>156</v>
      </c>
      <c r="F381" t="s">
        <v>170</v>
      </c>
      <c r="G381" t="s">
        <v>19</v>
      </c>
      <c r="H381" t="s">
        <v>61</v>
      </c>
      <c r="I381">
        <v>8</v>
      </c>
      <c r="J381">
        <v>209000</v>
      </c>
      <c r="K381">
        <v>164800</v>
      </c>
      <c r="L381" t="s">
        <v>21</v>
      </c>
      <c r="M381" t="s">
        <v>51</v>
      </c>
      <c r="N381" t="s">
        <v>23</v>
      </c>
      <c r="O381" t="s">
        <v>91</v>
      </c>
      <c r="P381">
        <f>Tableau1_2[[#This Row],[Quantité]]*Tableau1_2[[#This Row],[Prix_Unitaire]]</f>
        <v>1672000</v>
      </c>
      <c r="Q381">
        <f>Tableau1_2[[#This Row],[Quantité]]*Tableau1_2[[#This Row],[Coût_Unitaire]]</f>
        <v>1318400</v>
      </c>
      <c r="R381">
        <f>Tableau1_2[[#This Row],[CA]]-Tableau1_2[[#This Row],[Cout Total]]</f>
        <v>353600</v>
      </c>
      <c r="S381" s="4">
        <f>Tableau1_2[[#This Row],[Marge]]/Tableau1_2[[#This Row],[CA]]</f>
        <v>0.21148325358851675</v>
      </c>
      <c r="T381" t="str">
        <f>TEXT(Tableau1_2[[#This Row],[Date]],"mmmm")</f>
        <v>mars</v>
      </c>
    </row>
    <row r="382" spans="1:20" x14ac:dyDescent="0.35">
      <c r="A382" t="s">
        <v>991</v>
      </c>
      <c r="B382" s="2">
        <v>46130</v>
      </c>
      <c r="C382" t="s">
        <v>148</v>
      </c>
      <c r="D382" t="s">
        <v>992</v>
      </c>
      <c r="E382" t="s">
        <v>77</v>
      </c>
      <c r="F382" t="s">
        <v>78</v>
      </c>
      <c r="G382" t="s">
        <v>34</v>
      </c>
      <c r="H382" t="s">
        <v>95</v>
      </c>
      <c r="I382">
        <v>6</v>
      </c>
      <c r="J382">
        <v>472500</v>
      </c>
      <c r="K382">
        <v>358900</v>
      </c>
      <c r="L382" t="s">
        <v>21</v>
      </c>
      <c r="M382" t="s">
        <v>37</v>
      </c>
      <c r="N382" t="s">
        <v>52</v>
      </c>
      <c r="O382" t="s">
        <v>24</v>
      </c>
      <c r="P382">
        <f>Tableau1_2[[#This Row],[Quantité]]*Tableau1_2[[#This Row],[Prix_Unitaire]]</f>
        <v>2835000</v>
      </c>
      <c r="Q382">
        <f>Tableau1_2[[#This Row],[Quantité]]*Tableau1_2[[#This Row],[Coût_Unitaire]]</f>
        <v>2153400</v>
      </c>
      <c r="R382">
        <f>Tableau1_2[[#This Row],[CA]]-Tableau1_2[[#This Row],[Cout Total]]</f>
        <v>681600</v>
      </c>
      <c r="S382" s="4">
        <f>Tableau1_2[[#This Row],[Marge]]/Tableau1_2[[#This Row],[CA]]</f>
        <v>0.24042328042328043</v>
      </c>
      <c r="T382" t="str">
        <f>TEXT(Tableau1_2[[#This Row],[Date]],"mmmm")</f>
        <v>avril</v>
      </c>
    </row>
    <row r="383" spans="1:20" x14ac:dyDescent="0.35">
      <c r="A383" t="s">
        <v>993</v>
      </c>
      <c r="B383" s="2">
        <v>46260</v>
      </c>
      <c r="C383" t="s">
        <v>896</v>
      </c>
      <c r="D383" t="s">
        <v>348</v>
      </c>
      <c r="E383" t="s">
        <v>156</v>
      </c>
      <c r="F383" t="s">
        <v>157</v>
      </c>
      <c r="G383" t="s">
        <v>19</v>
      </c>
      <c r="H383" t="s">
        <v>112</v>
      </c>
      <c r="I383">
        <v>10</v>
      </c>
      <c r="J383">
        <v>80800</v>
      </c>
      <c r="K383">
        <v>62000</v>
      </c>
      <c r="L383" t="s">
        <v>73</v>
      </c>
      <c r="M383" t="s">
        <v>37</v>
      </c>
      <c r="N383" t="s">
        <v>52</v>
      </c>
      <c r="O383" t="s">
        <v>24</v>
      </c>
      <c r="P383">
        <f>Tableau1_2[[#This Row],[Quantité]]*Tableau1_2[[#This Row],[Prix_Unitaire]]</f>
        <v>808000</v>
      </c>
      <c r="Q383">
        <f>Tableau1_2[[#This Row],[Quantité]]*Tableau1_2[[#This Row],[Coût_Unitaire]]</f>
        <v>620000</v>
      </c>
      <c r="R383">
        <f>Tableau1_2[[#This Row],[CA]]-Tableau1_2[[#This Row],[Cout Total]]</f>
        <v>188000</v>
      </c>
      <c r="S383" s="4">
        <f>Tableau1_2[[#This Row],[Marge]]/Tableau1_2[[#This Row],[CA]]</f>
        <v>0.23267326732673269</v>
      </c>
      <c r="T383" t="str">
        <f>TEXT(Tableau1_2[[#This Row],[Date]],"mmmm")</f>
        <v>août</v>
      </c>
    </row>
    <row r="384" spans="1:20" x14ac:dyDescent="0.35">
      <c r="A384" t="s">
        <v>994</v>
      </c>
      <c r="B384" s="2">
        <v>46332</v>
      </c>
      <c r="C384" t="s">
        <v>995</v>
      </c>
      <c r="D384" t="s">
        <v>695</v>
      </c>
      <c r="E384" t="s">
        <v>190</v>
      </c>
      <c r="F384" t="s">
        <v>191</v>
      </c>
      <c r="G384" t="s">
        <v>28</v>
      </c>
      <c r="H384" t="s">
        <v>29</v>
      </c>
      <c r="I384">
        <v>7</v>
      </c>
      <c r="J384">
        <v>7400</v>
      </c>
      <c r="K384">
        <v>3900</v>
      </c>
      <c r="L384" t="s">
        <v>21</v>
      </c>
      <c r="M384" t="s">
        <v>22</v>
      </c>
      <c r="N384" t="s">
        <v>52</v>
      </c>
      <c r="O384" t="s">
        <v>24</v>
      </c>
      <c r="P384">
        <f>Tableau1_2[[#This Row],[Quantité]]*Tableau1_2[[#This Row],[Prix_Unitaire]]</f>
        <v>51800</v>
      </c>
      <c r="Q384">
        <f>Tableau1_2[[#This Row],[Quantité]]*Tableau1_2[[#This Row],[Coût_Unitaire]]</f>
        <v>27300</v>
      </c>
      <c r="R384">
        <f>Tableau1_2[[#This Row],[CA]]-Tableau1_2[[#This Row],[Cout Total]]</f>
        <v>24500</v>
      </c>
      <c r="S384" s="4">
        <f>Tableau1_2[[#This Row],[Marge]]/Tableau1_2[[#This Row],[CA]]</f>
        <v>0.47297297297297297</v>
      </c>
      <c r="T384" t="str">
        <f>TEXT(Tableau1_2[[#This Row],[Date]],"mmmm")</f>
        <v>novembre</v>
      </c>
    </row>
    <row r="385" spans="1:20" x14ac:dyDescent="0.35">
      <c r="A385" t="s">
        <v>996</v>
      </c>
      <c r="B385" s="2">
        <v>46100</v>
      </c>
      <c r="C385" t="s">
        <v>997</v>
      </c>
      <c r="D385" t="s">
        <v>998</v>
      </c>
      <c r="E385" t="s">
        <v>56</v>
      </c>
      <c r="F385" t="s">
        <v>57</v>
      </c>
      <c r="G385" t="s">
        <v>34</v>
      </c>
      <c r="H385" t="s">
        <v>141</v>
      </c>
      <c r="I385">
        <v>10</v>
      </c>
      <c r="J385">
        <v>168000</v>
      </c>
      <c r="K385">
        <v>120000</v>
      </c>
      <c r="L385" t="s">
        <v>50</v>
      </c>
      <c r="M385" t="s">
        <v>51</v>
      </c>
      <c r="N385" t="s">
        <v>52</v>
      </c>
      <c r="O385" t="s">
        <v>24</v>
      </c>
      <c r="P385">
        <f>Tableau1_2[[#This Row],[Quantité]]*Tableau1_2[[#This Row],[Prix_Unitaire]]</f>
        <v>1680000</v>
      </c>
      <c r="Q385">
        <f>Tableau1_2[[#This Row],[Quantité]]*Tableau1_2[[#This Row],[Coût_Unitaire]]</f>
        <v>1200000</v>
      </c>
      <c r="R385">
        <f>Tableau1_2[[#This Row],[CA]]-Tableau1_2[[#This Row],[Cout Total]]</f>
        <v>480000</v>
      </c>
      <c r="S385" s="4">
        <f>Tableau1_2[[#This Row],[Marge]]/Tableau1_2[[#This Row],[CA]]</f>
        <v>0.2857142857142857</v>
      </c>
      <c r="T385" t="str">
        <f>TEXT(Tableau1_2[[#This Row],[Date]],"mmmm")</f>
        <v>mars</v>
      </c>
    </row>
    <row r="386" spans="1:20" x14ac:dyDescent="0.35">
      <c r="A386" t="s">
        <v>999</v>
      </c>
      <c r="B386" s="2">
        <v>46366</v>
      </c>
      <c r="C386" t="s">
        <v>537</v>
      </c>
      <c r="D386" t="s">
        <v>1000</v>
      </c>
      <c r="E386" t="s">
        <v>18</v>
      </c>
      <c r="F386" t="s">
        <v>18</v>
      </c>
      <c r="G386" t="s">
        <v>43</v>
      </c>
      <c r="H386" t="s">
        <v>44</v>
      </c>
      <c r="I386">
        <v>6</v>
      </c>
      <c r="J386">
        <v>15800</v>
      </c>
      <c r="K386">
        <v>9500</v>
      </c>
      <c r="L386" t="s">
        <v>36</v>
      </c>
      <c r="M386" t="s">
        <v>31</v>
      </c>
      <c r="N386" t="s">
        <v>23</v>
      </c>
      <c r="O386" t="s">
        <v>91</v>
      </c>
      <c r="P386">
        <f>Tableau1_2[[#This Row],[Quantité]]*Tableau1_2[[#This Row],[Prix_Unitaire]]</f>
        <v>94800</v>
      </c>
      <c r="Q386">
        <f>Tableau1_2[[#This Row],[Quantité]]*Tableau1_2[[#This Row],[Coût_Unitaire]]</f>
        <v>57000</v>
      </c>
      <c r="R386">
        <f>Tableau1_2[[#This Row],[CA]]-Tableau1_2[[#This Row],[Cout Total]]</f>
        <v>37800</v>
      </c>
      <c r="S386" s="4">
        <f>Tableau1_2[[#This Row],[Marge]]/Tableau1_2[[#This Row],[CA]]</f>
        <v>0.39873417721518989</v>
      </c>
      <c r="T386" t="str">
        <f>TEXT(Tableau1_2[[#This Row],[Date]],"mmmm")</f>
        <v>décembre</v>
      </c>
    </row>
    <row r="387" spans="1:20" x14ac:dyDescent="0.35">
      <c r="A387" t="s">
        <v>1001</v>
      </c>
      <c r="B387" s="2">
        <v>46292</v>
      </c>
      <c r="C387" t="s">
        <v>133</v>
      </c>
      <c r="D387" t="s">
        <v>152</v>
      </c>
      <c r="E387" t="s">
        <v>41</v>
      </c>
      <c r="F387" t="s">
        <v>42</v>
      </c>
      <c r="G387" t="s">
        <v>43</v>
      </c>
      <c r="H387" t="s">
        <v>177</v>
      </c>
      <c r="I387">
        <v>5</v>
      </c>
      <c r="J387">
        <v>18000</v>
      </c>
      <c r="K387">
        <v>12500</v>
      </c>
      <c r="L387" t="s">
        <v>96</v>
      </c>
      <c r="M387" t="s">
        <v>51</v>
      </c>
      <c r="N387" t="s">
        <v>23</v>
      </c>
      <c r="O387" t="s">
        <v>24</v>
      </c>
      <c r="P387">
        <f>Tableau1_2[[#This Row],[Quantité]]*Tableau1_2[[#This Row],[Prix_Unitaire]]</f>
        <v>90000</v>
      </c>
      <c r="Q387">
        <f>Tableau1_2[[#This Row],[Quantité]]*Tableau1_2[[#This Row],[Coût_Unitaire]]</f>
        <v>62500</v>
      </c>
      <c r="R387">
        <f>Tableau1_2[[#This Row],[CA]]-Tableau1_2[[#This Row],[Cout Total]]</f>
        <v>27500</v>
      </c>
      <c r="S387" s="4">
        <f>Tableau1_2[[#This Row],[Marge]]/Tableau1_2[[#This Row],[CA]]</f>
        <v>0.30555555555555558</v>
      </c>
      <c r="T387" t="str">
        <f>TEXT(Tableau1_2[[#This Row],[Date]],"mmmm")</f>
        <v>septembre</v>
      </c>
    </row>
    <row r="388" spans="1:20" x14ac:dyDescent="0.35">
      <c r="A388" t="s">
        <v>1002</v>
      </c>
      <c r="B388" s="2">
        <v>46382</v>
      </c>
      <c r="C388" t="s">
        <v>569</v>
      </c>
      <c r="D388" t="s">
        <v>27</v>
      </c>
      <c r="E388" t="s">
        <v>156</v>
      </c>
      <c r="F388" t="s">
        <v>170</v>
      </c>
      <c r="G388" t="s">
        <v>19</v>
      </c>
      <c r="H388" t="s">
        <v>112</v>
      </c>
      <c r="I388">
        <v>2</v>
      </c>
      <c r="J388">
        <v>85000</v>
      </c>
      <c r="K388">
        <v>63900</v>
      </c>
      <c r="L388" t="s">
        <v>36</v>
      </c>
      <c r="M388" t="s">
        <v>37</v>
      </c>
      <c r="N388" t="s">
        <v>52</v>
      </c>
      <c r="O388" t="s">
        <v>24</v>
      </c>
      <c r="P388">
        <f>Tableau1_2[[#This Row],[Quantité]]*Tableau1_2[[#This Row],[Prix_Unitaire]]</f>
        <v>170000</v>
      </c>
      <c r="Q388">
        <f>Tableau1_2[[#This Row],[Quantité]]*Tableau1_2[[#This Row],[Coût_Unitaire]]</f>
        <v>127800</v>
      </c>
      <c r="R388">
        <f>Tableau1_2[[#This Row],[CA]]-Tableau1_2[[#This Row],[Cout Total]]</f>
        <v>42200</v>
      </c>
      <c r="S388" s="4">
        <f>Tableau1_2[[#This Row],[Marge]]/Tableau1_2[[#This Row],[CA]]</f>
        <v>0.24823529411764705</v>
      </c>
      <c r="T388" t="str">
        <f>TEXT(Tableau1_2[[#This Row],[Date]],"mmmm")</f>
        <v>décembre</v>
      </c>
    </row>
    <row r="389" spans="1:20" x14ac:dyDescent="0.35">
      <c r="A389" t="s">
        <v>1003</v>
      </c>
      <c r="B389" s="2">
        <v>46240</v>
      </c>
      <c r="C389" t="s">
        <v>311</v>
      </c>
      <c r="D389" t="s">
        <v>215</v>
      </c>
      <c r="E389" t="s">
        <v>18</v>
      </c>
      <c r="F389" t="s">
        <v>18</v>
      </c>
      <c r="G389" t="s">
        <v>34</v>
      </c>
      <c r="H389" t="s">
        <v>86</v>
      </c>
      <c r="I389">
        <v>2</v>
      </c>
      <c r="J389">
        <v>171000</v>
      </c>
      <c r="K389">
        <v>139000</v>
      </c>
      <c r="L389" t="s">
        <v>30</v>
      </c>
      <c r="M389" t="s">
        <v>22</v>
      </c>
      <c r="N389" t="s">
        <v>87</v>
      </c>
      <c r="O389" t="s">
        <v>24</v>
      </c>
      <c r="P389">
        <f>Tableau1_2[[#This Row],[Quantité]]*Tableau1_2[[#This Row],[Prix_Unitaire]]</f>
        <v>342000</v>
      </c>
      <c r="Q389">
        <f>Tableau1_2[[#This Row],[Quantité]]*Tableau1_2[[#This Row],[Coût_Unitaire]]</f>
        <v>278000</v>
      </c>
      <c r="R389">
        <f>Tableau1_2[[#This Row],[CA]]-Tableau1_2[[#This Row],[Cout Total]]</f>
        <v>64000</v>
      </c>
      <c r="S389" s="4">
        <f>Tableau1_2[[#This Row],[Marge]]/Tableau1_2[[#This Row],[CA]]</f>
        <v>0.1871345029239766</v>
      </c>
      <c r="T389" t="str">
        <f>TEXT(Tableau1_2[[#This Row],[Date]],"mmmm")</f>
        <v>août</v>
      </c>
    </row>
    <row r="390" spans="1:20" x14ac:dyDescent="0.35">
      <c r="A390" t="s">
        <v>1004</v>
      </c>
      <c r="B390" s="2">
        <v>46230</v>
      </c>
      <c r="C390" t="s">
        <v>1005</v>
      </c>
      <c r="D390" t="s">
        <v>420</v>
      </c>
      <c r="E390" t="s">
        <v>84</v>
      </c>
      <c r="F390" t="s">
        <v>85</v>
      </c>
      <c r="G390" t="s">
        <v>43</v>
      </c>
      <c r="H390" t="s">
        <v>79</v>
      </c>
      <c r="I390">
        <v>7</v>
      </c>
      <c r="J390">
        <v>6000</v>
      </c>
      <c r="K390">
        <v>4200</v>
      </c>
      <c r="L390" t="s">
        <v>96</v>
      </c>
      <c r="M390" t="s">
        <v>51</v>
      </c>
      <c r="N390" t="s">
        <v>52</v>
      </c>
      <c r="O390" t="s">
        <v>24</v>
      </c>
      <c r="P390">
        <f>Tableau1_2[[#This Row],[Quantité]]*Tableau1_2[[#This Row],[Prix_Unitaire]]</f>
        <v>42000</v>
      </c>
      <c r="Q390">
        <f>Tableau1_2[[#This Row],[Quantité]]*Tableau1_2[[#This Row],[Coût_Unitaire]]</f>
        <v>29400</v>
      </c>
      <c r="R390">
        <f>Tableau1_2[[#This Row],[CA]]-Tableau1_2[[#This Row],[Cout Total]]</f>
        <v>12600</v>
      </c>
      <c r="S390" s="4">
        <f>Tableau1_2[[#This Row],[Marge]]/Tableau1_2[[#This Row],[CA]]</f>
        <v>0.3</v>
      </c>
      <c r="T390" t="str">
        <f>TEXT(Tableau1_2[[#This Row],[Date]],"mmmm")</f>
        <v>juillet</v>
      </c>
    </row>
    <row r="391" spans="1:20" x14ac:dyDescent="0.35">
      <c r="A391" t="s">
        <v>1006</v>
      </c>
      <c r="B391" s="2">
        <v>46312</v>
      </c>
      <c r="C391" t="s">
        <v>1007</v>
      </c>
      <c r="D391" t="s">
        <v>1008</v>
      </c>
      <c r="E391" t="s">
        <v>18</v>
      </c>
      <c r="F391" t="s">
        <v>18</v>
      </c>
      <c r="G391" t="s">
        <v>28</v>
      </c>
      <c r="H391" t="s">
        <v>248</v>
      </c>
      <c r="I391">
        <v>1</v>
      </c>
      <c r="J391">
        <v>23800</v>
      </c>
      <c r="K391">
        <v>16000</v>
      </c>
      <c r="L391" t="s">
        <v>96</v>
      </c>
      <c r="M391" t="s">
        <v>31</v>
      </c>
      <c r="N391" t="s">
        <v>23</v>
      </c>
      <c r="O391" t="s">
        <v>24</v>
      </c>
      <c r="P391">
        <f>Tableau1_2[[#This Row],[Quantité]]*Tableau1_2[[#This Row],[Prix_Unitaire]]</f>
        <v>23800</v>
      </c>
      <c r="Q391">
        <f>Tableau1_2[[#This Row],[Quantité]]*Tableau1_2[[#This Row],[Coût_Unitaire]]</f>
        <v>16000</v>
      </c>
      <c r="R391">
        <f>Tableau1_2[[#This Row],[CA]]-Tableau1_2[[#This Row],[Cout Total]]</f>
        <v>7800</v>
      </c>
      <c r="S391" s="4">
        <f>Tableau1_2[[#This Row],[Marge]]/Tableau1_2[[#This Row],[CA]]</f>
        <v>0.32773109243697479</v>
      </c>
      <c r="T391" t="str">
        <f>TEXT(Tableau1_2[[#This Row],[Date]],"mmmm")</f>
        <v>octobre</v>
      </c>
    </row>
    <row r="392" spans="1:20" x14ac:dyDescent="0.35">
      <c r="A392" t="s">
        <v>1009</v>
      </c>
      <c r="B392" s="2">
        <v>46283</v>
      </c>
      <c r="C392" t="s">
        <v>1010</v>
      </c>
      <c r="D392" t="s">
        <v>728</v>
      </c>
      <c r="E392" t="s">
        <v>156</v>
      </c>
      <c r="F392" t="s">
        <v>170</v>
      </c>
      <c r="G392" t="s">
        <v>43</v>
      </c>
      <c r="H392" t="s">
        <v>49</v>
      </c>
      <c r="I392">
        <v>4</v>
      </c>
      <c r="J392">
        <v>9000</v>
      </c>
      <c r="K392">
        <v>6000</v>
      </c>
      <c r="L392" t="s">
        <v>96</v>
      </c>
      <c r="M392" t="s">
        <v>37</v>
      </c>
      <c r="N392" t="s">
        <v>52</v>
      </c>
      <c r="O392" t="s">
        <v>45</v>
      </c>
      <c r="P392">
        <f>Tableau1_2[[#This Row],[Quantité]]*Tableau1_2[[#This Row],[Prix_Unitaire]]</f>
        <v>36000</v>
      </c>
      <c r="Q392">
        <f>Tableau1_2[[#This Row],[Quantité]]*Tableau1_2[[#This Row],[Coût_Unitaire]]</f>
        <v>24000</v>
      </c>
      <c r="R392">
        <f>Tableau1_2[[#This Row],[CA]]-Tableau1_2[[#This Row],[Cout Total]]</f>
        <v>12000</v>
      </c>
      <c r="S392" s="4">
        <f>Tableau1_2[[#This Row],[Marge]]/Tableau1_2[[#This Row],[CA]]</f>
        <v>0.33333333333333331</v>
      </c>
      <c r="T392" t="str">
        <f>TEXT(Tableau1_2[[#This Row],[Date]],"mmmm")</f>
        <v>septembre</v>
      </c>
    </row>
    <row r="393" spans="1:20" x14ac:dyDescent="0.35">
      <c r="A393" t="s">
        <v>1011</v>
      </c>
      <c r="B393" s="2">
        <v>46232</v>
      </c>
      <c r="C393" t="s">
        <v>337</v>
      </c>
      <c r="D393" t="s">
        <v>1012</v>
      </c>
      <c r="E393" t="s">
        <v>18</v>
      </c>
      <c r="F393" t="s">
        <v>18</v>
      </c>
      <c r="G393" t="s">
        <v>28</v>
      </c>
      <c r="H393" t="s">
        <v>65</v>
      </c>
      <c r="I393">
        <v>3</v>
      </c>
      <c r="J393">
        <v>12600</v>
      </c>
      <c r="K393">
        <v>7300</v>
      </c>
      <c r="L393" t="s">
        <v>36</v>
      </c>
      <c r="M393" t="s">
        <v>37</v>
      </c>
      <c r="N393" t="s">
        <v>23</v>
      </c>
      <c r="O393" t="s">
        <v>45</v>
      </c>
      <c r="P393">
        <f>Tableau1_2[[#This Row],[Quantité]]*Tableau1_2[[#This Row],[Prix_Unitaire]]</f>
        <v>37800</v>
      </c>
      <c r="Q393">
        <f>Tableau1_2[[#This Row],[Quantité]]*Tableau1_2[[#This Row],[Coût_Unitaire]]</f>
        <v>21900</v>
      </c>
      <c r="R393">
        <f>Tableau1_2[[#This Row],[CA]]-Tableau1_2[[#This Row],[Cout Total]]</f>
        <v>15900</v>
      </c>
      <c r="S393" s="4">
        <f>Tableau1_2[[#This Row],[Marge]]/Tableau1_2[[#This Row],[CA]]</f>
        <v>0.42063492063492064</v>
      </c>
      <c r="T393" t="str">
        <f>TEXT(Tableau1_2[[#This Row],[Date]],"mmmm")</f>
        <v>juillet</v>
      </c>
    </row>
    <row r="394" spans="1:20" x14ac:dyDescent="0.35">
      <c r="A394" t="s">
        <v>1013</v>
      </c>
      <c r="B394" s="2">
        <v>46293</v>
      </c>
      <c r="C394" t="s">
        <v>545</v>
      </c>
      <c r="D394" t="s">
        <v>1014</v>
      </c>
      <c r="E394" t="s">
        <v>70</v>
      </c>
      <c r="F394" t="s">
        <v>71</v>
      </c>
      <c r="G394" t="s">
        <v>43</v>
      </c>
      <c r="H394" t="s">
        <v>177</v>
      </c>
      <c r="I394">
        <v>7</v>
      </c>
      <c r="J394">
        <v>17100</v>
      </c>
      <c r="K394">
        <v>12100</v>
      </c>
      <c r="L394" t="s">
        <v>36</v>
      </c>
      <c r="M394" t="s">
        <v>37</v>
      </c>
      <c r="N394" t="s">
        <v>23</v>
      </c>
      <c r="O394" t="s">
        <v>24</v>
      </c>
      <c r="P394">
        <f>Tableau1_2[[#This Row],[Quantité]]*Tableau1_2[[#This Row],[Prix_Unitaire]]</f>
        <v>119700</v>
      </c>
      <c r="Q394">
        <f>Tableau1_2[[#This Row],[Quantité]]*Tableau1_2[[#This Row],[Coût_Unitaire]]</f>
        <v>84700</v>
      </c>
      <c r="R394">
        <f>Tableau1_2[[#This Row],[CA]]-Tableau1_2[[#This Row],[Cout Total]]</f>
        <v>35000</v>
      </c>
      <c r="S394" s="4">
        <f>Tableau1_2[[#This Row],[Marge]]/Tableau1_2[[#This Row],[CA]]</f>
        <v>0.29239766081871343</v>
      </c>
      <c r="T394" t="str">
        <f>TEXT(Tableau1_2[[#This Row],[Date]],"mmmm")</f>
        <v>septembre</v>
      </c>
    </row>
    <row r="395" spans="1:20" x14ac:dyDescent="0.35">
      <c r="A395" t="s">
        <v>1015</v>
      </c>
      <c r="B395" s="2">
        <v>46273</v>
      </c>
      <c r="C395" t="s">
        <v>832</v>
      </c>
      <c r="D395" t="s">
        <v>1016</v>
      </c>
      <c r="E395" t="s">
        <v>56</v>
      </c>
      <c r="F395" t="s">
        <v>57</v>
      </c>
      <c r="G395" t="s">
        <v>19</v>
      </c>
      <c r="H395" t="s">
        <v>61</v>
      </c>
      <c r="I395">
        <v>8</v>
      </c>
      <c r="J395">
        <v>220000</v>
      </c>
      <c r="K395">
        <v>155200</v>
      </c>
      <c r="L395" t="s">
        <v>80</v>
      </c>
      <c r="M395" t="s">
        <v>37</v>
      </c>
      <c r="N395" t="s">
        <v>87</v>
      </c>
      <c r="O395" t="s">
        <v>91</v>
      </c>
      <c r="P395">
        <f>Tableau1_2[[#This Row],[Quantité]]*Tableau1_2[[#This Row],[Prix_Unitaire]]</f>
        <v>1760000</v>
      </c>
      <c r="Q395">
        <f>Tableau1_2[[#This Row],[Quantité]]*Tableau1_2[[#This Row],[Coût_Unitaire]]</f>
        <v>1241600</v>
      </c>
      <c r="R395">
        <f>Tableau1_2[[#This Row],[CA]]-Tableau1_2[[#This Row],[Cout Total]]</f>
        <v>518400</v>
      </c>
      <c r="S395" s="4">
        <f>Tableau1_2[[#This Row],[Marge]]/Tableau1_2[[#This Row],[CA]]</f>
        <v>0.29454545454545455</v>
      </c>
      <c r="T395" t="str">
        <f>TEXT(Tableau1_2[[#This Row],[Date]],"mmmm")</f>
        <v>septembre</v>
      </c>
    </row>
    <row r="396" spans="1:20" x14ac:dyDescent="0.35">
      <c r="A396" t="s">
        <v>1017</v>
      </c>
      <c r="B396" s="2">
        <v>46037</v>
      </c>
      <c r="C396" t="s">
        <v>1018</v>
      </c>
      <c r="D396" t="s">
        <v>1008</v>
      </c>
      <c r="E396" t="s">
        <v>18</v>
      </c>
      <c r="F396" t="s">
        <v>18</v>
      </c>
      <c r="G396" t="s">
        <v>19</v>
      </c>
      <c r="H396" t="s">
        <v>20</v>
      </c>
      <c r="I396">
        <v>3</v>
      </c>
      <c r="J396">
        <v>61800</v>
      </c>
      <c r="K396">
        <v>45000</v>
      </c>
      <c r="L396" t="s">
        <v>66</v>
      </c>
      <c r="M396" t="s">
        <v>37</v>
      </c>
      <c r="N396" t="s">
        <v>52</v>
      </c>
      <c r="O396" t="s">
        <v>24</v>
      </c>
      <c r="P396">
        <f>Tableau1_2[[#This Row],[Quantité]]*Tableau1_2[[#This Row],[Prix_Unitaire]]</f>
        <v>185400</v>
      </c>
      <c r="Q396">
        <f>Tableau1_2[[#This Row],[Quantité]]*Tableau1_2[[#This Row],[Coût_Unitaire]]</f>
        <v>135000</v>
      </c>
      <c r="R396">
        <f>Tableau1_2[[#This Row],[CA]]-Tableau1_2[[#This Row],[Cout Total]]</f>
        <v>50400</v>
      </c>
      <c r="S396" s="4">
        <f>Tableau1_2[[#This Row],[Marge]]/Tableau1_2[[#This Row],[CA]]</f>
        <v>0.27184466019417475</v>
      </c>
      <c r="T396" t="str">
        <f>TEXT(Tableau1_2[[#This Row],[Date]],"mmmm")</f>
        <v>janvier</v>
      </c>
    </row>
    <row r="397" spans="1:20" x14ac:dyDescent="0.35">
      <c r="A397" t="s">
        <v>1019</v>
      </c>
      <c r="B397" s="2">
        <v>46358</v>
      </c>
      <c r="C397" t="s">
        <v>1020</v>
      </c>
      <c r="D397" t="s">
        <v>1021</v>
      </c>
      <c r="E397" t="s">
        <v>18</v>
      </c>
      <c r="F397" t="s">
        <v>18</v>
      </c>
      <c r="G397" t="s">
        <v>43</v>
      </c>
      <c r="H397" t="s">
        <v>49</v>
      </c>
      <c r="I397">
        <v>7</v>
      </c>
      <c r="J397">
        <v>8600</v>
      </c>
      <c r="K397">
        <v>6000</v>
      </c>
      <c r="L397" t="s">
        <v>36</v>
      </c>
      <c r="M397" t="s">
        <v>51</v>
      </c>
      <c r="N397" t="s">
        <v>52</v>
      </c>
      <c r="O397" t="s">
        <v>24</v>
      </c>
      <c r="P397">
        <f>Tableau1_2[[#This Row],[Quantité]]*Tableau1_2[[#This Row],[Prix_Unitaire]]</f>
        <v>60200</v>
      </c>
      <c r="Q397">
        <f>Tableau1_2[[#This Row],[Quantité]]*Tableau1_2[[#This Row],[Coût_Unitaire]]</f>
        <v>42000</v>
      </c>
      <c r="R397">
        <f>Tableau1_2[[#This Row],[CA]]-Tableau1_2[[#This Row],[Cout Total]]</f>
        <v>18200</v>
      </c>
      <c r="S397" s="4">
        <f>Tableau1_2[[#This Row],[Marge]]/Tableau1_2[[#This Row],[CA]]</f>
        <v>0.30232558139534882</v>
      </c>
      <c r="T397" t="str">
        <f>TEXT(Tableau1_2[[#This Row],[Date]],"mmmm")</f>
        <v>décembre</v>
      </c>
    </row>
    <row r="398" spans="1:20" x14ac:dyDescent="0.35">
      <c r="A398" t="s">
        <v>1022</v>
      </c>
      <c r="B398" s="2">
        <v>46161</v>
      </c>
      <c r="C398" t="s">
        <v>877</v>
      </c>
      <c r="D398" t="s">
        <v>1023</v>
      </c>
      <c r="E398" t="s">
        <v>84</v>
      </c>
      <c r="F398" t="s">
        <v>85</v>
      </c>
      <c r="G398" t="s">
        <v>34</v>
      </c>
      <c r="H398" t="s">
        <v>35</v>
      </c>
      <c r="I398">
        <v>1</v>
      </c>
      <c r="J398">
        <v>55000</v>
      </c>
      <c r="K398">
        <v>39000</v>
      </c>
      <c r="L398" t="s">
        <v>30</v>
      </c>
      <c r="M398" t="s">
        <v>22</v>
      </c>
      <c r="N398" t="s">
        <v>52</v>
      </c>
      <c r="O398" t="s">
        <v>45</v>
      </c>
      <c r="P398">
        <f>Tableau1_2[[#This Row],[Quantité]]*Tableau1_2[[#This Row],[Prix_Unitaire]]</f>
        <v>55000</v>
      </c>
      <c r="Q398">
        <f>Tableau1_2[[#This Row],[Quantité]]*Tableau1_2[[#This Row],[Coût_Unitaire]]</f>
        <v>39000</v>
      </c>
      <c r="R398">
        <f>Tableau1_2[[#This Row],[CA]]-Tableau1_2[[#This Row],[Cout Total]]</f>
        <v>16000</v>
      </c>
      <c r="S398" s="4">
        <f>Tableau1_2[[#This Row],[Marge]]/Tableau1_2[[#This Row],[CA]]</f>
        <v>0.29090909090909089</v>
      </c>
      <c r="T398" t="str">
        <f>TEXT(Tableau1_2[[#This Row],[Date]],"mmmm")</f>
        <v>mai</v>
      </c>
    </row>
    <row r="399" spans="1:20" x14ac:dyDescent="0.35">
      <c r="A399" t="s">
        <v>1024</v>
      </c>
      <c r="B399" s="2">
        <v>46213</v>
      </c>
      <c r="C399" t="s">
        <v>179</v>
      </c>
      <c r="D399" t="s">
        <v>669</v>
      </c>
      <c r="E399" t="s">
        <v>18</v>
      </c>
      <c r="F399" t="s">
        <v>18</v>
      </c>
      <c r="G399" t="s">
        <v>34</v>
      </c>
      <c r="H399" t="s">
        <v>35</v>
      </c>
      <c r="I399">
        <v>2</v>
      </c>
      <c r="J399">
        <v>57800</v>
      </c>
      <c r="K399">
        <v>40200</v>
      </c>
      <c r="L399" t="s">
        <v>96</v>
      </c>
      <c r="M399" t="s">
        <v>51</v>
      </c>
      <c r="N399" t="s">
        <v>87</v>
      </c>
      <c r="O399" t="s">
        <v>24</v>
      </c>
      <c r="P399">
        <f>Tableau1_2[[#This Row],[Quantité]]*Tableau1_2[[#This Row],[Prix_Unitaire]]</f>
        <v>115600</v>
      </c>
      <c r="Q399">
        <f>Tableau1_2[[#This Row],[Quantité]]*Tableau1_2[[#This Row],[Coût_Unitaire]]</f>
        <v>80400</v>
      </c>
      <c r="R399">
        <f>Tableau1_2[[#This Row],[CA]]-Tableau1_2[[#This Row],[Cout Total]]</f>
        <v>35200</v>
      </c>
      <c r="S399" s="4">
        <f>Tableau1_2[[#This Row],[Marge]]/Tableau1_2[[#This Row],[CA]]</f>
        <v>0.30449826989619377</v>
      </c>
      <c r="T399" t="str">
        <f>TEXT(Tableau1_2[[#This Row],[Date]],"mmmm")</f>
        <v>juillet</v>
      </c>
    </row>
    <row r="400" spans="1:20" x14ac:dyDescent="0.35">
      <c r="A400" t="s">
        <v>1025</v>
      </c>
      <c r="B400" s="2">
        <v>46027</v>
      </c>
      <c r="C400" t="s">
        <v>1026</v>
      </c>
      <c r="D400" t="s">
        <v>875</v>
      </c>
      <c r="E400" t="s">
        <v>18</v>
      </c>
      <c r="F400" t="s">
        <v>18</v>
      </c>
      <c r="G400" t="s">
        <v>34</v>
      </c>
      <c r="H400" t="s">
        <v>141</v>
      </c>
      <c r="I400">
        <v>7</v>
      </c>
      <c r="J400">
        <v>160000</v>
      </c>
      <c r="K400">
        <v>120000</v>
      </c>
      <c r="L400" t="s">
        <v>50</v>
      </c>
      <c r="M400" t="s">
        <v>51</v>
      </c>
      <c r="N400" t="s">
        <v>23</v>
      </c>
      <c r="O400" t="s">
        <v>24</v>
      </c>
      <c r="P400">
        <f>Tableau1_2[[#This Row],[Quantité]]*Tableau1_2[[#This Row],[Prix_Unitaire]]</f>
        <v>1120000</v>
      </c>
      <c r="Q400">
        <f>Tableau1_2[[#This Row],[Quantité]]*Tableau1_2[[#This Row],[Coût_Unitaire]]</f>
        <v>840000</v>
      </c>
      <c r="R400">
        <f>Tableau1_2[[#This Row],[CA]]-Tableau1_2[[#This Row],[Cout Total]]</f>
        <v>280000</v>
      </c>
      <c r="S400" s="4">
        <f>Tableau1_2[[#This Row],[Marge]]/Tableau1_2[[#This Row],[CA]]</f>
        <v>0.25</v>
      </c>
      <c r="T400" t="str">
        <f>TEXT(Tableau1_2[[#This Row],[Date]],"mmmm")</f>
        <v>janvier</v>
      </c>
    </row>
    <row r="401" spans="1:20" x14ac:dyDescent="0.35">
      <c r="A401" t="s">
        <v>1027</v>
      </c>
      <c r="B401" s="2">
        <v>46354</v>
      </c>
      <c r="C401" t="s">
        <v>955</v>
      </c>
      <c r="D401" t="s">
        <v>1028</v>
      </c>
      <c r="E401" t="s">
        <v>41</v>
      </c>
      <c r="F401" t="s">
        <v>42</v>
      </c>
      <c r="G401" t="s">
        <v>28</v>
      </c>
      <c r="H401" t="s">
        <v>131</v>
      </c>
      <c r="I401">
        <v>5</v>
      </c>
      <c r="J401">
        <v>30000</v>
      </c>
      <c r="K401">
        <v>18400</v>
      </c>
      <c r="L401" t="s">
        <v>96</v>
      </c>
      <c r="M401" t="s">
        <v>37</v>
      </c>
      <c r="N401" t="s">
        <v>52</v>
      </c>
      <c r="O401" t="s">
        <v>24</v>
      </c>
      <c r="P401">
        <f>Tableau1_2[[#This Row],[Quantité]]*Tableau1_2[[#This Row],[Prix_Unitaire]]</f>
        <v>150000</v>
      </c>
      <c r="Q401">
        <f>Tableau1_2[[#This Row],[Quantité]]*Tableau1_2[[#This Row],[Coût_Unitaire]]</f>
        <v>92000</v>
      </c>
      <c r="R401">
        <f>Tableau1_2[[#This Row],[CA]]-Tableau1_2[[#This Row],[Cout Total]]</f>
        <v>58000</v>
      </c>
      <c r="S401" s="4">
        <f>Tableau1_2[[#This Row],[Marge]]/Tableau1_2[[#This Row],[CA]]</f>
        <v>0.38666666666666666</v>
      </c>
      <c r="T401" t="str">
        <f>TEXT(Tableau1_2[[#This Row],[Date]],"mmmm")</f>
        <v>novembre</v>
      </c>
    </row>
    <row r="402" spans="1:20" x14ac:dyDescent="0.35">
      <c r="A402" t="s">
        <v>1029</v>
      </c>
      <c r="B402" s="2">
        <v>46383</v>
      </c>
      <c r="C402" t="s">
        <v>678</v>
      </c>
      <c r="D402" t="s">
        <v>468</v>
      </c>
      <c r="E402" t="s">
        <v>70</v>
      </c>
      <c r="F402" t="s">
        <v>71</v>
      </c>
      <c r="G402" t="s">
        <v>34</v>
      </c>
      <c r="H402" t="s">
        <v>35</v>
      </c>
      <c r="I402">
        <v>8</v>
      </c>
      <c r="J402">
        <v>57800</v>
      </c>
      <c r="K402">
        <v>37800</v>
      </c>
      <c r="L402" t="s">
        <v>73</v>
      </c>
      <c r="M402" t="s">
        <v>31</v>
      </c>
      <c r="N402" t="s">
        <v>52</v>
      </c>
      <c r="O402" t="s">
        <v>24</v>
      </c>
      <c r="P402">
        <f>Tableau1_2[[#This Row],[Quantité]]*Tableau1_2[[#This Row],[Prix_Unitaire]]</f>
        <v>462400</v>
      </c>
      <c r="Q402">
        <f>Tableau1_2[[#This Row],[Quantité]]*Tableau1_2[[#This Row],[Coût_Unitaire]]</f>
        <v>302400</v>
      </c>
      <c r="R402">
        <f>Tableau1_2[[#This Row],[CA]]-Tableau1_2[[#This Row],[Cout Total]]</f>
        <v>160000</v>
      </c>
      <c r="S402" s="4">
        <f>Tableau1_2[[#This Row],[Marge]]/Tableau1_2[[#This Row],[CA]]</f>
        <v>0.34602076124567471</v>
      </c>
      <c r="T402" t="str">
        <f>TEXT(Tableau1_2[[#This Row],[Date]],"mmmm")</f>
        <v>décembre</v>
      </c>
    </row>
    <row r="403" spans="1:20" x14ac:dyDescent="0.35">
      <c r="A403" t="s">
        <v>1030</v>
      </c>
      <c r="B403" s="2">
        <v>46246</v>
      </c>
      <c r="C403" t="s">
        <v>580</v>
      </c>
      <c r="D403" t="s">
        <v>1031</v>
      </c>
      <c r="E403" t="s">
        <v>18</v>
      </c>
      <c r="F403" t="s">
        <v>18</v>
      </c>
      <c r="G403" t="s">
        <v>34</v>
      </c>
      <c r="H403" t="s">
        <v>158</v>
      </c>
      <c r="I403">
        <v>5</v>
      </c>
      <c r="J403">
        <v>99800</v>
      </c>
      <c r="K403">
        <v>70000</v>
      </c>
      <c r="L403" t="s">
        <v>73</v>
      </c>
      <c r="M403" t="s">
        <v>51</v>
      </c>
      <c r="N403" t="s">
        <v>52</v>
      </c>
      <c r="O403" t="s">
        <v>24</v>
      </c>
      <c r="P403">
        <f>Tableau1_2[[#This Row],[Quantité]]*Tableau1_2[[#This Row],[Prix_Unitaire]]</f>
        <v>499000</v>
      </c>
      <c r="Q403">
        <f>Tableau1_2[[#This Row],[Quantité]]*Tableau1_2[[#This Row],[Coût_Unitaire]]</f>
        <v>350000</v>
      </c>
      <c r="R403">
        <f>Tableau1_2[[#This Row],[CA]]-Tableau1_2[[#This Row],[Cout Total]]</f>
        <v>149000</v>
      </c>
      <c r="S403" s="4">
        <f>Tableau1_2[[#This Row],[Marge]]/Tableau1_2[[#This Row],[CA]]</f>
        <v>0.29859719438877758</v>
      </c>
      <c r="T403" t="str">
        <f>TEXT(Tableau1_2[[#This Row],[Date]],"mmmm")</f>
        <v>août</v>
      </c>
    </row>
    <row r="404" spans="1:20" x14ac:dyDescent="0.35">
      <c r="A404" t="s">
        <v>1032</v>
      </c>
      <c r="B404" s="2">
        <v>46145</v>
      </c>
      <c r="C404" t="s">
        <v>1033</v>
      </c>
      <c r="D404" t="s">
        <v>1034</v>
      </c>
      <c r="E404" t="s">
        <v>18</v>
      </c>
      <c r="F404" t="s">
        <v>18</v>
      </c>
      <c r="G404" t="s">
        <v>34</v>
      </c>
      <c r="H404" t="s">
        <v>35</v>
      </c>
      <c r="I404">
        <v>10</v>
      </c>
      <c r="J404">
        <v>52200</v>
      </c>
      <c r="K404">
        <v>40200</v>
      </c>
      <c r="L404" t="s">
        <v>66</v>
      </c>
      <c r="M404" t="s">
        <v>51</v>
      </c>
      <c r="N404" t="s">
        <v>52</v>
      </c>
      <c r="O404" t="s">
        <v>24</v>
      </c>
      <c r="P404">
        <f>Tableau1_2[[#This Row],[Quantité]]*Tableau1_2[[#This Row],[Prix_Unitaire]]</f>
        <v>522000</v>
      </c>
      <c r="Q404">
        <f>Tableau1_2[[#This Row],[Quantité]]*Tableau1_2[[#This Row],[Coût_Unitaire]]</f>
        <v>402000</v>
      </c>
      <c r="R404">
        <f>Tableau1_2[[#This Row],[CA]]-Tableau1_2[[#This Row],[Cout Total]]</f>
        <v>120000</v>
      </c>
      <c r="S404" s="4">
        <f>Tableau1_2[[#This Row],[Marge]]/Tableau1_2[[#This Row],[CA]]</f>
        <v>0.22988505747126436</v>
      </c>
      <c r="T404" t="str">
        <f>TEXT(Tableau1_2[[#This Row],[Date]],"mmmm")</f>
        <v>mai</v>
      </c>
    </row>
    <row r="405" spans="1:20" x14ac:dyDescent="0.35">
      <c r="A405" t="s">
        <v>1035</v>
      </c>
      <c r="B405" s="2">
        <v>46110</v>
      </c>
      <c r="C405" t="s">
        <v>366</v>
      </c>
      <c r="D405" t="s">
        <v>203</v>
      </c>
      <c r="E405" t="s">
        <v>70</v>
      </c>
      <c r="F405" t="s">
        <v>71</v>
      </c>
      <c r="G405" t="s">
        <v>43</v>
      </c>
      <c r="H405" t="s">
        <v>44</v>
      </c>
      <c r="I405">
        <v>8</v>
      </c>
      <c r="J405">
        <v>15000</v>
      </c>
      <c r="K405">
        <v>9800</v>
      </c>
      <c r="L405" t="s">
        <v>66</v>
      </c>
      <c r="M405" t="s">
        <v>37</v>
      </c>
      <c r="N405" t="s">
        <v>23</v>
      </c>
      <c r="O405" t="s">
        <v>24</v>
      </c>
      <c r="P405">
        <f>Tableau1_2[[#This Row],[Quantité]]*Tableau1_2[[#This Row],[Prix_Unitaire]]</f>
        <v>120000</v>
      </c>
      <c r="Q405">
        <f>Tableau1_2[[#This Row],[Quantité]]*Tableau1_2[[#This Row],[Coût_Unitaire]]</f>
        <v>78400</v>
      </c>
      <c r="R405">
        <f>Tableau1_2[[#This Row],[CA]]-Tableau1_2[[#This Row],[Cout Total]]</f>
        <v>41600</v>
      </c>
      <c r="S405" s="4">
        <f>Tableau1_2[[#This Row],[Marge]]/Tableau1_2[[#This Row],[CA]]</f>
        <v>0.34666666666666668</v>
      </c>
      <c r="T405" t="str">
        <f>TEXT(Tableau1_2[[#This Row],[Date]],"mmmm")</f>
        <v>mars</v>
      </c>
    </row>
    <row r="406" spans="1:20" x14ac:dyDescent="0.35">
      <c r="A406" t="s">
        <v>1036</v>
      </c>
      <c r="B406" s="2">
        <v>46286</v>
      </c>
      <c r="C406" t="s">
        <v>1037</v>
      </c>
      <c r="D406" t="s">
        <v>1038</v>
      </c>
      <c r="E406" t="s">
        <v>18</v>
      </c>
      <c r="F406" t="s">
        <v>18</v>
      </c>
      <c r="G406" t="s">
        <v>19</v>
      </c>
      <c r="H406" t="s">
        <v>166</v>
      </c>
      <c r="I406">
        <v>1</v>
      </c>
      <c r="J406">
        <v>147000</v>
      </c>
      <c r="K406">
        <v>97000</v>
      </c>
      <c r="L406" t="s">
        <v>66</v>
      </c>
      <c r="M406" t="s">
        <v>22</v>
      </c>
      <c r="N406" t="s">
        <v>52</v>
      </c>
      <c r="O406" t="s">
        <v>24</v>
      </c>
      <c r="P406">
        <f>Tableau1_2[[#This Row],[Quantité]]*Tableau1_2[[#This Row],[Prix_Unitaire]]</f>
        <v>147000</v>
      </c>
      <c r="Q406">
        <f>Tableau1_2[[#This Row],[Quantité]]*Tableau1_2[[#This Row],[Coût_Unitaire]]</f>
        <v>97000</v>
      </c>
      <c r="R406">
        <f>Tableau1_2[[#This Row],[CA]]-Tableau1_2[[#This Row],[Cout Total]]</f>
        <v>50000</v>
      </c>
      <c r="S406" s="4">
        <f>Tableau1_2[[#This Row],[Marge]]/Tableau1_2[[#This Row],[CA]]</f>
        <v>0.3401360544217687</v>
      </c>
      <c r="T406" t="str">
        <f>TEXT(Tableau1_2[[#This Row],[Date]],"mmmm")</f>
        <v>septembre</v>
      </c>
    </row>
    <row r="407" spans="1:20" x14ac:dyDescent="0.35">
      <c r="A407" t="s">
        <v>1039</v>
      </c>
      <c r="B407" s="2">
        <v>46106</v>
      </c>
      <c r="C407" t="s">
        <v>1040</v>
      </c>
      <c r="D407" t="s">
        <v>898</v>
      </c>
      <c r="E407" t="s">
        <v>84</v>
      </c>
      <c r="F407" t="s">
        <v>85</v>
      </c>
      <c r="G407" t="s">
        <v>28</v>
      </c>
      <c r="H407" t="s">
        <v>65</v>
      </c>
      <c r="I407">
        <v>6</v>
      </c>
      <c r="J407">
        <v>11400</v>
      </c>
      <c r="K407">
        <v>7300</v>
      </c>
      <c r="L407" t="s">
        <v>96</v>
      </c>
      <c r="M407" t="s">
        <v>37</v>
      </c>
      <c r="N407" t="s">
        <v>23</v>
      </c>
      <c r="O407" t="s">
        <v>24</v>
      </c>
      <c r="P407">
        <f>Tableau1_2[[#This Row],[Quantité]]*Tableau1_2[[#This Row],[Prix_Unitaire]]</f>
        <v>68400</v>
      </c>
      <c r="Q407">
        <f>Tableau1_2[[#This Row],[Quantité]]*Tableau1_2[[#This Row],[Coût_Unitaire]]</f>
        <v>43800</v>
      </c>
      <c r="R407">
        <f>Tableau1_2[[#This Row],[CA]]-Tableau1_2[[#This Row],[Cout Total]]</f>
        <v>24600</v>
      </c>
      <c r="S407" s="4">
        <f>Tableau1_2[[#This Row],[Marge]]/Tableau1_2[[#This Row],[CA]]</f>
        <v>0.35964912280701755</v>
      </c>
      <c r="T407" t="str">
        <f>TEXT(Tableau1_2[[#This Row],[Date]],"mmmm")</f>
        <v>mars</v>
      </c>
    </row>
    <row r="408" spans="1:20" x14ac:dyDescent="0.35">
      <c r="A408" t="s">
        <v>1041</v>
      </c>
      <c r="B408" s="2">
        <v>46044</v>
      </c>
      <c r="C408" t="s">
        <v>1042</v>
      </c>
      <c r="D408" t="s">
        <v>1043</v>
      </c>
      <c r="E408" t="s">
        <v>77</v>
      </c>
      <c r="F408" t="s">
        <v>78</v>
      </c>
      <c r="G408" t="s">
        <v>43</v>
      </c>
      <c r="H408" t="s">
        <v>162</v>
      </c>
      <c r="I408">
        <v>6</v>
      </c>
      <c r="J408">
        <v>7600</v>
      </c>
      <c r="K408">
        <v>5200</v>
      </c>
      <c r="L408" t="s">
        <v>66</v>
      </c>
      <c r="M408" t="s">
        <v>22</v>
      </c>
      <c r="N408" t="s">
        <v>52</v>
      </c>
      <c r="O408" t="s">
        <v>24</v>
      </c>
      <c r="P408">
        <f>Tableau1_2[[#This Row],[Quantité]]*Tableau1_2[[#This Row],[Prix_Unitaire]]</f>
        <v>45600</v>
      </c>
      <c r="Q408">
        <f>Tableau1_2[[#This Row],[Quantité]]*Tableau1_2[[#This Row],[Coût_Unitaire]]</f>
        <v>31200</v>
      </c>
      <c r="R408">
        <f>Tableau1_2[[#This Row],[CA]]-Tableau1_2[[#This Row],[Cout Total]]</f>
        <v>14400</v>
      </c>
      <c r="S408" s="4">
        <f>Tableau1_2[[#This Row],[Marge]]/Tableau1_2[[#This Row],[CA]]</f>
        <v>0.31578947368421051</v>
      </c>
      <c r="T408" t="str">
        <f>TEXT(Tableau1_2[[#This Row],[Date]],"mmmm")</f>
        <v>janvier</v>
      </c>
    </row>
    <row r="409" spans="1:20" x14ac:dyDescent="0.35">
      <c r="A409" t="s">
        <v>1044</v>
      </c>
      <c r="B409" s="2">
        <v>46194</v>
      </c>
      <c r="C409" t="s">
        <v>1045</v>
      </c>
      <c r="D409" t="s">
        <v>691</v>
      </c>
      <c r="E409" t="s">
        <v>18</v>
      </c>
      <c r="F409" t="s">
        <v>18</v>
      </c>
      <c r="G409" t="s">
        <v>43</v>
      </c>
      <c r="H409" t="s">
        <v>44</v>
      </c>
      <c r="I409">
        <v>8</v>
      </c>
      <c r="J409">
        <v>15800</v>
      </c>
      <c r="K409">
        <v>9800</v>
      </c>
      <c r="L409" t="s">
        <v>73</v>
      </c>
      <c r="M409" t="s">
        <v>31</v>
      </c>
      <c r="N409" t="s">
        <v>23</v>
      </c>
      <c r="O409" t="s">
        <v>24</v>
      </c>
      <c r="P409">
        <f>Tableau1_2[[#This Row],[Quantité]]*Tableau1_2[[#This Row],[Prix_Unitaire]]</f>
        <v>126400</v>
      </c>
      <c r="Q409">
        <f>Tableau1_2[[#This Row],[Quantité]]*Tableau1_2[[#This Row],[Coût_Unitaire]]</f>
        <v>78400</v>
      </c>
      <c r="R409">
        <f>Tableau1_2[[#This Row],[CA]]-Tableau1_2[[#This Row],[Cout Total]]</f>
        <v>48000</v>
      </c>
      <c r="S409" s="4">
        <f>Tableau1_2[[#This Row],[Marge]]/Tableau1_2[[#This Row],[CA]]</f>
        <v>0.379746835443038</v>
      </c>
      <c r="T409" t="str">
        <f>TEXT(Tableau1_2[[#This Row],[Date]],"mmmm")</f>
        <v>juin</v>
      </c>
    </row>
    <row r="410" spans="1:20" x14ac:dyDescent="0.35">
      <c r="A410" t="s">
        <v>1046</v>
      </c>
      <c r="B410" s="2">
        <v>46206</v>
      </c>
      <c r="C410" t="s">
        <v>1047</v>
      </c>
      <c r="D410" t="s">
        <v>1048</v>
      </c>
      <c r="E410" t="s">
        <v>84</v>
      </c>
      <c r="F410" t="s">
        <v>85</v>
      </c>
      <c r="G410" t="s">
        <v>34</v>
      </c>
      <c r="H410" t="s">
        <v>158</v>
      </c>
      <c r="I410">
        <v>8</v>
      </c>
      <c r="J410">
        <v>95000</v>
      </c>
      <c r="K410">
        <v>70000</v>
      </c>
      <c r="L410" t="s">
        <v>30</v>
      </c>
      <c r="M410" t="s">
        <v>31</v>
      </c>
      <c r="N410" t="s">
        <v>52</v>
      </c>
      <c r="O410" t="s">
        <v>24</v>
      </c>
      <c r="P410">
        <f>Tableau1_2[[#This Row],[Quantité]]*Tableau1_2[[#This Row],[Prix_Unitaire]]</f>
        <v>760000</v>
      </c>
      <c r="Q410">
        <f>Tableau1_2[[#This Row],[Quantité]]*Tableau1_2[[#This Row],[Coût_Unitaire]]</f>
        <v>560000</v>
      </c>
      <c r="R410">
        <f>Tableau1_2[[#This Row],[CA]]-Tableau1_2[[#This Row],[Cout Total]]</f>
        <v>200000</v>
      </c>
      <c r="S410" s="4">
        <f>Tableau1_2[[#This Row],[Marge]]/Tableau1_2[[#This Row],[CA]]</f>
        <v>0.26315789473684209</v>
      </c>
      <c r="T410" t="str">
        <f>TEXT(Tableau1_2[[#This Row],[Date]],"mmmm")</f>
        <v>juillet</v>
      </c>
    </row>
    <row r="411" spans="1:20" x14ac:dyDescent="0.35">
      <c r="A411" t="s">
        <v>1049</v>
      </c>
      <c r="B411" s="2">
        <v>46091</v>
      </c>
      <c r="C411" t="s">
        <v>410</v>
      </c>
      <c r="D411" t="s">
        <v>755</v>
      </c>
      <c r="E411" t="s">
        <v>156</v>
      </c>
      <c r="F411" t="s">
        <v>157</v>
      </c>
      <c r="G411" t="s">
        <v>34</v>
      </c>
      <c r="H411" t="s">
        <v>35</v>
      </c>
      <c r="I411">
        <v>2</v>
      </c>
      <c r="J411">
        <v>57800</v>
      </c>
      <c r="K411">
        <v>37800</v>
      </c>
      <c r="L411" t="s">
        <v>21</v>
      </c>
      <c r="M411" t="s">
        <v>37</v>
      </c>
      <c r="N411" t="s">
        <v>52</v>
      </c>
      <c r="O411" t="s">
        <v>91</v>
      </c>
      <c r="P411">
        <f>Tableau1_2[[#This Row],[Quantité]]*Tableau1_2[[#This Row],[Prix_Unitaire]]</f>
        <v>115600</v>
      </c>
      <c r="Q411">
        <f>Tableau1_2[[#This Row],[Quantité]]*Tableau1_2[[#This Row],[Coût_Unitaire]]</f>
        <v>75600</v>
      </c>
      <c r="R411">
        <f>Tableau1_2[[#This Row],[CA]]-Tableau1_2[[#This Row],[Cout Total]]</f>
        <v>40000</v>
      </c>
      <c r="S411" s="4">
        <f>Tableau1_2[[#This Row],[Marge]]/Tableau1_2[[#This Row],[CA]]</f>
        <v>0.34602076124567471</v>
      </c>
      <c r="T411" t="str">
        <f>TEXT(Tableau1_2[[#This Row],[Date]],"mmmm")</f>
        <v>mars</v>
      </c>
    </row>
    <row r="412" spans="1:20" x14ac:dyDescent="0.35">
      <c r="A412" t="s">
        <v>1050</v>
      </c>
      <c r="B412" s="2">
        <v>46112</v>
      </c>
      <c r="C412" t="s">
        <v>1051</v>
      </c>
      <c r="D412" t="s">
        <v>1052</v>
      </c>
      <c r="E412" t="s">
        <v>18</v>
      </c>
      <c r="F412" t="s">
        <v>18</v>
      </c>
      <c r="G412" t="s">
        <v>43</v>
      </c>
      <c r="H412" t="s">
        <v>79</v>
      </c>
      <c r="I412">
        <v>9</v>
      </c>
      <c r="J412">
        <v>6300</v>
      </c>
      <c r="K412">
        <v>4300</v>
      </c>
      <c r="L412" t="s">
        <v>80</v>
      </c>
      <c r="M412" t="s">
        <v>51</v>
      </c>
      <c r="N412" t="s">
        <v>52</v>
      </c>
      <c r="O412" t="s">
        <v>91</v>
      </c>
      <c r="P412">
        <f>Tableau1_2[[#This Row],[Quantité]]*Tableau1_2[[#This Row],[Prix_Unitaire]]</f>
        <v>56700</v>
      </c>
      <c r="Q412">
        <f>Tableau1_2[[#This Row],[Quantité]]*Tableau1_2[[#This Row],[Coût_Unitaire]]</f>
        <v>38700</v>
      </c>
      <c r="R412">
        <f>Tableau1_2[[#This Row],[CA]]-Tableau1_2[[#This Row],[Cout Total]]</f>
        <v>18000</v>
      </c>
      <c r="S412" s="4">
        <f>Tableau1_2[[#This Row],[Marge]]/Tableau1_2[[#This Row],[CA]]</f>
        <v>0.31746031746031744</v>
      </c>
      <c r="T412" t="str">
        <f>TEXT(Tableau1_2[[#This Row],[Date]],"mmmm")</f>
        <v>mars</v>
      </c>
    </row>
    <row r="413" spans="1:20" x14ac:dyDescent="0.35">
      <c r="A413" t="s">
        <v>1053</v>
      </c>
      <c r="B413" s="2">
        <v>46328</v>
      </c>
      <c r="C413" t="s">
        <v>598</v>
      </c>
      <c r="D413" t="s">
        <v>1054</v>
      </c>
      <c r="E413" t="s">
        <v>41</v>
      </c>
      <c r="F413" t="s">
        <v>42</v>
      </c>
      <c r="G413" t="s">
        <v>28</v>
      </c>
      <c r="H413" t="s">
        <v>131</v>
      </c>
      <c r="I413">
        <v>6</v>
      </c>
      <c r="J413">
        <v>28500</v>
      </c>
      <c r="K413">
        <v>19600</v>
      </c>
      <c r="L413" t="s">
        <v>96</v>
      </c>
      <c r="M413" t="s">
        <v>51</v>
      </c>
      <c r="N413" t="s">
        <v>23</v>
      </c>
      <c r="O413" t="s">
        <v>45</v>
      </c>
      <c r="P413">
        <f>Tableau1_2[[#This Row],[Quantité]]*Tableau1_2[[#This Row],[Prix_Unitaire]]</f>
        <v>171000</v>
      </c>
      <c r="Q413">
        <f>Tableau1_2[[#This Row],[Quantité]]*Tableau1_2[[#This Row],[Coût_Unitaire]]</f>
        <v>117600</v>
      </c>
      <c r="R413">
        <f>Tableau1_2[[#This Row],[CA]]-Tableau1_2[[#This Row],[Cout Total]]</f>
        <v>53400</v>
      </c>
      <c r="S413" s="4">
        <f>Tableau1_2[[#This Row],[Marge]]/Tableau1_2[[#This Row],[CA]]</f>
        <v>0.31228070175438599</v>
      </c>
      <c r="T413" t="str">
        <f>TEXT(Tableau1_2[[#This Row],[Date]],"mmmm")</f>
        <v>novembre</v>
      </c>
    </row>
    <row r="414" spans="1:20" x14ac:dyDescent="0.35">
      <c r="A414" t="s">
        <v>1055</v>
      </c>
      <c r="B414" s="2">
        <v>46082</v>
      </c>
      <c r="C414" t="s">
        <v>1056</v>
      </c>
      <c r="D414" t="s">
        <v>1057</v>
      </c>
      <c r="E414" t="s">
        <v>190</v>
      </c>
      <c r="F414" t="s">
        <v>191</v>
      </c>
      <c r="G414" t="s">
        <v>28</v>
      </c>
      <c r="H414" t="s">
        <v>248</v>
      </c>
      <c r="I414">
        <v>3</v>
      </c>
      <c r="J414">
        <v>25000</v>
      </c>
      <c r="K414">
        <v>15500</v>
      </c>
      <c r="L414" t="s">
        <v>80</v>
      </c>
      <c r="M414" t="s">
        <v>31</v>
      </c>
      <c r="N414" t="s">
        <v>52</v>
      </c>
      <c r="O414" t="s">
        <v>24</v>
      </c>
      <c r="P414">
        <f>Tableau1_2[[#This Row],[Quantité]]*Tableau1_2[[#This Row],[Prix_Unitaire]]</f>
        <v>75000</v>
      </c>
      <c r="Q414">
        <f>Tableau1_2[[#This Row],[Quantité]]*Tableau1_2[[#This Row],[Coût_Unitaire]]</f>
        <v>46500</v>
      </c>
      <c r="R414">
        <f>Tableau1_2[[#This Row],[CA]]-Tableau1_2[[#This Row],[Cout Total]]</f>
        <v>28500</v>
      </c>
      <c r="S414" s="4">
        <f>Tableau1_2[[#This Row],[Marge]]/Tableau1_2[[#This Row],[CA]]</f>
        <v>0.38</v>
      </c>
      <c r="T414" t="str">
        <f>TEXT(Tableau1_2[[#This Row],[Date]],"mmmm")</f>
        <v>mars</v>
      </c>
    </row>
    <row r="415" spans="1:20" x14ac:dyDescent="0.35">
      <c r="A415" t="s">
        <v>1058</v>
      </c>
      <c r="B415" s="2">
        <v>46340</v>
      </c>
      <c r="C415" t="s">
        <v>967</v>
      </c>
      <c r="D415" t="s">
        <v>1059</v>
      </c>
      <c r="E415" t="s">
        <v>190</v>
      </c>
      <c r="F415" t="s">
        <v>191</v>
      </c>
      <c r="G415" t="s">
        <v>43</v>
      </c>
      <c r="H415" t="s">
        <v>162</v>
      </c>
      <c r="I415">
        <v>10</v>
      </c>
      <c r="J415">
        <v>8400</v>
      </c>
      <c r="K415">
        <v>4800</v>
      </c>
      <c r="L415" t="s">
        <v>66</v>
      </c>
      <c r="M415" t="s">
        <v>31</v>
      </c>
      <c r="N415" t="s">
        <v>23</v>
      </c>
      <c r="O415" t="s">
        <v>24</v>
      </c>
      <c r="P415">
        <f>Tableau1_2[[#This Row],[Quantité]]*Tableau1_2[[#This Row],[Prix_Unitaire]]</f>
        <v>84000</v>
      </c>
      <c r="Q415">
        <f>Tableau1_2[[#This Row],[Quantité]]*Tableau1_2[[#This Row],[Coût_Unitaire]]</f>
        <v>48000</v>
      </c>
      <c r="R415">
        <f>Tableau1_2[[#This Row],[CA]]-Tableau1_2[[#This Row],[Cout Total]]</f>
        <v>36000</v>
      </c>
      <c r="S415" s="4">
        <f>Tableau1_2[[#This Row],[Marge]]/Tableau1_2[[#This Row],[CA]]</f>
        <v>0.42857142857142855</v>
      </c>
      <c r="T415" t="str">
        <f>TEXT(Tableau1_2[[#This Row],[Date]],"mmmm")</f>
        <v>novembre</v>
      </c>
    </row>
    <row r="416" spans="1:20" x14ac:dyDescent="0.35">
      <c r="A416" t="s">
        <v>1060</v>
      </c>
      <c r="B416" s="2">
        <v>46191</v>
      </c>
      <c r="C416" t="s">
        <v>117</v>
      </c>
      <c r="D416" t="s">
        <v>969</v>
      </c>
      <c r="E416" t="s">
        <v>18</v>
      </c>
      <c r="F416" t="s">
        <v>18</v>
      </c>
      <c r="G416" t="s">
        <v>28</v>
      </c>
      <c r="H416" t="s">
        <v>72</v>
      </c>
      <c r="I416">
        <v>3</v>
      </c>
      <c r="J416">
        <v>10000</v>
      </c>
      <c r="K416">
        <v>6400</v>
      </c>
      <c r="L416" t="s">
        <v>73</v>
      </c>
      <c r="M416" t="s">
        <v>37</v>
      </c>
      <c r="N416" t="s">
        <v>23</v>
      </c>
      <c r="O416" t="s">
        <v>24</v>
      </c>
      <c r="P416">
        <f>Tableau1_2[[#This Row],[Quantité]]*Tableau1_2[[#This Row],[Prix_Unitaire]]</f>
        <v>30000</v>
      </c>
      <c r="Q416">
        <f>Tableau1_2[[#This Row],[Quantité]]*Tableau1_2[[#This Row],[Coût_Unitaire]]</f>
        <v>19200</v>
      </c>
      <c r="R416">
        <f>Tableau1_2[[#This Row],[CA]]-Tableau1_2[[#This Row],[Cout Total]]</f>
        <v>10800</v>
      </c>
      <c r="S416" s="4">
        <f>Tableau1_2[[#This Row],[Marge]]/Tableau1_2[[#This Row],[CA]]</f>
        <v>0.36</v>
      </c>
      <c r="T416" t="str">
        <f>TEXT(Tableau1_2[[#This Row],[Date]],"mmmm")</f>
        <v>juin</v>
      </c>
    </row>
    <row r="417" spans="1:20" x14ac:dyDescent="0.35">
      <c r="A417" t="s">
        <v>1061</v>
      </c>
      <c r="B417" s="2">
        <v>46376</v>
      </c>
      <c r="C417" t="s">
        <v>275</v>
      </c>
      <c r="D417" t="s">
        <v>1062</v>
      </c>
      <c r="E417" t="s">
        <v>156</v>
      </c>
      <c r="F417" t="s">
        <v>157</v>
      </c>
      <c r="G417" t="s">
        <v>43</v>
      </c>
      <c r="H417" t="s">
        <v>44</v>
      </c>
      <c r="I417">
        <v>3</v>
      </c>
      <c r="J417">
        <v>14200</v>
      </c>
      <c r="K417">
        <v>9200</v>
      </c>
      <c r="L417" t="s">
        <v>50</v>
      </c>
      <c r="M417" t="s">
        <v>31</v>
      </c>
      <c r="N417" t="s">
        <v>23</v>
      </c>
      <c r="O417" t="s">
        <v>24</v>
      </c>
      <c r="P417">
        <f>Tableau1_2[[#This Row],[Quantité]]*Tableau1_2[[#This Row],[Prix_Unitaire]]</f>
        <v>42600</v>
      </c>
      <c r="Q417">
        <f>Tableau1_2[[#This Row],[Quantité]]*Tableau1_2[[#This Row],[Coût_Unitaire]]</f>
        <v>27600</v>
      </c>
      <c r="R417">
        <f>Tableau1_2[[#This Row],[CA]]-Tableau1_2[[#This Row],[Cout Total]]</f>
        <v>15000</v>
      </c>
      <c r="S417" s="4">
        <f>Tableau1_2[[#This Row],[Marge]]/Tableau1_2[[#This Row],[CA]]</f>
        <v>0.352112676056338</v>
      </c>
      <c r="T417" t="str">
        <f>TEXT(Tableau1_2[[#This Row],[Date]],"mmmm")</f>
        <v>décembre</v>
      </c>
    </row>
    <row r="418" spans="1:20" x14ac:dyDescent="0.35">
      <c r="A418" t="s">
        <v>1063</v>
      </c>
      <c r="B418" s="2">
        <v>46077</v>
      </c>
      <c r="C418" t="s">
        <v>1064</v>
      </c>
      <c r="D418" t="s">
        <v>709</v>
      </c>
      <c r="E418" t="s">
        <v>70</v>
      </c>
      <c r="F418" t="s">
        <v>71</v>
      </c>
      <c r="G418" t="s">
        <v>34</v>
      </c>
      <c r="H418" t="s">
        <v>141</v>
      </c>
      <c r="I418">
        <v>8</v>
      </c>
      <c r="J418">
        <v>168000</v>
      </c>
      <c r="K418">
        <v>116400</v>
      </c>
      <c r="L418" t="s">
        <v>21</v>
      </c>
      <c r="M418" t="s">
        <v>37</v>
      </c>
      <c r="N418" t="s">
        <v>23</v>
      </c>
      <c r="O418" t="s">
        <v>45</v>
      </c>
      <c r="P418">
        <f>Tableau1_2[[#This Row],[Quantité]]*Tableau1_2[[#This Row],[Prix_Unitaire]]</f>
        <v>1344000</v>
      </c>
      <c r="Q418">
        <f>Tableau1_2[[#This Row],[Quantité]]*Tableau1_2[[#This Row],[Coût_Unitaire]]</f>
        <v>931200</v>
      </c>
      <c r="R418">
        <f>Tableau1_2[[#This Row],[CA]]-Tableau1_2[[#This Row],[Cout Total]]</f>
        <v>412800</v>
      </c>
      <c r="S418" s="4">
        <f>Tableau1_2[[#This Row],[Marge]]/Tableau1_2[[#This Row],[CA]]</f>
        <v>0.30714285714285716</v>
      </c>
      <c r="T418" t="str">
        <f>TEXT(Tableau1_2[[#This Row],[Date]],"mmmm")</f>
        <v>février</v>
      </c>
    </row>
    <row r="419" spans="1:20" x14ac:dyDescent="0.35">
      <c r="A419" t="s">
        <v>1065</v>
      </c>
      <c r="B419" s="2">
        <v>46336</v>
      </c>
      <c r="C419" t="s">
        <v>569</v>
      </c>
      <c r="D419" t="s">
        <v>27</v>
      </c>
      <c r="E419" t="s">
        <v>156</v>
      </c>
      <c r="F419" t="s">
        <v>170</v>
      </c>
      <c r="G419" t="s">
        <v>43</v>
      </c>
      <c r="H419" t="s">
        <v>79</v>
      </c>
      <c r="I419">
        <v>9</v>
      </c>
      <c r="J419">
        <v>6000</v>
      </c>
      <c r="K419">
        <v>4200</v>
      </c>
      <c r="L419" t="s">
        <v>96</v>
      </c>
      <c r="M419" t="s">
        <v>22</v>
      </c>
      <c r="N419" t="s">
        <v>23</v>
      </c>
      <c r="O419" t="s">
        <v>91</v>
      </c>
      <c r="P419">
        <f>Tableau1_2[[#This Row],[Quantité]]*Tableau1_2[[#This Row],[Prix_Unitaire]]</f>
        <v>54000</v>
      </c>
      <c r="Q419">
        <f>Tableau1_2[[#This Row],[Quantité]]*Tableau1_2[[#This Row],[Coût_Unitaire]]</f>
        <v>37800</v>
      </c>
      <c r="R419">
        <f>Tableau1_2[[#This Row],[CA]]-Tableau1_2[[#This Row],[Cout Total]]</f>
        <v>16200</v>
      </c>
      <c r="S419" s="4">
        <f>Tableau1_2[[#This Row],[Marge]]/Tableau1_2[[#This Row],[CA]]</f>
        <v>0.3</v>
      </c>
      <c r="T419" t="str">
        <f>TEXT(Tableau1_2[[#This Row],[Date]],"mmmm")</f>
        <v>novembre</v>
      </c>
    </row>
    <row r="420" spans="1:20" x14ac:dyDescent="0.35">
      <c r="A420" t="s">
        <v>1066</v>
      </c>
      <c r="B420" s="2">
        <v>46301</v>
      </c>
      <c r="C420" t="s">
        <v>1067</v>
      </c>
      <c r="D420" t="s">
        <v>493</v>
      </c>
      <c r="E420" t="s">
        <v>18</v>
      </c>
      <c r="F420" t="s">
        <v>18</v>
      </c>
      <c r="G420" t="s">
        <v>43</v>
      </c>
      <c r="H420" t="s">
        <v>79</v>
      </c>
      <c r="I420">
        <v>5</v>
      </c>
      <c r="J420">
        <v>6000</v>
      </c>
      <c r="K420">
        <v>4100</v>
      </c>
      <c r="L420" t="s">
        <v>80</v>
      </c>
      <c r="M420" t="s">
        <v>37</v>
      </c>
      <c r="N420" t="s">
        <v>23</v>
      </c>
      <c r="O420" t="s">
        <v>24</v>
      </c>
      <c r="P420">
        <f>Tableau1_2[[#This Row],[Quantité]]*Tableau1_2[[#This Row],[Prix_Unitaire]]</f>
        <v>30000</v>
      </c>
      <c r="Q420">
        <f>Tableau1_2[[#This Row],[Quantité]]*Tableau1_2[[#This Row],[Coût_Unitaire]]</f>
        <v>20500</v>
      </c>
      <c r="R420">
        <f>Tableau1_2[[#This Row],[CA]]-Tableau1_2[[#This Row],[Cout Total]]</f>
        <v>9500</v>
      </c>
      <c r="S420" s="4">
        <f>Tableau1_2[[#This Row],[Marge]]/Tableau1_2[[#This Row],[CA]]</f>
        <v>0.31666666666666665</v>
      </c>
      <c r="T420" t="str">
        <f>TEXT(Tableau1_2[[#This Row],[Date]],"mmmm")</f>
        <v>octobre</v>
      </c>
    </row>
    <row r="421" spans="1:20" x14ac:dyDescent="0.35">
      <c r="A421" t="s">
        <v>1068</v>
      </c>
      <c r="B421" s="2">
        <v>46283</v>
      </c>
      <c r="C421" t="s">
        <v>1069</v>
      </c>
      <c r="D421" t="s">
        <v>184</v>
      </c>
      <c r="E421" t="s">
        <v>41</v>
      </c>
      <c r="F421" t="s">
        <v>42</v>
      </c>
      <c r="G421" t="s">
        <v>43</v>
      </c>
      <c r="H421" t="s">
        <v>79</v>
      </c>
      <c r="I421">
        <v>8</v>
      </c>
      <c r="J421">
        <v>6000</v>
      </c>
      <c r="K421">
        <v>4300</v>
      </c>
      <c r="L421" t="s">
        <v>66</v>
      </c>
      <c r="M421" t="s">
        <v>37</v>
      </c>
      <c r="N421" t="s">
        <v>52</v>
      </c>
      <c r="O421" t="s">
        <v>24</v>
      </c>
      <c r="P421">
        <f>Tableau1_2[[#This Row],[Quantité]]*Tableau1_2[[#This Row],[Prix_Unitaire]]</f>
        <v>48000</v>
      </c>
      <c r="Q421">
        <f>Tableau1_2[[#This Row],[Quantité]]*Tableau1_2[[#This Row],[Coût_Unitaire]]</f>
        <v>34400</v>
      </c>
      <c r="R421">
        <f>Tableau1_2[[#This Row],[CA]]-Tableau1_2[[#This Row],[Cout Total]]</f>
        <v>13600</v>
      </c>
      <c r="S421" s="4">
        <f>Tableau1_2[[#This Row],[Marge]]/Tableau1_2[[#This Row],[CA]]</f>
        <v>0.28333333333333333</v>
      </c>
      <c r="T421" t="str">
        <f>TEXT(Tableau1_2[[#This Row],[Date]],"mmmm")</f>
        <v>septembre</v>
      </c>
    </row>
    <row r="422" spans="1:20" x14ac:dyDescent="0.35">
      <c r="A422" t="s">
        <v>1070</v>
      </c>
      <c r="B422" s="2">
        <v>46167</v>
      </c>
      <c r="C422" t="s">
        <v>202</v>
      </c>
      <c r="D422" t="s">
        <v>317</v>
      </c>
      <c r="E422" t="s">
        <v>41</v>
      </c>
      <c r="F422" t="s">
        <v>42</v>
      </c>
      <c r="G422" t="s">
        <v>34</v>
      </c>
      <c r="H422" t="s">
        <v>141</v>
      </c>
      <c r="I422">
        <v>2</v>
      </c>
      <c r="J422">
        <v>160000</v>
      </c>
      <c r="K422">
        <v>120000</v>
      </c>
      <c r="L422" t="s">
        <v>96</v>
      </c>
      <c r="M422" t="s">
        <v>51</v>
      </c>
      <c r="N422" t="s">
        <v>23</v>
      </c>
      <c r="O422" t="s">
        <v>24</v>
      </c>
      <c r="P422">
        <f>Tableau1_2[[#This Row],[Quantité]]*Tableau1_2[[#This Row],[Prix_Unitaire]]</f>
        <v>320000</v>
      </c>
      <c r="Q422">
        <f>Tableau1_2[[#This Row],[Quantité]]*Tableau1_2[[#This Row],[Coût_Unitaire]]</f>
        <v>240000</v>
      </c>
      <c r="R422">
        <f>Tableau1_2[[#This Row],[CA]]-Tableau1_2[[#This Row],[Cout Total]]</f>
        <v>80000</v>
      </c>
      <c r="S422" s="4">
        <f>Tableau1_2[[#This Row],[Marge]]/Tableau1_2[[#This Row],[CA]]</f>
        <v>0.25</v>
      </c>
      <c r="T422" t="str">
        <f>TEXT(Tableau1_2[[#This Row],[Date]],"mmmm")</f>
        <v>mai</v>
      </c>
    </row>
    <row r="423" spans="1:20" x14ac:dyDescent="0.35">
      <c r="A423" t="s">
        <v>1071</v>
      </c>
      <c r="B423" s="2">
        <v>46349</v>
      </c>
      <c r="C423" t="s">
        <v>1072</v>
      </c>
      <c r="D423" t="s">
        <v>189</v>
      </c>
      <c r="E423" t="s">
        <v>18</v>
      </c>
      <c r="F423" t="s">
        <v>18</v>
      </c>
      <c r="G423" t="s">
        <v>43</v>
      </c>
      <c r="H423" t="s">
        <v>177</v>
      </c>
      <c r="I423">
        <v>7</v>
      </c>
      <c r="J423">
        <v>17100</v>
      </c>
      <c r="K423">
        <v>12500</v>
      </c>
      <c r="L423" t="s">
        <v>30</v>
      </c>
      <c r="M423" t="s">
        <v>51</v>
      </c>
      <c r="N423" t="s">
        <v>52</v>
      </c>
      <c r="O423" t="s">
        <v>24</v>
      </c>
      <c r="P423">
        <f>Tableau1_2[[#This Row],[Quantité]]*Tableau1_2[[#This Row],[Prix_Unitaire]]</f>
        <v>119700</v>
      </c>
      <c r="Q423">
        <f>Tableau1_2[[#This Row],[Quantité]]*Tableau1_2[[#This Row],[Coût_Unitaire]]</f>
        <v>87500</v>
      </c>
      <c r="R423">
        <f>Tableau1_2[[#This Row],[CA]]-Tableau1_2[[#This Row],[Cout Total]]</f>
        <v>32200</v>
      </c>
      <c r="S423" s="4">
        <f>Tableau1_2[[#This Row],[Marge]]/Tableau1_2[[#This Row],[CA]]</f>
        <v>0.26900584795321636</v>
      </c>
      <c r="T423" t="str">
        <f>TEXT(Tableau1_2[[#This Row],[Date]],"mmmm")</f>
        <v>novembre</v>
      </c>
    </row>
    <row r="424" spans="1:20" x14ac:dyDescent="0.35">
      <c r="A424" t="s">
        <v>1073</v>
      </c>
      <c r="B424" s="2">
        <v>46157</v>
      </c>
      <c r="C424" t="s">
        <v>33</v>
      </c>
      <c r="D424" t="s">
        <v>709</v>
      </c>
      <c r="E424" t="s">
        <v>84</v>
      </c>
      <c r="F424" t="s">
        <v>85</v>
      </c>
      <c r="G424" t="s">
        <v>28</v>
      </c>
      <c r="H424" t="s">
        <v>29</v>
      </c>
      <c r="I424">
        <v>5</v>
      </c>
      <c r="J424">
        <v>7000</v>
      </c>
      <c r="K424">
        <v>4100</v>
      </c>
      <c r="L424" t="s">
        <v>30</v>
      </c>
      <c r="M424" t="s">
        <v>22</v>
      </c>
      <c r="N424" t="s">
        <v>87</v>
      </c>
      <c r="O424" t="s">
        <v>91</v>
      </c>
      <c r="P424">
        <f>Tableau1_2[[#This Row],[Quantité]]*Tableau1_2[[#This Row],[Prix_Unitaire]]</f>
        <v>35000</v>
      </c>
      <c r="Q424">
        <f>Tableau1_2[[#This Row],[Quantité]]*Tableau1_2[[#This Row],[Coût_Unitaire]]</f>
        <v>20500</v>
      </c>
      <c r="R424">
        <f>Tableau1_2[[#This Row],[CA]]-Tableau1_2[[#This Row],[Cout Total]]</f>
        <v>14500</v>
      </c>
      <c r="S424" s="4">
        <f>Tableau1_2[[#This Row],[Marge]]/Tableau1_2[[#This Row],[CA]]</f>
        <v>0.41428571428571431</v>
      </c>
      <c r="T424" t="str">
        <f>TEXT(Tableau1_2[[#This Row],[Date]],"mmmm")</f>
        <v>mai</v>
      </c>
    </row>
    <row r="425" spans="1:20" x14ac:dyDescent="0.35">
      <c r="A425" t="s">
        <v>1074</v>
      </c>
      <c r="B425" s="2">
        <v>46085</v>
      </c>
      <c r="C425" t="s">
        <v>353</v>
      </c>
      <c r="D425" t="s">
        <v>493</v>
      </c>
      <c r="E425" t="s">
        <v>56</v>
      </c>
      <c r="F425" t="s">
        <v>57</v>
      </c>
      <c r="G425" t="s">
        <v>43</v>
      </c>
      <c r="H425" t="s">
        <v>162</v>
      </c>
      <c r="I425">
        <v>8</v>
      </c>
      <c r="J425">
        <v>8400</v>
      </c>
      <c r="K425">
        <v>5000</v>
      </c>
      <c r="L425" t="s">
        <v>66</v>
      </c>
      <c r="M425" t="s">
        <v>51</v>
      </c>
      <c r="N425" t="s">
        <v>87</v>
      </c>
      <c r="O425" t="s">
        <v>24</v>
      </c>
      <c r="P425">
        <f>Tableau1_2[[#This Row],[Quantité]]*Tableau1_2[[#This Row],[Prix_Unitaire]]</f>
        <v>67200</v>
      </c>
      <c r="Q425">
        <f>Tableau1_2[[#This Row],[Quantité]]*Tableau1_2[[#This Row],[Coût_Unitaire]]</f>
        <v>40000</v>
      </c>
      <c r="R425">
        <f>Tableau1_2[[#This Row],[CA]]-Tableau1_2[[#This Row],[Cout Total]]</f>
        <v>27200</v>
      </c>
      <c r="S425" s="4">
        <f>Tableau1_2[[#This Row],[Marge]]/Tableau1_2[[#This Row],[CA]]</f>
        <v>0.40476190476190477</v>
      </c>
      <c r="T425" t="str">
        <f>TEXT(Tableau1_2[[#This Row],[Date]],"mmmm")</f>
        <v>mars</v>
      </c>
    </row>
    <row r="426" spans="1:20" x14ac:dyDescent="0.35">
      <c r="A426" t="s">
        <v>1075</v>
      </c>
      <c r="B426" s="2">
        <v>46030</v>
      </c>
      <c r="C426" t="s">
        <v>1076</v>
      </c>
      <c r="D426" t="s">
        <v>1077</v>
      </c>
      <c r="E426" t="s">
        <v>56</v>
      </c>
      <c r="F426" t="s">
        <v>57</v>
      </c>
      <c r="G426" t="s">
        <v>43</v>
      </c>
      <c r="H426" t="s">
        <v>177</v>
      </c>
      <c r="I426">
        <v>4</v>
      </c>
      <c r="J426">
        <v>18000</v>
      </c>
      <c r="K426">
        <v>12900</v>
      </c>
      <c r="L426" t="s">
        <v>30</v>
      </c>
      <c r="M426" t="s">
        <v>31</v>
      </c>
      <c r="N426" t="s">
        <v>23</v>
      </c>
      <c r="O426" t="s">
        <v>24</v>
      </c>
      <c r="P426">
        <f>Tableau1_2[[#This Row],[Quantité]]*Tableau1_2[[#This Row],[Prix_Unitaire]]</f>
        <v>72000</v>
      </c>
      <c r="Q426">
        <f>Tableau1_2[[#This Row],[Quantité]]*Tableau1_2[[#This Row],[Coût_Unitaire]]</f>
        <v>51600</v>
      </c>
      <c r="R426">
        <f>Tableau1_2[[#This Row],[CA]]-Tableau1_2[[#This Row],[Cout Total]]</f>
        <v>20400</v>
      </c>
      <c r="S426" s="4">
        <f>Tableau1_2[[#This Row],[Marge]]/Tableau1_2[[#This Row],[CA]]</f>
        <v>0.28333333333333333</v>
      </c>
      <c r="T426" t="str">
        <f>TEXT(Tableau1_2[[#This Row],[Date]],"mmmm")</f>
        <v>janvier</v>
      </c>
    </row>
    <row r="427" spans="1:20" x14ac:dyDescent="0.35">
      <c r="A427" t="s">
        <v>1078</v>
      </c>
      <c r="B427" s="2">
        <v>46109</v>
      </c>
      <c r="C427" t="s">
        <v>578</v>
      </c>
      <c r="D427" t="s">
        <v>1079</v>
      </c>
      <c r="E427" t="s">
        <v>56</v>
      </c>
      <c r="F427" t="s">
        <v>57</v>
      </c>
      <c r="G427" t="s">
        <v>43</v>
      </c>
      <c r="H427" t="s">
        <v>49</v>
      </c>
      <c r="I427">
        <v>8</v>
      </c>
      <c r="J427">
        <v>9000</v>
      </c>
      <c r="K427">
        <v>5600</v>
      </c>
      <c r="L427" t="s">
        <v>66</v>
      </c>
      <c r="M427" t="s">
        <v>31</v>
      </c>
      <c r="N427" t="s">
        <v>52</v>
      </c>
      <c r="O427" t="s">
        <v>91</v>
      </c>
      <c r="P427">
        <f>Tableau1_2[[#This Row],[Quantité]]*Tableau1_2[[#This Row],[Prix_Unitaire]]</f>
        <v>72000</v>
      </c>
      <c r="Q427">
        <f>Tableau1_2[[#This Row],[Quantité]]*Tableau1_2[[#This Row],[Coût_Unitaire]]</f>
        <v>44800</v>
      </c>
      <c r="R427">
        <f>Tableau1_2[[#This Row],[CA]]-Tableau1_2[[#This Row],[Cout Total]]</f>
        <v>27200</v>
      </c>
      <c r="S427" s="4">
        <f>Tableau1_2[[#This Row],[Marge]]/Tableau1_2[[#This Row],[CA]]</f>
        <v>0.37777777777777777</v>
      </c>
      <c r="T427" t="str">
        <f>TEXT(Tableau1_2[[#This Row],[Date]],"mmmm")</f>
        <v>mars</v>
      </c>
    </row>
    <row r="428" spans="1:20" x14ac:dyDescent="0.35">
      <c r="A428" t="s">
        <v>1080</v>
      </c>
      <c r="B428" s="2">
        <v>46270</v>
      </c>
      <c r="C428" t="s">
        <v>1081</v>
      </c>
      <c r="D428" t="s">
        <v>700</v>
      </c>
      <c r="E428" t="s">
        <v>84</v>
      </c>
      <c r="F428" t="s">
        <v>85</v>
      </c>
      <c r="G428" t="s">
        <v>43</v>
      </c>
      <c r="H428" t="s">
        <v>162</v>
      </c>
      <c r="I428">
        <v>6</v>
      </c>
      <c r="J428">
        <v>7600</v>
      </c>
      <c r="K428">
        <v>5200</v>
      </c>
      <c r="L428" t="s">
        <v>66</v>
      </c>
      <c r="M428" t="s">
        <v>31</v>
      </c>
      <c r="N428" t="s">
        <v>87</v>
      </c>
      <c r="O428" t="s">
        <v>45</v>
      </c>
      <c r="P428">
        <f>Tableau1_2[[#This Row],[Quantité]]*Tableau1_2[[#This Row],[Prix_Unitaire]]</f>
        <v>45600</v>
      </c>
      <c r="Q428">
        <f>Tableau1_2[[#This Row],[Quantité]]*Tableau1_2[[#This Row],[Coût_Unitaire]]</f>
        <v>31200</v>
      </c>
      <c r="R428">
        <f>Tableau1_2[[#This Row],[CA]]-Tableau1_2[[#This Row],[Cout Total]]</f>
        <v>14400</v>
      </c>
      <c r="S428" s="4">
        <f>Tableau1_2[[#This Row],[Marge]]/Tableau1_2[[#This Row],[CA]]</f>
        <v>0.31578947368421051</v>
      </c>
      <c r="T428" t="str">
        <f>TEXT(Tableau1_2[[#This Row],[Date]],"mmmm")</f>
        <v>septembre</v>
      </c>
    </row>
    <row r="429" spans="1:20" x14ac:dyDescent="0.35">
      <c r="A429" t="s">
        <v>1082</v>
      </c>
      <c r="B429" s="2">
        <v>46241</v>
      </c>
      <c r="C429" t="s">
        <v>446</v>
      </c>
      <c r="D429" t="s">
        <v>650</v>
      </c>
      <c r="E429" t="s">
        <v>18</v>
      </c>
      <c r="F429" t="s">
        <v>18</v>
      </c>
      <c r="G429" t="s">
        <v>43</v>
      </c>
      <c r="H429" t="s">
        <v>177</v>
      </c>
      <c r="I429">
        <v>1</v>
      </c>
      <c r="J429">
        <v>17100</v>
      </c>
      <c r="K429">
        <v>12500</v>
      </c>
      <c r="L429" t="s">
        <v>73</v>
      </c>
      <c r="M429" t="s">
        <v>51</v>
      </c>
      <c r="N429" t="s">
        <v>23</v>
      </c>
      <c r="O429" t="s">
        <v>45</v>
      </c>
      <c r="P429">
        <f>Tableau1_2[[#This Row],[Quantité]]*Tableau1_2[[#This Row],[Prix_Unitaire]]</f>
        <v>17100</v>
      </c>
      <c r="Q429">
        <f>Tableau1_2[[#This Row],[Quantité]]*Tableau1_2[[#This Row],[Coût_Unitaire]]</f>
        <v>12500</v>
      </c>
      <c r="R429">
        <f>Tableau1_2[[#This Row],[CA]]-Tableau1_2[[#This Row],[Cout Total]]</f>
        <v>4600</v>
      </c>
      <c r="S429" s="4">
        <f>Tableau1_2[[#This Row],[Marge]]/Tableau1_2[[#This Row],[CA]]</f>
        <v>0.26900584795321636</v>
      </c>
      <c r="T429" t="str">
        <f>TEXT(Tableau1_2[[#This Row],[Date]],"mmmm")</f>
        <v>août</v>
      </c>
    </row>
    <row r="430" spans="1:20" x14ac:dyDescent="0.35">
      <c r="A430" t="s">
        <v>1083</v>
      </c>
      <c r="B430" s="2">
        <v>46058</v>
      </c>
      <c r="C430" t="s">
        <v>347</v>
      </c>
      <c r="D430" t="s">
        <v>1012</v>
      </c>
      <c r="E430" t="s">
        <v>156</v>
      </c>
      <c r="F430" t="s">
        <v>157</v>
      </c>
      <c r="G430" t="s">
        <v>34</v>
      </c>
      <c r="H430" t="s">
        <v>86</v>
      </c>
      <c r="I430">
        <v>10</v>
      </c>
      <c r="J430">
        <v>180000</v>
      </c>
      <c r="K430">
        <v>131000</v>
      </c>
      <c r="L430" t="s">
        <v>30</v>
      </c>
      <c r="M430" t="s">
        <v>51</v>
      </c>
      <c r="N430" t="s">
        <v>52</v>
      </c>
      <c r="O430" t="s">
        <v>91</v>
      </c>
      <c r="P430">
        <f>Tableau1_2[[#This Row],[Quantité]]*Tableau1_2[[#This Row],[Prix_Unitaire]]</f>
        <v>1800000</v>
      </c>
      <c r="Q430">
        <f>Tableau1_2[[#This Row],[Quantité]]*Tableau1_2[[#This Row],[Coût_Unitaire]]</f>
        <v>1310000</v>
      </c>
      <c r="R430">
        <f>Tableau1_2[[#This Row],[CA]]-Tableau1_2[[#This Row],[Cout Total]]</f>
        <v>490000</v>
      </c>
      <c r="S430" s="4">
        <f>Tableau1_2[[#This Row],[Marge]]/Tableau1_2[[#This Row],[CA]]</f>
        <v>0.2722222222222222</v>
      </c>
      <c r="T430" t="str">
        <f>TEXT(Tableau1_2[[#This Row],[Date]],"mmmm")</f>
        <v>février</v>
      </c>
    </row>
    <row r="431" spans="1:20" x14ac:dyDescent="0.35">
      <c r="A431" t="s">
        <v>1084</v>
      </c>
      <c r="B431" s="2">
        <v>46233</v>
      </c>
      <c r="C431" t="s">
        <v>1085</v>
      </c>
      <c r="D431" t="s">
        <v>586</v>
      </c>
      <c r="E431" t="s">
        <v>18</v>
      </c>
      <c r="F431" t="s">
        <v>18</v>
      </c>
      <c r="G431" t="s">
        <v>34</v>
      </c>
      <c r="H431" t="s">
        <v>95</v>
      </c>
      <c r="I431">
        <v>3</v>
      </c>
      <c r="J431">
        <v>450000</v>
      </c>
      <c r="K431">
        <v>370000</v>
      </c>
      <c r="L431" t="s">
        <v>30</v>
      </c>
      <c r="M431" t="s">
        <v>51</v>
      </c>
      <c r="N431" t="s">
        <v>52</v>
      </c>
      <c r="O431" t="s">
        <v>24</v>
      </c>
      <c r="P431">
        <f>Tableau1_2[[#This Row],[Quantité]]*Tableau1_2[[#This Row],[Prix_Unitaire]]</f>
        <v>1350000</v>
      </c>
      <c r="Q431">
        <f>Tableau1_2[[#This Row],[Quantité]]*Tableau1_2[[#This Row],[Coût_Unitaire]]</f>
        <v>1110000</v>
      </c>
      <c r="R431">
        <f>Tableau1_2[[#This Row],[CA]]-Tableau1_2[[#This Row],[Cout Total]]</f>
        <v>240000</v>
      </c>
      <c r="S431" s="4">
        <f>Tableau1_2[[#This Row],[Marge]]/Tableau1_2[[#This Row],[CA]]</f>
        <v>0.17777777777777778</v>
      </c>
      <c r="T431" t="str">
        <f>TEXT(Tableau1_2[[#This Row],[Date]],"mmmm")</f>
        <v>juillet</v>
      </c>
    </row>
    <row r="432" spans="1:20" x14ac:dyDescent="0.35">
      <c r="A432" t="s">
        <v>1086</v>
      </c>
      <c r="B432" s="2">
        <v>46166</v>
      </c>
      <c r="C432" t="s">
        <v>217</v>
      </c>
      <c r="D432" t="s">
        <v>1087</v>
      </c>
      <c r="E432" t="s">
        <v>18</v>
      </c>
      <c r="F432" t="s">
        <v>18</v>
      </c>
      <c r="G432" t="s">
        <v>34</v>
      </c>
      <c r="H432" t="s">
        <v>158</v>
      </c>
      <c r="I432">
        <v>1</v>
      </c>
      <c r="J432">
        <v>90200</v>
      </c>
      <c r="K432">
        <v>70000</v>
      </c>
      <c r="L432" t="s">
        <v>36</v>
      </c>
      <c r="M432" t="s">
        <v>22</v>
      </c>
      <c r="N432" t="s">
        <v>87</v>
      </c>
      <c r="O432" t="s">
        <v>24</v>
      </c>
      <c r="P432">
        <f>Tableau1_2[[#This Row],[Quantité]]*Tableau1_2[[#This Row],[Prix_Unitaire]]</f>
        <v>90200</v>
      </c>
      <c r="Q432">
        <f>Tableau1_2[[#This Row],[Quantité]]*Tableau1_2[[#This Row],[Coût_Unitaire]]</f>
        <v>70000</v>
      </c>
      <c r="R432">
        <f>Tableau1_2[[#This Row],[CA]]-Tableau1_2[[#This Row],[Cout Total]]</f>
        <v>20200</v>
      </c>
      <c r="S432" s="4">
        <f>Tableau1_2[[#This Row],[Marge]]/Tableau1_2[[#This Row],[CA]]</f>
        <v>0.22394678492239467</v>
      </c>
      <c r="T432" t="str">
        <f>TEXT(Tableau1_2[[#This Row],[Date]],"mmmm")</f>
        <v>mai</v>
      </c>
    </row>
    <row r="433" spans="1:20" x14ac:dyDescent="0.35">
      <c r="A433" t="s">
        <v>1088</v>
      </c>
      <c r="B433" s="2">
        <v>46089</v>
      </c>
      <c r="C433" t="s">
        <v>376</v>
      </c>
      <c r="D433" t="s">
        <v>184</v>
      </c>
      <c r="E433" t="s">
        <v>18</v>
      </c>
      <c r="F433" t="s">
        <v>18</v>
      </c>
      <c r="G433" t="s">
        <v>34</v>
      </c>
      <c r="H433" t="s">
        <v>86</v>
      </c>
      <c r="I433">
        <v>6</v>
      </c>
      <c r="J433">
        <v>180000</v>
      </c>
      <c r="K433">
        <v>131000</v>
      </c>
      <c r="L433" t="s">
        <v>96</v>
      </c>
      <c r="M433" t="s">
        <v>51</v>
      </c>
      <c r="N433" t="s">
        <v>23</v>
      </c>
      <c r="O433" t="s">
        <v>45</v>
      </c>
      <c r="P433">
        <f>Tableau1_2[[#This Row],[Quantité]]*Tableau1_2[[#This Row],[Prix_Unitaire]]</f>
        <v>1080000</v>
      </c>
      <c r="Q433">
        <f>Tableau1_2[[#This Row],[Quantité]]*Tableau1_2[[#This Row],[Coût_Unitaire]]</f>
        <v>786000</v>
      </c>
      <c r="R433">
        <f>Tableau1_2[[#This Row],[CA]]-Tableau1_2[[#This Row],[Cout Total]]</f>
        <v>294000</v>
      </c>
      <c r="S433" s="4">
        <f>Tableau1_2[[#This Row],[Marge]]/Tableau1_2[[#This Row],[CA]]</f>
        <v>0.2722222222222222</v>
      </c>
      <c r="T433" t="str">
        <f>TEXT(Tableau1_2[[#This Row],[Date]],"mmmm")</f>
        <v>mars</v>
      </c>
    </row>
    <row r="434" spans="1:20" x14ac:dyDescent="0.35">
      <c r="A434" t="s">
        <v>1089</v>
      </c>
      <c r="B434" s="2">
        <v>46276</v>
      </c>
      <c r="C434" t="s">
        <v>133</v>
      </c>
      <c r="D434" t="s">
        <v>490</v>
      </c>
      <c r="E434" t="s">
        <v>156</v>
      </c>
      <c r="F434" t="s">
        <v>157</v>
      </c>
      <c r="G434" t="s">
        <v>19</v>
      </c>
      <c r="H434" t="s">
        <v>166</v>
      </c>
      <c r="I434">
        <v>1</v>
      </c>
      <c r="J434">
        <v>140000</v>
      </c>
      <c r="K434">
        <v>97000</v>
      </c>
      <c r="L434" t="s">
        <v>50</v>
      </c>
      <c r="M434" t="s">
        <v>31</v>
      </c>
      <c r="N434" t="s">
        <v>23</v>
      </c>
      <c r="O434" t="s">
        <v>24</v>
      </c>
      <c r="P434">
        <f>Tableau1_2[[#This Row],[Quantité]]*Tableau1_2[[#This Row],[Prix_Unitaire]]</f>
        <v>140000</v>
      </c>
      <c r="Q434">
        <f>Tableau1_2[[#This Row],[Quantité]]*Tableau1_2[[#This Row],[Coût_Unitaire]]</f>
        <v>97000</v>
      </c>
      <c r="R434">
        <f>Tableau1_2[[#This Row],[CA]]-Tableau1_2[[#This Row],[Cout Total]]</f>
        <v>43000</v>
      </c>
      <c r="S434" s="4">
        <f>Tableau1_2[[#This Row],[Marge]]/Tableau1_2[[#This Row],[CA]]</f>
        <v>0.30714285714285716</v>
      </c>
      <c r="T434" t="str">
        <f>TEXT(Tableau1_2[[#This Row],[Date]],"mmmm")</f>
        <v>septembre</v>
      </c>
    </row>
    <row r="435" spans="1:20" x14ac:dyDescent="0.35">
      <c r="A435" t="s">
        <v>1090</v>
      </c>
      <c r="B435" s="2">
        <v>46287</v>
      </c>
      <c r="C435" t="s">
        <v>841</v>
      </c>
      <c r="D435" t="s">
        <v>1091</v>
      </c>
      <c r="E435" t="s">
        <v>41</v>
      </c>
      <c r="F435" t="s">
        <v>42</v>
      </c>
      <c r="G435" t="s">
        <v>28</v>
      </c>
      <c r="H435" t="s">
        <v>248</v>
      </c>
      <c r="I435">
        <v>6</v>
      </c>
      <c r="J435">
        <v>25000</v>
      </c>
      <c r="K435">
        <v>16000</v>
      </c>
      <c r="L435" t="s">
        <v>21</v>
      </c>
      <c r="M435" t="s">
        <v>37</v>
      </c>
      <c r="N435" t="s">
        <v>23</v>
      </c>
      <c r="O435" t="s">
        <v>24</v>
      </c>
      <c r="P435">
        <f>Tableau1_2[[#This Row],[Quantité]]*Tableau1_2[[#This Row],[Prix_Unitaire]]</f>
        <v>150000</v>
      </c>
      <c r="Q435">
        <f>Tableau1_2[[#This Row],[Quantité]]*Tableau1_2[[#This Row],[Coût_Unitaire]]</f>
        <v>96000</v>
      </c>
      <c r="R435">
        <f>Tableau1_2[[#This Row],[CA]]-Tableau1_2[[#This Row],[Cout Total]]</f>
        <v>54000</v>
      </c>
      <c r="S435" s="4">
        <f>Tableau1_2[[#This Row],[Marge]]/Tableau1_2[[#This Row],[CA]]</f>
        <v>0.36</v>
      </c>
      <c r="T435" t="str">
        <f>TEXT(Tableau1_2[[#This Row],[Date]],"mmmm")</f>
        <v>septembre</v>
      </c>
    </row>
    <row r="436" spans="1:20" x14ac:dyDescent="0.35">
      <c r="A436" t="s">
        <v>1092</v>
      </c>
      <c r="B436" s="2">
        <v>46117</v>
      </c>
      <c r="C436" t="s">
        <v>1093</v>
      </c>
      <c r="D436" t="s">
        <v>1094</v>
      </c>
      <c r="E436" t="s">
        <v>77</v>
      </c>
      <c r="F436" t="s">
        <v>78</v>
      </c>
      <c r="G436" t="s">
        <v>34</v>
      </c>
      <c r="H436" t="s">
        <v>35</v>
      </c>
      <c r="I436">
        <v>9</v>
      </c>
      <c r="J436">
        <v>55000</v>
      </c>
      <c r="K436">
        <v>40200</v>
      </c>
      <c r="L436" t="s">
        <v>73</v>
      </c>
      <c r="M436" t="s">
        <v>51</v>
      </c>
      <c r="N436" t="s">
        <v>52</v>
      </c>
      <c r="O436" t="s">
        <v>24</v>
      </c>
      <c r="P436">
        <f>Tableau1_2[[#This Row],[Quantité]]*Tableau1_2[[#This Row],[Prix_Unitaire]]</f>
        <v>495000</v>
      </c>
      <c r="Q436">
        <f>Tableau1_2[[#This Row],[Quantité]]*Tableau1_2[[#This Row],[Coût_Unitaire]]</f>
        <v>361800</v>
      </c>
      <c r="R436">
        <f>Tableau1_2[[#This Row],[CA]]-Tableau1_2[[#This Row],[Cout Total]]</f>
        <v>133200</v>
      </c>
      <c r="S436" s="4">
        <f>Tableau1_2[[#This Row],[Marge]]/Tableau1_2[[#This Row],[CA]]</f>
        <v>0.2690909090909091</v>
      </c>
      <c r="T436" t="str">
        <f>TEXT(Tableau1_2[[#This Row],[Date]],"mmmm")</f>
        <v>avril</v>
      </c>
    </row>
    <row r="437" spans="1:20" x14ac:dyDescent="0.35">
      <c r="A437" t="s">
        <v>1095</v>
      </c>
      <c r="B437" s="2">
        <v>46264</v>
      </c>
      <c r="C437" t="s">
        <v>89</v>
      </c>
      <c r="D437" t="s">
        <v>953</v>
      </c>
      <c r="E437" t="s">
        <v>56</v>
      </c>
      <c r="F437" t="s">
        <v>57</v>
      </c>
      <c r="G437" t="s">
        <v>43</v>
      </c>
      <c r="H437" t="s">
        <v>177</v>
      </c>
      <c r="I437">
        <v>6</v>
      </c>
      <c r="J437">
        <v>18900</v>
      </c>
      <c r="K437">
        <v>12900</v>
      </c>
      <c r="L437" t="s">
        <v>50</v>
      </c>
      <c r="M437" t="s">
        <v>51</v>
      </c>
      <c r="N437" t="s">
        <v>23</v>
      </c>
      <c r="O437" t="s">
        <v>91</v>
      </c>
      <c r="P437">
        <f>Tableau1_2[[#This Row],[Quantité]]*Tableau1_2[[#This Row],[Prix_Unitaire]]</f>
        <v>113400</v>
      </c>
      <c r="Q437">
        <f>Tableau1_2[[#This Row],[Quantité]]*Tableau1_2[[#This Row],[Coût_Unitaire]]</f>
        <v>77400</v>
      </c>
      <c r="R437">
        <f>Tableau1_2[[#This Row],[CA]]-Tableau1_2[[#This Row],[Cout Total]]</f>
        <v>36000</v>
      </c>
      <c r="S437" s="4">
        <f>Tableau1_2[[#This Row],[Marge]]/Tableau1_2[[#This Row],[CA]]</f>
        <v>0.31746031746031744</v>
      </c>
      <c r="T437" t="str">
        <f>TEXT(Tableau1_2[[#This Row],[Date]],"mmmm")</f>
        <v>août</v>
      </c>
    </row>
    <row r="438" spans="1:20" x14ac:dyDescent="0.35">
      <c r="A438" t="s">
        <v>1096</v>
      </c>
      <c r="B438" s="2">
        <v>46265</v>
      </c>
      <c r="C438" t="s">
        <v>1097</v>
      </c>
      <c r="D438" t="s">
        <v>720</v>
      </c>
      <c r="E438" t="s">
        <v>18</v>
      </c>
      <c r="F438" t="s">
        <v>18</v>
      </c>
      <c r="G438" t="s">
        <v>43</v>
      </c>
      <c r="H438" t="s">
        <v>79</v>
      </c>
      <c r="I438">
        <v>3</v>
      </c>
      <c r="J438">
        <v>6000</v>
      </c>
      <c r="K438">
        <v>4300</v>
      </c>
      <c r="L438" t="s">
        <v>80</v>
      </c>
      <c r="M438" t="s">
        <v>51</v>
      </c>
      <c r="N438" t="s">
        <v>23</v>
      </c>
      <c r="O438" t="s">
        <v>91</v>
      </c>
      <c r="P438">
        <f>Tableau1_2[[#This Row],[Quantité]]*Tableau1_2[[#This Row],[Prix_Unitaire]]</f>
        <v>18000</v>
      </c>
      <c r="Q438">
        <f>Tableau1_2[[#This Row],[Quantité]]*Tableau1_2[[#This Row],[Coût_Unitaire]]</f>
        <v>12900</v>
      </c>
      <c r="R438">
        <f>Tableau1_2[[#This Row],[CA]]-Tableau1_2[[#This Row],[Cout Total]]</f>
        <v>5100</v>
      </c>
      <c r="S438" s="4">
        <f>Tableau1_2[[#This Row],[Marge]]/Tableau1_2[[#This Row],[CA]]</f>
        <v>0.28333333333333333</v>
      </c>
      <c r="T438" t="str">
        <f>TEXT(Tableau1_2[[#This Row],[Date]],"mmmm")</f>
        <v>août</v>
      </c>
    </row>
    <row r="439" spans="1:20" x14ac:dyDescent="0.35">
      <c r="A439" t="s">
        <v>1098</v>
      </c>
      <c r="B439" s="2">
        <v>46059</v>
      </c>
      <c r="C439" t="s">
        <v>16</v>
      </c>
      <c r="D439" t="s">
        <v>1099</v>
      </c>
      <c r="E439" t="s">
        <v>56</v>
      </c>
      <c r="F439" t="s">
        <v>57</v>
      </c>
      <c r="G439" t="s">
        <v>43</v>
      </c>
      <c r="H439" t="s">
        <v>177</v>
      </c>
      <c r="I439">
        <v>3</v>
      </c>
      <c r="J439">
        <v>17100</v>
      </c>
      <c r="K439">
        <v>12900</v>
      </c>
      <c r="L439" t="s">
        <v>66</v>
      </c>
      <c r="M439" t="s">
        <v>51</v>
      </c>
      <c r="N439" t="s">
        <v>52</v>
      </c>
      <c r="O439" t="s">
        <v>24</v>
      </c>
      <c r="P439">
        <f>Tableau1_2[[#This Row],[Quantité]]*Tableau1_2[[#This Row],[Prix_Unitaire]]</f>
        <v>51300</v>
      </c>
      <c r="Q439">
        <f>Tableau1_2[[#This Row],[Quantité]]*Tableau1_2[[#This Row],[Coût_Unitaire]]</f>
        <v>38700</v>
      </c>
      <c r="R439">
        <f>Tableau1_2[[#This Row],[CA]]-Tableau1_2[[#This Row],[Cout Total]]</f>
        <v>12600</v>
      </c>
      <c r="S439" s="4">
        <f>Tableau1_2[[#This Row],[Marge]]/Tableau1_2[[#This Row],[CA]]</f>
        <v>0.24561403508771928</v>
      </c>
      <c r="T439" t="str">
        <f>TEXT(Tableau1_2[[#This Row],[Date]],"mmmm")</f>
        <v>février</v>
      </c>
    </row>
    <row r="440" spans="1:20" x14ac:dyDescent="0.35">
      <c r="A440" t="s">
        <v>1100</v>
      </c>
      <c r="B440" s="2">
        <v>46037</v>
      </c>
      <c r="C440" t="s">
        <v>903</v>
      </c>
      <c r="D440" t="s">
        <v>108</v>
      </c>
      <c r="E440" t="s">
        <v>41</v>
      </c>
      <c r="F440" t="s">
        <v>42</v>
      </c>
      <c r="G440" t="s">
        <v>34</v>
      </c>
      <c r="H440" t="s">
        <v>158</v>
      </c>
      <c r="I440">
        <v>3</v>
      </c>
      <c r="J440">
        <v>99800</v>
      </c>
      <c r="K440">
        <v>70000</v>
      </c>
      <c r="L440" t="s">
        <v>73</v>
      </c>
      <c r="M440" t="s">
        <v>51</v>
      </c>
      <c r="N440" t="s">
        <v>52</v>
      </c>
      <c r="O440" t="s">
        <v>45</v>
      </c>
      <c r="P440">
        <f>Tableau1_2[[#This Row],[Quantité]]*Tableau1_2[[#This Row],[Prix_Unitaire]]</f>
        <v>299400</v>
      </c>
      <c r="Q440">
        <f>Tableau1_2[[#This Row],[Quantité]]*Tableau1_2[[#This Row],[Coût_Unitaire]]</f>
        <v>210000</v>
      </c>
      <c r="R440">
        <f>Tableau1_2[[#This Row],[CA]]-Tableau1_2[[#This Row],[Cout Total]]</f>
        <v>89400</v>
      </c>
      <c r="S440" s="4">
        <f>Tableau1_2[[#This Row],[Marge]]/Tableau1_2[[#This Row],[CA]]</f>
        <v>0.29859719438877758</v>
      </c>
      <c r="T440" t="str">
        <f>TEXT(Tableau1_2[[#This Row],[Date]],"mmmm")</f>
        <v>janvier</v>
      </c>
    </row>
    <row r="441" spans="1:20" x14ac:dyDescent="0.35">
      <c r="A441" t="s">
        <v>1101</v>
      </c>
      <c r="B441" s="2">
        <v>46247</v>
      </c>
      <c r="C441" t="s">
        <v>339</v>
      </c>
      <c r="D441" t="s">
        <v>660</v>
      </c>
      <c r="E441" t="s">
        <v>56</v>
      </c>
      <c r="F441" t="s">
        <v>57</v>
      </c>
      <c r="G441" t="s">
        <v>43</v>
      </c>
      <c r="H441" t="s">
        <v>79</v>
      </c>
      <c r="I441">
        <v>6</v>
      </c>
      <c r="J441">
        <v>5700</v>
      </c>
      <c r="K441">
        <v>4200</v>
      </c>
      <c r="L441" t="s">
        <v>21</v>
      </c>
      <c r="M441" t="s">
        <v>22</v>
      </c>
      <c r="N441" t="s">
        <v>52</v>
      </c>
      <c r="O441" t="s">
        <v>24</v>
      </c>
      <c r="P441">
        <f>Tableau1_2[[#This Row],[Quantité]]*Tableau1_2[[#This Row],[Prix_Unitaire]]</f>
        <v>34200</v>
      </c>
      <c r="Q441">
        <f>Tableau1_2[[#This Row],[Quantité]]*Tableau1_2[[#This Row],[Coût_Unitaire]]</f>
        <v>25200</v>
      </c>
      <c r="R441">
        <f>Tableau1_2[[#This Row],[CA]]-Tableau1_2[[#This Row],[Cout Total]]</f>
        <v>9000</v>
      </c>
      <c r="S441" s="4">
        <f>Tableau1_2[[#This Row],[Marge]]/Tableau1_2[[#This Row],[CA]]</f>
        <v>0.26315789473684209</v>
      </c>
      <c r="T441" t="str">
        <f>TEXT(Tableau1_2[[#This Row],[Date]],"mmmm")</f>
        <v>août</v>
      </c>
    </row>
    <row r="442" spans="1:20" x14ac:dyDescent="0.35">
      <c r="A442" t="s">
        <v>1102</v>
      </c>
      <c r="B442" s="2">
        <v>46262</v>
      </c>
      <c r="C442" t="s">
        <v>444</v>
      </c>
      <c r="D442" t="s">
        <v>904</v>
      </c>
      <c r="E442" t="s">
        <v>18</v>
      </c>
      <c r="F442" t="s">
        <v>18</v>
      </c>
      <c r="G442" t="s">
        <v>43</v>
      </c>
      <c r="H442" t="s">
        <v>44</v>
      </c>
      <c r="I442">
        <v>10</v>
      </c>
      <c r="J442">
        <v>14200</v>
      </c>
      <c r="K442">
        <v>9200</v>
      </c>
      <c r="L442" t="s">
        <v>30</v>
      </c>
      <c r="M442" t="s">
        <v>37</v>
      </c>
      <c r="N442" t="s">
        <v>52</v>
      </c>
      <c r="O442" t="s">
        <v>91</v>
      </c>
      <c r="P442">
        <f>Tableau1_2[[#This Row],[Quantité]]*Tableau1_2[[#This Row],[Prix_Unitaire]]</f>
        <v>142000</v>
      </c>
      <c r="Q442">
        <f>Tableau1_2[[#This Row],[Quantité]]*Tableau1_2[[#This Row],[Coût_Unitaire]]</f>
        <v>92000</v>
      </c>
      <c r="R442">
        <f>Tableau1_2[[#This Row],[CA]]-Tableau1_2[[#This Row],[Cout Total]]</f>
        <v>50000</v>
      </c>
      <c r="S442" s="4">
        <f>Tableau1_2[[#This Row],[Marge]]/Tableau1_2[[#This Row],[CA]]</f>
        <v>0.352112676056338</v>
      </c>
      <c r="T442" t="str">
        <f>TEXT(Tableau1_2[[#This Row],[Date]],"mmmm")</f>
        <v>août</v>
      </c>
    </row>
    <row r="443" spans="1:20" x14ac:dyDescent="0.35">
      <c r="A443" t="s">
        <v>1103</v>
      </c>
      <c r="B443" s="2">
        <v>46343</v>
      </c>
      <c r="C443" t="s">
        <v>624</v>
      </c>
      <c r="D443" t="s">
        <v>1104</v>
      </c>
      <c r="E443" t="s">
        <v>84</v>
      </c>
      <c r="F443" t="s">
        <v>85</v>
      </c>
      <c r="G443" t="s">
        <v>34</v>
      </c>
      <c r="H443" t="s">
        <v>141</v>
      </c>
      <c r="I443">
        <v>7</v>
      </c>
      <c r="J443">
        <v>168000</v>
      </c>
      <c r="K443">
        <v>116400</v>
      </c>
      <c r="L443" t="s">
        <v>36</v>
      </c>
      <c r="M443" t="s">
        <v>51</v>
      </c>
      <c r="N443" t="s">
        <v>23</v>
      </c>
      <c r="O443" t="s">
        <v>24</v>
      </c>
      <c r="P443">
        <f>Tableau1_2[[#This Row],[Quantité]]*Tableau1_2[[#This Row],[Prix_Unitaire]]</f>
        <v>1176000</v>
      </c>
      <c r="Q443">
        <f>Tableau1_2[[#This Row],[Quantité]]*Tableau1_2[[#This Row],[Coût_Unitaire]]</f>
        <v>814800</v>
      </c>
      <c r="R443">
        <f>Tableau1_2[[#This Row],[CA]]-Tableau1_2[[#This Row],[Cout Total]]</f>
        <v>361200</v>
      </c>
      <c r="S443" s="4">
        <f>Tableau1_2[[#This Row],[Marge]]/Tableau1_2[[#This Row],[CA]]</f>
        <v>0.30714285714285716</v>
      </c>
      <c r="T443" t="str">
        <f>TEXT(Tableau1_2[[#This Row],[Date]],"mmmm")</f>
        <v>novembre</v>
      </c>
    </row>
    <row r="444" spans="1:20" x14ac:dyDescent="0.35">
      <c r="A444" t="s">
        <v>1105</v>
      </c>
      <c r="B444" s="2">
        <v>46052</v>
      </c>
      <c r="C444" t="s">
        <v>1106</v>
      </c>
      <c r="D444" t="s">
        <v>990</v>
      </c>
      <c r="E444" t="s">
        <v>56</v>
      </c>
      <c r="F444" t="s">
        <v>57</v>
      </c>
      <c r="G444" t="s">
        <v>34</v>
      </c>
      <c r="H444" t="s">
        <v>158</v>
      </c>
      <c r="I444">
        <v>4</v>
      </c>
      <c r="J444">
        <v>90200</v>
      </c>
      <c r="K444">
        <v>70000</v>
      </c>
      <c r="L444" t="s">
        <v>30</v>
      </c>
      <c r="M444" t="s">
        <v>51</v>
      </c>
      <c r="N444" t="s">
        <v>52</v>
      </c>
      <c r="O444" t="s">
        <v>24</v>
      </c>
      <c r="P444">
        <f>Tableau1_2[[#This Row],[Quantité]]*Tableau1_2[[#This Row],[Prix_Unitaire]]</f>
        <v>360800</v>
      </c>
      <c r="Q444">
        <f>Tableau1_2[[#This Row],[Quantité]]*Tableau1_2[[#This Row],[Coût_Unitaire]]</f>
        <v>280000</v>
      </c>
      <c r="R444">
        <f>Tableau1_2[[#This Row],[CA]]-Tableau1_2[[#This Row],[Cout Total]]</f>
        <v>80800</v>
      </c>
      <c r="S444" s="4">
        <f>Tableau1_2[[#This Row],[Marge]]/Tableau1_2[[#This Row],[CA]]</f>
        <v>0.22394678492239467</v>
      </c>
      <c r="T444" t="str">
        <f>TEXT(Tableau1_2[[#This Row],[Date]],"mmmm")</f>
        <v>janvier</v>
      </c>
    </row>
    <row r="445" spans="1:20" x14ac:dyDescent="0.35">
      <c r="A445" t="s">
        <v>1107</v>
      </c>
      <c r="B445" s="2">
        <v>46220</v>
      </c>
      <c r="C445" t="s">
        <v>26</v>
      </c>
      <c r="D445" t="s">
        <v>354</v>
      </c>
      <c r="E445" t="s">
        <v>77</v>
      </c>
      <c r="F445" t="s">
        <v>78</v>
      </c>
      <c r="G445" t="s">
        <v>34</v>
      </c>
      <c r="H445" t="s">
        <v>86</v>
      </c>
      <c r="I445">
        <v>10</v>
      </c>
      <c r="J445">
        <v>180000</v>
      </c>
      <c r="K445">
        <v>131000</v>
      </c>
      <c r="L445" t="s">
        <v>73</v>
      </c>
      <c r="M445" t="s">
        <v>37</v>
      </c>
      <c r="N445" t="s">
        <v>52</v>
      </c>
      <c r="O445" t="s">
        <v>24</v>
      </c>
      <c r="P445">
        <f>Tableau1_2[[#This Row],[Quantité]]*Tableau1_2[[#This Row],[Prix_Unitaire]]</f>
        <v>1800000</v>
      </c>
      <c r="Q445">
        <f>Tableau1_2[[#This Row],[Quantité]]*Tableau1_2[[#This Row],[Coût_Unitaire]]</f>
        <v>1310000</v>
      </c>
      <c r="R445">
        <f>Tableau1_2[[#This Row],[CA]]-Tableau1_2[[#This Row],[Cout Total]]</f>
        <v>490000</v>
      </c>
      <c r="S445" s="4">
        <f>Tableau1_2[[#This Row],[Marge]]/Tableau1_2[[#This Row],[CA]]</f>
        <v>0.2722222222222222</v>
      </c>
      <c r="T445" t="str">
        <f>TEXT(Tableau1_2[[#This Row],[Date]],"mmmm")</f>
        <v>juillet</v>
      </c>
    </row>
    <row r="446" spans="1:20" x14ac:dyDescent="0.35">
      <c r="A446" t="s">
        <v>1108</v>
      </c>
      <c r="B446" s="2">
        <v>46267</v>
      </c>
      <c r="C446" t="s">
        <v>1072</v>
      </c>
      <c r="D446" t="s">
        <v>1109</v>
      </c>
      <c r="E446" t="s">
        <v>18</v>
      </c>
      <c r="F446" t="s">
        <v>18</v>
      </c>
      <c r="G446" t="s">
        <v>34</v>
      </c>
      <c r="H446" t="s">
        <v>95</v>
      </c>
      <c r="I446">
        <v>6</v>
      </c>
      <c r="J446">
        <v>472500</v>
      </c>
      <c r="K446">
        <v>358900</v>
      </c>
      <c r="L446" t="s">
        <v>80</v>
      </c>
      <c r="M446" t="s">
        <v>37</v>
      </c>
      <c r="N446" t="s">
        <v>23</v>
      </c>
      <c r="O446" t="s">
        <v>45</v>
      </c>
      <c r="P446">
        <f>Tableau1_2[[#This Row],[Quantité]]*Tableau1_2[[#This Row],[Prix_Unitaire]]</f>
        <v>2835000</v>
      </c>
      <c r="Q446">
        <f>Tableau1_2[[#This Row],[Quantité]]*Tableau1_2[[#This Row],[Coût_Unitaire]]</f>
        <v>2153400</v>
      </c>
      <c r="R446">
        <f>Tableau1_2[[#This Row],[CA]]-Tableau1_2[[#This Row],[Cout Total]]</f>
        <v>681600</v>
      </c>
      <c r="S446" s="4">
        <f>Tableau1_2[[#This Row],[Marge]]/Tableau1_2[[#This Row],[CA]]</f>
        <v>0.24042328042328043</v>
      </c>
      <c r="T446" t="str">
        <f>TEXT(Tableau1_2[[#This Row],[Date]],"mmmm")</f>
        <v>septembre</v>
      </c>
    </row>
    <row r="447" spans="1:20" x14ac:dyDescent="0.35">
      <c r="A447" t="s">
        <v>1110</v>
      </c>
      <c r="B447" s="2">
        <v>46231</v>
      </c>
      <c r="C447" t="s">
        <v>808</v>
      </c>
      <c r="D447" t="s">
        <v>425</v>
      </c>
      <c r="E447" t="s">
        <v>41</v>
      </c>
      <c r="F447" t="s">
        <v>42</v>
      </c>
      <c r="G447" t="s">
        <v>19</v>
      </c>
      <c r="H447" t="s">
        <v>112</v>
      </c>
      <c r="I447">
        <v>2</v>
      </c>
      <c r="J447">
        <v>85000</v>
      </c>
      <c r="K447">
        <v>63900</v>
      </c>
      <c r="L447" t="s">
        <v>73</v>
      </c>
      <c r="M447" t="s">
        <v>31</v>
      </c>
      <c r="N447" t="s">
        <v>52</v>
      </c>
      <c r="O447" t="s">
        <v>91</v>
      </c>
      <c r="P447">
        <f>Tableau1_2[[#This Row],[Quantité]]*Tableau1_2[[#This Row],[Prix_Unitaire]]</f>
        <v>170000</v>
      </c>
      <c r="Q447">
        <f>Tableau1_2[[#This Row],[Quantité]]*Tableau1_2[[#This Row],[Coût_Unitaire]]</f>
        <v>127800</v>
      </c>
      <c r="R447">
        <f>Tableau1_2[[#This Row],[CA]]-Tableau1_2[[#This Row],[Cout Total]]</f>
        <v>42200</v>
      </c>
      <c r="S447" s="4">
        <f>Tableau1_2[[#This Row],[Marge]]/Tableau1_2[[#This Row],[CA]]</f>
        <v>0.24823529411764705</v>
      </c>
      <c r="T447" t="str">
        <f>TEXT(Tableau1_2[[#This Row],[Date]],"mmmm")</f>
        <v>juillet</v>
      </c>
    </row>
    <row r="448" spans="1:20" x14ac:dyDescent="0.35">
      <c r="A448" t="s">
        <v>1111</v>
      </c>
      <c r="B448" s="2">
        <v>46379</v>
      </c>
      <c r="C448" t="s">
        <v>1112</v>
      </c>
      <c r="D448" t="s">
        <v>1113</v>
      </c>
      <c r="E448" t="s">
        <v>156</v>
      </c>
      <c r="F448" t="s">
        <v>170</v>
      </c>
      <c r="G448" t="s">
        <v>34</v>
      </c>
      <c r="H448" t="s">
        <v>35</v>
      </c>
      <c r="I448">
        <v>6</v>
      </c>
      <c r="J448">
        <v>57800</v>
      </c>
      <c r="K448">
        <v>40200</v>
      </c>
      <c r="L448" t="s">
        <v>96</v>
      </c>
      <c r="M448" t="s">
        <v>37</v>
      </c>
      <c r="N448" t="s">
        <v>87</v>
      </c>
      <c r="O448" t="s">
        <v>24</v>
      </c>
      <c r="P448">
        <f>Tableau1_2[[#This Row],[Quantité]]*Tableau1_2[[#This Row],[Prix_Unitaire]]</f>
        <v>346800</v>
      </c>
      <c r="Q448">
        <f>Tableau1_2[[#This Row],[Quantité]]*Tableau1_2[[#This Row],[Coût_Unitaire]]</f>
        <v>241200</v>
      </c>
      <c r="R448">
        <f>Tableau1_2[[#This Row],[CA]]-Tableau1_2[[#This Row],[Cout Total]]</f>
        <v>105600</v>
      </c>
      <c r="S448" s="4">
        <f>Tableau1_2[[#This Row],[Marge]]/Tableau1_2[[#This Row],[CA]]</f>
        <v>0.30449826989619377</v>
      </c>
      <c r="T448" t="str">
        <f>TEXT(Tableau1_2[[#This Row],[Date]],"mmmm")</f>
        <v>décembre</v>
      </c>
    </row>
    <row r="449" spans="1:20" x14ac:dyDescent="0.35">
      <c r="A449" t="s">
        <v>1114</v>
      </c>
      <c r="B449" s="2">
        <v>46379</v>
      </c>
      <c r="C449" t="s">
        <v>559</v>
      </c>
      <c r="D449" t="s">
        <v>581</v>
      </c>
      <c r="E449" t="s">
        <v>156</v>
      </c>
      <c r="F449" t="s">
        <v>157</v>
      </c>
      <c r="G449" t="s">
        <v>34</v>
      </c>
      <c r="H449" t="s">
        <v>86</v>
      </c>
      <c r="I449">
        <v>2</v>
      </c>
      <c r="J449">
        <v>189000</v>
      </c>
      <c r="K449">
        <v>131000</v>
      </c>
      <c r="L449" t="s">
        <v>66</v>
      </c>
      <c r="M449" t="s">
        <v>37</v>
      </c>
      <c r="N449" t="s">
        <v>87</v>
      </c>
      <c r="O449" t="s">
        <v>24</v>
      </c>
      <c r="P449">
        <f>Tableau1_2[[#This Row],[Quantité]]*Tableau1_2[[#This Row],[Prix_Unitaire]]</f>
        <v>378000</v>
      </c>
      <c r="Q449">
        <f>Tableau1_2[[#This Row],[Quantité]]*Tableau1_2[[#This Row],[Coût_Unitaire]]</f>
        <v>262000</v>
      </c>
      <c r="R449">
        <f>Tableau1_2[[#This Row],[CA]]-Tableau1_2[[#This Row],[Cout Total]]</f>
        <v>116000</v>
      </c>
      <c r="S449" s="4">
        <f>Tableau1_2[[#This Row],[Marge]]/Tableau1_2[[#This Row],[CA]]</f>
        <v>0.30687830687830686</v>
      </c>
      <c r="T449" t="str">
        <f>TEXT(Tableau1_2[[#This Row],[Date]],"mmmm")</f>
        <v>décembre</v>
      </c>
    </row>
    <row r="450" spans="1:20" x14ac:dyDescent="0.35">
      <c r="A450" t="s">
        <v>1115</v>
      </c>
      <c r="B450" s="2">
        <v>46097</v>
      </c>
      <c r="C450" t="s">
        <v>410</v>
      </c>
      <c r="D450" t="s">
        <v>351</v>
      </c>
      <c r="E450" t="s">
        <v>84</v>
      </c>
      <c r="F450" t="s">
        <v>85</v>
      </c>
      <c r="G450" t="s">
        <v>34</v>
      </c>
      <c r="H450" t="s">
        <v>86</v>
      </c>
      <c r="I450">
        <v>1</v>
      </c>
      <c r="J450">
        <v>189000</v>
      </c>
      <c r="K450">
        <v>135000</v>
      </c>
      <c r="L450" t="s">
        <v>50</v>
      </c>
      <c r="M450" t="s">
        <v>51</v>
      </c>
      <c r="N450" t="s">
        <v>87</v>
      </c>
      <c r="O450" t="s">
        <v>91</v>
      </c>
      <c r="P450">
        <f>Tableau1_2[[#This Row],[Quantité]]*Tableau1_2[[#This Row],[Prix_Unitaire]]</f>
        <v>189000</v>
      </c>
      <c r="Q450">
        <f>Tableau1_2[[#This Row],[Quantité]]*Tableau1_2[[#This Row],[Coût_Unitaire]]</f>
        <v>135000</v>
      </c>
      <c r="R450">
        <f>Tableau1_2[[#This Row],[CA]]-Tableau1_2[[#This Row],[Cout Total]]</f>
        <v>54000</v>
      </c>
      <c r="S450" s="4">
        <f>Tableau1_2[[#This Row],[Marge]]/Tableau1_2[[#This Row],[CA]]</f>
        <v>0.2857142857142857</v>
      </c>
      <c r="T450" t="str">
        <f>TEXT(Tableau1_2[[#This Row],[Date]],"mmmm")</f>
        <v>mars</v>
      </c>
    </row>
    <row r="451" spans="1:20" x14ac:dyDescent="0.35">
      <c r="A451" t="s">
        <v>1116</v>
      </c>
      <c r="B451" s="2">
        <v>46335</v>
      </c>
      <c r="C451" t="s">
        <v>316</v>
      </c>
      <c r="D451" t="s">
        <v>1117</v>
      </c>
      <c r="E451" t="s">
        <v>77</v>
      </c>
      <c r="F451" t="s">
        <v>78</v>
      </c>
      <c r="G451" t="s">
        <v>19</v>
      </c>
      <c r="H451" t="s">
        <v>112</v>
      </c>
      <c r="I451">
        <v>9</v>
      </c>
      <c r="J451">
        <v>80800</v>
      </c>
      <c r="K451">
        <v>62000</v>
      </c>
      <c r="L451" t="s">
        <v>21</v>
      </c>
      <c r="M451" t="s">
        <v>22</v>
      </c>
      <c r="N451" t="s">
        <v>52</v>
      </c>
      <c r="O451" t="s">
        <v>24</v>
      </c>
      <c r="P451">
        <f>Tableau1_2[[#This Row],[Quantité]]*Tableau1_2[[#This Row],[Prix_Unitaire]]</f>
        <v>727200</v>
      </c>
      <c r="Q451">
        <f>Tableau1_2[[#This Row],[Quantité]]*Tableau1_2[[#This Row],[Coût_Unitaire]]</f>
        <v>558000</v>
      </c>
      <c r="R451">
        <f>Tableau1_2[[#This Row],[CA]]-Tableau1_2[[#This Row],[Cout Total]]</f>
        <v>169200</v>
      </c>
      <c r="S451" s="4">
        <f>Tableau1_2[[#This Row],[Marge]]/Tableau1_2[[#This Row],[CA]]</f>
        <v>0.23267326732673269</v>
      </c>
      <c r="T451" t="str">
        <f>TEXT(Tableau1_2[[#This Row],[Date]],"mmmm")</f>
        <v>novembre</v>
      </c>
    </row>
    <row r="452" spans="1:20" x14ac:dyDescent="0.35">
      <c r="A452" t="s">
        <v>1118</v>
      </c>
      <c r="B452" s="2">
        <v>46085</v>
      </c>
      <c r="C452" t="s">
        <v>1119</v>
      </c>
      <c r="D452" t="s">
        <v>1120</v>
      </c>
      <c r="E452" t="s">
        <v>77</v>
      </c>
      <c r="F452" t="s">
        <v>78</v>
      </c>
      <c r="G452" t="s">
        <v>19</v>
      </c>
      <c r="H452" t="s">
        <v>61</v>
      </c>
      <c r="I452">
        <v>9</v>
      </c>
      <c r="J452">
        <v>220000</v>
      </c>
      <c r="K452">
        <v>155200</v>
      </c>
      <c r="L452" t="s">
        <v>73</v>
      </c>
      <c r="M452" t="s">
        <v>37</v>
      </c>
      <c r="N452" t="s">
        <v>52</v>
      </c>
      <c r="O452" t="s">
        <v>24</v>
      </c>
      <c r="P452">
        <f>Tableau1_2[[#This Row],[Quantité]]*Tableau1_2[[#This Row],[Prix_Unitaire]]</f>
        <v>1980000</v>
      </c>
      <c r="Q452">
        <f>Tableau1_2[[#This Row],[Quantité]]*Tableau1_2[[#This Row],[Coût_Unitaire]]</f>
        <v>1396800</v>
      </c>
      <c r="R452">
        <f>Tableau1_2[[#This Row],[CA]]-Tableau1_2[[#This Row],[Cout Total]]</f>
        <v>583200</v>
      </c>
      <c r="S452" s="4">
        <f>Tableau1_2[[#This Row],[Marge]]/Tableau1_2[[#This Row],[CA]]</f>
        <v>0.29454545454545455</v>
      </c>
      <c r="T452" t="str">
        <f>TEXT(Tableau1_2[[#This Row],[Date]],"mmmm")</f>
        <v>mars</v>
      </c>
    </row>
    <row r="453" spans="1:20" x14ac:dyDescent="0.35">
      <c r="A453" t="s">
        <v>1121</v>
      </c>
      <c r="B453" s="2">
        <v>46049</v>
      </c>
      <c r="C453" t="s">
        <v>694</v>
      </c>
      <c r="D453" t="s">
        <v>1122</v>
      </c>
      <c r="E453" t="s">
        <v>77</v>
      </c>
      <c r="F453" t="s">
        <v>78</v>
      </c>
      <c r="G453" t="s">
        <v>34</v>
      </c>
      <c r="H453" t="s">
        <v>95</v>
      </c>
      <c r="I453">
        <v>4</v>
      </c>
      <c r="J453">
        <v>472500</v>
      </c>
      <c r="K453">
        <v>370000</v>
      </c>
      <c r="L453" t="s">
        <v>73</v>
      </c>
      <c r="M453" t="s">
        <v>37</v>
      </c>
      <c r="N453" t="s">
        <v>23</v>
      </c>
      <c r="O453" t="s">
        <v>24</v>
      </c>
      <c r="P453">
        <f>Tableau1_2[[#This Row],[Quantité]]*Tableau1_2[[#This Row],[Prix_Unitaire]]</f>
        <v>1890000</v>
      </c>
      <c r="Q453">
        <f>Tableau1_2[[#This Row],[Quantité]]*Tableau1_2[[#This Row],[Coût_Unitaire]]</f>
        <v>1480000</v>
      </c>
      <c r="R453">
        <f>Tableau1_2[[#This Row],[CA]]-Tableau1_2[[#This Row],[Cout Total]]</f>
        <v>410000</v>
      </c>
      <c r="S453" s="4">
        <f>Tableau1_2[[#This Row],[Marge]]/Tableau1_2[[#This Row],[CA]]</f>
        <v>0.21693121693121692</v>
      </c>
      <c r="T453" t="str">
        <f>TEXT(Tableau1_2[[#This Row],[Date]],"mmmm")</f>
        <v>janvier</v>
      </c>
    </row>
    <row r="454" spans="1:20" x14ac:dyDescent="0.35">
      <c r="A454" t="s">
        <v>1123</v>
      </c>
      <c r="B454" s="2">
        <v>46262</v>
      </c>
      <c r="C454" t="s">
        <v>1124</v>
      </c>
      <c r="D454" t="s">
        <v>270</v>
      </c>
      <c r="E454" t="s">
        <v>18</v>
      </c>
      <c r="F454" t="s">
        <v>18</v>
      </c>
      <c r="G454" t="s">
        <v>19</v>
      </c>
      <c r="H454" t="s">
        <v>166</v>
      </c>
      <c r="I454">
        <v>5</v>
      </c>
      <c r="J454">
        <v>133000</v>
      </c>
      <c r="K454">
        <v>103000</v>
      </c>
      <c r="L454" t="s">
        <v>66</v>
      </c>
      <c r="M454" t="s">
        <v>22</v>
      </c>
      <c r="N454" t="s">
        <v>23</v>
      </c>
      <c r="O454" t="s">
        <v>91</v>
      </c>
      <c r="P454">
        <f>Tableau1_2[[#This Row],[Quantité]]*Tableau1_2[[#This Row],[Prix_Unitaire]]</f>
        <v>665000</v>
      </c>
      <c r="Q454">
        <f>Tableau1_2[[#This Row],[Quantité]]*Tableau1_2[[#This Row],[Coût_Unitaire]]</f>
        <v>515000</v>
      </c>
      <c r="R454">
        <f>Tableau1_2[[#This Row],[CA]]-Tableau1_2[[#This Row],[Cout Total]]</f>
        <v>150000</v>
      </c>
      <c r="S454" s="4">
        <f>Tableau1_2[[#This Row],[Marge]]/Tableau1_2[[#This Row],[CA]]</f>
        <v>0.22556390977443608</v>
      </c>
      <c r="T454" t="str">
        <f>TEXT(Tableau1_2[[#This Row],[Date]],"mmmm")</f>
        <v>août</v>
      </c>
    </row>
    <row r="455" spans="1:20" x14ac:dyDescent="0.35">
      <c r="A455" t="s">
        <v>1125</v>
      </c>
      <c r="B455" s="2">
        <v>46029</v>
      </c>
      <c r="C455" t="s">
        <v>168</v>
      </c>
      <c r="D455" t="s">
        <v>1126</v>
      </c>
      <c r="E455" t="s">
        <v>56</v>
      </c>
      <c r="F455" t="s">
        <v>57</v>
      </c>
      <c r="G455" t="s">
        <v>34</v>
      </c>
      <c r="H455" t="s">
        <v>86</v>
      </c>
      <c r="I455">
        <v>8</v>
      </c>
      <c r="J455">
        <v>189000</v>
      </c>
      <c r="K455">
        <v>139000</v>
      </c>
      <c r="L455" t="s">
        <v>30</v>
      </c>
      <c r="M455" t="s">
        <v>37</v>
      </c>
      <c r="N455" t="s">
        <v>52</v>
      </c>
      <c r="O455" t="s">
        <v>24</v>
      </c>
      <c r="P455">
        <f>Tableau1_2[[#This Row],[Quantité]]*Tableau1_2[[#This Row],[Prix_Unitaire]]</f>
        <v>1512000</v>
      </c>
      <c r="Q455">
        <f>Tableau1_2[[#This Row],[Quantité]]*Tableau1_2[[#This Row],[Coût_Unitaire]]</f>
        <v>1112000</v>
      </c>
      <c r="R455">
        <f>Tableau1_2[[#This Row],[CA]]-Tableau1_2[[#This Row],[Cout Total]]</f>
        <v>400000</v>
      </c>
      <c r="S455" s="4">
        <f>Tableau1_2[[#This Row],[Marge]]/Tableau1_2[[#This Row],[CA]]</f>
        <v>0.26455026455026454</v>
      </c>
      <c r="T455" t="str">
        <f>TEXT(Tableau1_2[[#This Row],[Date]],"mmmm")</f>
        <v>janvier</v>
      </c>
    </row>
    <row r="456" spans="1:20" x14ac:dyDescent="0.35">
      <c r="A456" t="s">
        <v>1127</v>
      </c>
      <c r="B456" s="2">
        <v>46087</v>
      </c>
      <c r="C456" t="s">
        <v>997</v>
      </c>
      <c r="D456" t="s">
        <v>1128</v>
      </c>
      <c r="E456" t="s">
        <v>41</v>
      </c>
      <c r="F456" t="s">
        <v>42</v>
      </c>
      <c r="G456" t="s">
        <v>43</v>
      </c>
      <c r="H456" t="s">
        <v>44</v>
      </c>
      <c r="I456">
        <v>6</v>
      </c>
      <c r="J456">
        <v>15000</v>
      </c>
      <c r="K456">
        <v>9500</v>
      </c>
      <c r="L456" t="s">
        <v>36</v>
      </c>
      <c r="M456" t="s">
        <v>22</v>
      </c>
      <c r="N456" t="s">
        <v>23</v>
      </c>
      <c r="O456" t="s">
        <v>24</v>
      </c>
      <c r="P456">
        <f>Tableau1_2[[#This Row],[Quantité]]*Tableau1_2[[#This Row],[Prix_Unitaire]]</f>
        <v>90000</v>
      </c>
      <c r="Q456">
        <f>Tableau1_2[[#This Row],[Quantité]]*Tableau1_2[[#This Row],[Coût_Unitaire]]</f>
        <v>57000</v>
      </c>
      <c r="R456">
        <f>Tableau1_2[[#This Row],[CA]]-Tableau1_2[[#This Row],[Cout Total]]</f>
        <v>33000</v>
      </c>
      <c r="S456" s="4">
        <f>Tableau1_2[[#This Row],[Marge]]/Tableau1_2[[#This Row],[CA]]</f>
        <v>0.36666666666666664</v>
      </c>
      <c r="T456" t="str">
        <f>TEXT(Tableau1_2[[#This Row],[Date]],"mmmm")</f>
        <v>mars</v>
      </c>
    </row>
    <row r="457" spans="1:20" x14ac:dyDescent="0.35">
      <c r="A457" t="s">
        <v>1129</v>
      </c>
      <c r="B457" s="2">
        <v>46198</v>
      </c>
      <c r="C457" t="s">
        <v>848</v>
      </c>
      <c r="D457" t="s">
        <v>806</v>
      </c>
      <c r="E457" t="s">
        <v>56</v>
      </c>
      <c r="F457" t="s">
        <v>57</v>
      </c>
      <c r="G457" t="s">
        <v>34</v>
      </c>
      <c r="H457" t="s">
        <v>95</v>
      </c>
      <c r="I457">
        <v>8</v>
      </c>
      <c r="J457">
        <v>450000</v>
      </c>
      <c r="K457">
        <v>370000</v>
      </c>
      <c r="L457" t="s">
        <v>30</v>
      </c>
      <c r="M457" t="s">
        <v>37</v>
      </c>
      <c r="N457" t="s">
        <v>52</v>
      </c>
      <c r="O457" t="s">
        <v>91</v>
      </c>
      <c r="P457">
        <f>Tableau1_2[[#This Row],[Quantité]]*Tableau1_2[[#This Row],[Prix_Unitaire]]</f>
        <v>3600000</v>
      </c>
      <c r="Q457">
        <f>Tableau1_2[[#This Row],[Quantité]]*Tableau1_2[[#This Row],[Coût_Unitaire]]</f>
        <v>2960000</v>
      </c>
      <c r="R457">
        <f>Tableau1_2[[#This Row],[CA]]-Tableau1_2[[#This Row],[Cout Total]]</f>
        <v>640000</v>
      </c>
      <c r="S457" s="4">
        <f>Tableau1_2[[#This Row],[Marge]]/Tableau1_2[[#This Row],[CA]]</f>
        <v>0.17777777777777778</v>
      </c>
      <c r="T457" t="str">
        <f>TEXT(Tableau1_2[[#This Row],[Date]],"mmmm")</f>
        <v>juin</v>
      </c>
    </row>
    <row r="458" spans="1:20" x14ac:dyDescent="0.35">
      <c r="A458" t="s">
        <v>1130</v>
      </c>
      <c r="B458" s="2">
        <v>46217</v>
      </c>
      <c r="C458" t="s">
        <v>1131</v>
      </c>
      <c r="D458" t="s">
        <v>1132</v>
      </c>
      <c r="E458" t="s">
        <v>56</v>
      </c>
      <c r="F458" t="s">
        <v>57</v>
      </c>
      <c r="G458" t="s">
        <v>19</v>
      </c>
      <c r="H458" t="s">
        <v>112</v>
      </c>
      <c r="I458">
        <v>1</v>
      </c>
      <c r="J458">
        <v>85000</v>
      </c>
      <c r="K458">
        <v>60100</v>
      </c>
      <c r="L458" t="s">
        <v>30</v>
      </c>
      <c r="M458" t="s">
        <v>22</v>
      </c>
      <c r="N458" t="s">
        <v>52</v>
      </c>
      <c r="O458" t="s">
        <v>45</v>
      </c>
      <c r="P458">
        <f>Tableau1_2[[#This Row],[Quantité]]*Tableau1_2[[#This Row],[Prix_Unitaire]]</f>
        <v>85000</v>
      </c>
      <c r="Q458">
        <f>Tableau1_2[[#This Row],[Quantité]]*Tableau1_2[[#This Row],[Coût_Unitaire]]</f>
        <v>60100</v>
      </c>
      <c r="R458">
        <f>Tableau1_2[[#This Row],[CA]]-Tableau1_2[[#This Row],[Cout Total]]</f>
        <v>24900</v>
      </c>
      <c r="S458" s="4">
        <f>Tableau1_2[[#This Row],[Marge]]/Tableau1_2[[#This Row],[CA]]</f>
        <v>0.29294117647058826</v>
      </c>
      <c r="T458" t="str">
        <f>TEXT(Tableau1_2[[#This Row],[Date]],"mmmm")</f>
        <v>juillet</v>
      </c>
    </row>
    <row r="459" spans="1:20" x14ac:dyDescent="0.35">
      <c r="A459" t="s">
        <v>1133</v>
      </c>
      <c r="B459" s="2">
        <v>46165</v>
      </c>
      <c r="C459" t="s">
        <v>1134</v>
      </c>
      <c r="D459" t="s">
        <v>487</v>
      </c>
      <c r="E459" t="s">
        <v>77</v>
      </c>
      <c r="F459" t="s">
        <v>78</v>
      </c>
      <c r="G459" t="s">
        <v>19</v>
      </c>
      <c r="H459" t="s">
        <v>61</v>
      </c>
      <c r="I459">
        <v>8</v>
      </c>
      <c r="J459">
        <v>231000</v>
      </c>
      <c r="K459">
        <v>160000</v>
      </c>
      <c r="L459" t="s">
        <v>50</v>
      </c>
      <c r="M459" t="s">
        <v>51</v>
      </c>
      <c r="N459" t="s">
        <v>23</v>
      </c>
      <c r="O459" t="s">
        <v>24</v>
      </c>
      <c r="P459">
        <f>Tableau1_2[[#This Row],[Quantité]]*Tableau1_2[[#This Row],[Prix_Unitaire]]</f>
        <v>1848000</v>
      </c>
      <c r="Q459">
        <f>Tableau1_2[[#This Row],[Quantité]]*Tableau1_2[[#This Row],[Coût_Unitaire]]</f>
        <v>1280000</v>
      </c>
      <c r="R459">
        <f>Tableau1_2[[#This Row],[CA]]-Tableau1_2[[#This Row],[Cout Total]]</f>
        <v>568000</v>
      </c>
      <c r="S459" s="4">
        <f>Tableau1_2[[#This Row],[Marge]]/Tableau1_2[[#This Row],[CA]]</f>
        <v>0.30735930735930733</v>
      </c>
      <c r="T459" t="str">
        <f>TEXT(Tableau1_2[[#This Row],[Date]],"mmmm")</f>
        <v>mai</v>
      </c>
    </row>
    <row r="460" spans="1:20" x14ac:dyDescent="0.35">
      <c r="A460" t="s">
        <v>1135</v>
      </c>
      <c r="B460" s="2">
        <v>46373</v>
      </c>
      <c r="C460" t="s">
        <v>104</v>
      </c>
      <c r="D460" t="s">
        <v>1136</v>
      </c>
      <c r="E460" t="s">
        <v>156</v>
      </c>
      <c r="F460" t="s">
        <v>157</v>
      </c>
      <c r="G460" t="s">
        <v>34</v>
      </c>
      <c r="H460" t="s">
        <v>95</v>
      </c>
      <c r="I460">
        <v>7</v>
      </c>
      <c r="J460">
        <v>450000</v>
      </c>
      <c r="K460">
        <v>358900</v>
      </c>
      <c r="L460" t="s">
        <v>21</v>
      </c>
      <c r="M460" t="s">
        <v>51</v>
      </c>
      <c r="N460" t="s">
        <v>23</v>
      </c>
      <c r="O460" t="s">
        <v>24</v>
      </c>
      <c r="P460">
        <f>Tableau1_2[[#This Row],[Quantité]]*Tableau1_2[[#This Row],[Prix_Unitaire]]</f>
        <v>3150000</v>
      </c>
      <c r="Q460">
        <f>Tableau1_2[[#This Row],[Quantité]]*Tableau1_2[[#This Row],[Coût_Unitaire]]</f>
        <v>2512300</v>
      </c>
      <c r="R460">
        <f>Tableau1_2[[#This Row],[CA]]-Tableau1_2[[#This Row],[Cout Total]]</f>
        <v>637700</v>
      </c>
      <c r="S460" s="4">
        <f>Tableau1_2[[#This Row],[Marge]]/Tableau1_2[[#This Row],[CA]]</f>
        <v>0.20244444444444445</v>
      </c>
      <c r="T460" t="str">
        <f>TEXT(Tableau1_2[[#This Row],[Date]],"mmmm")</f>
        <v>décembre</v>
      </c>
    </row>
    <row r="461" spans="1:20" x14ac:dyDescent="0.35">
      <c r="A461" t="s">
        <v>1137</v>
      </c>
      <c r="B461" s="2">
        <v>46362</v>
      </c>
      <c r="C461" t="s">
        <v>1138</v>
      </c>
      <c r="D461" t="s">
        <v>974</v>
      </c>
      <c r="E461" t="s">
        <v>18</v>
      </c>
      <c r="F461" t="s">
        <v>18</v>
      </c>
      <c r="G461" t="s">
        <v>19</v>
      </c>
      <c r="H461" t="s">
        <v>61</v>
      </c>
      <c r="I461">
        <v>7</v>
      </c>
      <c r="J461">
        <v>220000</v>
      </c>
      <c r="K461">
        <v>155200</v>
      </c>
      <c r="L461" t="s">
        <v>96</v>
      </c>
      <c r="M461" t="s">
        <v>37</v>
      </c>
      <c r="N461" t="s">
        <v>87</v>
      </c>
      <c r="O461" t="s">
        <v>24</v>
      </c>
      <c r="P461">
        <f>Tableau1_2[[#This Row],[Quantité]]*Tableau1_2[[#This Row],[Prix_Unitaire]]</f>
        <v>1540000</v>
      </c>
      <c r="Q461">
        <f>Tableau1_2[[#This Row],[Quantité]]*Tableau1_2[[#This Row],[Coût_Unitaire]]</f>
        <v>1086400</v>
      </c>
      <c r="R461">
        <f>Tableau1_2[[#This Row],[CA]]-Tableau1_2[[#This Row],[Cout Total]]</f>
        <v>453600</v>
      </c>
      <c r="S461" s="4">
        <f>Tableau1_2[[#This Row],[Marge]]/Tableau1_2[[#This Row],[CA]]</f>
        <v>0.29454545454545455</v>
      </c>
      <c r="T461" t="str">
        <f>TEXT(Tableau1_2[[#This Row],[Date]],"mmmm")</f>
        <v>décembre</v>
      </c>
    </row>
    <row r="462" spans="1:20" x14ac:dyDescent="0.35">
      <c r="A462" t="s">
        <v>1139</v>
      </c>
      <c r="B462" s="2">
        <v>46046</v>
      </c>
      <c r="C462" t="s">
        <v>1140</v>
      </c>
      <c r="D462" t="s">
        <v>1141</v>
      </c>
      <c r="E462" t="s">
        <v>70</v>
      </c>
      <c r="F462" t="s">
        <v>71</v>
      </c>
      <c r="G462" t="s">
        <v>19</v>
      </c>
      <c r="H462" t="s">
        <v>166</v>
      </c>
      <c r="I462">
        <v>1</v>
      </c>
      <c r="J462">
        <v>133000</v>
      </c>
      <c r="K462">
        <v>103000</v>
      </c>
      <c r="L462" t="s">
        <v>21</v>
      </c>
      <c r="M462" t="s">
        <v>22</v>
      </c>
      <c r="N462" t="s">
        <v>52</v>
      </c>
      <c r="O462" t="s">
        <v>24</v>
      </c>
      <c r="P462">
        <f>Tableau1_2[[#This Row],[Quantité]]*Tableau1_2[[#This Row],[Prix_Unitaire]]</f>
        <v>133000</v>
      </c>
      <c r="Q462">
        <f>Tableau1_2[[#This Row],[Quantité]]*Tableau1_2[[#This Row],[Coût_Unitaire]]</f>
        <v>103000</v>
      </c>
      <c r="R462">
        <f>Tableau1_2[[#This Row],[CA]]-Tableau1_2[[#This Row],[Cout Total]]</f>
        <v>30000</v>
      </c>
      <c r="S462" s="4">
        <f>Tableau1_2[[#This Row],[Marge]]/Tableau1_2[[#This Row],[CA]]</f>
        <v>0.22556390977443608</v>
      </c>
      <c r="T462" t="str">
        <f>TEXT(Tableau1_2[[#This Row],[Date]],"mmmm")</f>
        <v>janvier</v>
      </c>
    </row>
    <row r="463" spans="1:20" x14ac:dyDescent="0.35">
      <c r="A463" t="s">
        <v>1142</v>
      </c>
      <c r="B463" s="2">
        <v>46148</v>
      </c>
      <c r="C463" t="s">
        <v>1143</v>
      </c>
      <c r="D463" t="s">
        <v>1028</v>
      </c>
      <c r="E463" t="s">
        <v>70</v>
      </c>
      <c r="F463" t="s">
        <v>71</v>
      </c>
      <c r="G463" t="s">
        <v>43</v>
      </c>
      <c r="H463" t="s">
        <v>177</v>
      </c>
      <c r="I463">
        <v>7</v>
      </c>
      <c r="J463">
        <v>18000</v>
      </c>
      <c r="K463">
        <v>12900</v>
      </c>
      <c r="L463" t="s">
        <v>80</v>
      </c>
      <c r="M463" t="s">
        <v>37</v>
      </c>
      <c r="N463" t="s">
        <v>23</v>
      </c>
      <c r="O463" t="s">
        <v>24</v>
      </c>
      <c r="P463">
        <f>Tableau1_2[[#This Row],[Quantité]]*Tableau1_2[[#This Row],[Prix_Unitaire]]</f>
        <v>126000</v>
      </c>
      <c r="Q463">
        <f>Tableau1_2[[#This Row],[Quantité]]*Tableau1_2[[#This Row],[Coût_Unitaire]]</f>
        <v>90300</v>
      </c>
      <c r="R463">
        <f>Tableau1_2[[#This Row],[CA]]-Tableau1_2[[#This Row],[Cout Total]]</f>
        <v>35700</v>
      </c>
      <c r="S463" s="4">
        <f>Tableau1_2[[#This Row],[Marge]]/Tableau1_2[[#This Row],[CA]]</f>
        <v>0.28333333333333333</v>
      </c>
      <c r="T463" t="str">
        <f>TEXT(Tableau1_2[[#This Row],[Date]],"mmmm")</f>
        <v>mai</v>
      </c>
    </row>
    <row r="464" spans="1:20" x14ac:dyDescent="0.35">
      <c r="A464" t="s">
        <v>1144</v>
      </c>
      <c r="B464" s="2">
        <v>46042</v>
      </c>
      <c r="C464" t="s">
        <v>649</v>
      </c>
      <c r="D464" t="s">
        <v>453</v>
      </c>
      <c r="E464" t="s">
        <v>18</v>
      </c>
      <c r="F464" t="s">
        <v>18</v>
      </c>
      <c r="G464" t="s">
        <v>34</v>
      </c>
      <c r="H464" t="s">
        <v>95</v>
      </c>
      <c r="I464">
        <v>9</v>
      </c>
      <c r="J464">
        <v>427500</v>
      </c>
      <c r="K464">
        <v>381100</v>
      </c>
      <c r="L464" t="s">
        <v>21</v>
      </c>
      <c r="M464" t="s">
        <v>37</v>
      </c>
      <c r="N464" t="s">
        <v>87</v>
      </c>
      <c r="O464" t="s">
        <v>24</v>
      </c>
      <c r="P464">
        <f>Tableau1_2[[#This Row],[Quantité]]*Tableau1_2[[#This Row],[Prix_Unitaire]]</f>
        <v>3847500</v>
      </c>
      <c r="Q464">
        <f>Tableau1_2[[#This Row],[Quantité]]*Tableau1_2[[#This Row],[Coût_Unitaire]]</f>
        <v>3429900</v>
      </c>
      <c r="R464">
        <f>Tableau1_2[[#This Row],[CA]]-Tableau1_2[[#This Row],[Cout Total]]</f>
        <v>417600</v>
      </c>
      <c r="S464" s="4">
        <f>Tableau1_2[[#This Row],[Marge]]/Tableau1_2[[#This Row],[CA]]</f>
        <v>0.10853801169590643</v>
      </c>
      <c r="T464" t="str">
        <f>TEXT(Tableau1_2[[#This Row],[Date]],"mmmm")</f>
        <v>janvier</v>
      </c>
    </row>
    <row r="465" spans="1:20" x14ac:dyDescent="0.35">
      <c r="A465" t="s">
        <v>1145</v>
      </c>
      <c r="B465" s="2">
        <v>46121</v>
      </c>
      <c r="C465" t="s">
        <v>231</v>
      </c>
      <c r="D465" t="s">
        <v>669</v>
      </c>
      <c r="E465" t="s">
        <v>18</v>
      </c>
      <c r="F465" t="s">
        <v>18</v>
      </c>
      <c r="G465" t="s">
        <v>34</v>
      </c>
      <c r="H465" t="s">
        <v>158</v>
      </c>
      <c r="I465">
        <v>3</v>
      </c>
      <c r="J465">
        <v>90200</v>
      </c>
      <c r="K465">
        <v>67900</v>
      </c>
      <c r="L465" t="s">
        <v>96</v>
      </c>
      <c r="M465" t="s">
        <v>37</v>
      </c>
      <c r="N465" t="s">
        <v>23</v>
      </c>
      <c r="O465" t="s">
        <v>24</v>
      </c>
      <c r="P465">
        <f>Tableau1_2[[#This Row],[Quantité]]*Tableau1_2[[#This Row],[Prix_Unitaire]]</f>
        <v>270600</v>
      </c>
      <c r="Q465">
        <f>Tableau1_2[[#This Row],[Quantité]]*Tableau1_2[[#This Row],[Coût_Unitaire]]</f>
        <v>203700</v>
      </c>
      <c r="R465">
        <f>Tableau1_2[[#This Row],[CA]]-Tableau1_2[[#This Row],[Cout Total]]</f>
        <v>66900</v>
      </c>
      <c r="S465" s="4">
        <f>Tableau1_2[[#This Row],[Marge]]/Tableau1_2[[#This Row],[CA]]</f>
        <v>0.24722838137472283</v>
      </c>
      <c r="T465" t="str">
        <f>TEXT(Tableau1_2[[#This Row],[Date]],"mmmm")</f>
        <v>avril</v>
      </c>
    </row>
    <row r="466" spans="1:20" x14ac:dyDescent="0.35">
      <c r="A466" t="s">
        <v>1146</v>
      </c>
      <c r="B466" s="2">
        <v>46073</v>
      </c>
      <c r="C466" t="s">
        <v>402</v>
      </c>
      <c r="D466" t="s">
        <v>859</v>
      </c>
      <c r="E466" t="s">
        <v>41</v>
      </c>
      <c r="F466" t="s">
        <v>42</v>
      </c>
      <c r="G466" t="s">
        <v>34</v>
      </c>
      <c r="H466" t="s">
        <v>86</v>
      </c>
      <c r="I466">
        <v>3</v>
      </c>
      <c r="J466">
        <v>180000</v>
      </c>
      <c r="K466">
        <v>139000</v>
      </c>
      <c r="L466" t="s">
        <v>21</v>
      </c>
      <c r="M466" t="s">
        <v>31</v>
      </c>
      <c r="N466" t="s">
        <v>87</v>
      </c>
      <c r="O466" t="s">
        <v>24</v>
      </c>
      <c r="P466">
        <f>Tableau1_2[[#This Row],[Quantité]]*Tableau1_2[[#This Row],[Prix_Unitaire]]</f>
        <v>540000</v>
      </c>
      <c r="Q466">
        <f>Tableau1_2[[#This Row],[Quantité]]*Tableau1_2[[#This Row],[Coût_Unitaire]]</f>
        <v>417000</v>
      </c>
      <c r="R466">
        <f>Tableau1_2[[#This Row],[CA]]-Tableau1_2[[#This Row],[Cout Total]]</f>
        <v>123000</v>
      </c>
      <c r="S466" s="4">
        <f>Tableau1_2[[#This Row],[Marge]]/Tableau1_2[[#This Row],[CA]]</f>
        <v>0.22777777777777777</v>
      </c>
      <c r="T466" t="str">
        <f>TEXT(Tableau1_2[[#This Row],[Date]],"mmmm")</f>
        <v>février</v>
      </c>
    </row>
    <row r="467" spans="1:20" x14ac:dyDescent="0.35">
      <c r="A467" t="s">
        <v>1147</v>
      </c>
      <c r="B467" s="2">
        <v>46205</v>
      </c>
      <c r="C467" t="s">
        <v>1148</v>
      </c>
      <c r="D467" t="s">
        <v>1149</v>
      </c>
      <c r="E467" t="s">
        <v>190</v>
      </c>
      <c r="F467" t="s">
        <v>191</v>
      </c>
      <c r="G467" t="s">
        <v>28</v>
      </c>
      <c r="H467" t="s">
        <v>131</v>
      </c>
      <c r="I467">
        <v>5</v>
      </c>
      <c r="J467">
        <v>31500</v>
      </c>
      <c r="K467">
        <v>19600</v>
      </c>
      <c r="L467" t="s">
        <v>21</v>
      </c>
      <c r="M467" t="s">
        <v>37</v>
      </c>
      <c r="N467" t="s">
        <v>52</v>
      </c>
      <c r="O467" t="s">
        <v>24</v>
      </c>
      <c r="P467">
        <f>Tableau1_2[[#This Row],[Quantité]]*Tableau1_2[[#This Row],[Prix_Unitaire]]</f>
        <v>157500</v>
      </c>
      <c r="Q467">
        <f>Tableau1_2[[#This Row],[Quantité]]*Tableau1_2[[#This Row],[Coût_Unitaire]]</f>
        <v>98000</v>
      </c>
      <c r="R467">
        <f>Tableau1_2[[#This Row],[CA]]-Tableau1_2[[#This Row],[Cout Total]]</f>
        <v>59500</v>
      </c>
      <c r="S467" s="4">
        <f>Tableau1_2[[#This Row],[Marge]]/Tableau1_2[[#This Row],[CA]]</f>
        <v>0.37777777777777777</v>
      </c>
      <c r="T467" t="str">
        <f>TEXT(Tableau1_2[[#This Row],[Date]],"mmmm")</f>
        <v>juillet</v>
      </c>
    </row>
    <row r="468" spans="1:20" x14ac:dyDescent="0.35">
      <c r="A468" t="s">
        <v>1150</v>
      </c>
      <c r="B468" s="2">
        <v>46079</v>
      </c>
      <c r="C468" t="s">
        <v>120</v>
      </c>
      <c r="D468" t="s">
        <v>291</v>
      </c>
      <c r="E468" t="s">
        <v>84</v>
      </c>
      <c r="F468" t="s">
        <v>85</v>
      </c>
      <c r="G468" t="s">
        <v>34</v>
      </c>
      <c r="H468" t="s">
        <v>141</v>
      </c>
      <c r="I468">
        <v>2</v>
      </c>
      <c r="J468">
        <v>160000</v>
      </c>
      <c r="K468">
        <v>123600</v>
      </c>
      <c r="L468" t="s">
        <v>96</v>
      </c>
      <c r="M468" t="s">
        <v>37</v>
      </c>
      <c r="N468" t="s">
        <v>52</v>
      </c>
      <c r="O468" t="s">
        <v>45</v>
      </c>
      <c r="P468">
        <f>Tableau1_2[[#This Row],[Quantité]]*Tableau1_2[[#This Row],[Prix_Unitaire]]</f>
        <v>320000</v>
      </c>
      <c r="Q468">
        <f>Tableau1_2[[#This Row],[Quantité]]*Tableau1_2[[#This Row],[Coût_Unitaire]]</f>
        <v>247200</v>
      </c>
      <c r="R468">
        <f>Tableau1_2[[#This Row],[CA]]-Tableau1_2[[#This Row],[Cout Total]]</f>
        <v>72800</v>
      </c>
      <c r="S468" s="4">
        <f>Tableau1_2[[#This Row],[Marge]]/Tableau1_2[[#This Row],[CA]]</f>
        <v>0.22750000000000001</v>
      </c>
      <c r="T468" t="str">
        <f>TEXT(Tableau1_2[[#This Row],[Date]],"mmmm")</f>
        <v>février</v>
      </c>
    </row>
    <row r="469" spans="1:20" x14ac:dyDescent="0.35">
      <c r="A469" t="s">
        <v>1151</v>
      </c>
      <c r="B469" s="2">
        <v>46240</v>
      </c>
      <c r="C469" t="s">
        <v>1152</v>
      </c>
      <c r="D469" t="s">
        <v>403</v>
      </c>
      <c r="E469" t="s">
        <v>18</v>
      </c>
      <c r="F469" t="s">
        <v>18</v>
      </c>
      <c r="G469" t="s">
        <v>19</v>
      </c>
      <c r="H469" t="s">
        <v>20</v>
      </c>
      <c r="I469">
        <v>5</v>
      </c>
      <c r="J469">
        <v>61800</v>
      </c>
      <c r="K469">
        <v>46400</v>
      </c>
      <c r="L469" t="s">
        <v>73</v>
      </c>
      <c r="M469" t="s">
        <v>22</v>
      </c>
      <c r="N469" t="s">
        <v>87</v>
      </c>
      <c r="O469" t="s">
        <v>24</v>
      </c>
      <c r="P469">
        <f>Tableau1_2[[#This Row],[Quantité]]*Tableau1_2[[#This Row],[Prix_Unitaire]]</f>
        <v>309000</v>
      </c>
      <c r="Q469">
        <f>Tableau1_2[[#This Row],[Quantité]]*Tableau1_2[[#This Row],[Coût_Unitaire]]</f>
        <v>232000</v>
      </c>
      <c r="R469">
        <f>Tableau1_2[[#This Row],[CA]]-Tableau1_2[[#This Row],[Cout Total]]</f>
        <v>77000</v>
      </c>
      <c r="S469" s="4">
        <f>Tableau1_2[[#This Row],[Marge]]/Tableau1_2[[#This Row],[CA]]</f>
        <v>0.24919093851132687</v>
      </c>
      <c r="T469" t="str">
        <f>TEXT(Tableau1_2[[#This Row],[Date]],"mmmm")</f>
        <v>août</v>
      </c>
    </row>
    <row r="470" spans="1:20" x14ac:dyDescent="0.35">
      <c r="A470" t="s">
        <v>1153</v>
      </c>
      <c r="B470" s="2">
        <v>46299</v>
      </c>
      <c r="C470" t="s">
        <v>393</v>
      </c>
      <c r="D470" t="s">
        <v>1154</v>
      </c>
      <c r="E470" t="s">
        <v>18</v>
      </c>
      <c r="F470" t="s">
        <v>18</v>
      </c>
      <c r="G470" t="s">
        <v>34</v>
      </c>
      <c r="H470" t="s">
        <v>95</v>
      </c>
      <c r="I470">
        <v>5</v>
      </c>
      <c r="J470">
        <v>450000</v>
      </c>
      <c r="K470">
        <v>358900</v>
      </c>
      <c r="L470" t="s">
        <v>73</v>
      </c>
      <c r="M470" t="s">
        <v>37</v>
      </c>
      <c r="N470" t="s">
        <v>52</v>
      </c>
      <c r="O470" t="s">
        <v>45</v>
      </c>
      <c r="P470">
        <f>Tableau1_2[[#This Row],[Quantité]]*Tableau1_2[[#This Row],[Prix_Unitaire]]</f>
        <v>2250000</v>
      </c>
      <c r="Q470">
        <f>Tableau1_2[[#This Row],[Quantité]]*Tableau1_2[[#This Row],[Coût_Unitaire]]</f>
        <v>1794500</v>
      </c>
      <c r="R470">
        <f>Tableau1_2[[#This Row],[CA]]-Tableau1_2[[#This Row],[Cout Total]]</f>
        <v>455500</v>
      </c>
      <c r="S470" s="4">
        <f>Tableau1_2[[#This Row],[Marge]]/Tableau1_2[[#This Row],[CA]]</f>
        <v>0.20244444444444445</v>
      </c>
      <c r="T470" t="str">
        <f>TEXT(Tableau1_2[[#This Row],[Date]],"mmmm")</f>
        <v>octobre</v>
      </c>
    </row>
    <row r="471" spans="1:20" x14ac:dyDescent="0.35">
      <c r="A471" t="s">
        <v>1155</v>
      </c>
      <c r="B471" s="2">
        <v>46198</v>
      </c>
      <c r="C471" t="s">
        <v>1156</v>
      </c>
      <c r="D471" t="s">
        <v>1157</v>
      </c>
      <c r="E471" t="s">
        <v>190</v>
      </c>
      <c r="F471" t="s">
        <v>191</v>
      </c>
      <c r="G471" t="s">
        <v>19</v>
      </c>
      <c r="H471" t="s">
        <v>20</v>
      </c>
      <c r="I471">
        <v>1</v>
      </c>
      <c r="J471">
        <v>61800</v>
      </c>
      <c r="K471">
        <v>45000</v>
      </c>
      <c r="L471" t="s">
        <v>73</v>
      </c>
      <c r="M471" t="s">
        <v>51</v>
      </c>
      <c r="N471" t="s">
        <v>23</v>
      </c>
      <c r="O471" t="s">
        <v>24</v>
      </c>
      <c r="P471">
        <f>Tableau1_2[[#This Row],[Quantité]]*Tableau1_2[[#This Row],[Prix_Unitaire]]</f>
        <v>61800</v>
      </c>
      <c r="Q471">
        <f>Tableau1_2[[#This Row],[Quantité]]*Tableau1_2[[#This Row],[Coût_Unitaire]]</f>
        <v>45000</v>
      </c>
      <c r="R471">
        <f>Tableau1_2[[#This Row],[CA]]-Tableau1_2[[#This Row],[Cout Total]]</f>
        <v>16800</v>
      </c>
      <c r="S471" s="4">
        <f>Tableau1_2[[#This Row],[Marge]]/Tableau1_2[[#This Row],[CA]]</f>
        <v>0.27184466019417475</v>
      </c>
      <c r="T471" t="str">
        <f>TEXT(Tableau1_2[[#This Row],[Date]],"mmmm")</f>
        <v>juin</v>
      </c>
    </row>
    <row r="472" spans="1:20" x14ac:dyDescent="0.35">
      <c r="A472" t="s">
        <v>1158</v>
      </c>
      <c r="B472" s="2">
        <v>46127</v>
      </c>
      <c r="C472" t="s">
        <v>323</v>
      </c>
      <c r="D472" t="s">
        <v>356</v>
      </c>
      <c r="E472" t="s">
        <v>18</v>
      </c>
      <c r="F472" t="s">
        <v>18</v>
      </c>
      <c r="G472" t="s">
        <v>43</v>
      </c>
      <c r="H472" t="s">
        <v>49</v>
      </c>
      <c r="I472">
        <v>4</v>
      </c>
      <c r="J472">
        <v>8600</v>
      </c>
      <c r="K472">
        <v>5600</v>
      </c>
      <c r="L472" t="s">
        <v>30</v>
      </c>
      <c r="M472" t="s">
        <v>22</v>
      </c>
      <c r="N472" t="s">
        <v>52</v>
      </c>
      <c r="O472" t="s">
        <v>91</v>
      </c>
      <c r="P472">
        <f>Tableau1_2[[#This Row],[Quantité]]*Tableau1_2[[#This Row],[Prix_Unitaire]]</f>
        <v>34400</v>
      </c>
      <c r="Q472">
        <f>Tableau1_2[[#This Row],[Quantité]]*Tableau1_2[[#This Row],[Coût_Unitaire]]</f>
        <v>22400</v>
      </c>
      <c r="R472">
        <f>Tableau1_2[[#This Row],[CA]]-Tableau1_2[[#This Row],[Cout Total]]</f>
        <v>12000</v>
      </c>
      <c r="S472" s="4">
        <f>Tableau1_2[[#This Row],[Marge]]/Tableau1_2[[#This Row],[CA]]</f>
        <v>0.34883720930232559</v>
      </c>
      <c r="T472" t="str">
        <f>TEXT(Tableau1_2[[#This Row],[Date]],"mmmm")</f>
        <v>avril</v>
      </c>
    </row>
    <row r="473" spans="1:20" x14ac:dyDescent="0.35">
      <c r="A473" t="s">
        <v>1159</v>
      </c>
      <c r="B473" s="2">
        <v>46377</v>
      </c>
      <c r="C473" t="s">
        <v>1160</v>
      </c>
      <c r="D473" t="s">
        <v>549</v>
      </c>
      <c r="E473" t="s">
        <v>70</v>
      </c>
      <c r="F473" t="s">
        <v>71</v>
      </c>
      <c r="G473" t="s">
        <v>34</v>
      </c>
      <c r="H473" t="s">
        <v>158</v>
      </c>
      <c r="I473">
        <v>7</v>
      </c>
      <c r="J473">
        <v>90200</v>
      </c>
      <c r="K473">
        <v>72100</v>
      </c>
      <c r="L473" t="s">
        <v>50</v>
      </c>
      <c r="M473" t="s">
        <v>31</v>
      </c>
      <c r="N473" t="s">
        <v>87</v>
      </c>
      <c r="O473" t="s">
        <v>24</v>
      </c>
      <c r="P473">
        <f>Tableau1_2[[#This Row],[Quantité]]*Tableau1_2[[#This Row],[Prix_Unitaire]]</f>
        <v>631400</v>
      </c>
      <c r="Q473">
        <f>Tableau1_2[[#This Row],[Quantité]]*Tableau1_2[[#This Row],[Coût_Unitaire]]</f>
        <v>504700</v>
      </c>
      <c r="R473">
        <f>Tableau1_2[[#This Row],[CA]]-Tableau1_2[[#This Row],[Cout Total]]</f>
        <v>126700</v>
      </c>
      <c r="S473" s="4">
        <f>Tableau1_2[[#This Row],[Marge]]/Tableau1_2[[#This Row],[CA]]</f>
        <v>0.20066518847006651</v>
      </c>
      <c r="T473" t="str">
        <f>TEXT(Tableau1_2[[#This Row],[Date]],"mmmm")</f>
        <v>décembre</v>
      </c>
    </row>
    <row r="474" spans="1:20" x14ac:dyDescent="0.35">
      <c r="A474" t="s">
        <v>1161</v>
      </c>
      <c r="B474" s="2">
        <v>46246</v>
      </c>
      <c r="C474" t="s">
        <v>1162</v>
      </c>
      <c r="D474" t="s">
        <v>184</v>
      </c>
      <c r="E474" t="s">
        <v>77</v>
      </c>
      <c r="F474" t="s">
        <v>78</v>
      </c>
      <c r="G474" t="s">
        <v>34</v>
      </c>
      <c r="H474" t="s">
        <v>95</v>
      </c>
      <c r="I474">
        <v>3</v>
      </c>
      <c r="J474">
        <v>427500</v>
      </c>
      <c r="K474">
        <v>381100</v>
      </c>
      <c r="L474" t="s">
        <v>80</v>
      </c>
      <c r="M474" t="s">
        <v>51</v>
      </c>
      <c r="N474" t="s">
        <v>52</v>
      </c>
      <c r="O474" t="s">
        <v>24</v>
      </c>
      <c r="P474">
        <f>Tableau1_2[[#This Row],[Quantité]]*Tableau1_2[[#This Row],[Prix_Unitaire]]</f>
        <v>1282500</v>
      </c>
      <c r="Q474">
        <f>Tableau1_2[[#This Row],[Quantité]]*Tableau1_2[[#This Row],[Coût_Unitaire]]</f>
        <v>1143300</v>
      </c>
      <c r="R474">
        <f>Tableau1_2[[#This Row],[CA]]-Tableau1_2[[#This Row],[Cout Total]]</f>
        <v>139200</v>
      </c>
      <c r="S474" s="4">
        <f>Tableau1_2[[#This Row],[Marge]]/Tableau1_2[[#This Row],[CA]]</f>
        <v>0.10853801169590643</v>
      </c>
      <c r="T474" t="str">
        <f>TEXT(Tableau1_2[[#This Row],[Date]],"mmmm")</f>
        <v>août</v>
      </c>
    </row>
    <row r="475" spans="1:20" x14ac:dyDescent="0.35">
      <c r="A475" t="s">
        <v>1163</v>
      </c>
      <c r="B475" s="2">
        <v>46341</v>
      </c>
      <c r="C475" t="s">
        <v>1164</v>
      </c>
      <c r="D475" t="s">
        <v>127</v>
      </c>
      <c r="E475" t="s">
        <v>41</v>
      </c>
      <c r="F475" t="s">
        <v>42</v>
      </c>
      <c r="G475" t="s">
        <v>34</v>
      </c>
      <c r="H475" t="s">
        <v>141</v>
      </c>
      <c r="I475">
        <v>5</v>
      </c>
      <c r="J475">
        <v>168000</v>
      </c>
      <c r="K475">
        <v>116400</v>
      </c>
      <c r="L475" t="s">
        <v>66</v>
      </c>
      <c r="M475" t="s">
        <v>51</v>
      </c>
      <c r="N475" t="s">
        <v>52</v>
      </c>
      <c r="O475" t="s">
        <v>91</v>
      </c>
      <c r="P475">
        <f>Tableau1_2[[#This Row],[Quantité]]*Tableau1_2[[#This Row],[Prix_Unitaire]]</f>
        <v>840000</v>
      </c>
      <c r="Q475">
        <f>Tableau1_2[[#This Row],[Quantité]]*Tableau1_2[[#This Row],[Coût_Unitaire]]</f>
        <v>582000</v>
      </c>
      <c r="R475">
        <f>Tableau1_2[[#This Row],[CA]]-Tableau1_2[[#This Row],[Cout Total]]</f>
        <v>258000</v>
      </c>
      <c r="S475" s="4">
        <f>Tableau1_2[[#This Row],[Marge]]/Tableau1_2[[#This Row],[CA]]</f>
        <v>0.30714285714285716</v>
      </c>
      <c r="T475" t="str">
        <f>TEXT(Tableau1_2[[#This Row],[Date]],"mmmm")</f>
        <v>novembre</v>
      </c>
    </row>
    <row r="476" spans="1:20" x14ac:dyDescent="0.35">
      <c r="A476" t="s">
        <v>1165</v>
      </c>
      <c r="B476" s="2">
        <v>46256</v>
      </c>
      <c r="C476" t="s">
        <v>1166</v>
      </c>
      <c r="D476" t="s">
        <v>354</v>
      </c>
      <c r="E476" t="s">
        <v>56</v>
      </c>
      <c r="F476" t="s">
        <v>57</v>
      </c>
      <c r="G476" t="s">
        <v>19</v>
      </c>
      <c r="H476" t="s">
        <v>20</v>
      </c>
      <c r="I476">
        <v>2</v>
      </c>
      <c r="J476">
        <v>68200</v>
      </c>
      <c r="K476">
        <v>46400</v>
      </c>
      <c r="L476" t="s">
        <v>30</v>
      </c>
      <c r="M476" t="s">
        <v>31</v>
      </c>
      <c r="N476" t="s">
        <v>52</v>
      </c>
      <c r="O476" t="s">
        <v>24</v>
      </c>
      <c r="P476">
        <f>Tableau1_2[[#This Row],[Quantité]]*Tableau1_2[[#This Row],[Prix_Unitaire]]</f>
        <v>136400</v>
      </c>
      <c r="Q476">
        <f>Tableau1_2[[#This Row],[Quantité]]*Tableau1_2[[#This Row],[Coût_Unitaire]]</f>
        <v>92800</v>
      </c>
      <c r="R476">
        <f>Tableau1_2[[#This Row],[CA]]-Tableau1_2[[#This Row],[Cout Total]]</f>
        <v>43600</v>
      </c>
      <c r="S476" s="4">
        <f>Tableau1_2[[#This Row],[Marge]]/Tableau1_2[[#This Row],[CA]]</f>
        <v>0.31964809384164222</v>
      </c>
      <c r="T476" t="str">
        <f>TEXT(Tableau1_2[[#This Row],[Date]],"mmmm")</f>
        <v>août</v>
      </c>
    </row>
    <row r="477" spans="1:20" x14ac:dyDescent="0.35">
      <c r="A477" t="s">
        <v>1167</v>
      </c>
      <c r="B477" s="2">
        <v>46101</v>
      </c>
      <c r="C477" t="s">
        <v>805</v>
      </c>
      <c r="D477" t="s">
        <v>69</v>
      </c>
      <c r="E477" t="s">
        <v>190</v>
      </c>
      <c r="F477" t="s">
        <v>191</v>
      </c>
      <c r="G477" t="s">
        <v>34</v>
      </c>
      <c r="H477" t="s">
        <v>141</v>
      </c>
      <c r="I477">
        <v>8</v>
      </c>
      <c r="J477">
        <v>160000</v>
      </c>
      <c r="K477">
        <v>116400</v>
      </c>
      <c r="L477" t="s">
        <v>73</v>
      </c>
      <c r="M477" t="s">
        <v>37</v>
      </c>
      <c r="N477" t="s">
        <v>23</v>
      </c>
      <c r="O477" t="s">
        <v>24</v>
      </c>
      <c r="P477">
        <f>Tableau1_2[[#This Row],[Quantité]]*Tableau1_2[[#This Row],[Prix_Unitaire]]</f>
        <v>1280000</v>
      </c>
      <c r="Q477">
        <f>Tableau1_2[[#This Row],[Quantité]]*Tableau1_2[[#This Row],[Coût_Unitaire]]</f>
        <v>931200</v>
      </c>
      <c r="R477">
        <f>Tableau1_2[[#This Row],[CA]]-Tableau1_2[[#This Row],[Cout Total]]</f>
        <v>348800</v>
      </c>
      <c r="S477" s="4">
        <f>Tableau1_2[[#This Row],[Marge]]/Tableau1_2[[#This Row],[CA]]</f>
        <v>0.27250000000000002</v>
      </c>
      <c r="T477" t="str">
        <f>TEXT(Tableau1_2[[#This Row],[Date]],"mmmm")</f>
        <v>mars</v>
      </c>
    </row>
    <row r="478" spans="1:20" x14ac:dyDescent="0.35">
      <c r="A478" t="s">
        <v>1168</v>
      </c>
      <c r="B478" s="2">
        <v>46244</v>
      </c>
      <c r="C478" t="s">
        <v>117</v>
      </c>
      <c r="D478" t="s">
        <v>180</v>
      </c>
      <c r="E478" t="s">
        <v>41</v>
      </c>
      <c r="F478" t="s">
        <v>42</v>
      </c>
      <c r="G478" t="s">
        <v>43</v>
      </c>
      <c r="H478" t="s">
        <v>79</v>
      </c>
      <c r="I478">
        <v>3</v>
      </c>
      <c r="J478">
        <v>6000</v>
      </c>
      <c r="K478">
        <v>4100</v>
      </c>
      <c r="L478" t="s">
        <v>96</v>
      </c>
      <c r="M478" t="s">
        <v>51</v>
      </c>
      <c r="N478" t="s">
        <v>52</v>
      </c>
      <c r="O478" t="s">
        <v>24</v>
      </c>
      <c r="P478">
        <f>Tableau1_2[[#This Row],[Quantité]]*Tableau1_2[[#This Row],[Prix_Unitaire]]</f>
        <v>18000</v>
      </c>
      <c r="Q478">
        <f>Tableau1_2[[#This Row],[Quantité]]*Tableau1_2[[#This Row],[Coût_Unitaire]]</f>
        <v>12300</v>
      </c>
      <c r="R478">
        <f>Tableau1_2[[#This Row],[CA]]-Tableau1_2[[#This Row],[Cout Total]]</f>
        <v>5700</v>
      </c>
      <c r="S478" s="4">
        <f>Tableau1_2[[#This Row],[Marge]]/Tableau1_2[[#This Row],[CA]]</f>
        <v>0.31666666666666665</v>
      </c>
      <c r="T478" t="str">
        <f>TEXT(Tableau1_2[[#This Row],[Date]],"mmmm")</f>
        <v>août</v>
      </c>
    </row>
    <row r="479" spans="1:20" x14ac:dyDescent="0.35">
      <c r="A479" t="s">
        <v>1169</v>
      </c>
      <c r="B479" s="2">
        <v>46096</v>
      </c>
      <c r="C479" t="s">
        <v>1170</v>
      </c>
      <c r="D479" t="s">
        <v>1171</v>
      </c>
      <c r="E479" t="s">
        <v>18</v>
      </c>
      <c r="F479" t="s">
        <v>18</v>
      </c>
      <c r="G479" t="s">
        <v>43</v>
      </c>
      <c r="H479" t="s">
        <v>162</v>
      </c>
      <c r="I479">
        <v>7</v>
      </c>
      <c r="J479">
        <v>7600</v>
      </c>
      <c r="K479">
        <v>4800</v>
      </c>
      <c r="L479" t="s">
        <v>66</v>
      </c>
      <c r="M479" t="s">
        <v>51</v>
      </c>
      <c r="N479" t="s">
        <v>87</v>
      </c>
      <c r="O479" t="s">
        <v>24</v>
      </c>
      <c r="P479">
        <f>Tableau1_2[[#This Row],[Quantité]]*Tableau1_2[[#This Row],[Prix_Unitaire]]</f>
        <v>53200</v>
      </c>
      <c r="Q479">
        <f>Tableau1_2[[#This Row],[Quantité]]*Tableau1_2[[#This Row],[Coût_Unitaire]]</f>
        <v>33600</v>
      </c>
      <c r="R479">
        <f>Tableau1_2[[#This Row],[CA]]-Tableau1_2[[#This Row],[Cout Total]]</f>
        <v>19600</v>
      </c>
      <c r="S479" s="4">
        <f>Tableau1_2[[#This Row],[Marge]]/Tableau1_2[[#This Row],[CA]]</f>
        <v>0.36842105263157893</v>
      </c>
      <c r="T479" t="str">
        <f>TEXT(Tableau1_2[[#This Row],[Date]],"mmmm")</f>
        <v>mars</v>
      </c>
    </row>
    <row r="480" spans="1:20" x14ac:dyDescent="0.35">
      <c r="A480" t="s">
        <v>1172</v>
      </c>
      <c r="B480" s="2">
        <v>46167</v>
      </c>
      <c r="C480" t="s">
        <v>481</v>
      </c>
      <c r="D480" t="s">
        <v>700</v>
      </c>
      <c r="E480" t="s">
        <v>156</v>
      </c>
      <c r="F480" t="s">
        <v>170</v>
      </c>
      <c r="G480" t="s">
        <v>19</v>
      </c>
      <c r="H480" t="s">
        <v>61</v>
      </c>
      <c r="I480">
        <v>8</v>
      </c>
      <c r="J480">
        <v>220000</v>
      </c>
      <c r="K480">
        <v>160000</v>
      </c>
      <c r="L480" t="s">
        <v>73</v>
      </c>
      <c r="M480" t="s">
        <v>51</v>
      </c>
      <c r="N480" t="s">
        <v>87</v>
      </c>
      <c r="O480" t="s">
        <v>91</v>
      </c>
      <c r="P480">
        <f>Tableau1_2[[#This Row],[Quantité]]*Tableau1_2[[#This Row],[Prix_Unitaire]]</f>
        <v>1760000</v>
      </c>
      <c r="Q480">
        <f>Tableau1_2[[#This Row],[Quantité]]*Tableau1_2[[#This Row],[Coût_Unitaire]]</f>
        <v>1280000</v>
      </c>
      <c r="R480">
        <f>Tableau1_2[[#This Row],[CA]]-Tableau1_2[[#This Row],[Cout Total]]</f>
        <v>480000</v>
      </c>
      <c r="S480" s="4">
        <f>Tableau1_2[[#This Row],[Marge]]/Tableau1_2[[#This Row],[CA]]</f>
        <v>0.27272727272727271</v>
      </c>
      <c r="T480" t="str">
        <f>TEXT(Tableau1_2[[#This Row],[Date]],"mmmm")</f>
        <v>mai</v>
      </c>
    </row>
    <row r="481" spans="1:20" x14ac:dyDescent="0.35">
      <c r="A481" t="s">
        <v>1173</v>
      </c>
      <c r="B481" s="2">
        <v>46258</v>
      </c>
      <c r="C481" t="s">
        <v>562</v>
      </c>
      <c r="D481" t="s">
        <v>1174</v>
      </c>
      <c r="E481" t="s">
        <v>77</v>
      </c>
      <c r="F481" t="s">
        <v>78</v>
      </c>
      <c r="G481" t="s">
        <v>19</v>
      </c>
      <c r="H481" t="s">
        <v>166</v>
      </c>
      <c r="I481">
        <v>6</v>
      </c>
      <c r="J481">
        <v>133000</v>
      </c>
      <c r="K481">
        <v>97000</v>
      </c>
      <c r="L481" t="s">
        <v>80</v>
      </c>
      <c r="M481" t="s">
        <v>51</v>
      </c>
      <c r="N481" t="s">
        <v>23</v>
      </c>
      <c r="O481" t="s">
        <v>24</v>
      </c>
      <c r="P481">
        <f>Tableau1_2[[#This Row],[Quantité]]*Tableau1_2[[#This Row],[Prix_Unitaire]]</f>
        <v>798000</v>
      </c>
      <c r="Q481">
        <f>Tableau1_2[[#This Row],[Quantité]]*Tableau1_2[[#This Row],[Coût_Unitaire]]</f>
        <v>582000</v>
      </c>
      <c r="R481">
        <f>Tableau1_2[[#This Row],[CA]]-Tableau1_2[[#This Row],[Cout Total]]</f>
        <v>216000</v>
      </c>
      <c r="S481" s="4">
        <f>Tableau1_2[[#This Row],[Marge]]/Tableau1_2[[#This Row],[CA]]</f>
        <v>0.27067669172932329</v>
      </c>
      <c r="T481" t="str">
        <f>TEXT(Tableau1_2[[#This Row],[Date]],"mmmm")</f>
        <v>août</v>
      </c>
    </row>
    <row r="482" spans="1:20" x14ac:dyDescent="0.35">
      <c r="A482" t="s">
        <v>1175</v>
      </c>
      <c r="B482" s="2">
        <v>46285</v>
      </c>
      <c r="C482" t="s">
        <v>664</v>
      </c>
      <c r="D482" t="s">
        <v>1157</v>
      </c>
      <c r="E482" t="s">
        <v>56</v>
      </c>
      <c r="F482" t="s">
        <v>57</v>
      </c>
      <c r="G482" t="s">
        <v>43</v>
      </c>
      <c r="H482" t="s">
        <v>162</v>
      </c>
      <c r="I482">
        <v>1</v>
      </c>
      <c r="J482">
        <v>7600</v>
      </c>
      <c r="K482">
        <v>5000</v>
      </c>
      <c r="L482" t="s">
        <v>36</v>
      </c>
      <c r="M482" t="s">
        <v>22</v>
      </c>
      <c r="N482" t="s">
        <v>52</v>
      </c>
      <c r="O482" t="s">
        <v>45</v>
      </c>
      <c r="P482">
        <f>Tableau1_2[[#This Row],[Quantité]]*Tableau1_2[[#This Row],[Prix_Unitaire]]</f>
        <v>7600</v>
      </c>
      <c r="Q482">
        <f>Tableau1_2[[#This Row],[Quantité]]*Tableau1_2[[#This Row],[Coût_Unitaire]]</f>
        <v>5000</v>
      </c>
      <c r="R482">
        <f>Tableau1_2[[#This Row],[CA]]-Tableau1_2[[#This Row],[Cout Total]]</f>
        <v>2600</v>
      </c>
      <c r="S482" s="4">
        <f>Tableau1_2[[#This Row],[Marge]]/Tableau1_2[[#This Row],[CA]]</f>
        <v>0.34210526315789475</v>
      </c>
      <c r="T482" t="str">
        <f>TEXT(Tableau1_2[[#This Row],[Date]],"mmmm")</f>
        <v>septembre</v>
      </c>
    </row>
    <row r="483" spans="1:20" x14ac:dyDescent="0.35">
      <c r="A483" t="s">
        <v>1176</v>
      </c>
      <c r="B483" s="2">
        <v>46295</v>
      </c>
      <c r="C483" t="s">
        <v>217</v>
      </c>
      <c r="D483" t="s">
        <v>137</v>
      </c>
      <c r="E483" t="s">
        <v>18</v>
      </c>
      <c r="F483" t="s">
        <v>18</v>
      </c>
      <c r="G483" t="s">
        <v>34</v>
      </c>
      <c r="H483" t="s">
        <v>141</v>
      </c>
      <c r="I483">
        <v>1</v>
      </c>
      <c r="J483">
        <v>160000</v>
      </c>
      <c r="K483">
        <v>120000</v>
      </c>
      <c r="L483" t="s">
        <v>80</v>
      </c>
      <c r="M483" t="s">
        <v>37</v>
      </c>
      <c r="N483" t="s">
        <v>1177</v>
      </c>
      <c r="O483" t="s">
        <v>45</v>
      </c>
      <c r="P483">
        <f>Tableau1_2[[#This Row],[Quantité]]*Tableau1_2[[#This Row],[Prix_Unitaire]]</f>
        <v>160000</v>
      </c>
      <c r="Q483">
        <f>Tableau1_2[[#This Row],[Quantité]]*Tableau1_2[[#This Row],[Coût_Unitaire]]</f>
        <v>120000</v>
      </c>
      <c r="R483">
        <f>Tableau1_2[[#This Row],[CA]]-Tableau1_2[[#This Row],[Cout Total]]</f>
        <v>40000</v>
      </c>
      <c r="S483" s="4">
        <f>Tableau1_2[[#This Row],[Marge]]/Tableau1_2[[#This Row],[CA]]</f>
        <v>0.25</v>
      </c>
      <c r="T483" t="str">
        <f>TEXT(Tableau1_2[[#This Row],[Date]],"mmmm")</f>
        <v>septembre</v>
      </c>
    </row>
    <row r="484" spans="1:20" x14ac:dyDescent="0.35">
      <c r="A484" t="s">
        <v>1178</v>
      </c>
      <c r="B484" s="2">
        <v>46243</v>
      </c>
      <c r="C484" t="s">
        <v>293</v>
      </c>
      <c r="D484" t="s">
        <v>1179</v>
      </c>
      <c r="E484" t="s">
        <v>41</v>
      </c>
      <c r="F484" t="s">
        <v>42</v>
      </c>
      <c r="G484" t="s">
        <v>28</v>
      </c>
      <c r="H484" t="s">
        <v>72</v>
      </c>
      <c r="I484">
        <v>6</v>
      </c>
      <c r="J484">
        <v>9500</v>
      </c>
      <c r="K484">
        <v>6000</v>
      </c>
      <c r="L484" t="s">
        <v>66</v>
      </c>
      <c r="M484" t="s">
        <v>22</v>
      </c>
      <c r="N484" t="s">
        <v>52</v>
      </c>
      <c r="O484" t="s">
        <v>24</v>
      </c>
      <c r="P484">
        <f>Tableau1_2[[#This Row],[Quantité]]*Tableau1_2[[#This Row],[Prix_Unitaire]]</f>
        <v>57000</v>
      </c>
      <c r="Q484">
        <f>Tableau1_2[[#This Row],[Quantité]]*Tableau1_2[[#This Row],[Coût_Unitaire]]</f>
        <v>36000</v>
      </c>
      <c r="R484">
        <f>Tableau1_2[[#This Row],[CA]]-Tableau1_2[[#This Row],[Cout Total]]</f>
        <v>21000</v>
      </c>
      <c r="S484" s="4">
        <f>Tableau1_2[[#This Row],[Marge]]/Tableau1_2[[#This Row],[CA]]</f>
        <v>0.36842105263157893</v>
      </c>
      <c r="T484" t="str">
        <f>TEXT(Tableau1_2[[#This Row],[Date]],"mmmm")</f>
        <v>août</v>
      </c>
    </row>
    <row r="485" spans="1:20" x14ac:dyDescent="0.35">
      <c r="A485" t="s">
        <v>1180</v>
      </c>
      <c r="B485" s="2">
        <v>46043</v>
      </c>
      <c r="C485" t="s">
        <v>183</v>
      </c>
      <c r="D485" t="s">
        <v>1181</v>
      </c>
      <c r="E485" t="s">
        <v>84</v>
      </c>
      <c r="F485" t="s">
        <v>85</v>
      </c>
      <c r="G485" t="s">
        <v>34</v>
      </c>
      <c r="H485" t="s">
        <v>95</v>
      </c>
      <c r="I485">
        <v>10</v>
      </c>
      <c r="J485">
        <v>450000</v>
      </c>
      <c r="K485">
        <v>381100</v>
      </c>
      <c r="L485" t="s">
        <v>30</v>
      </c>
      <c r="M485" t="s">
        <v>37</v>
      </c>
      <c r="N485" t="s">
        <v>87</v>
      </c>
      <c r="O485" t="s">
        <v>45</v>
      </c>
      <c r="P485">
        <f>Tableau1_2[[#This Row],[Quantité]]*Tableau1_2[[#This Row],[Prix_Unitaire]]</f>
        <v>4500000</v>
      </c>
      <c r="Q485">
        <f>Tableau1_2[[#This Row],[Quantité]]*Tableau1_2[[#This Row],[Coût_Unitaire]]</f>
        <v>3811000</v>
      </c>
      <c r="R485">
        <f>Tableau1_2[[#This Row],[CA]]-Tableau1_2[[#This Row],[Cout Total]]</f>
        <v>689000</v>
      </c>
      <c r="S485" s="4">
        <f>Tableau1_2[[#This Row],[Marge]]/Tableau1_2[[#This Row],[CA]]</f>
        <v>0.15311111111111111</v>
      </c>
      <c r="T485" t="str">
        <f>TEXT(Tableau1_2[[#This Row],[Date]],"mmmm")</f>
        <v>janvier</v>
      </c>
    </row>
    <row r="486" spans="1:20" x14ac:dyDescent="0.35">
      <c r="A486" t="s">
        <v>1182</v>
      </c>
      <c r="B486" s="2">
        <v>46370</v>
      </c>
      <c r="C486" t="s">
        <v>1183</v>
      </c>
      <c r="D486" t="s">
        <v>784</v>
      </c>
      <c r="E486" t="s">
        <v>70</v>
      </c>
      <c r="F486" t="s">
        <v>71</v>
      </c>
      <c r="G486" t="s">
        <v>28</v>
      </c>
      <c r="H486" t="s">
        <v>248</v>
      </c>
      <c r="I486">
        <v>8</v>
      </c>
      <c r="J486">
        <v>25000</v>
      </c>
      <c r="K486">
        <v>15500</v>
      </c>
      <c r="L486" t="s">
        <v>96</v>
      </c>
      <c r="M486" t="s">
        <v>51</v>
      </c>
      <c r="N486" t="s">
        <v>52</v>
      </c>
      <c r="O486" t="s">
        <v>45</v>
      </c>
      <c r="P486">
        <f>Tableau1_2[[#This Row],[Quantité]]*Tableau1_2[[#This Row],[Prix_Unitaire]]</f>
        <v>200000</v>
      </c>
      <c r="Q486">
        <f>Tableau1_2[[#This Row],[Quantité]]*Tableau1_2[[#This Row],[Coût_Unitaire]]</f>
        <v>124000</v>
      </c>
      <c r="R486">
        <f>Tableau1_2[[#This Row],[CA]]-Tableau1_2[[#This Row],[Cout Total]]</f>
        <v>76000</v>
      </c>
      <c r="S486" s="4">
        <f>Tableau1_2[[#This Row],[Marge]]/Tableau1_2[[#This Row],[CA]]</f>
        <v>0.38</v>
      </c>
      <c r="T486" t="str">
        <f>TEXT(Tableau1_2[[#This Row],[Date]],"mmmm")</f>
        <v>décembre</v>
      </c>
    </row>
    <row r="487" spans="1:20" x14ac:dyDescent="0.35">
      <c r="A487" t="s">
        <v>1184</v>
      </c>
      <c r="B487" s="2">
        <v>46349</v>
      </c>
      <c r="C487" t="s">
        <v>1185</v>
      </c>
      <c r="D487" t="s">
        <v>118</v>
      </c>
      <c r="E487" t="s">
        <v>77</v>
      </c>
      <c r="F487" t="s">
        <v>78</v>
      </c>
      <c r="G487" t="s">
        <v>43</v>
      </c>
      <c r="H487" t="s">
        <v>44</v>
      </c>
      <c r="I487">
        <v>5</v>
      </c>
      <c r="J487">
        <v>15000</v>
      </c>
      <c r="K487">
        <v>9800</v>
      </c>
      <c r="L487" t="s">
        <v>21</v>
      </c>
      <c r="M487" t="s">
        <v>31</v>
      </c>
      <c r="N487" t="s">
        <v>87</v>
      </c>
      <c r="O487" t="s">
        <v>91</v>
      </c>
      <c r="P487">
        <f>Tableau1_2[[#This Row],[Quantité]]*Tableau1_2[[#This Row],[Prix_Unitaire]]</f>
        <v>75000</v>
      </c>
      <c r="Q487">
        <f>Tableau1_2[[#This Row],[Quantité]]*Tableau1_2[[#This Row],[Coût_Unitaire]]</f>
        <v>49000</v>
      </c>
      <c r="R487">
        <f>Tableau1_2[[#This Row],[CA]]-Tableau1_2[[#This Row],[Cout Total]]</f>
        <v>26000</v>
      </c>
      <c r="S487" s="4">
        <f>Tableau1_2[[#This Row],[Marge]]/Tableau1_2[[#This Row],[CA]]</f>
        <v>0.34666666666666668</v>
      </c>
      <c r="T487" t="str">
        <f>TEXT(Tableau1_2[[#This Row],[Date]],"mmmm")</f>
        <v>novembre</v>
      </c>
    </row>
    <row r="488" spans="1:20" x14ac:dyDescent="0.35">
      <c r="A488" t="s">
        <v>1186</v>
      </c>
      <c r="B488" s="2">
        <v>46205</v>
      </c>
      <c r="C488" t="s">
        <v>788</v>
      </c>
      <c r="D488" t="s">
        <v>594</v>
      </c>
      <c r="E488" t="s">
        <v>18</v>
      </c>
      <c r="F488" t="s">
        <v>18</v>
      </c>
      <c r="G488" t="s">
        <v>28</v>
      </c>
      <c r="H488" t="s">
        <v>29</v>
      </c>
      <c r="I488">
        <v>1</v>
      </c>
      <c r="J488">
        <v>6600</v>
      </c>
      <c r="K488">
        <v>4000</v>
      </c>
      <c r="L488" t="s">
        <v>80</v>
      </c>
      <c r="M488" t="s">
        <v>37</v>
      </c>
      <c r="N488" t="s">
        <v>52</v>
      </c>
      <c r="O488" t="s">
        <v>24</v>
      </c>
      <c r="P488">
        <f>Tableau1_2[[#This Row],[Quantité]]*Tableau1_2[[#This Row],[Prix_Unitaire]]</f>
        <v>6600</v>
      </c>
      <c r="Q488">
        <f>Tableau1_2[[#This Row],[Quantité]]*Tableau1_2[[#This Row],[Coût_Unitaire]]</f>
        <v>4000</v>
      </c>
      <c r="R488">
        <f>Tableau1_2[[#This Row],[CA]]-Tableau1_2[[#This Row],[Cout Total]]</f>
        <v>2600</v>
      </c>
      <c r="S488" s="4">
        <f>Tableau1_2[[#This Row],[Marge]]/Tableau1_2[[#This Row],[CA]]</f>
        <v>0.39393939393939392</v>
      </c>
      <c r="T488" t="str">
        <f>TEXT(Tableau1_2[[#This Row],[Date]],"mmmm")</f>
        <v>juillet</v>
      </c>
    </row>
    <row r="489" spans="1:20" x14ac:dyDescent="0.35">
      <c r="A489" t="s">
        <v>1187</v>
      </c>
      <c r="B489" s="2">
        <v>46381</v>
      </c>
      <c r="C489" t="s">
        <v>164</v>
      </c>
      <c r="D489" t="s">
        <v>447</v>
      </c>
      <c r="E489" t="s">
        <v>156</v>
      </c>
      <c r="F489" t="s">
        <v>170</v>
      </c>
      <c r="G489" t="s">
        <v>19</v>
      </c>
      <c r="H489" t="s">
        <v>112</v>
      </c>
      <c r="I489">
        <v>6</v>
      </c>
      <c r="J489">
        <v>89200</v>
      </c>
      <c r="K489">
        <v>60100</v>
      </c>
      <c r="L489" t="s">
        <v>30</v>
      </c>
      <c r="M489" t="s">
        <v>22</v>
      </c>
      <c r="N489" t="s">
        <v>52</v>
      </c>
      <c r="O489" t="s">
        <v>91</v>
      </c>
      <c r="P489">
        <f>Tableau1_2[[#This Row],[Quantité]]*Tableau1_2[[#This Row],[Prix_Unitaire]]</f>
        <v>535200</v>
      </c>
      <c r="Q489">
        <f>Tableau1_2[[#This Row],[Quantité]]*Tableau1_2[[#This Row],[Coût_Unitaire]]</f>
        <v>360600</v>
      </c>
      <c r="R489">
        <f>Tableau1_2[[#This Row],[CA]]-Tableau1_2[[#This Row],[Cout Total]]</f>
        <v>174600</v>
      </c>
      <c r="S489" s="4">
        <f>Tableau1_2[[#This Row],[Marge]]/Tableau1_2[[#This Row],[CA]]</f>
        <v>0.32623318385650224</v>
      </c>
      <c r="T489" t="str">
        <f>TEXT(Tableau1_2[[#This Row],[Date]],"mmmm")</f>
        <v>décembre</v>
      </c>
    </row>
    <row r="490" spans="1:20" x14ac:dyDescent="0.35">
      <c r="A490" t="s">
        <v>1188</v>
      </c>
      <c r="B490" s="2">
        <v>46167</v>
      </c>
      <c r="C490" t="s">
        <v>934</v>
      </c>
      <c r="D490" t="s">
        <v>1189</v>
      </c>
      <c r="E490" t="s">
        <v>156</v>
      </c>
      <c r="F490" t="s">
        <v>170</v>
      </c>
      <c r="G490" t="s">
        <v>34</v>
      </c>
      <c r="H490" t="s">
        <v>35</v>
      </c>
      <c r="I490">
        <v>6</v>
      </c>
      <c r="J490">
        <v>55000</v>
      </c>
      <c r="K490">
        <v>37800</v>
      </c>
      <c r="L490" t="s">
        <v>30</v>
      </c>
      <c r="M490" t="s">
        <v>37</v>
      </c>
      <c r="N490" t="s">
        <v>52</v>
      </c>
      <c r="O490" t="s">
        <v>24</v>
      </c>
      <c r="P490">
        <f>Tableau1_2[[#This Row],[Quantité]]*Tableau1_2[[#This Row],[Prix_Unitaire]]</f>
        <v>330000</v>
      </c>
      <c r="Q490">
        <f>Tableau1_2[[#This Row],[Quantité]]*Tableau1_2[[#This Row],[Coût_Unitaire]]</f>
        <v>226800</v>
      </c>
      <c r="R490">
        <f>Tableau1_2[[#This Row],[CA]]-Tableau1_2[[#This Row],[Cout Total]]</f>
        <v>103200</v>
      </c>
      <c r="S490" s="4">
        <f>Tableau1_2[[#This Row],[Marge]]/Tableau1_2[[#This Row],[CA]]</f>
        <v>0.31272727272727274</v>
      </c>
      <c r="T490" t="str">
        <f>TEXT(Tableau1_2[[#This Row],[Date]],"mmmm")</f>
        <v>mai</v>
      </c>
    </row>
    <row r="491" spans="1:20" x14ac:dyDescent="0.35">
      <c r="A491" t="s">
        <v>1190</v>
      </c>
      <c r="B491" s="2">
        <v>46338</v>
      </c>
      <c r="C491" t="s">
        <v>461</v>
      </c>
      <c r="D491" t="s">
        <v>1057</v>
      </c>
      <c r="E491" t="s">
        <v>18</v>
      </c>
      <c r="F491" t="s">
        <v>18</v>
      </c>
      <c r="G491" t="s">
        <v>28</v>
      </c>
      <c r="H491" t="s">
        <v>72</v>
      </c>
      <c r="I491">
        <v>1</v>
      </c>
      <c r="J491">
        <v>10000</v>
      </c>
      <c r="K491">
        <v>6000</v>
      </c>
      <c r="L491" t="s">
        <v>30</v>
      </c>
      <c r="M491" t="s">
        <v>51</v>
      </c>
      <c r="N491" t="s">
        <v>23</v>
      </c>
      <c r="O491" t="s">
        <v>91</v>
      </c>
      <c r="P491">
        <f>Tableau1_2[[#This Row],[Quantité]]*Tableau1_2[[#This Row],[Prix_Unitaire]]</f>
        <v>10000</v>
      </c>
      <c r="Q491">
        <f>Tableau1_2[[#This Row],[Quantité]]*Tableau1_2[[#This Row],[Coût_Unitaire]]</f>
        <v>6000</v>
      </c>
      <c r="R491">
        <f>Tableau1_2[[#This Row],[CA]]-Tableau1_2[[#This Row],[Cout Total]]</f>
        <v>4000</v>
      </c>
      <c r="S491" s="4">
        <f>Tableau1_2[[#This Row],[Marge]]/Tableau1_2[[#This Row],[CA]]</f>
        <v>0.4</v>
      </c>
      <c r="T491" t="str">
        <f>TEXT(Tableau1_2[[#This Row],[Date]],"mmmm")</f>
        <v>novembre</v>
      </c>
    </row>
    <row r="492" spans="1:20" x14ac:dyDescent="0.35">
      <c r="A492" t="s">
        <v>1191</v>
      </c>
      <c r="B492" s="2">
        <v>46054</v>
      </c>
      <c r="C492" t="s">
        <v>1192</v>
      </c>
      <c r="D492" t="s">
        <v>660</v>
      </c>
      <c r="E492" t="s">
        <v>156</v>
      </c>
      <c r="F492" t="s">
        <v>157</v>
      </c>
      <c r="G492" t="s">
        <v>34</v>
      </c>
      <c r="H492" t="s">
        <v>158</v>
      </c>
      <c r="I492">
        <v>10</v>
      </c>
      <c r="J492">
        <v>95000</v>
      </c>
      <c r="K492">
        <v>72100</v>
      </c>
      <c r="L492" t="s">
        <v>66</v>
      </c>
      <c r="M492" t="s">
        <v>22</v>
      </c>
      <c r="N492" t="s">
        <v>52</v>
      </c>
      <c r="O492" t="s">
        <v>91</v>
      </c>
      <c r="P492">
        <f>Tableau1_2[[#This Row],[Quantité]]*Tableau1_2[[#This Row],[Prix_Unitaire]]</f>
        <v>950000</v>
      </c>
      <c r="Q492">
        <f>Tableau1_2[[#This Row],[Quantité]]*Tableau1_2[[#This Row],[Coût_Unitaire]]</f>
        <v>721000</v>
      </c>
      <c r="R492">
        <f>Tableau1_2[[#This Row],[CA]]-Tableau1_2[[#This Row],[Cout Total]]</f>
        <v>229000</v>
      </c>
      <c r="S492" s="4">
        <f>Tableau1_2[[#This Row],[Marge]]/Tableau1_2[[#This Row],[CA]]</f>
        <v>0.24105263157894738</v>
      </c>
      <c r="T492" t="str">
        <f>TEXT(Tableau1_2[[#This Row],[Date]],"mmmm")</f>
        <v>février</v>
      </c>
    </row>
    <row r="493" spans="1:20" x14ac:dyDescent="0.35">
      <c r="A493" t="s">
        <v>1193</v>
      </c>
      <c r="B493" s="2">
        <v>46278</v>
      </c>
      <c r="C493" t="s">
        <v>1194</v>
      </c>
      <c r="D493" t="s">
        <v>1195</v>
      </c>
      <c r="E493" t="s">
        <v>190</v>
      </c>
      <c r="F493" t="s">
        <v>191</v>
      </c>
      <c r="G493" t="s">
        <v>19</v>
      </c>
      <c r="H493" t="s">
        <v>61</v>
      </c>
      <c r="I493">
        <v>8</v>
      </c>
      <c r="J493">
        <v>231000</v>
      </c>
      <c r="K493">
        <v>160000</v>
      </c>
      <c r="L493" t="s">
        <v>96</v>
      </c>
      <c r="M493" t="s">
        <v>37</v>
      </c>
      <c r="N493" t="s">
        <v>52</v>
      </c>
      <c r="O493" t="s">
        <v>24</v>
      </c>
      <c r="P493">
        <f>Tableau1_2[[#This Row],[Quantité]]*Tableau1_2[[#This Row],[Prix_Unitaire]]</f>
        <v>1848000</v>
      </c>
      <c r="Q493">
        <f>Tableau1_2[[#This Row],[Quantité]]*Tableau1_2[[#This Row],[Coût_Unitaire]]</f>
        <v>1280000</v>
      </c>
      <c r="R493">
        <f>Tableau1_2[[#This Row],[CA]]-Tableau1_2[[#This Row],[Cout Total]]</f>
        <v>568000</v>
      </c>
      <c r="S493" s="4">
        <f>Tableau1_2[[#This Row],[Marge]]/Tableau1_2[[#This Row],[CA]]</f>
        <v>0.30735930735930733</v>
      </c>
      <c r="T493" t="str">
        <f>TEXT(Tableau1_2[[#This Row],[Date]],"mmmm")</f>
        <v>septembre</v>
      </c>
    </row>
    <row r="494" spans="1:20" x14ac:dyDescent="0.35">
      <c r="A494" t="s">
        <v>1196</v>
      </c>
      <c r="B494" s="2">
        <v>46372</v>
      </c>
      <c r="C494" t="s">
        <v>707</v>
      </c>
      <c r="D494" t="s">
        <v>1197</v>
      </c>
      <c r="E494" t="s">
        <v>18</v>
      </c>
      <c r="F494" t="s">
        <v>18</v>
      </c>
      <c r="G494" t="s">
        <v>43</v>
      </c>
      <c r="H494" t="s">
        <v>49</v>
      </c>
      <c r="I494">
        <v>7</v>
      </c>
      <c r="J494">
        <v>9000</v>
      </c>
      <c r="K494">
        <v>6000</v>
      </c>
      <c r="L494" t="s">
        <v>50</v>
      </c>
      <c r="M494" t="s">
        <v>37</v>
      </c>
      <c r="N494" t="s">
        <v>23</v>
      </c>
      <c r="O494" t="s">
        <v>24</v>
      </c>
      <c r="P494">
        <f>Tableau1_2[[#This Row],[Quantité]]*Tableau1_2[[#This Row],[Prix_Unitaire]]</f>
        <v>63000</v>
      </c>
      <c r="Q494">
        <f>Tableau1_2[[#This Row],[Quantité]]*Tableau1_2[[#This Row],[Coût_Unitaire]]</f>
        <v>42000</v>
      </c>
      <c r="R494">
        <f>Tableau1_2[[#This Row],[CA]]-Tableau1_2[[#This Row],[Cout Total]]</f>
        <v>21000</v>
      </c>
      <c r="S494" s="4">
        <f>Tableau1_2[[#This Row],[Marge]]/Tableau1_2[[#This Row],[CA]]</f>
        <v>0.33333333333333331</v>
      </c>
      <c r="T494" t="str">
        <f>TEXT(Tableau1_2[[#This Row],[Date]],"mmmm")</f>
        <v>décembre</v>
      </c>
    </row>
    <row r="495" spans="1:20" x14ac:dyDescent="0.35">
      <c r="A495" t="s">
        <v>1198</v>
      </c>
      <c r="B495" s="2">
        <v>46342</v>
      </c>
      <c r="C495" t="s">
        <v>938</v>
      </c>
      <c r="D495" t="s">
        <v>155</v>
      </c>
      <c r="E495" t="s">
        <v>56</v>
      </c>
      <c r="F495" t="s">
        <v>57</v>
      </c>
      <c r="G495" t="s">
        <v>28</v>
      </c>
      <c r="H495" t="s">
        <v>131</v>
      </c>
      <c r="I495">
        <v>6</v>
      </c>
      <c r="J495">
        <v>30000</v>
      </c>
      <c r="K495">
        <v>18400</v>
      </c>
      <c r="L495" t="s">
        <v>73</v>
      </c>
      <c r="M495" t="s">
        <v>51</v>
      </c>
      <c r="N495" t="s">
        <v>52</v>
      </c>
      <c r="O495" t="s">
        <v>24</v>
      </c>
      <c r="P495">
        <f>Tableau1_2[[#This Row],[Quantité]]*Tableau1_2[[#This Row],[Prix_Unitaire]]</f>
        <v>180000</v>
      </c>
      <c r="Q495">
        <f>Tableau1_2[[#This Row],[Quantité]]*Tableau1_2[[#This Row],[Coût_Unitaire]]</f>
        <v>110400</v>
      </c>
      <c r="R495">
        <f>Tableau1_2[[#This Row],[CA]]-Tableau1_2[[#This Row],[Cout Total]]</f>
        <v>69600</v>
      </c>
      <c r="S495" s="4">
        <f>Tableau1_2[[#This Row],[Marge]]/Tableau1_2[[#This Row],[CA]]</f>
        <v>0.38666666666666666</v>
      </c>
      <c r="T495" t="str">
        <f>TEXT(Tableau1_2[[#This Row],[Date]],"mmmm")</f>
        <v>novembre</v>
      </c>
    </row>
    <row r="496" spans="1:20" x14ac:dyDescent="0.35">
      <c r="A496" t="s">
        <v>1199</v>
      </c>
      <c r="B496" s="2">
        <v>46126</v>
      </c>
      <c r="C496" t="s">
        <v>749</v>
      </c>
      <c r="D496" t="s">
        <v>814</v>
      </c>
      <c r="E496" t="s">
        <v>18</v>
      </c>
      <c r="F496" t="s">
        <v>18</v>
      </c>
      <c r="G496" t="s">
        <v>43</v>
      </c>
      <c r="H496" t="s">
        <v>177</v>
      </c>
      <c r="I496">
        <v>7</v>
      </c>
      <c r="J496">
        <v>17100</v>
      </c>
      <c r="K496">
        <v>12900</v>
      </c>
      <c r="L496" t="s">
        <v>96</v>
      </c>
      <c r="M496" t="s">
        <v>37</v>
      </c>
      <c r="N496" t="s">
        <v>23</v>
      </c>
      <c r="O496" t="s">
        <v>24</v>
      </c>
      <c r="P496">
        <f>Tableau1_2[[#This Row],[Quantité]]*Tableau1_2[[#This Row],[Prix_Unitaire]]</f>
        <v>119700</v>
      </c>
      <c r="Q496">
        <f>Tableau1_2[[#This Row],[Quantité]]*Tableau1_2[[#This Row],[Coût_Unitaire]]</f>
        <v>90300</v>
      </c>
      <c r="R496">
        <f>Tableau1_2[[#This Row],[CA]]-Tableau1_2[[#This Row],[Cout Total]]</f>
        <v>29400</v>
      </c>
      <c r="S496" s="4">
        <f>Tableau1_2[[#This Row],[Marge]]/Tableau1_2[[#This Row],[CA]]</f>
        <v>0.24561403508771928</v>
      </c>
      <c r="T496" t="str">
        <f>TEXT(Tableau1_2[[#This Row],[Date]],"mmmm")</f>
        <v>avril</v>
      </c>
    </row>
    <row r="497" spans="1:20" x14ac:dyDescent="0.35">
      <c r="A497" t="s">
        <v>1200</v>
      </c>
      <c r="B497" s="2">
        <v>46176</v>
      </c>
      <c r="C497" t="s">
        <v>1201</v>
      </c>
      <c r="D497" t="s">
        <v>1202</v>
      </c>
      <c r="E497" t="s">
        <v>18</v>
      </c>
      <c r="F497" t="s">
        <v>18</v>
      </c>
      <c r="G497" t="s">
        <v>34</v>
      </c>
      <c r="H497" t="s">
        <v>86</v>
      </c>
      <c r="I497">
        <v>8</v>
      </c>
      <c r="J497">
        <v>189000</v>
      </c>
      <c r="K497">
        <v>139000</v>
      </c>
      <c r="L497" t="s">
        <v>30</v>
      </c>
      <c r="M497" t="s">
        <v>37</v>
      </c>
      <c r="N497" t="s">
        <v>23</v>
      </c>
      <c r="O497" t="s">
        <v>45</v>
      </c>
      <c r="P497">
        <f>Tableau1_2[[#This Row],[Quantité]]*Tableau1_2[[#This Row],[Prix_Unitaire]]</f>
        <v>1512000</v>
      </c>
      <c r="Q497">
        <f>Tableau1_2[[#This Row],[Quantité]]*Tableau1_2[[#This Row],[Coût_Unitaire]]</f>
        <v>1112000</v>
      </c>
      <c r="R497">
        <f>Tableau1_2[[#This Row],[CA]]-Tableau1_2[[#This Row],[Cout Total]]</f>
        <v>400000</v>
      </c>
      <c r="S497" s="4">
        <f>Tableau1_2[[#This Row],[Marge]]/Tableau1_2[[#This Row],[CA]]</f>
        <v>0.26455026455026454</v>
      </c>
      <c r="T497" t="str">
        <f>TEXT(Tableau1_2[[#This Row],[Date]],"mmmm")</f>
        <v>juin</v>
      </c>
    </row>
    <row r="498" spans="1:20" x14ac:dyDescent="0.35">
      <c r="A498" t="s">
        <v>1203</v>
      </c>
      <c r="B498" s="2">
        <v>46155</v>
      </c>
      <c r="C498" t="s">
        <v>564</v>
      </c>
      <c r="D498" t="s">
        <v>1204</v>
      </c>
      <c r="E498" t="s">
        <v>77</v>
      </c>
      <c r="F498" t="s">
        <v>78</v>
      </c>
      <c r="G498" t="s">
        <v>28</v>
      </c>
      <c r="H498" t="s">
        <v>131</v>
      </c>
      <c r="I498">
        <v>10</v>
      </c>
      <c r="J498">
        <v>31500</v>
      </c>
      <c r="K498">
        <v>19000</v>
      </c>
      <c r="L498" t="s">
        <v>80</v>
      </c>
      <c r="M498" t="s">
        <v>22</v>
      </c>
      <c r="N498" t="s">
        <v>52</v>
      </c>
      <c r="O498" t="s">
        <v>24</v>
      </c>
      <c r="P498">
        <f>Tableau1_2[[#This Row],[Quantité]]*Tableau1_2[[#This Row],[Prix_Unitaire]]</f>
        <v>315000</v>
      </c>
      <c r="Q498">
        <f>Tableau1_2[[#This Row],[Quantité]]*Tableau1_2[[#This Row],[Coût_Unitaire]]</f>
        <v>190000</v>
      </c>
      <c r="R498">
        <f>Tableau1_2[[#This Row],[CA]]-Tableau1_2[[#This Row],[Cout Total]]</f>
        <v>125000</v>
      </c>
      <c r="S498" s="4">
        <f>Tableau1_2[[#This Row],[Marge]]/Tableau1_2[[#This Row],[CA]]</f>
        <v>0.3968253968253968</v>
      </c>
      <c r="T498" t="str">
        <f>TEXT(Tableau1_2[[#This Row],[Date]],"mmmm")</f>
        <v>mai</v>
      </c>
    </row>
    <row r="499" spans="1:20" x14ac:dyDescent="0.35">
      <c r="A499" t="s">
        <v>1205</v>
      </c>
      <c r="B499" s="2">
        <v>46049</v>
      </c>
      <c r="C499" t="s">
        <v>123</v>
      </c>
      <c r="D499" t="s">
        <v>909</v>
      </c>
      <c r="E499" t="s">
        <v>41</v>
      </c>
      <c r="F499" t="s">
        <v>42</v>
      </c>
      <c r="G499" t="s">
        <v>34</v>
      </c>
      <c r="H499" t="s">
        <v>141</v>
      </c>
      <c r="I499">
        <v>3</v>
      </c>
      <c r="J499">
        <v>160000</v>
      </c>
      <c r="K499">
        <v>123600</v>
      </c>
      <c r="L499" t="s">
        <v>73</v>
      </c>
      <c r="M499" t="s">
        <v>51</v>
      </c>
      <c r="N499" t="s">
        <v>87</v>
      </c>
      <c r="O499" t="s">
        <v>24</v>
      </c>
      <c r="P499">
        <f>Tableau1_2[[#This Row],[Quantité]]*Tableau1_2[[#This Row],[Prix_Unitaire]]</f>
        <v>480000</v>
      </c>
      <c r="Q499">
        <f>Tableau1_2[[#This Row],[Quantité]]*Tableau1_2[[#This Row],[Coût_Unitaire]]</f>
        <v>370800</v>
      </c>
      <c r="R499">
        <f>Tableau1_2[[#This Row],[CA]]-Tableau1_2[[#This Row],[Cout Total]]</f>
        <v>109200</v>
      </c>
      <c r="S499" s="4">
        <f>Tableau1_2[[#This Row],[Marge]]/Tableau1_2[[#This Row],[CA]]</f>
        <v>0.22750000000000001</v>
      </c>
      <c r="T499" t="str">
        <f>TEXT(Tableau1_2[[#This Row],[Date]],"mmmm")</f>
        <v>janvier</v>
      </c>
    </row>
    <row r="500" spans="1:20" x14ac:dyDescent="0.35">
      <c r="A500" t="s">
        <v>1206</v>
      </c>
      <c r="B500" s="2">
        <v>46193</v>
      </c>
      <c r="C500" t="s">
        <v>1207</v>
      </c>
      <c r="D500" t="s">
        <v>904</v>
      </c>
      <c r="E500" t="s">
        <v>18</v>
      </c>
      <c r="F500" t="s">
        <v>18</v>
      </c>
      <c r="G500" t="s">
        <v>28</v>
      </c>
      <c r="H500" t="s">
        <v>72</v>
      </c>
      <c r="I500">
        <v>2</v>
      </c>
      <c r="J500">
        <v>10500</v>
      </c>
      <c r="K500">
        <v>6000</v>
      </c>
      <c r="L500" t="s">
        <v>36</v>
      </c>
      <c r="M500" t="s">
        <v>37</v>
      </c>
      <c r="N500" t="s">
        <v>87</v>
      </c>
      <c r="O500" t="s">
        <v>24</v>
      </c>
      <c r="P500">
        <f>Tableau1_2[[#This Row],[Quantité]]*Tableau1_2[[#This Row],[Prix_Unitaire]]</f>
        <v>21000</v>
      </c>
      <c r="Q500">
        <f>Tableau1_2[[#This Row],[Quantité]]*Tableau1_2[[#This Row],[Coût_Unitaire]]</f>
        <v>12000</v>
      </c>
      <c r="R500">
        <f>Tableau1_2[[#This Row],[CA]]-Tableau1_2[[#This Row],[Cout Total]]</f>
        <v>9000</v>
      </c>
      <c r="S500" s="4">
        <f>Tableau1_2[[#This Row],[Marge]]/Tableau1_2[[#This Row],[CA]]</f>
        <v>0.42857142857142855</v>
      </c>
      <c r="T500" t="str">
        <f>TEXT(Tableau1_2[[#This Row],[Date]],"mmmm")</f>
        <v>juin</v>
      </c>
    </row>
    <row r="501" spans="1:20" x14ac:dyDescent="0.35">
      <c r="A501" t="s">
        <v>1208</v>
      </c>
      <c r="B501" s="2">
        <v>46129</v>
      </c>
      <c r="C501" t="s">
        <v>446</v>
      </c>
      <c r="D501" t="s">
        <v>516</v>
      </c>
      <c r="E501" t="s">
        <v>84</v>
      </c>
      <c r="F501" t="s">
        <v>85</v>
      </c>
      <c r="G501" t="s">
        <v>28</v>
      </c>
      <c r="H501" t="s">
        <v>72</v>
      </c>
      <c r="I501">
        <v>6</v>
      </c>
      <c r="J501">
        <v>10000</v>
      </c>
      <c r="K501">
        <v>6400</v>
      </c>
      <c r="L501" t="s">
        <v>36</v>
      </c>
      <c r="M501" t="s">
        <v>31</v>
      </c>
      <c r="N501" t="s">
        <v>52</v>
      </c>
      <c r="O501" t="s">
        <v>24</v>
      </c>
      <c r="P501">
        <f>Tableau1_2[[#This Row],[Quantité]]*Tableau1_2[[#This Row],[Prix_Unitaire]]</f>
        <v>60000</v>
      </c>
      <c r="Q501">
        <f>Tableau1_2[[#This Row],[Quantité]]*Tableau1_2[[#This Row],[Coût_Unitaire]]</f>
        <v>38400</v>
      </c>
      <c r="R501">
        <f>Tableau1_2[[#This Row],[CA]]-Tableau1_2[[#This Row],[Cout Total]]</f>
        <v>21600</v>
      </c>
      <c r="S501" s="4">
        <f>Tableau1_2[[#This Row],[Marge]]/Tableau1_2[[#This Row],[CA]]</f>
        <v>0.36</v>
      </c>
      <c r="T501" t="str">
        <f>TEXT(Tableau1_2[[#This Row],[Date]],"mmmm")</f>
        <v>avril</v>
      </c>
    </row>
    <row r="502" spans="1:20" x14ac:dyDescent="0.35">
      <c r="A502" t="s">
        <v>1209</v>
      </c>
      <c r="B502" s="2">
        <v>46192</v>
      </c>
      <c r="C502" t="s">
        <v>1210</v>
      </c>
      <c r="D502" t="s">
        <v>187</v>
      </c>
      <c r="E502" t="s">
        <v>156</v>
      </c>
      <c r="F502" t="s">
        <v>157</v>
      </c>
      <c r="G502" t="s">
        <v>34</v>
      </c>
      <c r="H502" t="s">
        <v>86</v>
      </c>
      <c r="I502">
        <v>10</v>
      </c>
      <c r="J502">
        <v>171000</v>
      </c>
      <c r="K502">
        <v>135000</v>
      </c>
      <c r="L502" t="s">
        <v>96</v>
      </c>
      <c r="M502" t="s">
        <v>51</v>
      </c>
      <c r="N502" t="s">
        <v>87</v>
      </c>
      <c r="O502" t="s">
        <v>24</v>
      </c>
      <c r="P502">
        <f>Tableau1_2[[#This Row],[Quantité]]*Tableau1_2[[#This Row],[Prix_Unitaire]]</f>
        <v>1710000</v>
      </c>
      <c r="Q502">
        <f>Tableau1_2[[#This Row],[Quantité]]*Tableau1_2[[#This Row],[Coût_Unitaire]]</f>
        <v>1350000</v>
      </c>
      <c r="R502">
        <f>Tableau1_2[[#This Row],[CA]]-Tableau1_2[[#This Row],[Cout Total]]</f>
        <v>360000</v>
      </c>
      <c r="S502" s="4">
        <f>Tableau1_2[[#This Row],[Marge]]/Tableau1_2[[#This Row],[CA]]</f>
        <v>0.21052631578947367</v>
      </c>
      <c r="T502" t="str">
        <f>TEXT(Tableau1_2[[#This Row],[Date]],"mmmm")</f>
        <v>juin</v>
      </c>
    </row>
    <row r="503" spans="1:20" x14ac:dyDescent="0.35">
      <c r="A503" t="s">
        <v>1211</v>
      </c>
      <c r="B503" s="2">
        <v>46244</v>
      </c>
      <c r="C503" t="s">
        <v>850</v>
      </c>
      <c r="D503" t="s">
        <v>391</v>
      </c>
      <c r="E503" t="s">
        <v>18</v>
      </c>
      <c r="F503" t="s">
        <v>18</v>
      </c>
      <c r="G503" t="s">
        <v>34</v>
      </c>
      <c r="H503" t="s">
        <v>35</v>
      </c>
      <c r="I503">
        <v>5</v>
      </c>
      <c r="J503">
        <v>57800</v>
      </c>
      <c r="K503">
        <v>37800</v>
      </c>
      <c r="L503" t="s">
        <v>73</v>
      </c>
      <c r="M503" t="s">
        <v>51</v>
      </c>
      <c r="N503" t="s">
        <v>52</v>
      </c>
      <c r="O503" t="s">
        <v>24</v>
      </c>
      <c r="P503">
        <f>Tableau1_2[[#This Row],[Quantité]]*Tableau1_2[[#This Row],[Prix_Unitaire]]</f>
        <v>289000</v>
      </c>
      <c r="Q503">
        <f>Tableau1_2[[#This Row],[Quantité]]*Tableau1_2[[#This Row],[Coût_Unitaire]]</f>
        <v>189000</v>
      </c>
      <c r="R503">
        <f>Tableau1_2[[#This Row],[CA]]-Tableau1_2[[#This Row],[Cout Total]]</f>
        <v>100000</v>
      </c>
      <c r="S503" s="4">
        <f>Tableau1_2[[#This Row],[Marge]]/Tableau1_2[[#This Row],[CA]]</f>
        <v>0.34602076124567471</v>
      </c>
      <c r="T503" t="str">
        <f>TEXT(Tableau1_2[[#This Row],[Date]],"mmmm")</f>
        <v>août</v>
      </c>
    </row>
    <row r="504" spans="1:20" x14ac:dyDescent="0.35">
      <c r="A504" t="s">
        <v>1212</v>
      </c>
      <c r="B504" s="2">
        <v>46104</v>
      </c>
      <c r="C504" t="s">
        <v>269</v>
      </c>
      <c r="D504" t="s">
        <v>833</v>
      </c>
      <c r="E504" t="s">
        <v>70</v>
      </c>
      <c r="F504" t="s">
        <v>71</v>
      </c>
      <c r="G504" t="s">
        <v>28</v>
      </c>
      <c r="H504" t="s">
        <v>72</v>
      </c>
      <c r="I504">
        <v>1</v>
      </c>
      <c r="J504">
        <v>10000</v>
      </c>
      <c r="K504">
        <v>6200</v>
      </c>
      <c r="L504" t="s">
        <v>73</v>
      </c>
      <c r="M504" t="s">
        <v>37</v>
      </c>
      <c r="N504" t="s">
        <v>52</v>
      </c>
      <c r="O504" t="s">
        <v>24</v>
      </c>
      <c r="P504">
        <f>Tableau1_2[[#This Row],[Quantité]]*Tableau1_2[[#This Row],[Prix_Unitaire]]</f>
        <v>10000</v>
      </c>
      <c r="Q504">
        <f>Tableau1_2[[#This Row],[Quantité]]*Tableau1_2[[#This Row],[Coût_Unitaire]]</f>
        <v>6200</v>
      </c>
      <c r="R504">
        <f>Tableau1_2[[#This Row],[CA]]-Tableau1_2[[#This Row],[Cout Total]]</f>
        <v>3800</v>
      </c>
      <c r="S504" s="4">
        <f>Tableau1_2[[#This Row],[Marge]]/Tableau1_2[[#This Row],[CA]]</f>
        <v>0.38</v>
      </c>
      <c r="T504" t="str">
        <f>TEXT(Tableau1_2[[#This Row],[Date]],"mmmm")</f>
        <v>mars</v>
      </c>
    </row>
    <row r="505" spans="1:20" x14ac:dyDescent="0.35">
      <c r="A505" t="s">
        <v>1213</v>
      </c>
      <c r="B505" s="2">
        <v>46030</v>
      </c>
      <c r="C505" t="s">
        <v>1214</v>
      </c>
      <c r="D505" t="s">
        <v>262</v>
      </c>
      <c r="E505" t="s">
        <v>18</v>
      </c>
      <c r="F505" t="s">
        <v>18</v>
      </c>
      <c r="G505" t="s">
        <v>34</v>
      </c>
      <c r="H505" t="s">
        <v>95</v>
      </c>
      <c r="I505">
        <v>3</v>
      </c>
      <c r="J505">
        <v>450000</v>
      </c>
      <c r="K505">
        <v>358900</v>
      </c>
      <c r="L505" t="s">
        <v>21</v>
      </c>
      <c r="M505" t="s">
        <v>51</v>
      </c>
      <c r="N505" t="s">
        <v>52</v>
      </c>
      <c r="O505" t="s">
        <v>91</v>
      </c>
      <c r="P505">
        <f>Tableau1_2[[#This Row],[Quantité]]*Tableau1_2[[#This Row],[Prix_Unitaire]]</f>
        <v>1350000</v>
      </c>
      <c r="Q505">
        <f>Tableau1_2[[#This Row],[Quantité]]*Tableau1_2[[#This Row],[Coût_Unitaire]]</f>
        <v>1076700</v>
      </c>
      <c r="R505">
        <f>Tableau1_2[[#This Row],[CA]]-Tableau1_2[[#This Row],[Cout Total]]</f>
        <v>273300</v>
      </c>
      <c r="S505" s="4">
        <f>Tableau1_2[[#This Row],[Marge]]/Tableau1_2[[#This Row],[CA]]</f>
        <v>0.20244444444444445</v>
      </c>
      <c r="T505" t="str">
        <f>TEXT(Tableau1_2[[#This Row],[Date]],"mmmm")</f>
        <v>janvier</v>
      </c>
    </row>
    <row r="506" spans="1:20" x14ac:dyDescent="0.35">
      <c r="A506" t="s">
        <v>1215</v>
      </c>
      <c r="B506" s="2">
        <v>46173</v>
      </c>
      <c r="C506" t="s">
        <v>1216</v>
      </c>
      <c r="D506" t="s">
        <v>1217</v>
      </c>
      <c r="E506" t="s">
        <v>18</v>
      </c>
      <c r="F506" t="s">
        <v>18</v>
      </c>
      <c r="G506" t="s">
        <v>43</v>
      </c>
      <c r="H506" t="s">
        <v>177</v>
      </c>
      <c r="I506">
        <v>10</v>
      </c>
      <c r="J506">
        <v>18900</v>
      </c>
      <c r="K506">
        <v>12500</v>
      </c>
      <c r="L506" t="s">
        <v>21</v>
      </c>
      <c r="M506" t="s">
        <v>22</v>
      </c>
      <c r="N506" t="s">
        <v>23</v>
      </c>
      <c r="O506" t="s">
        <v>24</v>
      </c>
      <c r="P506">
        <f>Tableau1_2[[#This Row],[Quantité]]*Tableau1_2[[#This Row],[Prix_Unitaire]]</f>
        <v>189000</v>
      </c>
      <c r="Q506">
        <f>Tableau1_2[[#This Row],[Quantité]]*Tableau1_2[[#This Row],[Coût_Unitaire]]</f>
        <v>125000</v>
      </c>
      <c r="R506">
        <f>Tableau1_2[[#This Row],[CA]]-Tableau1_2[[#This Row],[Cout Total]]</f>
        <v>64000</v>
      </c>
      <c r="S506" s="4">
        <f>Tableau1_2[[#This Row],[Marge]]/Tableau1_2[[#This Row],[CA]]</f>
        <v>0.33862433862433861</v>
      </c>
      <c r="T506" t="str">
        <f>TEXT(Tableau1_2[[#This Row],[Date]],"mmmm")</f>
        <v>mai</v>
      </c>
    </row>
    <row r="507" spans="1:20" x14ac:dyDescent="0.35">
      <c r="A507" t="s">
        <v>1218</v>
      </c>
      <c r="B507" s="2">
        <v>46260</v>
      </c>
      <c r="C507" t="s">
        <v>871</v>
      </c>
      <c r="D507" t="s">
        <v>1219</v>
      </c>
      <c r="E507" t="s">
        <v>190</v>
      </c>
      <c r="F507" t="s">
        <v>191</v>
      </c>
      <c r="G507" t="s">
        <v>43</v>
      </c>
      <c r="H507" t="s">
        <v>44</v>
      </c>
      <c r="I507">
        <v>9</v>
      </c>
      <c r="J507">
        <v>15000</v>
      </c>
      <c r="K507">
        <v>9200</v>
      </c>
      <c r="L507" t="s">
        <v>21</v>
      </c>
      <c r="M507" t="s">
        <v>37</v>
      </c>
      <c r="N507" t="s">
        <v>23</v>
      </c>
      <c r="O507" t="s">
        <v>24</v>
      </c>
      <c r="P507">
        <f>Tableau1_2[[#This Row],[Quantité]]*Tableau1_2[[#This Row],[Prix_Unitaire]]</f>
        <v>135000</v>
      </c>
      <c r="Q507">
        <f>Tableau1_2[[#This Row],[Quantité]]*Tableau1_2[[#This Row],[Coût_Unitaire]]</f>
        <v>82800</v>
      </c>
      <c r="R507">
        <f>Tableau1_2[[#This Row],[CA]]-Tableau1_2[[#This Row],[Cout Total]]</f>
        <v>52200</v>
      </c>
      <c r="S507" s="4">
        <f>Tableau1_2[[#This Row],[Marge]]/Tableau1_2[[#This Row],[CA]]</f>
        <v>0.38666666666666666</v>
      </c>
      <c r="T507" t="str">
        <f>TEXT(Tableau1_2[[#This Row],[Date]],"mmmm")</f>
        <v>août</v>
      </c>
    </row>
    <row r="508" spans="1:20" x14ac:dyDescent="0.35">
      <c r="A508" t="s">
        <v>1220</v>
      </c>
      <c r="B508" s="2">
        <v>46210</v>
      </c>
      <c r="C508" t="s">
        <v>850</v>
      </c>
      <c r="D508" t="s">
        <v>1221</v>
      </c>
      <c r="E508" t="s">
        <v>190</v>
      </c>
      <c r="F508" t="s">
        <v>191</v>
      </c>
      <c r="G508" t="s">
        <v>34</v>
      </c>
      <c r="H508" t="s">
        <v>86</v>
      </c>
      <c r="I508">
        <v>7</v>
      </c>
      <c r="J508">
        <v>180000</v>
      </c>
      <c r="K508">
        <v>131000</v>
      </c>
      <c r="L508" t="s">
        <v>96</v>
      </c>
      <c r="M508" t="s">
        <v>37</v>
      </c>
      <c r="N508" t="s">
        <v>52</v>
      </c>
      <c r="O508" t="s">
        <v>24</v>
      </c>
      <c r="P508">
        <f>Tableau1_2[[#This Row],[Quantité]]*Tableau1_2[[#This Row],[Prix_Unitaire]]</f>
        <v>1260000</v>
      </c>
      <c r="Q508">
        <f>Tableau1_2[[#This Row],[Quantité]]*Tableau1_2[[#This Row],[Coût_Unitaire]]</f>
        <v>917000</v>
      </c>
      <c r="R508">
        <f>Tableau1_2[[#This Row],[CA]]-Tableau1_2[[#This Row],[Cout Total]]</f>
        <v>343000</v>
      </c>
      <c r="S508" s="4">
        <f>Tableau1_2[[#This Row],[Marge]]/Tableau1_2[[#This Row],[CA]]</f>
        <v>0.2722222222222222</v>
      </c>
      <c r="T508" t="str">
        <f>TEXT(Tableau1_2[[#This Row],[Date]],"mmmm")</f>
        <v>juillet</v>
      </c>
    </row>
    <row r="509" spans="1:20" x14ac:dyDescent="0.35">
      <c r="A509" t="s">
        <v>1222</v>
      </c>
      <c r="B509" s="2">
        <v>46025</v>
      </c>
      <c r="C509" t="s">
        <v>1223</v>
      </c>
      <c r="D509" t="s">
        <v>1224</v>
      </c>
      <c r="E509" t="s">
        <v>70</v>
      </c>
      <c r="F509" t="s">
        <v>71</v>
      </c>
      <c r="G509" t="s">
        <v>34</v>
      </c>
      <c r="H509" t="s">
        <v>141</v>
      </c>
      <c r="I509">
        <v>6</v>
      </c>
      <c r="J509">
        <v>152000</v>
      </c>
      <c r="K509">
        <v>123600</v>
      </c>
      <c r="L509" t="s">
        <v>80</v>
      </c>
      <c r="M509" t="s">
        <v>51</v>
      </c>
      <c r="N509" t="s">
        <v>87</v>
      </c>
      <c r="O509" t="s">
        <v>24</v>
      </c>
      <c r="P509">
        <f>Tableau1_2[[#This Row],[Quantité]]*Tableau1_2[[#This Row],[Prix_Unitaire]]</f>
        <v>912000</v>
      </c>
      <c r="Q509">
        <f>Tableau1_2[[#This Row],[Quantité]]*Tableau1_2[[#This Row],[Coût_Unitaire]]</f>
        <v>741600</v>
      </c>
      <c r="R509">
        <f>Tableau1_2[[#This Row],[CA]]-Tableau1_2[[#This Row],[Cout Total]]</f>
        <v>170400</v>
      </c>
      <c r="S509" s="4">
        <f>Tableau1_2[[#This Row],[Marge]]/Tableau1_2[[#This Row],[CA]]</f>
        <v>0.18684210526315789</v>
      </c>
      <c r="T509" t="str">
        <f>TEXT(Tableau1_2[[#This Row],[Date]],"mmmm")</f>
        <v>janvier</v>
      </c>
    </row>
    <row r="510" spans="1:20" x14ac:dyDescent="0.35">
      <c r="A510" t="s">
        <v>1225</v>
      </c>
      <c r="B510" s="2">
        <v>46085</v>
      </c>
      <c r="C510" t="s">
        <v>1226</v>
      </c>
      <c r="D510" t="s">
        <v>329</v>
      </c>
      <c r="E510" t="s">
        <v>18</v>
      </c>
      <c r="F510" t="s">
        <v>18</v>
      </c>
      <c r="G510" t="s">
        <v>28</v>
      </c>
      <c r="H510" t="s">
        <v>131</v>
      </c>
      <c r="I510">
        <v>9</v>
      </c>
      <c r="J510">
        <v>28500</v>
      </c>
      <c r="K510">
        <v>19600</v>
      </c>
      <c r="L510" t="s">
        <v>21</v>
      </c>
      <c r="M510" t="s">
        <v>37</v>
      </c>
      <c r="N510" t="s">
        <v>23</v>
      </c>
      <c r="O510" t="s">
        <v>24</v>
      </c>
      <c r="P510">
        <f>Tableau1_2[[#This Row],[Quantité]]*Tableau1_2[[#This Row],[Prix_Unitaire]]</f>
        <v>256500</v>
      </c>
      <c r="Q510">
        <f>Tableau1_2[[#This Row],[Quantité]]*Tableau1_2[[#This Row],[Coût_Unitaire]]</f>
        <v>176400</v>
      </c>
      <c r="R510">
        <f>Tableau1_2[[#This Row],[CA]]-Tableau1_2[[#This Row],[Cout Total]]</f>
        <v>80100</v>
      </c>
      <c r="S510" s="4">
        <f>Tableau1_2[[#This Row],[Marge]]/Tableau1_2[[#This Row],[CA]]</f>
        <v>0.31228070175438599</v>
      </c>
      <c r="T510" t="str">
        <f>TEXT(Tableau1_2[[#This Row],[Date]],"mmmm")</f>
        <v>mars</v>
      </c>
    </row>
    <row r="511" spans="1:20" x14ac:dyDescent="0.35">
      <c r="A511" t="s">
        <v>1227</v>
      </c>
      <c r="B511" s="2">
        <v>46052</v>
      </c>
      <c r="C511" t="s">
        <v>427</v>
      </c>
      <c r="D511" t="s">
        <v>1228</v>
      </c>
      <c r="E511" t="s">
        <v>41</v>
      </c>
      <c r="F511" t="s">
        <v>42</v>
      </c>
      <c r="G511" t="s">
        <v>43</v>
      </c>
      <c r="H511" t="s">
        <v>79</v>
      </c>
      <c r="I511">
        <v>9</v>
      </c>
      <c r="J511">
        <v>6000</v>
      </c>
      <c r="K511">
        <v>4300</v>
      </c>
      <c r="L511" t="s">
        <v>66</v>
      </c>
      <c r="M511" t="s">
        <v>37</v>
      </c>
      <c r="N511" t="s">
        <v>23</v>
      </c>
      <c r="O511" t="s">
        <v>24</v>
      </c>
      <c r="P511">
        <f>Tableau1_2[[#This Row],[Quantité]]*Tableau1_2[[#This Row],[Prix_Unitaire]]</f>
        <v>54000</v>
      </c>
      <c r="Q511">
        <f>Tableau1_2[[#This Row],[Quantité]]*Tableau1_2[[#This Row],[Coût_Unitaire]]</f>
        <v>38700</v>
      </c>
      <c r="R511">
        <f>Tableau1_2[[#This Row],[CA]]-Tableau1_2[[#This Row],[Cout Total]]</f>
        <v>15300</v>
      </c>
      <c r="S511" s="4">
        <f>Tableau1_2[[#This Row],[Marge]]/Tableau1_2[[#This Row],[CA]]</f>
        <v>0.28333333333333333</v>
      </c>
      <c r="T511" t="str">
        <f>TEXT(Tableau1_2[[#This Row],[Date]],"mmmm")</f>
        <v>janvier</v>
      </c>
    </row>
    <row r="512" spans="1:20" x14ac:dyDescent="0.35">
      <c r="A512" t="s">
        <v>1229</v>
      </c>
      <c r="B512" s="2">
        <v>46328</v>
      </c>
      <c r="C512" t="s">
        <v>39</v>
      </c>
      <c r="D512" t="s">
        <v>1230</v>
      </c>
      <c r="E512" t="s">
        <v>77</v>
      </c>
      <c r="F512" t="s">
        <v>78</v>
      </c>
      <c r="G512" t="s">
        <v>19</v>
      </c>
      <c r="H512" t="s">
        <v>166</v>
      </c>
      <c r="I512">
        <v>2</v>
      </c>
      <c r="J512">
        <v>140000</v>
      </c>
      <c r="K512">
        <v>97000</v>
      </c>
      <c r="L512" t="s">
        <v>21</v>
      </c>
      <c r="M512" t="s">
        <v>22</v>
      </c>
      <c r="N512" t="s">
        <v>23</v>
      </c>
      <c r="O512" t="s">
        <v>24</v>
      </c>
      <c r="P512">
        <f>Tableau1_2[[#This Row],[Quantité]]*Tableau1_2[[#This Row],[Prix_Unitaire]]</f>
        <v>280000</v>
      </c>
      <c r="Q512">
        <f>Tableau1_2[[#This Row],[Quantité]]*Tableau1_2[[#This Row],[Coût_Unitaire]]</f>
        <v>194000</v>
      </c>
      <c r="R512">
        <f>Tableau1_2[[#This Row],[CA]]-Tableau1_2[[#This Row],[Cout Total]]</f>
        <v>86000</v>
      </c>
      <c r="S512" s="4">
        <f>Tableau1_2[[#This Row],[Marge]]/Tableau1_2[[#This Row],[CA]]</f>
        <v>0.30714285714285716</v>
      </c>
      <c r="T512" t="str">
        <f>TEXT(Tableau1_2[[#This Row],[Date]],"mmmm")</f>
        <v>novembre</v>
      </c>
    </row>
    <row r="513" spans="1:20" x14ac:dyDescent="0.35">
      <c r="A513" t="s">
        <v>1231</v>
      </c>
      <c r="B513" s="2">
        <v>46190</v>
      </c>
      <c r="C513" t="s">
        <v>296</v>
      </c>
      <c r="D513" t="s">
        <v>262</v>
      </c>
      <c r="E513" t="s">
        <v>41</v>
      </c>
      <c r="F513" t="s">
        <v>42</v>
      </c>
      <c r="G513" t="s">
        <v>19</v>
      </c>
      <c r="H513" t="s">
        <v>61</v>
      </c>
      <c r="I513">
        <v>9</v>
      </c>
      <c r="J513">
        <v>209000</v>
      </c>
      <c r="K513">
        <v>155200</v>
      </c>
      <c r="L513" t="s">
        <v>80</v>
      </c>
      <c r="M513" t="s">
        <v>51</v>
      </c>
      <c r="N513" t="s">
        <v>23</v>
      </c>
      <c r="O513" t="s">
        <v>24</v>
      </c>
      <c r="P513">
        <f>Tableau1_2[[#This Row],[Quantité]]*Tableau1_2[[#This Row],[Prix_Unitaire]]</f>
        <v>1881000</v>
      </c>
      <c r="Q513">
        <f>Tableau1_2[[#This Row],[Quantité]]*Tableau1_2[[#This Row],[Coût_Unitaire]]</f>
        <v>1396800</v>
      </c>
      <c r="R513">
        <f>Tableau1_2[[#This Row],[CA]]-Tableau1_2[[#This Row],[Cout Total]]</f>
        <v>484200</v>
      </c>
      <c r="S513" s="4">
        <f>Tableau1_2[[#This Row],[Marge]]/Tableau1_2[[#This Row],[CA]]</f>
        <v>0.25741626794258371</v>
      </c>
      <c r="T513" t="str">
        <f>TEXT(Tableau1_2[[#This Row],[Date]],"mmmm")</f>
        <v>juin</v>
      </c>
    </row>
    <row r="514" spans="1:20" x14ac:dyDescent="0.35">
      <c r="A514" t="s">
        <v>1232</v>
      </c>
      <c r="B514" s="2">
        <v>46082</v>
      </c>
      <c r="C514" t="s">
        <v>603</v>
      </c>
      <c r="D514" t="s">
        <v>990</v>
      </c>
      <c r="E514" t="s">
        <v>18</v>
      </c>
      <c r="F514" t="s">
        <v>18</v>
      </c>
      <c r="G514" t="s">
        <v>19</v>
      </c>
      <c r="H514" t="s">
        <v>112</v>
      </c>
      <c r="I514">
        <v>6</v>
      </c>
      <c r="J514">
        <v>85000</v>
      </c>
      <c r="K514">
        <v>63900</v>
      </c>
      <c r="L514" t="s">
        <v>80</v>
      </c>
      <c r="M514" t="s">
        <v>37</v>
      </c>
      <c r="N514" t="s">
        <v>52</v>
      </c>
      <c r="O514" t="s">
        <v>24</v>
      </c>
      <c r="P514">
        <f>Tableau1_2[[#This Row],[Quantité]]*Tableau1_2[[#This Row],[Prix_Unitaire]]</f>
        <v>510000</v>
      </c>
      <c r="Q514">
        <f>Tableau1_2[[#This Row],[Quantité]]*Tableau1_2[[#This Row],[Coût_Unitaire]]</f>
        <v>383400</v>
      </c>
      <c r="R514">
        <f>Tableau1_2[[#This Row],[CA]]-Tableau1_2[[#This Row],[Cout Total]]</f>
        <v>126600</v>
      </c>
      <c r="S514" s="4">
        <f>Tableau1_2[[#This Row],[Marge]]/Tableau1_2[[#This Row],[CA]]</f>
        <v>0.24823529411764705</v>
      </c>
      <c r="T514" t="str">
        <f>TEXT(Tableau1_2[[#This Row],[Date]],"mmmm")</f>
        <v>mars</v>
      </c>
    </row>
    <row r="515" spans="1:20" x14ac:dyDescent="0.35">
      <c r="A515" t="s">
        <v>1233</v>
      </c>
      <c r="B515" s="2">
        <v>46387</v>
      </c>
      <c r="C515" t="s">
        <v>664</v>
      </c>
      <c r="D515" t="s">
        <v>1234</v>
      </c>
      <c r="E515" t="s">
        <v>18</v>
      </c>
      <c r="F515" t="s">
        <v>18</v>
      </c>
      <c r="G515" t="s">
        <v>34</v>
      </c>
      <c r="H515" t="s">
        <v>86</v>
      </c>
      <c r="I515">
        <v>7</v>
      </c>
      <c r="J515">
        <v>180000</v>
      </c>
      <c r="K515">
        <v>131000</v>
      </c>
      <c r="L515" t="s">
        <v>30</v>
      </c>
      <c r="M515" t="s">
        <v>37</v>
      </c>
      <c r="N515" t="s">
        <v>52</v>
      </c>
      <c r="O515" t="s">
        <v>24</v>
      </c>
      <c r="P515">
        <f>Tableau1_2[[#This Row],[Quantité]]*Tableau1_2[[#This Row],[Prix_Unitaire]]</f>
        <v>1260000</v>
      </c>
      <c r="Q515">
        <f>Tableau1_2[[#This Row],[Quantité]]*Tableau1_2[[#This Row],[Coût_Unitaire]]</f>
        <v>917000</v>
      </c>
      <c r="R515">
        <f>Tableau1_2[[#This Row],[CA]]-Tableau1_2[[#This Row],[Cout Total]]</f>
        <v>343000</v>
      </c>
      <c r="S515" s="4">
        <f>Tableau1_2[[#This Row],[Marge]]/Tableau1_2[[#This Row],[CA]]</f>
        <v>0.2722222222222222</v>
      </c>
      <c r="T515" t="str">
        <f>TEXT(Tableau1_2[[#This Row],[Date]],"mmmm")</f>
        <v>décembre</v>
      </c>
    </row>
    <row r="516" spans="1:20" x14ac:dyDescent="0.35">
      <c r="A516" t="s">
        <v>1235</v>
      </c>
      <c r="B516" s="2">
        <v>46124</v>
      </c>
      <c r="C516" t="s">
        <v>955</v>
      </c>
      <c r="D516" t="s">
        <v>359</v>
      </c>
      <c r="E516" t="s">
        <v>190</v>
      </c>
      <c r="F516" t="s">
        <v>191</v>
      </c>
      <c r="G516" t="s">
        <v>34</v>
      </c>
      <c r="H516" t="s">
        <v>86</v>
      </c>
      <c r="I516">
        <v>5</v>
      </c>
      <c r="J516">
        <v>180000</v>
      </c>
      <c r="K516">
        <v>139000</v>
      </c>
      <c r="L516" t="s">
        <v>30</v>
      </c>
      <c r="M516" t="s">
        <v>37</v>
      </c>
      <c r="N516" t="s">
        <v>52</v>
      </c>
      <c r="O516" t="s">
        <v>24</v>
      </c>
      <c r="P516">
        <f>Tableau1_2[[#This Row],[Quantité]]*Tableau1_2[[#This Row],[Prix_Unitaire]]</f>
        <v>900000</v>
      </c>
      <c r="Q516">
        <f>Tableau1_2[[#This Row],[Quantité]]*Tableau1_2[[#This Row],[Coût_Unitaire]]</f>
        <v>695000</v>
      </c>
      <c r="R516">
        <f>Tableau1_2[[#This Row],[CA]]-Tableau1_2[[#This Row],[Cout Total]]</f>
        <v>205000</v>
      </c>
      <c r="S516" s="4">
        <f>Tableau1_2[[#This Row],[Marge]]/Tableau1_2[[#This Row],[CA]]</f>
        <v>0.22777777777777777</v>
      </c>
      <c r="T516" t="str">
        <f>TEXT(Tableau1_2[[#This Row],[Date]],"mmmm")</f>
        <v>avril</v>
      </c>
    </row>
    <row r="517" spans="1:20" x14ac:dyDescent="0.35">
      <c r="A517" t="s">
        <v>1236</v>
      </c>
      <c r="B517" s="2">
        <v>46304</v>
      </c>
      <c r="C517" t="s">
        <v>1237</v>
      </c>
      <c r="D517" t="s">
        <v>979</v>
      </c>
      <c r="E517" t="s">
        <v>56</v>
      </c>
      <c r="F517" t="s">
        <v>57</v>
      </c>
      <c r="G517" t="s">
        <v>19</v>
      </c>
      <c r="H517" t="s">
        <v>112</v>
      </c>
      <c r="I517">
        <v>5</v>
      </c>
      <c r="J517">
        <v>85000</v>
      </c>
      <c r="K517">
        <v>60100</v>
      </c>
      <c r="L517" t="s">
        <v>73</v>
      </c>
      <c r="M517" t="s">
        <v>31</v>
      </c>
      <c r="N517" t="s">
        <v>23</v>
      </c>
      <c r="O517" t="s">
        <v>24</v>
      </c>
      <c r="P517">
        <f>Tableau1_2[[#This Row],[Quantité]]*Tableau1_2[[#This Row],[Prix_Unitaire]]</f>
        <v>425000</v>
      </c>
      <c r="Q517">
        <f>Tableau1_2[[#This Row],[Quantité]]*Tableau1_2[[#This Row],[Coût_Unitaire]]</f>
        <v>300500</v>
      </c>
      <c r="R517">
        <f>Tableau1_2[[#This Row],[CA]]-Tableau1_2[[#This Row],[Cout Total]]</f>
        <v>124500</v>
      </c>
      <c r="S517" s="4">
        <f>Tableau1_2[[#This Row],[Marge]]/Tableau1_2[[#This Row],[CA]]</f>
        <v>0.29294117647058826</v>
      </c>
      <c r="T517" t="str">
        <f>TEXT(Tableau1_2[[#This Row],[Date]],"mmmm")</f>
        <v>octobre</v>
      </c>
    </row>
    <row r="518" spans="1:20" x14ac:dyDescent="0.35">
      <c r="A518" t="s">
        <v>1238</v>
      </c>
      <c r="B518" s="2">
        <v>46094</v>
      </c>
      <c r="C518" t="s">
        <v>47</v>
      </c>
      <c r="D518" t="s">
        <v>394</v>
      </c>
      <c r="E518" t="s">
        <v>77</v>
      </c>
      <c r="F518" t="s">
        <v>78</v>
      </c>
      <c r="G518" t="s">
        <v>19</v>
      </c>
      <c r="H518" t="s">
        <v>112</v>
      </c>
      <c r="I518">
        <v>2</v>
      </c>
      <c r="J518">
        <v>80800</v>
      </c>
      <c r="K518">
        <v>63900</v>
      </c>
      <c r="L518" t="s">
        <v>80</v>
      </c>
      <c r="M518" t="s">
        <v>37</v>
      </c>
      <c r="N518" t="s">
        <v>87</v>
      </c>
      <c r="O518" t="s">
        <v>24</v>
      </c>
      <c r="P518">
        <f>Tableau1_2[[#This Row],[Quantité]]*Tableau1_2[[#This Row],[Prix_Unitaire]]</f>
        <v>161600</v>
      </c>
      <c r="Q518">
        <f>Tableau1_2[[#This Row],[Quantité]]*Tableau1_2[[#This Row],[Coût_Unitaire]]</f>
        <v>127800</v>
      </c>
      <c r="R518">
        <f>Tableau1_2[[#This Row],[CA]]-Tableau1_2[[#This Row],[Cout Total]]</f>
        <v>33800</v>
      </c>
      <c r="S518" s="4">
        <f>Tableau1_2[[#This Row],[Marge]]/Tableau1_2[[#This Row],[CA]]</f>
        <v>0.20915841584158415</v>
      </c>
      <c r="T518" t="str">
        <f>TEXT(Tableau1_2[[#This Row],[Date]],"mmmm")</f>
        <v>mars</v>
      </c>
    </row>
    <row r="519" spans="1:20" x14ac:dyDescent="0.35">
      <c r="A519" t="s">
        <v>1239</v>
      </c>
      <c r="B519" s="2">
        <v>46382</v>
      </c>
      <c r="C519" t="s">
        <v>39</v>
      </c>
      <c r="D519" t="s">
        <v>235</v>
      </c>
      <c r="E519" t="s">
        <v>18</v>
      </c>
      <c r="F519" t="s">
        <v>18</v>
      </c>
      <c r="G519" t="s">
        <v>34</v>
      </c>
      <c r="H519" t="s">
        <v>141</v>
      </c>
      <c r="I519">
        <v>2</v>
      </c>
      <c r="J519">
        <v>152000</v>
      </c>
      <c r="K519">
        <v>116400</v>
      </c>
      <c r="L519" t="s">
        <v>50</v>
      </c>
      <c r="M519" t="s">
        <v>31</v>
      </c>
      <c r="N519" t="s">
        <v>52</v>
      </c>
      <c r="O519" t="s">
        <v>24</v>
      </c>
      <c r="P519">
        <f>Tableau1_2[[#This Row],[Quantité]]*Tableau1_2[[#This Row],[Prix_Unitaire]]</f>
        <v>304000</v>
      </c>
      <c r="Q519">
        <f>Tableau1_2[[#This Row],[Quantité]]*Tableau1_2[[#This Row],[Coût_Unitaire]]</f>
        <v>232800</v>
      </c>
      <c r="R519">
        <f>Tableau1_2[[#This Row],[CA]]-Tableau1_2[[#This Row],[Cout Total]]</f>
        <v>71200</v>
      </c>
      <c r="S519" s="4">
        <f>Tableau1_2[[#This Row],[Marge]]/Tableau1_2[[#This Row],[CA]]</f>
        <v>0.23421052631578948</v>
      </c>
      <c r="T519" t="str">
        <f>TEXT(Tableau1_2[[#This Row],[Date]],"mmmm")</f>
        <v>décembre</v>
      </c>
    </row>
    <row r="520" spans="1:20" x14ac:dyDescent="0.35">
      <c r="A520" t="s">
        <v>1240</v>
      </c>
      <c r="B520" s="2">
        <v>46280</v>
      </c>
      <c r="C520" t="s">
        <v>416</v>
      </c>
      <c r="D520" t="s">
        <v>1241</v>
      </c>
      <c r="E520" t="s">
        <v>18</v>
      </c>
      <c r="F520" t="s">
        <v>18</v>
      </c>
      <c r="G520" t="s">
        <v>43</v>
      </c>
      <c r="H520" t="s">
        <v>177</v>
      </c>
      <c r="I520">
        <v>1</v>
      </c>
      <c r="J520">
        <v>18000</v>
      </c>
      <c r="K520">
        <v>12100</v>
      </c>
      <c r="L520" t="s">
        <v>66</v>
      </c>
      <c r="M520" t="s">
        <v>51</v>
      </c>
      <c r="N520" t="s">
        <v>52</v>
      </c>
      <c r="O520" t="s">
        <v>24</v>
      </c>
      <c r="P520">
        <f>Tableau1_2[[#This Row],[Quantité]]*Tableau1_2[[#This Row],[Prix_Unitaire]]</f>
        <v>18000</v>
      </c>
      <c r="Q520">
        <f>Tableau1_2[[#This Row],[Quantité]]*Tableau1_2[[#This Row],[Coût_Unitaire]]</f>
        <v>12100</v>
      </c>
      <c r="R520">
        <f>Tableau1_2[[#This Row],[CA]]-Tableau1_2[[#This Row],[Cout Total]]</f>
        <v>5900</v>
      </c>
      <c r="S520" s="4">
        <f>Tableau1_2[[#This Row],[Marge]]/Tableau1_2[[#This Row],[CA]]</f>
        <v>0.32777777777777778</v>
      </c>
      <c r="T520" t="str">
        <f>TEXT(Tableau1_2[[#This Row],[Date]],"mmmm")</f>
        <v>septembre</v>
      </c>
    </row>
    <row r="521" spans="1:20" x14ac:dyDescent="0.35">
      <c r="A521" t="s">
        <v>1242</v>
      </c>
      <c r="B521" s="2">
        <v>46171</v>
      </c>
      <c r="C521" t="s">
        <v>1243</v>
      </c>
      <c r="D521" t="s">
        <v>281</v>
      </c>
      <c r="E521" t="s">
        <v>56</v>
      </c>
      <c r="F521" t="s">
        <v>57</v>
      </c>
      <c r="G521" t="s">
        <v>34</v>
      </c>
      <c r="H521" t="s">
        <v>141</v>
      </c>
      <c r="I521">
        <v>7</v>
      </c>
      <c r="J521">
        <v>152000</v>
      </c>
      <c r="K521">
        <v>120000</v>
      </c>
      <c r="L521" t="s">
        <v>30</v>
      </c>
      <c r="M521" t="s">
        <v>51</v>
      </c>
      <c r="N521" t="s">
        <v>23</v>
      </c>
      <c r="O521" t="s">
        <v>24</v>
      </c>
      <c r="P521">
        <f>Tableau1_2[[#This Row],[Quantité]]*Tableau1_2[[#This Row],[Prix_Unitaire]]</f>
        <v>1064000</v>
      </c>
      <c r="Q521">
        <f>Tableau1_2[[#This Row],[Quantité]]*Tableau1_2[[#This Row],[Coût_Unitaire]]</f>
        <v>840000</v>
      </c>
      <c r="R521">
        <f>Tableau1_2[[#This Row],[CA]]-Tableau1_2[[#This Row],[Cout Total]]</f>
        <v>224000</v>
      </c>
      <c r="S521" s="4">
        <f>Tableau1_2[[#This Row],[Marge]]/Tableau1_2[[#This Row],[CA]]</f>
        <v>0.21052631578947367</v>
      </c>
      <c r="T521" t="str">
        <f>TEXT(Tableau1_2[[#This Row],[Date]],"mmmm")</f>
        <v>mai</v>
      </c>
    </row>
    <row r="522" spans="1:20" x14ac:dyDescent="0.35">
      <c r="A522" t="s">
        <v>1244</v>
      </c>
      <c r="B522" s="2">
        <v>46322</v>
      </c>
      <c r="C522" t="s">
        <v>1245</v>
      </c>
      <c r="D522" t="s">
        <v>1246</v>
      </c>
      <c r="E522" t="s">
        <v>77</v>
      </c>
      <c r="F522" t="s">
        <v>78</v>
      </c>
      <c r="G522" t="s">
        <v>34</v>
      </c>
      <c r="H522" t="s">
        <v>35</v>
      </c>
      <c r="I522">
        <v>8</v>
      </c>
      <c r="J522">
        <v>55000</v>
      </c>
      <c r="K522">
        <v>39000</v>
      </c>
      <c r="L522" t="s">
        <v>21</v>
      </c>
      <c r="M522" t="s">
        <v>51</v>
      </c>
      <c r="N522" t="s">
        <v>23</v>
      </c>
      <c r="O522" t="s">
        <v>24</v>
      </c>
      <c r="P522">
        <f>Tableau1_2[[#This Row],[Quantité]]*Tableau1_2[[#This Row],[Prix_Unitaire]]</f>
        <v>440000</v>
      </c>
      <c r="Q522">
        <f>Tableau1_2[[#This Row],[Quantité]]*Tableau1_2[[#This Row],[Coût_Unitaire]]</f>
        <v>312000</v>
      </c>
      <c r="R522">
        <f>Tableau1_2[[#This Row],[CA]]-Tableau1_2[[#This Row],[Cout Total]]</f>
        <v>128000</v>
      </c>
      <c r="S522" s="4">
        <f>Tableau1_2[[#This Row],[Marge]]/Tableau1_2[[#This Row],[CA]]</f>
        <v>0.29090909090909089</v>
      </c>
      <c r="T522" t="str">
        <f>TEXT(Tableau1_2[[#This Row],[Date]],"mmmm")</f>
        <v>octobre</v>
      </c>
    </row>
    <row r="523" spans="1:20" x14ac:dyDescent="0.35">
      <c r="A523" t="s">
        <v>1247</v>
      </c>
      <c r="B523" s="2">
        <v>46316</v>
      </c>
      <c r="C523" t="s">
        <v>1248</v>
      </c>
      <c r="D523" t="s">
        <v>459</v>
      </c>
      <c r="E523" t="s">
        <v>56</v>
      </c>
      <c r="F523" t="s">
        <v>57</v>
      </c>
      <c r="G523" t="s">
        <v>28</v>
      </c>
      <c r="H523" t="s">
        <v>29</v>
      </c>
      <c r="I523">
        <v>5</v>
      </c>
      <c r="J523">
        <v>6600</v>
      </c>
      <c r="K523">
        <v>4000</v>
      </c>
      <c r="L523" t="s">
        <v>21</v>
      </c>
      <c r="M523" t="s">
        <v>37</v>
      </c>
      <c r="N523" t="s">
        <v>52</v>
      </c>
      <c r="O523" t="s">
        <v>24</v>
      </c>
      <c r="P523">
        <f>Tableau1_2[[#This Row],[Quantité]]*Tableau1_2[[#This Row],[Prix_Unitaire]]</f>
        <v>33000</v>
      </c>
      <c r="Q523">
        <f>Tableau1_2[[#This Row],[Quantité]]*Tableau1_2[[#This Row],[Coût_Unitaire]]</f>
        <v>20000</v>
      </c>
      <c r="R523">
        <f>Tableau1_2[[#This Row],[CA]]-Tableau1_2[[#This Row],[Cout Total]]</f>
        <v>13000</v>
      </c>
      <c r="S523" s="4">
        <f>Tableau1_2[[#This Row],[Marge]]/Tableau1_2[[#This Row],[CA]]</f>
        <v>0.39393939393939392</v>
      </c>
      <c r="T523" t="str">
        <f>TEXT(Tableau1_2[[#This Row],[Date]],"mmmm")</f>
        <v>octobre</v>
      </c>
    </row>
    <row r="524" spans="1:20" x14ac:dyDescent="0.35">
      <c r="A524" t="s">
        <v>1249</v>
      </c>
      <c r="B524" s="2">
        <v>46170</v>
      </c>
      <c r="C524" t="s">
        <v>1156</v>
      </c>
      <c r="D524" t="s">
        <v>232</v>
      </c>
      <c r="E524" t="s">
        <v>41</v>
      </c>
      <c r="F524" t="s">
        <v>42</v>
      </c>
      <c r="G524" t="s">
        <v>34</v>
      </c>
      <c r="H524" t="s">
        <v>35</v>
      </c>
      <c r="I524">
        <v>3</v>
      </c>
      <c r="J524">
        <v>55000</v>
      </c>
      <c r="K524">
        <v>40200</v>
      </c>
      <c r="L524" t="s">
        <v>30</v>
      </c>
      <c r="M524" t="s">
        <v>22</v>
      </c>
      <c r="N524" t="s">
        <v>87</v>
      </c>
      <c r="O524" t="s">
        <v>24</v>
      </c>
      <c r="P524">
        <f>Tableau1_2[[#This Row],[Quantité]]*Tableau1_2[[#This Row],[Prix_Unitaire]]</f>
        <v>165000</v>
      </c>
      <c r="Q524">
        <f>Tableau1_2[[#This Row],[Quantité]]*Tableau1_2[[#This Row],[Coût_Unitaire]]</f>
        <v>120600</v>
      </c>
      <c r="R524">
        <f>Tableau1_2[[#This Row],[CA]]-Tableau1_2[[#This Row],[Cout Total]]</f>
        <v>44400</v>
      </c>
      <c r="S524" s="4">
        <f>Tableau1_2[[#This Row],[Marge]]/Tableau1_2[[#This Row],[CA]]</f>
        <v>0.2690909090909091</v>
      </c>
      <c r="T524" t="str">
        <f>TEXT(Tableau1_2[[#This Row],[Date]],"mmmm")</f>
        <v>mai</v>
      </c>
    </row>
    <row r="525" spans="1:20" x14ac:dyDescent="0.35">
      <c r="A525" t="s">
        <v>1250</v>
      </c>
      <c r="B525" s="2">
        <v>46291</v>
      </c>
      <c r="C525" t="s">
        <v>272</v>
      </c>
      <c r="D525" t="s">
        <v>1251</v>
      </c>
      <c r="E525" t="s">
        <v>18</v>
      </c>
      <c r="F525" t="s">
        <v>18</v>
      </c>
      <c r="G525" t="s">
        <v>43</v>
      </c>
      <c r="H525" t="s">
        <v>44</v>
      </c>
      <c r="I525">
        <v>1</v>
      </c>
      <c r="J525">
        <v>15000</v>
      </c>
      <c r="K525">
        <v>9500</v>
      </c>
      <c r="L525" t="s">
        <v>30</v>
      </c>
      <c r="M525" t="s">
        <v>22</v>
      </c>
      <c r="N525" t="s">
        <v>23</v>
      </c>
      <c r="O525" t="s">
        <v>91</v>
      </c>
      <c r="P525">
        <f>Tableau1_2[[#This Row],[Quantité]]*Tableau1_2[[#This Row],[Prix_Unitaire]]</f>
        <v>15000</v>
      </c>
      <c r="Q525">
        <f>Tableau1_2[[#This Row],[Quantité]]*Tableau1_2[[#This Row],[Coût_Unitaire]]</f>
        <v>9500</v>
      </c>
      <c r="R525">
        <f>Tableau1_2[[#This Row],[CA]]-Tableau1_2[[#This Row],[Cout Total]]</f>
        <v>5500</v>
      </c>
      <c r="S525" s="4">
        <f>Tableau1_2[[#This Row],[Marge]]/Tableau1_2[[#This Row],[CA]]</f>
        <v>0.36666666666666664</v>
      </c>
      <c r="T525" t="str">
        <f>TEXT(Tableau1_2[[#This Row],[Date]],"mmmm")</f>
        <v>septembre</v>
      </c>
    </row>
    <row r="526" spans="1:20" x14ac:dyDescent="0.35">
      <c r="A526" t="s">
        <v>1254</v>
      </c>
      <c r="B526" s="2">
        <v>46086</v>
      </c>
      <c r="C526" t="s">
        <v>1255</v>
      </c>
      <c r="D526" t="s">
        <v>1256</v>
      </c>
      <c r="E526" t="s">
        <v>56</v>
      </c>
      <c r="F526" t="s">
        <v>57</v>
      </c>
      <c r="G526" t="s">
        <v>34</v>
      </c>
      <c r="H526" t="s">
        <v>95</v>
      </c>
      <c r="I526">
        <v>4</v>
      </c>
      <c r="J526">
        <v>472500</v>
      </c>
      <c r="K526">
        <v>358900</v>
      </c>
      <c r="L526" t="s">
        <v>21</v>
      </c>
      <c r="M526" t="s">
        <v>37</v>
      </c>
      <c r="N526" t="s">
        <v>23</v>
      </c>
      <c r="O526" t="s">
        <v>91</v>
      </c>
      <c r="P526">
        <f>Tableau1_2[[#This Row],[Quantité]]*Tableau1_2[[#This Row],[Prix_Unitaire]]</f>
        <v>1890000</v>
      </c>
      <c r="Q526">
        <f>Tableau1_2[[#This Row],[Quantité]]*Tableau1_2[[#This Row],[Coût_Unitaire]]</f>
        <v>1435600</v>
      </c>
      <c r="R526">
        <f>Tableau1_2[[#This Row],[CA]]-Tableau1_2[[#This Row],[Cout Total]]</f>
        <v>454400</v>
      </c>
      <c r="S526" s="4">
        <f>Tableau1_2[[#This Row],[Marge]]/Tableau1_2[[#This Row],[CA]]</f>
        <v>0.24042328042328043</v>
      </c>
      <c r="T526" t="str">
        <f>TEXT(Tableau1_2[[#This Row],[Date]],"mmmm")</f>
        <v>mars</v>
      </c>
    </row>
    <row r="527" spans="1:20" x14ac:dyDescent="0.35">
      <c r="A527" t="s">
        <v>1257</v>
      </c>
      <c r="B527" s="2">
        <v>46375</v>
      </c>
      <c r="C527" t="s">
        <v>1005</v>
      </c>
      <c r="D527" t="s">
        <v>1258</v>
      </c>
      <c r="E527" t="s">
        <v>18</v>
      </c>
      <c r="F527" t="s">
        <v>18</v>
      </c>
      <c r="G527" t="s">
        <v>34</v>
      </c>
      <c r="H527" t="s">
        <v>86</v>
      </c>
      <c r="I527">
        <v>2</v>
      </c>
      <c r="J527">
        <v>180000</v>
      </c>
      <c r="K527">
        <v>131000</v>
      </c>
      <c r="L527" t="s">
        <v>66</v>
      </c>
      <c r="M527" t="s">
        <v>31</v>
      </c>
      <c r="N527" t="s">
        <v>23</v>
      </c>
      <c r="O527" t="s">
        <v>24</v>
      </c>
      <c r="P527">
        <f>Tableau1_2[[#This Row],[Quantité]]*Tableau1_2[[#This Row],[Prix_Unitaire]]</f>
        <v>360000</v>
      </c>
      <c r="Q527">
        <f>Tableau1_2[[#This Row],[Quantité]]*Tableau1_2[[#This Row],[Coût_Unitaire]]</f>
        <v>262000</v>
      </c>
      <c r="R527">
        <f>Tableau1_2[[#This Row],[CA]]-Tableau1_2[[#This Row],[Cout Total]]</f>
        <v>98000</v>
      </c>
      <c r="S527" s="4">
        <f>Tableau1_2[[#This Row],[Marge]]/Tableau1_2[[#This Row],[CA]]</f>
        <v>0.2722222222222222</v>
      </c>
      <c r="T527" t="str">
        <f>TEXT(Tableau1_2[[#This Row],[Date]],"mmmm")</f>
        <v>décembre</v>
      </c>
    </row>
    <row r="528" spans="1:20" x14ac:dyDescent="0.35">
      <c r="A528" t="s">
        <v>1259</v>
      </c>
      <c r="B528" s="2">
        <v>46297</v>
      </c>
      <c r="C528" t="s">
        <v>261</v>
      </c>
      <c r="D528" t="s">
        <v>425</v>
      </c>
      <c r="E528" t="s">
        <v>56</v>
      </c>
      <c r="F528" t="s">
        <v>57</v>
      </c>
      <c r="G528" t="s">
        <v>43</v>
      </c>
      <c r="H528" t="s">
        <v>177</v>
      </c>
      <c r="I528">
        <v>7</v>
      </c>
      <c r="J528">
        <v>18000</v>
      </c>
      <c r="K528">
        <v>12500</v>
      </c>
      <c r="L528" t="s">
        <v>73</v>
      </c>
      <c r="M528" t="s">
        <v>37</v>
      </c>
      <c r="N528" t="s">
        <v>23</v>
      </c>
      <c r="O528" t="s">
        <v>45</v>
      </c>
      <c r="P528">
        <f>Tableau1_2[[#This Row],[Quantité]]*Tableau1_2[[#This Row],[Prix_Unitaire]]</f>
        <v>126000</v>
      </c>
      <c r="Q528">
        <f>Tableau1_2[[#This Row],[Quantité]]*Tableau1_2[[#This Row],[Coût_Unitaire]]</f>
        <v>87500</v>
      </c>
      <c r="R528">
        <f>Tableau1_2[[#This Row],[CA]]-Tableau1_2[[#This Row],[Cout Total]]</f>
        <v>38500</v>
      </c>
      <c r="S528" s="4">
        <f>Tableau1_2[[#This Row],[Marge]]/Tableau1_2[[#This Row],[CA]]</f>
        <v>0.30555555555555558</v>
      </c>
      <c r="T528" t="str">
        <f>TEXT(Tableau1_2[[#This Row],[Date]],"mmmm")</f>
        <v>octobre</v>
      </c>
    </row>
    <row r="529" spans="1:20" x14ac:dyDescent="0.35">
      <c r="A529" t="s">
        <v>1260</v>
      </c>
      <c r="B529" s="2">
        <v>46062</v>
      </c>
      <c r="C529" t="s">
        <v>1160</v>
      </c>
      <c r="D529" t="s">
        <v>438</v>
      </c>
      <c r="E529" t="s">
        <v>77</v>
      </c>
      <c r="F529" t="s">
        <v>78</v>
      </c>
      <c r="G529" t="s">
        <v>19</v>
      </c>
      <c r="H529" t="s">
        <v>112</v>
      </c>
      <c r="I529">
        <v>3</v>
      </c>
      <c r="J529">
        <v>89200</v>
      </c>
      <c r="K529">
        <v>63900</v>
      </c>
      <c r="L529" t="s">
        <v>30</v>
      </c>
      <c r="M529" t="s">
        <v>37</v>
      </c>
      <c r="N529" t="s">
        <v>23</v>
      </c>
      <c r="O529" t="s">
        <v>24</v>
      </c>
      <c r="P529">
        <f>Tableau1_2[[#This Row],[Quantité]]*Tableau1_2[[#This Row],[Prix_Unitaire]]</f>
        <v>267600</v>
      </c>
      <c r="Q529">
        <f>Tableau1_2[[#This Row],[Quantité]]*Tableau1_2[[#This Row],[Coût_Unitaire]]</f>
        <v>191700</v>
      </c>
      <c r="R529">
        <f>Tableau1_2[[#This Row],[CA]]-Tableau1_2[[#This Row],[Cout Total]]</f>
        <v>75900</v>
      </c>
      <c r="S529" s="4">
        <f>Tableau1_2[[#This Row],[Marge]]/Tableau1_2[[#This Row],[CA]]</f>
        <v>0.28363228699551568</v>
      </c>
      <c r="T529" t="str">
        <f>TEXT(Tableau1_2[[#This Row],[Date]],"mmmm")</f>
        <v>février</v>
      </c>
    </row>
    <row r="530" spans="1:20" x14ac:dyDescent="0.35">
      <c r="A530" t="s">
        <v>1261</v>
      </c>
      <c r="B530" s="2">
        <v>46326</v>
      </c>
      <c r="C530" t="s">
        <v>1226</v>
      </c>
      <c r="D530" t="s">
        <v>1262</v>
      </c>
      <c r="E530" t="s">
        <v>41</v>
      </c>
      <c r="F530" t="s">
        <v>42</v>
      </c>
      <c r="G530" t="s">
        <v>34</v>
      </c>
      <c r="H530" t="s">
        <v>158</v>
      </c>
      <c r="I530">
        <v>3</v>
      </c>
      <c r="J530">
        <v>99800</v>
      </c>
      <c r="K530">
        <v>67900</v>
      </c>
      <c r="L530" t="s">
        <v>96</v>
      </c>
      <c r="M530" t="s">
        <v>22</v>
      </c>
      <c r="N530" t="s">
        <v>23</v>
      </c>
      <c r="O530" t="s">
        <v>91</v>
      </c>
      <c r="P530">
        <f>Tableau1_2[[#This Row],[Quantité]]*Tableau1_2[[#This Row],[Prix_Unitaire]]</f>
        <v>299400</v>
      </c>
      <c r="Q530">
        <f>Tableau1_2[[#This Row],[Quantité]]*Tableau1_2[[#This Row],[Coût_Unitaire]]</f>
        <v>203700</v>
      </c>
      <c r="R530">
        <f>Tableau1_2[[#This Row],[CA]]-Tableau1_2[[#This Row],[Cout Total]]</f>
        <v>95700</v>
      </c>
      <c r="S530" s="4">
        <f>Tableau1_2[[#This Row],[Marge]]/Tableau1_2[[#This Row],[CA]]</f>
        <v>0.31963927855711421</v>
      </c>
      <c r="T530" t="str">
        <f>TEXT(Tableau1_2[[#This Row],[Date]],"mmmm")</f>
        <v>octobre</v>
      </c>
    </row>
    <row r="531" spans="1:20" x14ac:dyDescent="0.35">
      <c r="A531" t="s">
        <v>1263</v>
      </c>
      <c r="B531" s="2">
        <v>46198</v>
      </c>
      <c r="C531" t="s">
        <v>319</v>
      </c>
      <c r="D531" t="s">
        <v>1264</v>
      </c>
      <c r="E531" t="s">
        <v>41</v>
      </c>
      <c r="F531" t="s">
        <v>42</v>
      </c>
      <c r="G531" t="s">
        <v>28</v>
      </c>
      <c r="H531" t="s">
        <v>29</v>
      </c>
      <c r="I531">
        <v>9</v>
      </c>
      <c r="J531">
        <v>6600</v>
      </c>
      <c r="K531">
        <v>4000</v>
      </c>
      <c r="L531" t="s">
        <v>21</v>
      </c>
      <c r="M531" t="s">
        <v>51</v>
      </c>
      <c r="N531" t="s">
        <v>23</v>
      </c>
      <c r="O531" t="s">
        <v>24</v>
      </c>
      <c r="P531">
        <f>Tableau1_2[[#This Row],[Quantité]]*Tableau1_2[[#This Row],[Prix_Unitaire]]</f>
        <v>59400</v>
      </c>
      <c r="Q531">
        <f>Tableau1_2[[#This Row],[Quantité]]*Tableau1_2[[#This Row],[Coût_Unitaire]]</f>
        <v>36000</v>
      </c>
      <c r="R531">
        <f>Tableau1_2[[#This Row],[CA]]-Tableau1_2[[#This Row],[Cout Total]]</f>
        <v>23400</v>
      </c>
      <c r="S531" s="4">
        <f>Tableau1_2[[#This Row],[Marge]]/Tableau1_2[[#This Row],[CA]]</f>
        <v>0.39393939393939392</v>
      </c>
      <c r="T531" t="str">
        <f>TEXT(Tableau1_2[[#This Row],[Date]],"mmmm")</f>
        <v>juin</v>
      </c>
    </row>
    <row r="532" spans="1:20" x14ac:dyDescent="0.35">
      <c r="A532" t="s">
        <v>1265</v>
      </c>
      <c r="B532" s="2">
        <v>46031</v>
      </c>
      <c r="C532" t="s">
        <v>1266</v>
      </c>
      <c r="D532" t="s">
        <v>1267</v>
      </c>
      <c r="E532" t="s">
        <v>190</v>
      </c>
      <c r="F532" t="s">
        <v>191</v>
      </c>
      <c r="G532" t="s">
        <v>34</v>
      </c>
      <c r="H532" t="s">
        <v>141</v>
      </c>
      <c r="I532">
        <v>5</v>
      </c>
      <c r="J532">
        <v>168000</v>
      </c>
      <c r="K532">
        <v>116400</v>
      </c>
      <c r="L532" t="s">
        <v>66</v>
      </c>
      <c r="M532" t="s">
        <v>51</v>
      </c>
      <c r="N532" t="s">
        <v>52</v>
      </c>
      <c r="O532" t="s">
        <v>45</v>
      </c>
      <c r="P532">
        <f>Tableau1_2[[#This Row],[Quantité]]*Tableau1_2[[#This Row],[Prix_Unitaire]]</f>
        <v>840000</v>
      </c>
      <c r="Q532">
        <f>Tableau1_2[[#This Row],[Quantité]]*Tableau1_2[[#This Row],[Coût_Unitaire]]</f>
        <v>582000</v>
      </c>
      <c r="R532">
        <f>Tableau1_2[[#This Row],[CA]]-Tableau1_2[[#This Row],[Cout Total]]</f>
        <v>258000</v>
      </c>
      <c r="S532" s="4">
        <f>Tableau1_2[[#This Row],[Marge]]/Tableau1_2[[#This Row],[CA]]</f>
        <v>0.30714285714285716</v>
      </c>
      <c r="T532" t="str">
        <f>TEXT(Tableau1_2[[#This Row],[Date]],"mmmm")</f>
        <v>janvier</v>
      </c>
    </row>
    <row r="533" spans="1:20" x14ac:dyDescent="0.35">
      <c r="A533" t="s">
        <v>1268</v>
      </c>
      <c r="B533" s="2">
        <v>46161</v>
      </c>
      <c r="C533" t="s">
        <v>1020</v>
      </c>
      <c r="D533" t="s">
        <v>662</v>
      </c>
      <c r="E533" t="s">
        <v>70</v>
      </c>
      <c r="F533" t="s">
        <v>18</v>
      </c>
      <c r="G533" t="s">
        <v>28</v>
      </c>
      <c r="H533" t="s">
        <v>248</v>
      </c>
      <c r="I533">
        <v>9</v>
      </c>
      <c r="J533">
        <v>26200</v>
      </c>
      <c r="K533">
        <v>16000</v>
      </c>
      <c r="L533" t="s">
        <v>30</v>
      </c>
      <c r="M533" t="s">
        <v>22</v>
      </c>
      <c r="N533" t="s">
        <v>87</v>
      </c>
      <c r="O533" t="s">
        <v>24</v>
      </c>
      <c r="P533">
        <f>Tableau1_2[[#This Row],[Quantité]]*Tableau1_2[[#This Row],[Prix_Unitaire]]</f>
        <v>235800</v>
      </c>
      <c r="Q533">
        <f>Tableau1_2[[#This Row],[Quantité]]*Tableau1_2[[#This Row],[Coût_Unitaire]]</f>
        <v>144000</v>
      </c>
      <c r="R533">
        <f>Tableau1_2[[#This Row],[CA]]-Tableau1_2[[#This Row],[Cout Total]]</f>
        <v>91800</v>
      </c>
      <c r="S533" s="4">
        <f>Tableau1_2[[#This Row],[Marge]]/Tableau1_2[[#This Row],[CA]]</f>
        <v>0.38931297709923662</v>
      </c>
      <c r="T533" t="str">
        <f>TEXT(Tableau1_2[[#This Row],[Date]],"mmmm")</f>
        <v>mai</v>
      </c>
    </row>
    <row r="534" spans="1:20" x14ac:dyDescent="0.35">
      <c r="A534" t="s">
        <v>1269</v>
      </c>
      <c r="B534" s="2">
        <v>46242</v>
      </c>
      <c r="C534" t="s">
        <v>350</v>
      </c>
      <c r="D534" t="s">
        <v>922</v>
      </c>
      <c r="E534" t="s">
        <v>56</v>
      </c>
      <c r="F534" t="s">
        <v>57</v>
      </c>
      <c r="G534" t="s">
        <v>43</v>
      </c>
      <c r="H534" t="s">
        <v>79</v>
      </c>
      <c r="I534">
        <v>8</v>
      </c>
      <c r="J534">
        <v>5700</v>
      </c>
      <c r="K534">
        <v>4200</v>
      </c>
      <c r="L534" t="s">
        <v>66</v>
      </c>
      <c r="M534" t="s">
        <v>31</v>
      </c>
      <c r="N534" t="s">
        <v>23</v>
      </c>
      <c r="O534" t="s">
        <v>24</v>
      </c>
      <c r="P534">
        <f>Tableau1_2[[#This Row],[Quantité]]*Tableau1_2[[#This Row],[Prix_Unitaire]]</f>
        <v>45600</v>
      </c>
      <c r="Q534">
        <f>Tableau1_2[[#This Row],[Quantité]]*Tableau1_2[[#This Row],[Coût_Unitaire]]</f>
        <v>33600</v>
      </c>
      <c r="R534">
        <f>Tableau1_2[[#This Row],[CA]]-Tableau1_2[[#This Row],[Cout Total]]</f>
        <v>12000</v>
      </c>
      <c r="S534" s="4">
        <f>Tableau1_2[[#This Row],[Marge]]/Tableau1_2[[#This Row],[CA]]</f>
        <v>0.26315789473684209</v>
      </c>
      <c r="T534" t="str">
        <f>TEXT(Tableau1_2[[#This Row],[Date]],"mmmm")</f>
        <v>août</v>
      </c>
    </row>
    <row r="535" spans="1:20" x14ac:dyDescent="0.35">
      <c r="A535" t="s">
        <v>1270</v>
      </c>
      <c r="B535" s="2">
        <v>46150</v>
      </c>
      <c r="C535" t="s">
        <v>916</v>
      </c>
      <c r="D535" t="s">
        <v>898</v>
      </c>
      <c r="E535" t="s">
        <v>56</v>
      </c>
      <c r="F535" t="s">
        <v>57</v>
      </c>
      <c r="G535" t="s">
        <v>19</v>
      </c>
      <c r="H535" t="s">
        <v>20</v>
      </c>
      <c r="I535">
        <v>8</v>
      </c>
      <c r="J535">
        <v>68200</v>
      </c>
      <c r="K535">
        <v>46400</v>
      </c>
      <c r="L535" t="s">
        <v>30</v>
      </c>
      <c r="M535" t="s">
        <v>51</v>
      </c>
      <c r="N535" t="s">
        <v>87</v>
      </c>
      <c r="O535" t="s">
        <v>24</v>
      </c>
      <c r="P535">
        <f>Tableau1_2[[#This Row],[Quantité]]*Tableau1_2[[#This Row],[Prix_Unitaire]]</f>
        <v>545600</v>
      </c>
      <c r="Q535">
        <f>Tableau1_2[[#This Row],[Quantité]]*Tableau1_2[[#This Row],[Coût_Unitaire]]</f>
        <v>371200</v>
      </c>
      <c r="R535">
        <f>Tableau1_2[[#This Row],[CA]]-Tableau1_2[[#This Row],[Cout Total]]</f>
        <v>174400</v>
      </c>
      <c r="S535" s="4">
        <f>Tableau1_2[[#This Row],[Marge]]/Tableau1_2[[#This Row],[CA]]</f>
        <v>0.31964809384164222</v>
      </c>
      <c r="T535" t="str">
        <f>TEXT(Tableau1_2[[#This Row],[Date]],"mmmm")</f>
        <v>mai</v>
      </c>
    </row>
    <row r="536" spans="1:20" x14ac:dyDescent="0.35">
      <c r="A536" t="s">
        <v>1271</v>
      </c>
      <c r="B536" s="2">
        <v>46279</v>
      </c>
      <c r="C536" t="s">
        <v>358</v>
      </c>
      <c r="D536" t="s">
        <v>1272</v>
      </c>
      <c r="E536" t="s">
        <v>18</v>
      </c>
      <c r="F536" t="s">
        <v>18</v>
      </c>
      <c r="G536" t="s">
        <v>34</v>
      </c>
      <c r="H536" t="s">
        <v>141</v>
      </c>
      <c r="I536">
        <v>3</v>
      </c>
      <c r="J536">
        <v>160000</v>
      </c>
      <c r="K536">
        <v>123600</v>
      </c>
      <c r="L536" t="s">
        <v>96</v>
      </c>
      <c r="M536" t="s">
        <v>22</v>
      </c>
      <c r="N536" t="s">
        <v>23</v>
      </c>
      <c r="O536" t="s">
        <v>91</v>
      </c>
      <c r="P536">
        <f>Tableau1_2[[#This Row],[Quantité]]*Tableau1_2[[#This Row],[Prix_Unitaire]]</f>
        <v>480000</v>
      </c>
      <c r="Q536">
        <f>Tableau1_2[[#This Row],[Quantité]]*Tableau1_2[[#This Row],[Coût_Unitaire]]</f>
        <v>370800</v>
      </c>
      <c r="R536">
        <f>Tableau1_2[[#This Row],[CA]]-Tableau1_2[[#This Row],[Cout Total]]</f>
        <v>109200</v>
      </c>
      <c r="S536" s="4">
        <f>Tableau1_2[[#This Row],[Marge]]/Tableau1_2[[#This Row],[CA]]</f>
        <v>0.22750000000000001</v>
      </c>
      <c r="T536" t="str">
        <f>TEXT(Tableau1_2[[#This Row],[Date]],"mmmm")</f>
        <v>septembre</v>
      </c>
    </row>
    <row r="537" spans="1:20" x14ac:dyDescent="0.35">
      <c r="A537" t="s">
        <v>1273</v>
      </c>
      <c r="B537" s="2">
        <v>46219</v>
      </c>
      <c r="C537" t="s">
        <v>638</v>
      </c>
      <c r="D537" t="s">
        <v>909</v>
      </c>
      <c r="E537" t="s">
        <v>18</v>
      </c>
      <c r="F537" t="s">
        <v>18</v>
      </c>
      <c r="G537" t="s">
        <v>19</v>
      </c>
      <c r="H537" t="s">
        <v>61</v>
      </c>
      <c r="I537">
        <v>10</v>
      </c>
      <c r="J537">
        <v>220000</v>
      </c>
      <c r="K537">
        <v>164800</v>
      </c>
      <c r="L537" t="s">
        <v>80</v>
      </c>
      <c r="M537" t="s">
        <v>22</v>
      </c>
      <c r="N537" t="s">
        <v>23</v>
      </c>
      <c r="O537" t="s">
        <v>24</v>
      </c>
      <c r="P537">
        <f>Tableau1_2[[#This Row],[Quantité]]*Tableau1_2[[#This Row],[Prix_Unitaire]]</f>
        <v>2200000</v>
      </c>
      <c r="Q537">
        <f>Tableau1_2[[#This Row],[Quantité]]*Tableau1_2[[#This Row],[Coût_Unitaire]]</f>
        <v>1648000</v>
      </c>
      <c r="R537">
        <f>Tableau1_2[[#This Row],[CA]]-Tableau1_2[[#This Row],[Cout Total]]</f>
        <v>552000</v>
      </c>
      <c r="S537" s="4">
        <f>Tableau1_2[[#This Row],[Marge]]/Tableau1_2[[#This Row],[CA]]</f>
        <v>0.25090909090909091</v>
      </c>
      <c r="T537" t="str">
        <f>TEXT(Tableau1_2[[#This Row],[Date]],"mmmm")</f>
        <v>juillet</v>
      </c>
    </row>
    <row r="538" spans="1:20" x14ac:dyDescent="0.35">
      <c r="A538" t="s">
        <v>1274</v>
      </c>
      <c r="B538" s="2">
        <v>46211</v>
      </c>
      <c r="C538" t="s">
        <v>393</v>
      </c>
      <c r="D538" t="s">
        <v>111</v>
      </c>
      <c r="E538" t="s">
        <v>77</v>
      </c>
      <c r="F538" t="s">
        <v>78</v>
      </c>
      <c r="G538" t="s">
        <v>34</v>
      </c>
      <c r="H538" t="s">
        <v>95</v>
      </c>
      <c r="I538">
        <v>1</v>
      </c>
      <c r="J538">
        <v>427500</v>
      </c>
      <c r="K538">
        <v>370000</v>
      </c>
      <c r="L538" t="s">
        <v>80</v>
      </c>
      <c r="M538" t="s">
        <v>37</v>
      </c>
      <c r="N538" t="s">
        <v>87</v>
      </c>
      <c r="O538" t="s">
        <v>45</v>
      </c>
      <c r="P538">
        <f>Tableau1_2[[#This Row],[Quantité]]*Tableau1_2[[#This Row],[Prix_Unitaire]]</f>
        <v>427500</v>
      </c>
      <c r="Q538">
        <f>Tableau1_2[[#This Row],[Quantité]]*Tableau1_2[[#This Row],[Coût_Unitaire]]</f>
        <v>370000</v>
      </c>
      <c r="R538">
        <f>Tableau1_2[[#This Row],[CA]]-Tableau1_2[[#This Row],[Cout Total]]</f>
        <v>57500</v>
      </c>
      <c r="S538" s="4">
        <f>Tableau1_2[[#This Row],[Marge]]/Tableau1_2[[#This Row],[CA]]</f>
        <v>0.13450292397660818</v>
      </c>
      <c r="T538" t="str">
        <f>TEXT(Tableau1_2[[#This Row],[Date]],"mmmm")</f>
        <v>juillet</v>
      </c>
    </row>
    <row r="539" spans="1:20" x14ac:dyDescent="0.35">
      <c r="A539" t="s">
        <v>1275</v>
      </c>
      <c r="B539" s="2">
        <v>46342</v>
      </c>
      <c r="C539" t="s">
        <v>1112</v>
      </c>
      <c r="D539" t="s">
        <v>1276</v>
      </c>
      <c r="E539" t="s">
        <v>18</v>
      </c>
      <c r="F539" t="s">
        <v>18</v>
      </c>
      <c r="G539" t="s">
        <v>34</v>
      </c>
      <c r="H539" t="s">
        <v>141</v>
      </c>
      <c r="I539">
        <v>4</v>
      </c>
      <c r="J539">
        <v>160000</v>
      </c>
      <c r="K539">
        <v>120000</v>
      </c>
      <c r="L539" t="s">
        <v>30</v>
      </c>
      <c r="M539" t="s">
        <v>37</v>
      </c>
      <c r="N539" t="s">
        <v>52</v>
      </c>
      <c r="O539" t="s">
        <v>24</v>
      </c>
      <c r="P539">
        <f>Tableau1_2[[#This Row],[Quantité]]*Tableau1_2[[#This Row],[Prix_Unitaire]]</f>
        <v>640000</v>
      </c>
      <c r="Q539">
        <f>Tableau1_2[[#This Row],[Quantité]]*Tableau1_2[[#This Row],[Coût_Unitaire]]</f>
        <v>480000</v>
      </c>
      <c r="R539">
        <f>Tableau1_2[[#This Row],[CA]]-Tableau1_2[[#This Row],[Cout Total]]</f>
        <v>160000</v>
      </c>
      <c r="S539" s="4">
        <f>Tableau1_2[[#This Row],[Marge]]/Tableau1_2[[#This Row],[CA]]</f>
        <v>0.25</v>
      </c>
      <c r="T539" t="str">
        <f>TEXT(Tableau1_2[[#This Row],[Date]],"mmmm")</f>
        <v>novembre</v>
      </c>
    </row>
    <row r="540" spans="1:20" x14ac:dyDescent="0.35">
      <c r="A540" t="s">
        <v>1277</v>
      </c>
      <c r="B540" s="2">
        <v>46135</v>
      </c>
      <c r="C540" t="s">
        <v>1278</v>
      </c>
      <c r="D540" t="s">
        <v>356</v>
      </c>
      <c r="E540" t="s">
        <v>77</v>
      </c>
      <c r="F540" t="s">
        <v>78</v>
      </c>
      <c r="G540" t="s">
        <v>43</v>
      </c>
      <c r="H540" t="s">
        <v>162</v>
      </c>
      <c r="I540">
        <v>9</v>
      </c>
      <c r="J540">
        <v>8000</v>
      </c>
      <c r="K540">
        <v>4800</v>
      </c>
      <c r="L540" t="s">
        <v>73</v>
      </c>
      <c r="M540" t="s">
        <v>51</v>
      </c>
      <c r="N540" t="s">
        <v>52</v>
      </c>
      <c r="O540" t="s">
        <v>24</v>
      </c>
      <c r="P540">
        <f>Tableau1_2[[#This Row],[Quantité]]*Tableau1_2[[#This Row],[Prix_Unitaire]]</f>
        <v>72000</v>
      </c>
      <c r="Q540">
        <f>Tableau1_2[[#This Row],[Quantité]]*Tableau1_2[[#This Row],[Coût_Unitaire]]</f>
        <v>43200</v>
      </c>
      <c r="R540">
        <f>Tableau1_2[[#This Row],[CA]]-Tableau1_2[[#This Row],[Cout Total]]</f>
        <v>28800</v>
      </c>
      <c r="S540" s="4">
        <f>Tableau1_2[[#This Row],[Marge]]/Tableau1_2[[#This Row],[CA]]</f>
        <v>0.4</v>
      </c>
      <c r="T540" t="str">
        <f>TEXT(Tableau1_2[[#This Row],[Date]],"mmmm")</f>
        <v>avril</v>
      </c>
    </row>
    <row r="541" spans="1:20" x14ac:dyDescent="0.35">
      <c r="A541" t="s">
        <v>1279</v>
      </c>
      <c r="B541" s="2">
        <v>46226</v>
      </c>
      <c r="C541" t="s">
        <v>1185</v>
      </c>
      <c r="D541" t="s">
        <v>440</v>
      </c>
      <c r="E541" t="s">
        <v>156</v>
      </c>
      <c r="F541" t="s">
        <v>157</v>
      </c>
      <c r="G541" t="s">
        <v>28</v>
      </c>
      <c r="H541" t="s">
        <v>131</v>
      </c>
      <c r="I541">
        <v>4</v>
      </c>
      <c r="J541">
        <v>28500</v>
      </c>
      <c r="K541">
        <v>18400</v>
      </c>
      <c r="L541" t="s">
        <v>96</v>
      </c>
      <c r="M541" t="s">
        <v>37</v>
      </c>
      <c r="N541" t="s">
        <v>87</v>
      </c>
      <c r="O541" t="s">
        <v>91</v>
      </c>
      <c r="P541">
        <f>Tableau1_2[[#This Row],[Quantité]]*Tableau1_2[[#This Row],[Prix_Unitaire]]</f>
        <v>114000</v>
      </c>
      <c r="Q541">
        <f>Tableau1_2[[#This Row],[Quantité]]*Tableau1_2[[#This Row],[Coût_Unitaire]]</f>
        <v>73600</v>
      </c>
      <c r="R541">
        <f>Tableau1_2[[#This Row],[CA]]-Tableau1_2[[#This Row],[Cout Total]]</f>
        <v>40400</v>
      </c>
      <c r="S541" s="4">
        <f>Tableau1_2[[#This Row],[Marge]]/Tableau1_2[[#This Row],[CA]]</f>
        <v>0.35438596491228069</v>
      </c>
      <c r="T541" t="str">
        <f>TEXT(Tableau1_2[[#This Row],[Date]],"mmmm")</f>
        <v>juillet</v>
      </c>
    </row>
    <row r="542" spans="1:20" x14ac:dyDescent="0.35">
      <c r="A542" t="s">
        <v>1280</v>
      </c>
      <c r="B542" s="2">
        <v>46178</v>
      </c>
      <c r="C542" t="s">
        <v>649</v>
      </c>
      <c r="D542" t="s">
        <v>482</v>
      </c>
      <c r="E542" t="s">
        <v>190</v>
      </c>
      <c r="F542" t="s">
        <v>191</v>
      </c>
      <c r="G542" t="s">
        <v>34</v>
      </c>
      <c r="H542" t="s">
        <v>86</v>
      </c>
      <c r="I542">
        <v>5</v>
      </c>
      <c r="J542">
        <v>189000</v>
      </c>
      <c r="K542">
        <v>131000</v>
      </c>
      <c r="L542" t="s">
        <v>66</v>
      </c>
      <c r="M542" t="s">
        <v>51</v>
      </c>
      <c r="N542" t="s">
        <v>52</v>
      </c>
      <c r="O542" t="s">
        <v>91</v>
      </c>
      <c r="P542">
        <f>Tableau1_2[[#This Row],[Quantité]]*Tableau1_2[[#This Row],[Prix_Unitaire]]</f>
        <v>945000</v>
      </c>
      <c r="Q542">
        <f>Tableau1_2[[#This Row],[Quantité]]*Tableau1_2[[#This Row],[Coût_Unitaire]]</f>
        <v>655000</v>
      </c>
      <c r="R542">
        <f>Tableau1_2[[#This Row],[CA]]-Tableau1_2[[#This Row],[Cout Total]]</f>
        <v>290000</v>
      </c>
      <c r="S542" s="4">
        <f>Tableau1_2[[#This Row],[Marge]]/Tableau1_2[[#This Row],[CA]]</f>
        <v>0.30687830687830686</v>
      </c>
      <c r="T542" t="str">
        <f>TEXT(Tableau1_2[[#This Row],[Date]],"mmmm")</f>
        <v>juin</v>
      </c>
    </row>
    <row r="543" spans="1:20" x14ac:dyDescent="0.35">
      <c r="A543" t="s">
        <v>1281</v>
      </c>
      <c r="B543" s="2">
        <v>46106</v>
      </c>
      <c r="C543" t="s">
        <v>449</v>
      </c>
      <c r="D543" t="s">
        <v>327</v>
      </c>
      <c r="E543" t="s">
        <v>18</v>
      </c>
      <c r="F543" t="s">
        <v>18</v>
      </c>
      <c r="G543" t="s">
        <v>34</v>
      </c>
      <c r="H543" t="s">
        <v>86</v>
      </c>
      <c r="I543">
        <v>4</v>
      </c>
      <c r="J543">
        <v>171000</v>
      </c>
      <c r="K543">
        <v>131000</v>
      </c>
      <c r="L543" t="s">
        <v>66</v>
      </c>
      <c r="M543" t="s">
        <v>22</v>
      </c>
      <c r="N543" t="s">
        <v>87</v>
      </c>
      <c r="O543" t="s">
        <v>24</v>
      </c>
      <c r="P543">
        <f>Tableau1_2[[#This Row],[Quantité]]*Tableau1_2[[#This Row],[Prix_Unitaire]]</f>
        <v>684000</v>
      </c>
      <c r="Q543">
        <f>Tableau1_2[[#This Row],[Quantité]]*Tableau1_2[[#This Row],[Coût_Unitaire]]</f>
        <v>524000</v>
      </c>
      <c r="R543">
        <f>Tableau1_2[[#This Row],[CA]]-Tableau1_2[[#This Row],[Cout Total]]</f>
        <v>160000</v>
      </c>
      <c r="S543" s="4">
        <f>Tableau1_2[[#This Row],[Marge]]/Tableau1_2[[#This Row],[CA]]</f>
        <v>0.23391812865497075</v>
      </c>
      <c r="T543" t="str">
        <f>TEXT(Tableau1_2[[#This Row],[Date]],"mmmm")</f>
        <v>mars</v>
      </c>
    </row>
    <row r="544" spans="1:20" x14ac:dyDescent="0.35">
      <c r="A544" t="s">
        <v>1282</v>
      </c>
      <c r="B544" s="2">
        <v>46184</v>
      </c>
      <c r="C544" t="s">
        <v>1283</v>
      </c>
      <c r="D544" t="s">
        <v>546</v>
      </c>
      <c r="E544" t="s">
        <v>84</v>
      </c>
      <c r="F544" t="s">
        <v>85</v>
      </c>
      <c r="G544" t="s">
        <v>43</v>
      </c>
      <c r="H544" t="s">
        <v>177</v>
      </c>
      <c r="I544">
        <v>5</v>
      </c>
      <c r="J544">
        <v>18900</v>
      </c>
      <c r="K544">
        <v>12900</v>
      </c>
      <c r="L544" t="s">
        <v>21</v>
      </c>
      <c r="M544" t="s">
        <v>51</v>
      </c>
      <c r="N544" t="s">
        <v>52</v>
      </c>
      <c r="O544" t="s">
        <v>24</v>
      </c>
      <c r="P544">
        <f>Tableau1_2[[#This Row],[Quantité]]*Tableau1_2[[#This Row],[Prix_Unitaire]]</f>
        <v>94500</v>
      </c>
      <c r="Q544">
        <f>Tableau1_2[[#This Row],[Quantité]]*Tableau1_2[[#This Row],[Coût_Unitaire]]</f>
        <v>64500</v>
      </c>
      <c r="R544">
        <f>Tableau1_2[[#This Row],[CA]]-Tableau1_2[[#This Row],[Cout Total]]</f>
        <v>30000</v>
      </c>
      <c r="S544" s="4">
        <f>Tableau1_2[[#This Row],[Marge]]/Tableau1_2[[#This Row],[CA]]</f>
        <v>0.31746031746031744</v>
      </c>
      <c r="T544" t="str">
        <f>TEXT(Tableau1_2[[#This Row],[Date]],"mmmm")</f>
        <v>juin</v>
      </c>
    </row>
    <row r="545" spans="1:20" x14ac:dyDescent="0.35">
      <c r="A545" t="s">
        <v>1284</v>
      </c>
      <c r="B545" s="2">
        <v>46250</v>
      </c>
      <c r="C545" t="s">
        <v>1285</v>
      </c>
      <c r="D545" t="s">
        <v>540</v>
      </c>
      <c r="E545" t="s">
        <v>84</v>
      </c>
      <c r="F545" t="s">
        <v>85</v>
      </c>
      <c r="G545" t="s">
        <v>43</v>
      </c>
      <c r="H545" t="s">
        <v>49</v>
      </c>
      <c r="I545">
        <v>7</v>
      </c>
      <c r="J545">
        <v>8600</v>
      </c>
      <c r="K545">
        <v>5600</v>
      </c>
      <c r="L545" t="s">
        <v>96</v>
      </c>
      <c r="M545" t="s">
        <v>22</v>
      </c>
      <c r="N545" t="s">
        <v>52</v>
      </c>
      <c r="O545" t="s">
        <v>45</v>
      </c>
      <c r="P545">
        <f>Tableau1_2[[#This Row],[Quantité]]*Tableau1_2[[#This Row],[Prix_Unitaire]]</f>
        <v>60200</v>
      </c>
      <c r="Q545">
        <f>Tableau1_2[[#This Row],[Quantité]]*Tableau1_2[[#This Row],[Coût_Unitaire]]</f>
        <v>39200</v>
      </c>
      <c r="R545">
        <f>Tableau1_2[[#This Row],[CA]]-Tableau1_2[[#This Row],[Cout Total]]</f>
        <v>21000</v>
      </c>
      <c r="S545" s="4">
        <f>Tableau1_2[[#This Row],[Marge]]/Tableau1_2[[#This Row],[CA]]</f>
        <v>0.34883720930232559</v>
      </c>
      <c r="T545" t="str">
        <f>TEXT(Tableau1_2[[#This Row],[Date]],"mmmm")</f>
        <v>août</v>
      </c>
    </row>
    <row r="546" spans="1:20" x14ac:dyDescent="0.35">
      <c r="A546" t="s">
        <v>1286</v>
      </c>
      <c r="B546" s="2">
        <v>46378</v>
      </c>
      <c r="C546" t="s">
        <v>945</v>
      </c>
      <c r="D546" t="s">
        <v>1219</v>
      </c>
      <c r="E546" t="s">
        <v>56</v>
      </c>
      <c r="F546" t="s">
        <v>57</v>
      </c>
      <c r="G546" t="s">
        <v>19</v>
      </c>
      <c r="H546" t="s">
        <v>61</v>
      </c>
      <c r="I546">
        <v>6</v>
      </c>
      <c r="J546">
        <v>209000</v>
      </c>
      <c r="K546">
        <v>160000</v>
      </c>
      <c r="L546" t="s">
        <v>30</v>
      </c>
      <c r="M546" t="s">
        <v>51</v>
      </c>
      <c r="N546" t="s">
        <v>23</v>
      </c>
      <c r="O546" t="s">
        <v>24</v>
      </c>
      <c r="P546">
        <f>Tableau1_2[[#This Row],[Quantité]]*Tableau1_2[[#This Row],[Prix_Unitaire]]</f>
        <v>1254000</v>
      </c>
      <c r="Q546">
        <f>Tableau1_2[[#This Row],[Quantité]]*Tableau1_2[[#This Row],[Coût_Unitaire]]</f>
        <v>960000</v>
      </c>
      <c r="R546">
        <f>Tableau1_2[[#This Row],[CA]]-Tableau1_2[[#This Row],[Cout Total]]</f>
        <v>294000</v>
      </c>
      <c r="S546" s="4">
        <f>Tableau1_2[[#This Row],[Marge]]/Tableau1_2[[#This Row],[CA]]</f>
        <v>0.23444976076555024</v>
      </c>
      <c r="T546" t="str">
        <f>TEXT(Tableau1_2[[#This Row],[Date]],"mmmm")</f>
        <v>décembre</v>
      </c>
    </row>
    <row r="547" spans="1:20" x14ac:dyDescent="0.35">
      <c r="A547" t="s">
        <v>1287</v>
      </c>
      <c r="B547" s="2">
        <v>46327</v>
      </c>
      <c r="C547" t="s">
        <v>1042</v>
      </c>
      <c r="D547" t="s">
        <v>1288</v>
      </c>
      <c r="E547" t="s">
        <v>70</v>
      </c>
      <c r="F547" t="s">
        <v>71</v>
      </c>
      <c r="G547" t="s">
        <v>28</v>
      </c>
      <c r="H547" t="s">
        <v>248</v>
      </c>
      <c r="I547">
        <v>5</v>
      </c>
      <c r="J547">
        <v>25000</v>
      </c>
      <c r="K547">
        <v>16500</v>
      </c>
      <c r="L547" t="s">
        <v>21</v>
      </c>
      <c r="M547" t="s">
        <v>22</v>
      </c>
      <c r="N547" t="s">
        <v>87</v>
      </c>
      <c r="O547" t="s">
        <v>24</v>
      </c>
      <c r="P547">
        <f>Tableau1_2[[#This Row],[Quantité]]*Tableau1_2[[#This Row],[Prix_Unitaire]]</f>
        <v>125000</v>
      </c>
      <c r="Q547">
        <f>Tableau1_2[[#This Row],[Quantité]]*Tableau1_2[[#This Row],[Coût_Unitaire]]</f>
        <v>82500</v>
      </c>
      <c r="R547">
        <f>Tableau1_2[[#This Row],[CA]]-Tableau1_2[[#This Row],[Cout Total]]</f>
        <v>42500</v>
      </c>
      <c r="S547" s="4">
        <f>Tableau1_2[[#This Row],[Marge]]/Tableau1_2[[#This Row],[CA]]</f>
        <v>0.34</v>
      </c>
      <c r="T547" t="str">
        <f>TEXT(Tableau1_2[[#This Row],[Date]],"mmmm")</f>
        <v>novembre</v>
      </c>
    </row>
    <row r="548" spans="1:20" x14ac:dyDescent="0.35">
      <c r="A548" t="s">
        <v>1289</v>
      </c>
      <c r="B548" s="2">
        <v>46350</v>
      </c>
      <c r="C548" t="s">
        <v>387</v>
      </c>
      <c r="D548" t="s">
        <v>691</v>
      </c>
      <c r="E548" t="s">
        <v>41</v>
      </c>
      <c r="F548" t="s">
        <v>42</v>
      </c>
      <c r="G548" t="s">
        <v>28</v>
      </c>
      <c r="H548" t="s">
        <v>65</v>
      </c>
      <c r="I548">
        <v>8</v>
      </c>
      <c r="J548">
        <v>11400</v>
      </c>
      <c r="K548">
        <v>7300</v>
      </c>
      <c r="L548" t="s">
        <v>80</v>
      </c>
      <c r="M548" t="s">
        <v>51</v>
      </c>
      <c r="N548" t="s">
        <v>52</v>
      </c>
      <c r="O548" t="s">
        <v>24</v>
      </c>
      <c r="P548">
        <f>Tableau1_2[[#This Row],[Quantité]]*Tableau1_2[[#This Row],[Prix_Unitaire]]</f>
        <v>91200</v>
      </c>
      <c r="Q548">
        <f>Tableau1_2[[#This Row],[Quantité]]*Tableau1_2[[#This Row],[Coût_Unitaire]]</f>
        <v>58400</v>
      </c>
      <c r="R548">
        <f>Tableau1_2[[#This Row],[CA]]-Tableau1_2[[#This Row],[Cout Total]]</f>
        <v>32800</v>
      </c>
      <c r="S548" s="4">
        <f>Tableau1_2[[#This Row],[Marge]]/Tableau1_2[[#This Row],[CA]]</f>
        <v>0.35964912280701755</v>
      </c>
      <c r="T548" t="str">
        <f>TEXT(Tableau1_2[[#This Row],[Date]],"mmmm")</f>
        <v>novembre</v>
      </c>
    </row>
    <row r="549" spans="1:20" x14ac:dyDescent="0.35">
      <c r="A549" t="s">
        <v>1290</v>
      </c>
      <c r="B549" s="2">
        <v>46383</v>
      </c>
      <c r="C549" t="s">
        <v>786</v>
      </c>
      <c r="D549" t="s">
        <v>161</v>
      </c>
      <c r="E549" t="s">
        <v>77</v>
      </c>
      <c r="F549" t="s">
        <v>78</v>
      </c>
      <c r="G549" t="s">
        <v>43</v>
      </c>
      <c r="H549" t="s">
        <v>177</v>
      </c>
      <c r="I549">
        <v>5</v>
      </c>
      <c r="J549">
        <v>17100</v>
      </c>
      <c r="K549">
        <v>12100</v>
      </c>
      <c r="L549" t="s">
        <v>36</v>
      </c>
      <c r="M549" t="s">
        <v>37</v>
      </c>
      <c r="N549" t="s">
        <v>87</v>
      </c>
      <c r="O549" t="s">
        <v>91</v>
      </c>
      <c r="P549">
        <f>Tableau1_2[[#This Row],[Quantité]]*Tableau1_2[[#This Row],[Prix_Unitaire]]</f>
        <v>85500</v>
      </c>
      <c r="Q549">
        <f>Tableau1_2[[#This Row],[Quantité]]*Tableau1_2[[#This Row],[Coût_Unitaire]]</f>
        <v>60500</v>
      </c>
      <c r="R549">
        <f>Tableau1_2[[#This Row],[CA]]-Tableau1_2[[#This Row],[Cout Total]]</f>
        <v>25000</v>
      </c>
      <c r="S549" s="4">
        <f>Tableau1_2[[#This Row],[Marge]]/Tableau1_2[[#This Row],[CA]]</f>
        <v>0.29239766081871343</v>
      </c>
      <c r="T549" t="str">
        <f>TEXT(Tableau1_2[[#This Row],[Date]],"mmmm")</f>
        <v>décembre</v>
      </c>
    </row>
    <row r="550" spans="1:20" x14ac:dyDescent="0.35">
      <c r="A550" t="s">
        <v>1291</v>
      </c>
      <c r="B550" s="2">
        <v>46124</v>
      </c>
      <c r="C550" t="s">
        <v>449</v>
      </c>
      <c r="D550" t="s">
        <v>1292</v>
      </c>
      <c r="E550" t="s">
        <v>77</v>
      </c>
      <c r="F550" t="s">
        <v>78</v>
      </c>
      <c r="G550" t="s">
        <v>34</v>
      </c>
      <c r="H550" t="s">
        <v>35</v>
      </c>
      <c r="I550">
        <v>8</v>
      </c>
      <c r="J550">
        <v>55000</v>
      </c>
      <c r="K550">
        <v>39000</v>
      </c>
      <c r="L550" t="s">
        <v>30</v>
      </c>
      <c r="M550" t="s">
        <v>51</v>
      </c>
      <c r="N550" t="s">
        <v>52</v>
      </c>
      <c r="O550" t="s">
        <v>24</v>
      </c>
      <c r="P550">
        <f>Tableau1_2[[#This Row],[Quantité]]*Tableau1_2[[#This Row],[Prix_Unitaire]]</f>
        <v>440000</v>
      </c>
      <c r="Q550">
        <f>Tableau1_2[[#This Row],[Quantité]]*Tableau1_2[[#This Row],[Coût_Unitaire]]</f>
        <v>312000</v>
      </c>
      <c r="R550">
        <f>Tableau1_2[[#This Row],[CA]]-Tableau1_2[[#This Row],[Cout Total]]</f>
        <v>128000</v>
      </c>
      <c r="S550" s="4">
        <f>Tableau1_2[[#This Row],[Marge]]/Tableau1_2[[#This Row],[CA]]</f>
        <v>0.29090909090909089</v>
      </c>
      <c r="T550" t="str">
        <f>TEXT(Tableau1_2[[#This Row],[Date]],"mmmm")</f>
        <v>avril</v>
      </c>
    </row>
    <row r="551" spans="1:20" x14ac:dyDescent="0.35">
      <c r="A551" t="s">
        <v>1293</v>
      </c>
      <c r="B551" s="2">
        <v>46119</v>
      </c>
      <c r="C551" t="s">
        <v>1294</v>
      </c>
      <c r="D551" t="s">
        <v>1295</v>
      </c>
      <c r="E551" t="s">
        <v>70</v>
      </c>
      <c r="F551" t="s">
        <v>71</v>
      </c>
      <c r="G551" t="s">
        <v>43</v>
      </c>
      <c r="H551" t="s">
        <v>49</v>
      </c>
      <c r="I551">
        <v>10</v>
      </c>
      <c r="J551">
        <v>9400</v>
      </c>
      <c r="K551">
        <v>5600</v>
      </c>
      <c r="L551" t="s">
        <v>66</v>
      </c>
      <c r="M551" t="s">
        <v>51</v>
      </c>
      <c r="N551" t="s">
        <v>23</v>
      </c>
      <c r="O551" t="s">
        <v>24</v>
      </c>
      <c r="P551">
        <f>Tableau1_2[[#This Row],[Quantité]]*Tableau1_2[[#This Row],[Prix_Unitaire]]</f>
        <v>94000</v>
      </c>
      <c r="Q551">
        <f>Tableau1_2[[#This Row],[Quantité]]*Tableau1_2[[#This Row],[Coût_Unitaire]]</f>
        <v>56000</v>
      </c>
      <c r="R551">
        <f>Tableau1_2[[#This Row],[CA]]-Tableau1_2[[#This Row],[Cout Total]]</f>
        <v>38000</v>
      </c>
      <c r="S551" s="4">
        <f>Tableau1_2[[#This Row],[Marge]]/Tableau1_2[[#This Row],[CA]]</f>
        <v>0.40425531914893614</v>
      </c>
      <c r="T551" t="str">
        <f>TEXT(Tableau1_2[[#This Row],[Date]],"mmmm")</f>
        <v>avril</v>
      </c>
    </row>
    <row r="552" spans="1:20" x14ac:dyDescent="0.35">
      <c r="A552" t="s">
        <v>1296</v>
      </c>
      <c r="B552" s="2">
        <v>46382</v>
      </c>
      <c r="C552" t="s">
        <v>68</v>
      </c>
      <c r="D552" t="s">
        <v>1297</v>
      </c>
      <c r="E552" t="s">
        <v>18</v>
      </c>
      <c r="F552" t="s">
        <v>18</v>
      </c>
      <c r="G552" t="s">
        <v>43</v>
      </c>
      <c r="H552" t="s">
        <v>79</v>
      </c>
      <c r="I552">
        <v>5</v>
      </c>
      <c r="J552">
        <v>6300</v>
      </c>
      <c r="K552">
        <v>4100</v>
      </c>
      <c r="L552" t="s">
        <v>21</v>
      </c>
      <c r="M552" t="s">
        <v>31</v>
      </c>
      <c r="N552" t="s">
        <v>23</v>
      </c>
      <c r="O552" t="s">
        <v>91</v>
      </c>
      <c r="P552">
        <f>Tableau1_2[[#This Row],[Quantité]]*Tableau1_2[[#This Row],[Prix_Unitaire]]</f>
        <v>31500</v>
      </c>
      <c r="Q552">
        <f>Tableau1_2[[#This Row],[Quantité]]*Tableau1_2[[#This Row],[Coût_Unitaire]]</f>
        <v>20500</v>
      </c>
      <c r="R552">
        <f>Tableau1_2[[#This Row],[CA]]-Tableau1_2[[#This Row],[Cout Total]]</f>
        <v>11000</v>
      </c>
      <c r="S552" s="4">
        <f>Tableau1_2[[#This Row],[Marge]]/Tableau1_2[[#This Row],[CA]]</f>
        <v>0.34920634920634919</v>
      </c>
      <c r="T552" t="str">
        <f>TEXT(Tableau1_2[[#This Row],[Date]],"mmmm")</f>
        <v>décembre</v>
      </c>
    </row>
    <row r="553" spans="1:20" x14ac:dyDescent="0.35">
      <c r="A553" t="s">
        <v>1298</v>
      </c>
      <c r="B553" s="2">
        <v>46271</v>
      </c>
      <c r="C553" t="s">
        <v>1097</v>
      </c>
      <c r="D553" t="s">
        <v>1299</v>
      </c>
      <c r="E553" t="s">
        <v>156</v>
      </c>
      <c r="F553" t="s">
        <v>157</v>
      </c>
      <c r="G553" t="s">
        <v>19</v>
      </c>
      <c r="H553" t="s">
        <v>20</v>
      </c>
      <c r="I553">
        <v>4</v>
      </c>
      <c r="J553">
        <v>68200</v>
      </c>
      <c r="K553">
        <v>43600</v>
      </c>
      <c r="L553" t="s">
        <v>50</v>
      </c>
      <c r="M553" t="s">
        <v>51</v>
      </c>
      <c r="N553" t="s">
        <v>23</v>
      </c>
      <c r="O553" t="s">
        <v>24</v>
      </c>
      <c r="P553">
        <f>Tableau1_2[[#This Row],[Quantité]]*Tableau1_2[[#This Row],[Prix_Unitaire]]</f>
        <v>272800</v>
      </c>
      <c r="Q553">
        <f>Tableau1_2[[#This Row],[Quantité]]*Tableau1_2[[#This Row],[Coût_Unitaire]]</f>
        <v>174400</v>
      </c>
      <c r="R553">
        <f>Tableau1_2[[#This Row],[CA]]-Tableau1_2[[#This Row],[Cout Total]]</f>
        <v>98400</v>
      </c>
      <c r="S553" s="4">
        <f>Tableau1_2[[#This Row],[Marge]]/Tableau1_2[[#This Row],[CA]]</f>
        <v>0.36070381231671556</v>
      </c>
      <c r="T553" t="str">
        <f>TEXT(Tableau1_2[[#This Row],[Date]],"mmmm")</f>
        <v>septembre</v>
      </c>
    </row>
    <row r="554" spans="1:20" x14ac:dyDescent="0.35">
      <c r="A554" t="s">
        <v>1300</v>
      </c>
      <c r="B554" s="2">
        <v>46329</v>
      </c>
      <c r="C554" t="s">
        <v>1266</v>
      </c>
      <c r="D554" t="s">
        <v>1008</v>
      </c>
      <c r="E554" t="s">
        <v>190</v>
      </c>
      <c r="F554" t="s">
        <v>191</v>
      </c>
      <c r="G554" t="s">
        <v>34</v>
      </c>
      <c r="H554" t="s">
        <v>35</v>
      </c>
      <c r="I554">
        <v>10</v>
      </c>
      <c r="J554">
        <v>55000</v>
      </c>
      <c r="K554">
        <v>40200</v>
      </c>
      <c r="L554" t="s">
        <v>21</v>
      </c>
      <c r="M554" t="s">
        <v>51</v>
      </c>
      <c r="N554" t="s">
        <v>52</v>
      </c>
      <c r="O554" t="s">
        <v>45</v>
      </c>
      <c r="P554">
        <f>Tableau1_2[[#This Row],[Quantité]]*Tableau1_2[[#This Row],[Prix_Unitaire]]</f>
        <v>550000</v>
      </c>
      <c r="Q554">
        <f>Tableau1_2[[#This Row],[Quantité]]*Tableau1_2[[#This Row],[Coût_Unitaire]]</f>
        <v>402000</v>
      </c>
      <c r="R554">
        <f>Tableau1_2[[#This Row],[CA]]-Tableau1_2[[#This Row],[Cout Total]]</f>
        <v>148000</v>
      </c>
      <c r="S554" s="4">
        <f>Tableau1_2[[#This Row],[Marge]]/Tableau1_2[[#This Row],[CA]]</f>
        <v>0.2690909090909091</v>
      </c>
      <c r="T554" t="str">
        <f>TEXT(Tableau1_2[[#This Row],[Date]],"mmmm")</f>
        <v>novembre</v>
      </c>
    </row>
    <row r="555" spans="1:20" x14ac:dyDescent="0.35">
      <c r="A555" t="s">
        <v>1301</v>
      </c>
      <c r="B555" s="2">
        <v>46318</v>
      </c>
      <c r="C555" t="s">
        <v>1302</v>
      </c>
      <c r="D555" t="s">
        <v>1303</v>
      </c>
      <c r="E555" t="s">
        <v>18</v>
      </c>
      <c r="F555" t="s">
        <v>18</v>
      </c>
      <c r="G555" t="s">
        <v>43</v>
      </c>
      <c r="H555" t="s">
        <v>79</v>
      </c>
      <c r="I555">
        <v>1</v>
      </c>
      <c r="J555">
        <v>6000</v>
      </c>
      <c r="K555">
        <v>4300</v>
      </c>
      <c r="L555" t="s">
        <v>96</v>
      </c>
      <c r="M555" t="s">
        <v>22</v>
      </c>
      <c r="N555" t="s">
        <v>23</v>
      </c>
      <c r="O555" t="s">
        <v>24</v>
      </c>
      <c r="P555">
        <f>Tableau1_2[[#This Row],[Quantité]]*Tableau1_2[[#This Row],[Prix_Unitaire]]</f>
        <v>6000</v>
      </c>
      <c r="Q555">
        <f>Tableau1_2[[#This Row],[Quantité]]*Tableau1_2[[#This Row],[Coût_Unitaire]]</f>
        <v>4300</v>
      </c>
      <c r="R555">
        <f>Tableau1_2[[#This Row],[CA]]-Tableau1_2[[#This Row],[Cout Total]]</f>
        <v>1700</v>
      </c>
      <c r="S555" s="4">
        <f>Tableau1_2[[#This Row],[Marge]]/Tableau1_2[[#This Row],[CA]]</f>
        <v>0.28333333333333333</v>
      </c>
      <c r="T555" t="str">
        <f>TEXT(Tableau1_2[[#This Row],[Date]],"mmmm")</f>
        <v>octobre</v>
      </c>
    </row>
    <row r="556" spans="1:20" x14ac:dyDescent="0.35">
      <c r="A556" t="s">
        <v>1304</v>
      </c>
      <c r="B556" s="2">
        <v>46360</v>
      </c>
      <c r="C556" t="s">
        <v>314</v>
      </c>
      <c r="D556" t="s">
        <v>1204</v>
      </c>
      <c r="E556" t="s">
        <v>77</v>
      </c>
      <c r="F556" t="s">
        <v>78</v>
      </c>
      <c r="G556" t="s">
        <v>34</v>
      </c>
      <c r="H556" t="s">
        <v>141</v>
      </c>
      <c r="I556">
        <v>4</v>
      </c>
      <c r="J556">
        <v>160000</v>
      </c>
      <c r="K556">
        <v>123600</v>
      </c>
      <c r="L556" t="s">
        <v>21</v>
      </c>
      <c r="M556" t="s">
        <v>37</v>
      </c>
      <c r="N556" t="s">
        <v>23</v>
      </c>
      <c r="O556" t="s">
        <v>24</v>
      </c>
      <c r="P556">
        <f>Tableau1_2[[#This Row],[Quantité]]*Tableau1_2[[#This Row],[Prix_Unitaire]]</f>
        <v>640000</v>
      </c>
      <c r="Q556">
        <f>Tableau1_2[[#This Row],[Quantité]]*Tableau1_2[[#This Row],[Coût_Unitaire]]</f>
        <v>494400</v>
      </c>
      <c r="R556">
        <f>Tableau1_2[[#This Row],[CA]]-Tableau1_2[[#This Row],[Cout Total]]</f>
        <v>145600</v>
      </c>
      <c r="S556" s="4">
        <f>Tableau1_2[[#This Row],[Marge]]/Tableau1_2[[#This Row],[CA]]</f>
        <v>0.22750000000000001</v>
      </c>
      <c r="T556" t="str">
        <f>TEXT(Tableau1_2[[#This Row],[Date]],"mmmm")</f>
        <v>décembre</v>
      </c>
    </row>
    <row r="557" spans="1:20" x14ac:dyDescent="0.35">
      <c r="A557" t="s">
        <v>1305</v>
      </c>
      <c r="B557" s="2">
        <v>46234</v>
      </c>
      <c r="C557" t="s">
        <v>529</v>
      </c>
      <c r="D557" t="s">
        <v>846</v>
      </c>
      <c r="E557" t="s">
        <v>156</v>
      </c>
      <c r="F557" t="s">
        <v>157</v>
      </c>
      <c r="G557" t="s">
        <v>28</v>
      </c>
      <c r="H557" t="s">
        <v>131</v>
      </c>
      <c r="I557">
        <v>10</v>
      </c>
      <c r="J557">
        <v>30000</v>
      </c>
      <c r="K557">
        <v>19000</v>
      </c>
      <c r="L557" t="s">
        <v>50</v>
      </c>
      <c r="M557" t="s">
        <v>37</v>
      </c>
      <c r="N557" t="s">
        <v>23</v>
      </c>
      <c r="O557" t="s">
        <v>24</v>
      </c>
      <c r="P557">
        <f>Tableau1_2[[#This Row],[Quantité]]*Tableau1_2[[#This Row],[Prix_Unitaire]]</f>
        <v>300000</v>
      </c>
      <c r="Q557">
        <f>Tableau1_2[[#This Row],[Quantité]]*Tableau1_2[[#This Row],[Coût_Unitaire]]</f>
        <v>190000</v>
      </c>
      <c r="R557">
        <f>Tableau1_2[[#This Row],[CA]]-Tableau1_2[[#This Row],[Cout Total]]</f>
        <v>110000</v>
      </c>
      <c r="S557" s="4">
        <f>Tableau1_2[[#This Row],[Marge]]/Tableau1_2[[#This Row],[CA]]</f>
        <v>0.36666666666666664</v>
      </c>
      <c r="T557" t="str">
        <f>TEXT(Tableau1_2[[#This Row],[Date]],"mmmm")</f>
        <v>juillet</v>
      </c>
    </row>
    <row r="558" spans="1:20" x14ac:dyDescent="0.35">
      <c r="A558" t="s">
        <v>1306</v>
      </c>
      <c r="B558" s="2">
        <v>46316</v>
      </c>
      <c r="C558" t="s">
        <v>1307</v>
      </c>
      <c r="D558" t="s">
        <v>1308</v>
      </c>
      <c r="E558" t="s">
        <v>18</v>
      </c>
      <c r="F558" t="s">
        <v>18</v>
      </c>
      <c r="G558" t="s">
        <v>34</v>
      </c>
      <c r="H558" t="s">
        <v>86</v>
      </c>
      <c r="I558">
        <v>1</v>
      </c>
      <c r="J558">
        <v>189000</v>
      </c>
      <c r="K558">
        <v>139000</v>
      </c>
      <c r="L558" t="s">
        <v>36</v>
      </c>
      <c r="M558" t="s">
        <v>22</v>
      </c>
      <c r="N558" t="s">
        <v>52</v>
      </c>
      <c r="O558" t="s">
        <v>24</v>
      </c>
      <c r="P558">
        <f>Tableau1_2[[#This Row],[Quantité]]*Tableau1_2[[#This Row],[Prix_Unitaire]]</f>
        <v>189000</v>
      </c>
      <c r="Q558">
        <f>Tableau1_2[[#This Row],[Quantité]]*Tableau1_2[[#This Row],[Coût_Unitaire]]</f>
        <v>139000</v>
      </c>
      <c r="R558">
        <f>Tableau1_2[[#This Row],[CA]]-Tableau1_2[[#This Row],[Cout Total]]</f>
        <v>50000</v>
      </c>
      <c r="S558" s="4">
        <f>Tableau1_2[[#This Row],[Marge]]/Tableau1_2[[#This Row],[CA]]</f>
        <v>0.26455026455026454</v>
      </c>
      <c r="T558" t="str">
        <f>TEXT(Tableau1_2[[#This Row],[Date]],"mmmm")</f>
        <v>octobre</v>
      </c>
    </row>
    <row r="559" spans="1:20" x14ac:dyDescent="0.35">
      <c r="A559" t="s">
        <v>1309</v>
      </c>
      <c r="B559" s="2">
        <v>46228</v>
      </c>
      <c r="C559" t="s">
        <v>1310</v>
      </c>
      <c r="D559" t="s">
        <v>1311</v>
      </c>
      <c r="E559" t="s">
        <v>77</v>
      </c>
      <c r="F559" t="s">
        <v>78</v>
      </c>
      <c r="G559" t="s">
        <v>34</v>
      </c>
      <c r="H559" t="s">
        <v>35</v>
      </c>
      <c r="I559">
        <v>3</v>
      </c>
      <c r="J559">
        <v>55000</v>
      </c>
      <c r="K559">
        <v>37800</v>
      </c>
      <c r="L559" t="s">
        <v>96</v>
      </c>
      <c r="M559" t="s">
        <v>37</v>
      </c>
      <c r="N559" t="s">
        <v>87</v>
      </c>
      <c r="O559" t="s">
        <v>91</v>
      </c>
      <c r="P559">
        <f>Tableau1_2[[#This Row],[Quantité]]*Tableau1_2[[#This Row],[Prix_Unitaire]]</f>
        <v>165000</v>
      </c>
      <c r="Q559">
        <f>Tableau1_2[[#This Row],[Quantité]]*Tableau1_2[[#This Row],[Coût_Unitaire]]</f>
        <v>113400</v>
      </c>
      <c r="R559">
        <f>Tableau1_2[[#This Row],[CA]]-Tableau1_2[[#This Row],[Cout Total]]</f>
        <v>51600</v>
      </c>
      <c r="S559" s="4">
        <f>Tableau1_2[[#This Row],[Marge]]/Tableau1_2[[#This Row],[CA]]</f>
        <v>0.31272727272727274</v>
      </c>
      <c r="T559" t="str">
        <f>TEXT(Tableau1_2[[#This Row],[Date]],"mmmm")</f>
        <v>juillet</v>
      </c>
    </row>
    <row r="560" spans="1:20" x14ac:dyDescent="0.35">
      <c r="A560" t="s">
        <v>1312</v>
      </c>
      <c r="B560" s="2">
        <v>46323</v>
      </c>
      <c r="C560" t="s">
        <v>825</v>
      </c>
      <c r="D560" t="s">
        <v>1313</v>
      </c>
      <c r="E560" t="s">
        <v>156</v>
      </c>
      <c r="F560" t="s">
        <v>170</v>
      </c>
      <c r="G560" t="s">
        <v>19</v>
      </c>
      <c r="H560" t="s">
        <v>61</v>
      </c>
      <c r="I560">
        <v>9</v>
      </c>
      <c r="J560">
        <v>231000</v>
      </c>
      <c r="K560">
        <v>160000</v>
      </c>
      <c r="L560" t="s">
        <v>96</v>
      </c>
      <c r="M560" t="s">
        <v>37</v>
      </c>
      <c r="N560" t="s">
        <v>52</v>
      </c>
      <c r="O560" t="s">
        <v>24</v>
      </c>
      <c r="P560">
        <f>Tableau1_2[[#This Row],[Quantité]]*Tableau1_2[[#This Row],[Prix_Unitaire]]</f>
        <v>2079000</v>
      </c>
      <c r="Q560">
        <f>Tableau1_2[[#This Row],[Quantité]]*Tableau1_2[[#This Row],[Coût_Unitaire]]</f>
        <v>1440000</v>
      </c>
      <c r="R560">
        <f>Tableau1_2[[#This Row],[CA]]-Tableau1_2[[#This Row],[Cout Total]]</f>
        <v>639000</v>
      </c>
      <c r="S560" s="4">
        <f>Tableau1_2[[#This Row],[Marge]]/Tableau1_2[[#This Row],[CA]]</f>
        <v>0.30735930735930733</v>
      </c>
      <c r="T560" t="str">
        <f>TEXT(Tableau1_2[[#This Row],[Date]],"mmmm")</f>
        <v>octobre</v>
      </c>
    </row>
    <row r="561" spans="1:20" x14ac:dyDescent="0.35">
      <c r="A561" t="s">
        <v>1314</v>
      </c>
      <c r="B561" s="2">
        <v>46090</v>
      </c>
      <c r="C561" t="s">
        <v>472</v>
      </c>
      <c r="D561" t="s">
        <v>1315</v>
      </c>
      <c r="E561" t="s">
        <v>77</v>
      </c>
      <c r="F561" t="s">
        <v>78</v>
      </c>
      <c r="G561" t="s">
        <v>34</v>
      </c>
      <c r="H561" t="s">
        <v>95</v>
      </c>
      <c r="I561">
        <v>7</v>
      </c>
      <c r="J561">
        <v>450000</v>
      </c>
      <c r="K561">
        <v>358900</v>
      </c>
      <c r="L561" t="s">
        <v>66</v>
      </c>
      <c r="M561" t="s">
        <v>22</v>
      </c>
      <c r="N561" t="s">
        <v>52</v>
      </c>
      <c r="O561" t="s">
        <v>24</v>
      </c>
      <c r="P561">
        <f>Tableau1_2[[#This Row],[Quantité]]*Tableau1_2[[#This Row],[Prix_Unitaire]]</f>
        <v>3150000</v>
      </c>
      <c r="Q561">
        <f>Tableau1_2[[#This Row],[Quantité]]*Tableau1_2[[#This Row],[Coût_Unitaire]]</f>
        <v>2512300</v>
      </c>
      <c r="R561">
        <f>Tableau1_2[[#This Row],[CA]]-Tableau1_2[[#This Row],[Cout Total]]</f>
        <v>637700</v>
      </c>
      <c r="S561" s="4">
        <f>Tableau1_2[[#This Row],[Marge]]/Tableau1_2[[#This Row],[CA]]</f>
        <v>0.20244444444444445</v>
      </c>
      <c r="T561" t="str">
        <f>TEXT(Tableau1_2[[#This Row],[Date]],"mmmm")</f>
        <v>mars</v>
      </c>
    </row>
    <row r="562" spans="1:20" x14ac:dyDescent="0.35">
      <c r="A562" t="s">
        <v>1316</v>
      </c>
      <c r="B562" s="2">
        <v>46084</v>
      </c>
      <c r="C562" t="s">
        <v>578</v>
      </c>
      <c r="D562" t="s">
        <v>351</v>
      </c>
      <c r="E562" t="s">
        <v>18</v>
      </c>
      <c r="F562" t="s">
        <v>18</v>
      </c>
      <c r="G562" t="s">
        <v>34</v>
      </c>
      <c r="H562" t="s">
        <v>158</v>
      </c>
      <c r="I562">
        <v>10</v>
      </c>
      <c r="J562">
        <v>90200</v>
      </c>
      <c r="K562">
        <v>70000</v>
      </c>
      <c r="L562" t="s">
        <v>36</v>
      </c>
      <c r="M562" t="s">
        <v>37</v>
      </c>
      <c r="N562" t="s">
        <v>87</v>
      </c>
      <c r="O562" t="s">
        <v>45</v>
      </c>
      <c r="P562">
        <f>Tableau1_2[[#This Row],[Quantité]]*Tableau1_2[[#This Row],[Prix_Unitaire]]</f>
        <v>902000</v>
      </c>
      <c r="Q562">
        <f>Tableau1_2[[#This Row],[Quantité]]*Tableau1_2[[#This Row],[Coût_Unitaire]]</f>
        <v>700000</v>
      </c>
      <c r="R562">
        <f>Tableau1_2[[#This Row],[CA]]-Tableau1_2[[#This Row],[Cout Total]]</f>
        <v>202000</v>
      </c>
      <c r="S562" s="4">
        <f>Tableau1_2[[#This Row],[Marge]]/Tableau1_2[[#This Row],[CA]]</f>
        <v>0.22394678492239467</v>
      </c>
      <c r="T562" t="str">
        <f>TEXT(Tableau1_2[[#This Row],[Date]],"mmmm")</f>
        <v>mars</v>
      </c>
    </row>
    <row r="563" spans="1:20" x14ac:dyDescent="0.35">
      <c r="A563" t="s">
        <v>1317</v>
      </c>
      <c r="B563" s="2">
        <v>46341</v>
      </c>
      <c r="C563" t="s">
        <v>280</v>
      </c>
      <c r="D563" t="s">
        <v>476</v>
      </c>
      <c r="E563" t="s">
        <v>18</v>
      </c>
      <c r="F563" t="s">
        <v>18</v>
      </c>
      <c r="G563" t="s">
        <v>19</v>
      </c>
      <c r="H563" t="s">
        <v>20</v>
      </c>
      <c r="I563">
        <v>6</v>
      </c>
      <c r="J563">
        <v>61800</v>
      </c>
      <c r="K563">
        <v>45000</v>
      </c>
      <c r="L563" t="s">
        <v>66</v>
      </c>
      <c r="M563" t="s">
        <v>31</v>
      </c>
      <c r="N563" t="s">
        <v>87</v>
      </c>
      <c r="O563" t="s">
        <v>24</v>
      </c>
      <c r="P563">
        <f>Tableau1_2[[#This Row],[Quantité]]*Tableau1_2[[#This Row],[Prix_Unitaire]]</f>
        <v>370800</v>
      </c>
      <c r="Q563">
        <f>Tableau1_2[[#This Row],[Quantité]]*Tableau1_2[[#This Row],[Coût_Unitaire]]</f>
        <v>270000</v>
      </c>
      <c r="R563">
        <f>Tableau1_2[[#This Row],[CA]]-Tableau1_2[[#This Row],[Cout Total]]</f>
        <v>100800</v>
      </c>
      <c r="S563" s="4">
        <f>Tableau1_2[[#This Row],[Marge]]/Tableau1_2[[#This Row],[CA]]</f>
        <v>0.27184466019417475</v>
      </c>
      <c r="T563" t="str">
        <f>TEXT(Tableau1_2[[#This Row],[Date]],"mmmm")</f>
        <v>novembre</v>
      </c>
    </row>
    <row r="564" spans="1:20" x14ac:dyDescent="0.35">
      <c r="A564" t="s">
        <v>1318</v>
      </c>
      <c r="B564" s="2">
        <v>46117</v>
      </c>
      <c r="C564" t="s">
        <v>659</v>
      </c>
      <c r="D564" t="s">
        <v>1204</v>
      </c>
      <c r="E564" t="s">
        <v>18</v>
      </c>
      <c r="F564" t="s">
        <v>18</v>
      </c>
      <c r="G564" t="s">
        <v>28</v>
      </c>
      <c r="H564" t="s">
        <v>65</v>
      </c>
      <c r="I564">
        <v>8</v>
      </c>
      <c r="J564">
        <v>12600</v>
      </c>
      <c r="K564">
        <v>7500</v>
      </c>
      <c r="L564" t="s">
        <v>30</v>
      </c>
      <c r="M564" t="s">
        <v>37</v>
      </c>
      <c r="N564" t="s">
        <v>23</v>
      </c>
      <c r="O564" t="s">
        <v>24</v>
      </c>
      <c r="P564">
        <f>Tableau1_2[[#This Row],[Quantité]]*Tableau1_2[[#This Row],[Prix_Unitaire]]</f>
        <v>100800</v>
      </c>
      <c r="Q564">
        <f>Tableau1_2[[#This Row],[Quantité]]*Tableau1_2[[#This Row],[Coût_Unitaire]]</f>
        <v>60000</v>
      </c>
      <c r="R564">
        <f>Tableau1_2[[#This Row],[CA]]-Tableau1_2[[#This Row],[Cout Total]]</f>
        <v>40800</v>
      </c>
      <c r="S564" s="4">
        <f>Tableau1_2[[#This Row],[Marge]]/Tableau1_2[[#This Row],[CA]]</f>
        <v>0.40476190476190477</v>
      </c>
      <c r="T564" t="str">
        <f>TEXT(Tableau1_2[[#This Row],[Date]],"mmmm")</f>
        <v>avril</v>
      </c>
    </row>
    <row r="565" spans="1:20" x14ac:dyDescent="0.35">
      <c r="A565" t="s">
        <v>1319</v>
      </c>
      <c r="B565" s="2">
        <v>46095</v>
      </c>
      <c r="C565" t="s">
        <v>678</v>
      </c>
      <c r="D565" t="s">
        <v>306</v>
      </c>
      <c r="E565" t="s">
        <v>18</v>
      </c>
      <c r="F565" t="s">
        <v>18</v>
      </c>
      <c r="G565" t="s">
        <v>19</v>
      </c>
      <c r="H565" t="s">
        <v>20</v>
      </c>
      <c r="I565">
        <v>1</v>
      </c>
      <c r="J565">
        <v>65000</v>
      </c>
      <c r="K565">
        <v>43600</v>
      </c>
      <c r="L565" t="s">
        <v>73</v>
      </c>
      <c r="M565" t="s">
        <v>37</v>
      </c>
      <c r="N565" t="s">
        <v>52</v>
      </c>
      <c r="O565" t="s">
        <v>91</v>
      </c>
      <c r="P565">
        <f>Tableau1_2[[#This Row],[Quantité]]*Tableau1_2[[#This Row],[Prix_Unitaire]]</f>
        <v>65000</v>
      </c>
      <c r="Q565">
        <f>Tableau1_2[[#This Row],[Quantité]]*Tableau1_2[[#This Row],[Coût_Unitaire]]</f>
        <v>43600</v>
      </c>
      <c r="R565">
        <f>Tableau1_2[[#This Row],[CA]]-Tableau1_2[[#This Row],[Cout Total]]</f>
        <v>21400</v>
      </c>
      <c r="S565" s="4">
        <f>Tableau1_2[[#This Row],[Marge]]/Tableau1_2[[#This Row],[CA]]</f>
        <v>0.32923076923076922</v>
      </c>
      <c r="T565" t="str">
        <f>TEXT(Tableau1_2[[#This Row],[Date]],"mmmm")</f>
        <v>mars</v>
      </c>
    </row>
    <row r="566" spans="1:20" x14ac:dyDescent="0.35">
      <c r="A566" t="s">
        <v>1320</v>
      </c>
      <c r="B566" s="2">
        <v>46058</v>
      </c>
      <c r="C566" t="s">
        <v>1321</v>
      </c>
      <c r="D566" t="s">
        <v>1322</v>
      </c>
      <c r="E566" t="s">
        <v>18</v>
      </c>
      <c r="F566" t="s">
        <v>18</v>
      </c>
      <c r="G566" t="s">
        <v>19</v>
      </c>
      <c r="H566" t="s">
        <v>20</v>
      </c>
      <c r="I566">
        <v>8</v>
      </c>
      <c r="J566">
        <v>61800</v>
      </c>
      <c r="K566">
        <v>43600</v>
      </c>
      <c r="L566" t="s">
        <v>50</v>
      </c>
      <c r="M566" t="s">
        <v>37</v>
      </c>
      <c r="N566" t="s">
        <v>23</v>
      </c>
      <c r="O566" t="s">
        <v>24</v>
      </c>
      <c r="P566">
        <f>Tableau1_2[[#This Row],[Quantité]]*Tableau1_2[[#This Row],[Prix_Unitaire]]</f>
        <v>494400</v>
      </c>
      <c r="Q566">
        <f>Tableau1_2[[#This Row],[Quantité]]*Tableau1_2[[#This Row],[Coût_Unitaire]]</f>
        <v>348800</v>
      </c>
      <c r="R566">
        <f>Tableau1_2[[#This Row],[CA]]-Tableau1_2[[#This Row],[Cout Total]]</f>
        <v>145600</v>
      </c>
      <c r="S566" s="4">
        <f>Tableau1_2[[#This Row],[Marge]]/Tableau1_2[[#This Row],[CA]]</f>
        <v>0.29449838187702265</v>
      </c>
      <c r="T566" t="str">
        <f>TEXT(Tableau1_2[[#This Row],[Date]],"mmmm")</f>
        <v>février</v>
      </c>
    </row>
    <row r="567" spans="1:20" x14ac:dyDescent="0.35">
      <c r="A567" t="s">
        <v>1323</v>
      </c>
      <c r="B567" s="2">
        <v>46250</v>
      </c>
      <c r="C567" t="s">
        <v>1307</v>
      </c>
      <c r="D567" t="s">
        <v>435</v>
      </c>
      <c r="E567" t="s">
        <v>84</v>
      </c>
      <c r="F567" t="s">
        <v>85</v>
      </c>
      <c r="G567" t="s">
        <v>28</v>
      </c>
      <c r="H567" t="s">
        <v>248</v>
      </c>
      <c r="I567">
        <v>9</v>
      </c>
      <c r="J567">
        <v>23800</v>
      </c>
      <c r="K567">
        <v>15500</v>
      </c>
      <c r="L567" t="s">
        <v>21</v>
      </c>
      <c r="M567" t="s">
        <v>51</v>
      </c>
      <c r="N567" t="s">
        <v>52</v>
      </c>
      <c r="O567" t="s">
        <v>24</v>
      </c>
      <c r="P567">
        <f>Tableau1_2[[#This Row],[Quantité]]*Tableau1_2[[#This Row],[Prix_Unitaire]]</f>
        <v>214200</v>
      </c>
      <c r="Q567">
        <f>Tableau1_2[[#This Row],[Quantité]]*Tableau1_2[[#This Row],[Coût_Unitaire]]</f>
        <v>139500</v>
      </c>
      <c r="R567">
        <f>Tableau1_2[[#This Row],[CA]]-Tableau1_2[[#This Row],[Cout Total]]</f>
        <v>74700</v>
      </c>
      <c r="S567" s="4">
        <f>Tableau1_2[[#This Row],[Marge]]/Tableau1_2[[#This Row],[CA]]</f>
        <v>0.34873949579831931</v>
      </c>
      <c r="T567" t="str">
        <f>TEXT(Tableau1_2[[#This Row],[Date]],"mmmm")</f>
        <v>août</v>
      </c>
    </row>
    <row r="568" spans="1:20" x14ac:dyDescent="0.35">
      <c r="A568" t="s">
        <v>1324</v>
      </c>
      <c r="B568" s="2">
        <v>46222</v>
      </c>
      <c r="C568" t="s">
        <v>114</v>
      </c>
      <c r="D568" t="s">
        <v>1325</v>
      </c>
      <c r="E568" t="s">
        <v>18</v>
      </c>
      <c r="F568" t="s">
        <v>18</v>
      </c>
      <c r="G568" t="s">
        <v>34</v>
      </c>
      <c r="H568" t="s">
        <v>35</v>
      </c>
      <c r="I568">
        <v>6</v>
      </c>
      <c r="J568">
        <v>55000</v>
      </c>
      <c r="K568">
        <v>40200</v>
      </c>
      <c r="L568" t="s">
        <v>80</v>
      </c>
      <c r="M568" t="s">
        <v>37</v>
      </c>
      <c r="N568" t="s">
        <v>87</v>
      </c>
      <c r="O568" t="s">
        <v>24</v>
      </c>
      <c r="P568">
        <f>Tableau1_2[[#This Row],[Quantité]]*Tableau1_2[[#This Row],[Prix_Unitaire]]</f>
        <v>330000</v>
      </c>
      <c r="Q568">
        <f>Tableau1_2[[#This Row],[Quantité]]*Tableau1_2[[#This Row],[Coût_Unitaire]]</f>
        <v>241200</v>
      </c>
      <c r="R568">
        <f>Tableau1_2[[#This Row],[CA]]-Tableau1_2[[#This Row],[Cout Total]]</f>
        <v>88800</v>
      </c>
      <c r="S568" s="4">
        <f>Tableau1_2[[#This Row],[Marge]]/Tableau1_2[[#This Row],[CA]]</f>
        <v>0.2690909090909091</v>
      </c>
      <c r="T568" t="str">
        <f>TEXT(Tableau1_2[[#This Row],[Date]],"mmmm")</f>
        <v>juillet</v>
      </c>
    </row>
    <row r="569" spans="1:20" x14ac:dyDescent="0.35">
      <c r="A569" t="s">
        <v>1326</v>
      </c>
      <c r="B569" s="2">
        <v>46309</v>
      </c>
      <c r="C569" t="s">
        <v>1327</v>
      </c>
      <c r="D569" t="s">
        <v>796</v>
      </c>
      <c r="E569" t="s">
        <v>56</v>
      </c>
      <c r="F569" t="s">
        <v>18</v>
      </c>
      <c r="G569" t="s">
        <v>34</v>
      </c>
      <c r="H569" t="s">
        <v>95</v>
      </c>
      <c r="I569">
        <v>6</v>
      </c>
      <c r="J569">
        <v>472500</v>
      </c>
      <c r="K569">
        <v>370000</v>
      </c>
      <c r="L569" t="s">
        <v>50</v>
      </c>
      <c r="M569" t="s">
        <v>37</v>
      </c>
      <c r="N569" t="s">
        <v>87</v>
      </c>
      <c r="O569" t="s">
        <v>24</v>
      </c>
      <c r="P569">
        <f>Tableau1_2[[#This Row],[Quantité]]*Tableau1_2[[#This Row],[Prix_Unitaire]]</f>
        <v>2835000</v>
      </c>
      <c r="Q569">
        <f>Tableau1_2[[#This Row],[Quantité]]*Tableau1_2[[#This Row],[Coût_Unitaire]]</f>
        <v>2220000</v>
      </c>
      <c r="R569">
        <f>Tableau1_2[[#This Row],[CA]]-Tableau1_2[[#This Row],[Cout Total]]</f>
        <v>615000</v>
      </c>
      <c r="S569" s="4">
        <f>Tableau1_2[[#This Row],[Marge]]/Tableau1_2[[#This Row],[CA]]</f>
        <v>0.21693121693121692</v>
      </c>
      <c r="T569" t="str">
        <f>TEXT(Tableau1_2[[#This Row],[Date]],"mmmm")</f>
        <v>octobre</v>
      </c>
    </row>
    <row r="570" spans="1:20" x14ac:dyDescent="0.35">
      <c r="A570" t="s">
        <v>1328</v>
      </c>
      <c r="B570" s="2">
        <v>46261</v>
      </c>
      <c r="C570" t="s">
        <v>269</v>
      </c>
      <c r="D570" t="s">
        <v>724</v>
      </c>
      <c r="E570" t="s">
        <v>190</v>
      </c>
      <c r="F570" t="s">
        <v>191</v>
      </c>
      <c r="G570" t="s">
        <v>43</v>
      </c>
      <c r="H570" t="s">
        <v>162</v>
      </c>
      <c r="I570">
        <v>2</v>
      </c>
      <c r="J570">
        <v>8000</v>
      </c>
      <c r="K570">
        <v>4800</v>
      </c>
      <c r="L570" t="s">
        <v>80</v>
      </c>
      <c r="M570" t="s">
        <v>37</v>
      </c>
      <c r="N570" t="s">
        <v>23</v>
      </c>
      <c r="O570" t="s">
        <v>24</v>
      </c>
      <c r="P570">
        <f>Tableau1_2[[#This Row],[Quantité]]*Tableau1_2[[#This Row],[Prix_Unitaire]]</f>
        <v>16000</v>
      </c>
      <c r="Q570">
        <f>Tableau1_2[[#This Row],[Quantité]]*Tableau1_2[[#This Row],[Coût_Unitaire]]</f>
        <v>9600</v>
      </c>
      <c r="R570">
        <f>Tableau1_2[[#This Row],[CA]]-Tableau1_2[[#This Row],[Cout Total]]</f>
        <v>6400</v>
      </c>
      <c r="S570" s="4">
        <f>Tableau1_2[[#This Row],[Marge]]/Tableau1_2[[#This Row],[CA]]</f>
        <v>0.4</v>
      </c>
      <c r="T570" t="str">
        <f>TEXT(Tableau1_2[[#This Row],[Date]],"mmmm")</f>
        <v>août</v>
      </c>
    </row>
    <row r="571" spans="1:20" x14ac:dyDescent="0.35">
      <c r="A571" t="s">
        <v>1329</v>
      </c>
      <c r="B571" s="2">
        <v>46142</v>
      </c>
      <c r="C571" t="s">
        <v>1037</v>
      </c>
      <c r="D571" t="s">
        <v>1330</v>
      </c>
      <c r="E571" t="s">
        <v>18</v>
      </c>
      <c r="F571" t="s">
        <v>18</v>
      </c>
      <c r="G571" t="s">
        <v>28</v>
      </c>
      <c r="H571" t="s">
        <v>131</v>
      </c>
      <c r="I571">
        <v>5</v>
      </c>
      <c r="J571">
        <v>31500</v>
      </c>
      <c r="K571">
        <v>19600</v>
      </c>
      <c r="L571" t="s">
        <v>66</v>
      </c>
      <c r="M571" t="s">
        <v>37</v>
      </c>
      <c r="N571" t="s">
        <v>52</v>
      </c>
      <c r="O571" t="s">
        <v>24</v>
      </c>
      <c r="P571">
        <f>Tableau1_2[[#This Row],[Quantité]]*Tableau1_2[[#This Row],[Prix_Unitaire]]</f>
        <v>157500</v>
      </c>
      <c r="Q571">
        <f>Tableau1_2[[#This Row],[Quantité]]*Tableau1_2[[#This Row],[Coût_Unitaire]]</f>
        <v>98000</v>
      </c>
      <c r="R571">
        <f>Tableau1_2[[#This Row],[CA]]-Tableau1_2[[#This Row],[Cout Total]]</f>
        <v>59500</v>
      </c>
      <c r="S571" s="4">
        <f>Tableau1_2[[#This Row],[Marge]]/Tableau1_2[[#This Row],[CA]]</f>
        <v>0.37777777777777777</v>
      </c>
      <c r="T571" t="str">
        <f>TEXT(Tableau1_2[[#This Row],[Date]],"mmmm")</f>
        <v>avril</v>
      </c>
    </row>
    <row r="572" spans="1:20" x14ac:dyDescent="0.35">
      <c r="A572" t="s">
        <v>1331</v>
      </c>
      <c r="B572" s="2">
        <v>46188</v>
      </c>
      <c r="C572" t="s">
        <v>649</v>
      </c>
      <c r="D572" t="s">
        <v>1332</v>
      </c>
      <c r="E572" t="s">
        <v>56</v>
      </c>
      <c r="F572" t="s">
        <v>57</v>
      </c>
      <c r="G572" t="s">
        <v>34</v>
      </c>
      <c r="H572" t="s">
        <v>141</v>
      </c>
      <c r="I572">
        <v>3</v>
      </c>
      <c r="J572">
        <v>160000</v>
      </c>
      <c r="K572">
        <v>120000</v>
      </c>
      <c r="L572" t="s">
        <v>50</v>
      </c>
      <c r="M572" t="s">
        <v>37</v>
      </c>
      <c r="N572" t="s">
        <v>23</v>
      </c>
      <c r="O572" t="s">
        <v>45</v>
      </c>
      <c r="P572">
        <f>Tableau1_2[[#This Row],[Quantité]]*Tableau1_2[[#This Row],[Prix_Unitaire]]</f>
        <v>480000</v>
      </c>
      <c r="Q572">
        <f>Tableau1_2[[#This Row],[Quantité]]*Tableau1_2[[#This Row],[Coût_Unitaire]]</f>
        <v>360000</v>
      </c>
      <c r="R572">
        <f>Tableau1_2[[#This Row],[CA]]-Tableau1_2[[#This Row],[Cout Total]]</f>
        <v>120000</v>
      </c>
      <c r="S572" s="4">
        <f>Tableau1_2[[#This Row],[Marge]]/Tableau1_2[[#This Row],[CA]]</f>
        <v>0.25</v>
      </c>
      <c r="T572" t="str">
        <f>TEXT(Tableau1_2[[#This Row],[Date]],"mmmm")</f>
        <v>juin</v>
      </c>
    </row>
    <row r="573" spans="1:20" x14ac:dyDescent="0.35">
      <c r="A573" t="s">
        <v>1333</v>
      </c>
      <c r="B573" s="2">
        <v>46385</v>
      </c>
      <c r="C573" t="s">
        <v>612</v>
      </c>
      <c r="D573" t="s">
        <v>552</v>
      </c>
      <c r="E573" t="s">
        <v>84</v>
      </c>
      <c r="F573" t="s">
        <v>85</v>
      </c>
      <c r="G573" t="s">
        <v>43</v>
      </c>
      <c r="H573" t="s">
        <v>162</v>
      </c>
      <c r="I573">
        <v>4</v>
      </c>
      <c r="J573">
        <v>8000</v>
      </c>
      <c r="K573">
        <v>5200</v>
      </c>
      <c r="L573" t="s">
        <v>73</v>
      </c>
      <c r="M573" t="s">
        <v>51</v>
      </c>
      <c r="N573" t="s">
        <v>52</v>
      </c>
      <c r="O573" t="s">
        <v>45</v>
      </c>
      <c r="P573">
        <f>Tableau1_2[[#This Row],[Quantité]]*Tableau1_2[[#This Row],[Prix_Unitaire]]</f>
        <v>32000</v>
      </c>
      <c r="Q573">
        <f>Tableau1_2[[#This Row],[Quantité]]*Tableau1_2[[#This Row],[Coût_Unitaire]]</f>
        <v>20800</v>
      </c>
      <c r="R573">
        <f>Tableau1_2[[#This Row],[CA]]-Tableau1_2[[#This Row],[Cout Total]]</f>
        <v>11200</v>
      </c>
      <c r="S573" s="4">
        <f>Tableau1_2[[#This Row],[Marge]]/Tableau1_2[[#This Row],[CA]]</f>
        <v>0.35</v>
      </c>
      <c r="T573" t="str">
        <f>TEXT(Tableau1_2[[#This Row],[Date]],"mmmm")</f>
        <v>décembre</v>
      </c>
    </row>
    <row r="574" spans="1:20" x14ac:dyDescent="0.35">
      <c r="A574" t="s">
        <v>1334</v>
      </c>
      <c r="B574" s="2">
        <v>46222</v>
      </c>
      <c r="C574" t="s">
        <v>1093</v>
      </c>
      <c r="D574" t="s">
        <v>1335</v>
      </c>
      <c r="E574" t="s">
        <v>18</v>
      </c>
      <c r="F574" t="s">
        <v>18</v>
      </c>
      <c r="G574" t="s">
        <v>43</v>
      </c>
      <c r="H574" t="s">
        <v>44</v>
      </c>
      <c r="I574">
        <v>4</v>
      </c>
      <c r="J574">
        <v>15000</v>
      </c>
      <c r="K574">
        <v>9800</v>
      </c>
      <c r="L574" t="s">
        <v>80</v>
      </c>
      <c r="M574" t="s">
        <v>37</v>
      </c>
      <c r="N574" t="s">
        <v>52</v>
      </c>
      <c r="O574" t="s">
        <v>45</v>
      </c>
      <c r="P574">
        <f>Tableau1_2[[#This Row],[Quantité]]*Tableau1_2[[#This Row],[Prix_Unitaire]]</f>
        <v>60000</v>
      </c>
      <c r="Q574">
        <f>Tableau1_2[[#This Row],[Quantité]]*Tableau1_2[[#This Row],[Coût_Unitaire]]</f>
        <v>39200</v>
      </c>
      <c r="R574">
        <f>Tableau1_2[[#This Row],[CA]]-Tableau1_2[[#This Row],[Cout Total]]</f>
        <v>20800</v>
      </c>
      <c r="S574" s="4">
        <f>Tableau1_2[[#This Row],[Marge]]/Tableau1_2[[#This Row],[CA]]</f>
        <v>0.34666666666666668</v>
      </c>
      <c r="T574" t="str">
        <f>TEXT(Tableau1_2[[#This Row],[Date]],"mmmm")</f>
        <v>juillet</v>
      </c>
    </row>
    <row r="575" spans="1:20" x14ac:dyDescent="0.35">
      <c r="A575" t="s">
        <v>1336</v>
      </c>
      <c r="B575" s="2">
        <v>46133</v>
      </c>
      <c r="C575" t="s">
        <v>1033</v>
      </c>
      <c r="D575" t="s">
        <v>187</v>
      </c>
      <c r="E575" t="s">
        <v>84</v>
      </c>
      <c r="F575" t="s">
        <v>85</v>
      </c>
      <c r="G575" t="s">
        <v>34</v>
      </c>
      <c r="H575" t="s">
        <v>158</v>
      </c>
      <c r="I575">
        <v>7</v>
      </c>
      <c r="J575">
        <v>95000</v>
      </c>
      <c r="K575">
        <v>70000</v>
      </c>
      <c r="L575" t="s">
        <v>66</v>
      </c>
      <c r="M575" t="s">
        <v>51</v>
      </c>
      <c r="N575" t="s">
        <v>87</v>
      </c>
      <c r="O575" t="s">
        <v>24</v>
      </c>
      <c r="P575">
        <f>Tableau1_2[[#This Row],[Quantité]]*Tableau1_2[[#This Row],[Prix_Unitaire]]</f>
        <v>665000</v>
      </c>
      <c r="Q575">
        <f>Tableau1_2[[#This Row],[Quantité]]*Tableau1_2[[#This Row],[Coût_Unitaire]]</f>
        <v>490000</v>
      </c>
      <c r="R575">
        <f>Tableau1_2[[#This Row],[CA]]-Tableau1_2[[#This Row],[Cout Total]]</f>
        <v>175000</v>
      </c>
      <c r="S575" s="4">
        <f>Tableau1_2[[#This Row],[Marge]]/Tableau1_2[[#This Row],[CA]]</f>
        <v>0.26315789473684209</v>
      </c>
      <c r="T575" t="str">
        <f>TEXT(Tableau1_2[[#This Row],[Date]],"mmmm")</f>
        <v>avril</v>
      </c>
    </row>
    <row r="576" spans="1:20" x14ac:dyDescent="0.35">
      <c r="A576" t="s">
        <v>1337</v>
      </c>
      <c r="B576" s="2">
        <v>46162</v>
      </c>
      <c r="C576" t="s">
        <v>1007</v>
      </c>
      <c r="D576" t="s">
        <v>1338</v>
      </c>
      <c r="E576" t="s">
        <v>18</v>
      </c>
      <c r="F576" t="s">
        <v>18</v>
      </c>
      <c r="G576" t="s">
        <v>43</v>
      </c>
      <c r="H576" t="s">
        <v>162</v>
      </c>
      <c r="I576">
        <v>3</v>
      </c>
      <c r="J576">
        <v>8000</v>
      </c>
      <c r="K576">
        <v>5000</v>
      </c>
      <c r="L576" t="s">
        <v>21</v>
      </c>
      <c r="M576" t="s">
        <v>31</v>
      </c>
      <c r="N576" t="s">
        <v>87</v>
      </c>
      <c r="O576" t="s">
        <v>24</v>
      </c>
      <c r="P576">
        <f>Tableau1_2[[#This Row],[Quantité]]*Tableau1_2[[#This Row],[Prix_Unitaire]]</f>
        <v>24000</v>
      </c>
      <c r="Q576">
        <f>Tableau1_2[[#This Row],[Quantité]]*Tableau1_2[[#This Row],[Coût_Unitaire]]</f>
        <v>15000</v>
      </c>
      <c r="R576">
        <f>Tableau1_2[[#This Row],[CA]]-Tableau1_2[[#This Row],[Cout Total]]</f>
        <v>9000</v>
      </c>
      <c r="S576" s="4">
        <f>Tableau1_2[[#This Row],[Marge]]/Tableau1_2[[#This Row],[CA]]</f>
        <v>0.375</v>
      </c>
      <c r="T576" t="str">
        <f>TEXT(Tableau1_2[[#This Row],[Date]],"mmmm")</f>
        <v>mai</v>
      </c>
    </row>
    <row r="577" spans="1:20" x14ac:dyDescent="0.35">
      <c r="A577" t="s">
        <v>1339</v>
      </c>
      <c r="B577" s="2">
        <v>46319</v>
      </c>
      <c r="C577" t="s">
        <v>1340</v>
      </c>
      <c r="D577" t="s">
        <v>459</v>
      </c>
      <c r="E577" t="s">
        <v>56</v>
      </c>
      <c r="F577" t="s">
        <v>57</v>
      </c>
      <c r="G577" t="s">
        <v>43</v>
      </c>
      <c r="H577" t="s">
        <v>162</v>
      </c>
      <c r="I577">
        <v>1</v>
      </c>
      <c r="J577">
        <v>8000</v>
      </c>
      <c r="K577">
        <v>4800</v>
      </c>
      <c r="L577" t="s">
        <v>66</v>
      </c>
      <c r="M577" t="s">
        <v>37</v>
      </c>
      <c r="N577" t="s">
        <v>87</v>
      </c>
      <c r="O577" t="s">
        <v>24</v>
      </c>
      <c r="P577">
        <f>Tableau1_2[[#This Row],[Quantité]]*Tableau1_2[[#This Row],[Prix_Unitaire]]</f>
        <v>8000</v>
      </c>
      <c r="Q577">
        <f>Tableau1_2[[#This Row],[Quantité]]*Tableau1_2[[#This Row],[Coût_Unitaire]]</f>
        <v>4800</v>
      </c>
      <c r="R577">
        <f>Tableau1_2[[#This Row],[CA]]-Tableau1_2[[#This Row],[Cout Total]]</f>
        <v>3200</v>
      </c>
      <c r="S577" s="4">
        <f>Tableau1_2[[#This Row],[Marge]]/Tableau1_2[[#This Row],[CA]]</f>
        <v>0.4</v>
      </c>
      <c r="T577" t="str">
        <f>TEXT(Tableau1_2[[#This Row],[Date]],"mmmm")</f>
        <v>octobre</v>
      </c>
    </row>
    <row r="578" spans="1:20" x14ac:dyDescent="0.35">
      <c r="A578" t="s">
        <v>1341</v>
      </c>
      <c r="B578" s="2">
        <v>46238</v>
      </c>
      <c r="C578" t="s">
        <v>1342</v>
      </c>
      <c r="D578" t="s">
        <v>1343</v>
      </c>
      <c r="E578" t="s">
        <v>156</v>
      </c>
      <c r="F578" t="s">
        <v>157</v>
      </c>
      <c r="G578" t="s">
        <v>43</v>
      </c>
      <c r="H578" t="s">
        <v>49</v>
      </c>
      <c r="I578">
        <v>5</v>
      </c>
      <c r="J578">
        <v>9000</v>
      </c>
      <c r="K578">
        <v>6000</v>
      </c>
      <c r="L578" t="s">
        <v>96</v>
      </c>
      <c r="M578" t="s">
        <v>51</v>
      </c>
      <c r="N578" t="s">
        <v>52</v>
      </c>
      <c r="O578" t="s">
        <v>45</v>
      </c>
      <c r="P578">
        <f>Tableau1_2[[#This Row],[Quantité]]*Tableau1_2[[#This Row],[Prix_Unitaire]]</f>
        <v>45000</v>
      </c>
      <c r="Q578">
        <f>Tableau1_2[[#This Row],[Quantité]]*Tableau1_2[[#This Row],[Coût_Unitaire]]</f>
        <v>30000</v>
      </c>
      <c r="R578">
        <f>Tableau1_2[[#This Row],[CA]]-Tableau1_2[[#This Row],[Cout Total]]</f>
        <v>15000</v>
      </c>
      <c r="S578" s="4">
        <f>Tableau1_2[[#This Row],[Marge]]/Tableau1_2[[#This Row],[CA]]</f>
        <v>0.33333333333333331</v>
      </c>
      <c r="T578" t="str">
        <f>TEXT(Tableau1_2[[#This Row],[Date]],"mmmm")</f>
        <v>août</v>
      </c>
    </row>
    <row r="579" spans="1:20" x14ac:dyDescent="0.35">
      <c r="A579" t="s">
        <v>1344</v>
      </c>
      <c r="B579" s="2">
        <v>46347</v>
      </c>
      <c r="C579" t="s">
        <v>133</v>
      </c>
      <c r="D579" t="s">
        <v>367</v>
      </c>
      <c r="E579" t="s">
        <v>77</v>
      </c>
      <c r="F579" t="s">
        <v>78</v>
      </c>
      <c r="G579" t="s">
        <v>28</v>
      </c>
      <c r="H579" t="s">
        <v>65</v>
      </c>
      <c r="I579">
        <v>4</v>
      </c>
      <c r="J579">
        <v>12000</v>
      </c>
      <c r="K579">
        <v>7700</v>
      </c>
      <c r="L579" t="s">
        <v>80</v>
      </c>
      <c r="M579" t="s">
        <v>22</v>
      </c>
      <c r="N579" t="s">
        <v>87</v>
      </c>
      <c r="O579" t="s">
        <v>24</v>
      </c>
      <c r="P579">
        <f>Tableau1_2[[#This Row],[Quantité]]*Tableau1_2[[#This Row],[Prix_Unitaire]]</f>
        <v>48000</v>
      </c>
      <c r="Q579">
        <f>Tableau1_2[[#This Row],[Quantité]]*Tableau1_2[[#This Row],[Coût_Unitaire]]</f>
        <v>30800</v>
      </c>
      <c r="R579">
        <f>Tableau1_2[[#This Row],[CA]]-Tableau1_2[[#This Row],[Cout Total]]</f>
        <v>17200</v>
      </c>
      <c r="S579" s="4">
        <f>Tableau1_2[[#This Row],[Marge]]/Tableau1_2[[#This Row],[CA]]</f>
        <v>0.35833333333333334</v>
      </c>
      <c r="T579" t="str">
        <f>TEXT(Tableau1_2[[#This Row],[Date]],"mmmm")</f>
        <v>novembre</v>
      </c>
    </row>
    <row r="580" spans="1:20" x14ac:dyDescent="0.35">
      <c r="A580" t="s">
        <v>1345</v>
      </c>
      <c r="B580" s="2">
        <v>46235</v>
      </c>
      <c r="C580" t="s">
        <v>952</v>
      </c>
      <c r="D580" t="s">
        <v>1346</v>
      </c>
      <c r="E580" t="s">
        <v>18</v>
      </c>
      <c r="F580" t="s">
        <v>18</v>
      </c>
      <c r="G580" t="s">
        <v>19</v>
      </c>
      <c r="H580" t="s">
        <v>61</v>
      </c>
      <c r="I580">
        <v>2</v>
      </c>
      <c r="J580">
        <v>220000</v>
      </c>
      <c r="K580">
        <v>164800</v>
      </c>
      <c r="L580" t="s">
        <v>73</v>
      </c>
      <c r="M580" t="s">
        <v>37</v>
      </c>
      <c r="N580" t="s">
        <v>23</v>
      </c>
      <c r="O580" t="s">
        <v>24</v>
      </c>
      <c r="P580">
        <f>Tableau1_2[[#This Row],[Quantité]]*Tableau1_2[[#This Row],[Prix_Unitaire]]</f>
        <v>440000</v>
      </c>
      <c r="Q580">
        <f>Tableau1_2[[#This Row],[Quantité]]*Tableau1_2[[#This Row],[Coût_Unitaire]]</f>
        <v>329600</v>
      </c>
      <c r="R580">
        <f>Tableau1_2[[#This Row],[CA]]-Tableau1_2[[#This Row],[Cout Total]]</f>
        <v>110400</v>
      </c>
      <c r="S580" s="4">
        <f>Tableau1_2[[#This Row],[Marge]]/Tableau1_2[[#This Row],[CA]]</f>
        <v>0.25090909090909091</v>
      </c>
      <c r="T580" t="str">
        <f>TEXT(Tableau1_2[[#This Row],[Date]],"mmmm")</f>
        <v>août</v>
      </c>
    </row>
    <row r="581" spans="1:20" x14ac:dyDescent="0.35">
      <c r="A581" t="s">
        <v>1347</v>
      </c>
      <c r="B581" s="2">
        <v>46380</v>
      </c>
      <c r="C581" t="s">
        <v>1348</v>
      </c>
      <c r="D581" t="s">
        <v>482</v>
      </c>
      <c r="E581" t="s">
        <v>18</v>
      </c>
      <c r="F581" t="s">
        <v>18</v>
      </c>
      <c r="G581" t="s">
        <v>34</v>
      </c>
      <c r="H581" t="s">
        <v>95</v>
      </c>
      <c r="I581">
        <v>1</v>
      </c>
      <c r="J581">
        <v>472500</v>
      </c>
      <c r="K581">
        <v>381100</v>
      </c>
      <c r="L581" t="s">
        <v>30</v>
      </c>
      <c r="M581" t="s">
        <v>37</v>
      </c>
      <c r="N581" t="s">
        <v>52</v>
      </c>
      <c r="O581" t="s">
        <v>45</v>
      </c>
      <c r="P581">
        <f>Tableau1_2[[#This Row],[Quantité]]*Tableau1_2[[#This Row],[Prix_Unitaire]]</f>
        <v>472500</v>
      </c>
      <c r="Q581">
        <f>Tableau1_2[[#This Row],[Quantité]]*Tableau1_2[[#This Row],[Coût_Unitaire]]</f>
        <v>381100</v>
      </c>
      <c r="R581">
        <f>Tableau1_2[[#This Row],[CA]]-Tableau1_2[[#This Row],[Cout Total]]</f>
        <v>91400</v>
      </c>
      <c r="S581" s="4">
        <f>Tableau1_2[[#This Row],[Marge]]/Tableau1_2[[#This Row],[CA]]</f>
        <v>0.19343915343915344</v>
      </c>
      <c r="T581" t="str">
        <f>TEXT(Tableau1_2[[#This Row],[Date]],"mmmm")</f>
        <v>décembre</v>
      </c>
    </row>
    <row r="582" spans="1:20" x14ac:dyDescent="0.35">
      <c r="A582" t="s">
        <v>1349</v>
      </c>
      <c r="B582" s="2">
        <v>46156</v>
      </c>
      <c r="C582" t="s">
        <v>1007</v>
      </c>
      <c r="D582" t="s">
        <v>521</v>
      </c>
      <c r="E582" t="s">
        <v>190</v>
      </c>
      <c r="F582" t="s">
        <v>191</v>
      </c>
      <c r="G582" t="s">
        <v>43</v>
      </c>
      <c r="H582" t="s">
        <v>49</v>
      </c>
      <c r="I582">
        <v>10</v>
      </c>
      <c r="J582">
        <v>9000</v>
      </c>
      <c r="K582">
        <v>5800</v>
      </c>
      <c r="L582" t="s">
        <v>30</v>
      </c>
      <c r="M582" t="s">
        <v>37</v>
      </c>
      <c r="N582" t="s">
        <v>87</v>
      </c>
      <c r="O582" t="s">
        <v>24</v>
      </c>
      <c r="P582">
        <f>Tableau1_2[[#This Row],[Quantité]]*Tableau1_2[[#This Row],[Prix_Unitaire]]</f>
        <v>90000</v>
      </c>
      <c r="Q582">
        <f>Tableau1_2[[#This Row],[Quantité]]*Tableau1_2[[#This Row],[Coût_Unitaire]]</f>
        <v>58000</v>
      </c>
      <c r="R582">
        <f>Tableau1_2[[#This Row],[CA]]-Tableau1_2[[#This Row],[Cout Total]]</f>
        <v>32000</v>
      </c>
      <c r="S582" s="4">
        <f>Tableau1_2[[#This Row],[Marge]]/Tableau1_2[[#This Row],[CA]]</f>
        <v>0.35555555555555557</v>
      </c>
      <c r="T582" t="str">
        <f>TEXT(Tableau1_2[[#This Row],[Date]],"mmmm")</f>
        <v>mai</v>
      </c>
    </row>
    <row r="583" spans="1:20" x14ac:dyDescent="0.35">
      <c r="A583" t="s">
        <v>1350</v>
      </c>
      <c r="B583" s="2">
        <v>46224</v>
      </c>
      <c r="C583" t="s">
        <v>596</v>
      </c>
      <c r="D583" t="s">
        <v>1109</v>
      </c>
      <c r="E583" t="s">
        <v>56</v>
      </c>
      <c r="F583" t="s">
        <v>57</v>
      </c>
      <c r="G583" t="s">
        <v>34</v>
      </c>
      <c r="H583" t="s">
        <v>158</v>
      </c>
      <c r="I583">
        <v>6</v>
      </c>
      <c r="J583">
        <v>95000</v>
      </c>
      <c r="K583">
        <v>67900</v>
      </c>
      <c r="L583" t="s">
        <v>80</v>
      </c>
      <c r="M583" t="s">
        <v>22</v>
      </c>
      <c r="N583" t="s">
        <v>23</v>
      </c>
      <c r="O583" t="s">
        <v>24</v>
      </c>
      <c r="P583">
        <f>Tableau1_2[[#This Row],[Quantité]]*Tableau1_2[[#This Row],[Prix_Unitaire]]</f>
        <v>570000</v>
      </c>
      <c r="Q583">
        <f>Tableau1_2[[#This Row],[Quantité]]*Tableau1_2[[#This Row],[Coût_Unitaire]]</f>
        <v>407400</v>
      </c>
      <c r="R583">
        <f>Tableau1_2[[#This Row],[CA]]-Tableau1_2[[#This Row],[Cout Total]]</f>
        <v>162600</v>
      </c>
      <c r="S583" s="4">
        <f>Tableau1_2[[#This Row],[Marge]]/Tableau1_2[[#This Row],[CA]]</f>
        <v>0.28526315789473683</v>
      </c>
      <c r="T583" t="str">
        <f>TEXT(Tableau1_2[[#This Row],[Date]],"mmmm")</f>
        <v>juillet</v>
      </c>
    </row>
    <row r="584" spans="1:20" x14ac:dyDescent="0.35">
      <c r="A584" t="s">
        <v>1351</v>
      </c>
      <c r="B584" s="2">
        <v>46167</v>
      </c>
      <c r="C584" t="s">
        <v>286</v>
      </c>
      <c r="D584" t="s">
        <v>922</v>
      </c>
      <c r="E584" t="s">
        <v>77</v>
      </c>
      <c r="F584" t="s">
        <v>78</v>
      </c>
      <c r="G584" t="s">
        <v>34</v>
      </c>
      <c r="H584" t="s">
        <v>35</v>
      </c>
      <c r="I584">
        <v>6</v>
      </c>
      <c r="J584">
        <v>57800</v>
      </c>
      <c r="K584">
        <v>39000</v>
      </c>
      <c r="L584" t="s">
        <v>66</v>
      </c>
      <c r="M584" t="s">
        <v>31</v>
      </c>
      <c r="N584" t="s">
        <v>23</v>
      </c>
      <c r="O584" t="s">
        <v>45</v>
      </c>
      <c r="P584">
        <f>Tableau1_2[[#This Row],[Quantité]]*Tableau1_2[[#This Row],[Prix_Unitaire]]</f>
        <v>346800</v>
      </c>
      <c r="Q584">
        <f>Tableau1_2[[#This Row],[Quantité]]*Tableau1_2[[#This Row],[Coût_Unitaire]]</f>
        <v>234000</v>
      </c>
      <c r="R584">
        <f>Tableau1_2[[#This Row],[CA]]-Tableau1_2[[#This Row],[Cout Total]]</f>
        <v>112800</v>
      </c>
      <c r="S584" s="4">
        <f>Tableau1_2[[#This Row],[Marge]]/Tableau1_2[[#This Row],[CA]]</f>
        <v>0.32525951557093424</v>
      </c>
      <c r="T584" t="str">
        <f>TEXT(Tableau1_2[[#This Row],[Date]],"mmmm")</f>
        <v>mai</v>
      </c>
    </row>
    <row r="585" spans="1:20" x14ac:dyDescent="0.35">
      <c r="A585" t="s">
        <v>1352</v>
      </c>
      <c r="B585" s="2">
        <v>46298</v>
      </c>
      <c r="C585" t="s">
        <v>1353</v>
      </c>
      <c r="D585" t="s">
        <v>1224</v>
      </c>
      <c r="E585" t="s">
        <v>41</v>
      </c>
      <c r="F585" t="s">
        <v>42</v>
      </c>
      <c r="G585" t="s">
        <v>28</v>
      </c>
      <c r="H585" t="s">
        <v>65</v>
      </c>
      <c r="I585">
        <v>6</v>
      </c>
      <c r="J585">
        <v>12000</v>
      </c>
      <c r="K585">
        <v>7700</v>
      </c>
      <c r="L585" t="s">
        <v>80</v>
      </c>
      <c r="M585" t="s">
        <v>22</v>
      </c>
      <c r="N585" t="s">
        <v>23</v>
      </c>
      <c r="O585" t="s">
        <v>91</v>
      </c>
      <c r="P585">
        <f>Tableau1_2[[#This Row],[Quantité]]*Tableau1_2[[#This Row],[Prix_Unitaire]]</f>
        <v>72000</v>
      </c>
      <c r="Q585">
        <f>Tableau1_2[[#This Row],[Quantité]]*Tableau1_2[[#This Row],[Coût_Unitaire]]</f>
        <v>46200</v>
      </c>
      <c r="R585">
        <f>Tableau1_2[[#This Row],[CA]]-Tableau1_2[[#This Row],[Cout Total]]</f>
        <v>25800</v>
      </c>
      <c r="S585" s="4">
        <f>Tableau1_2[[#This Row],[Marge]]/Tableau1_2[[#This Row],[CA]]</f>
        <v>0.35833333333333334</v>
      </c>
      <c r="T585" t="str">
        <f>TEXT(Tableau1_2[[#This Row],[Date]],"mmmm")</f>
        <v>octobre</v>
      </c>
    </row>
    <row r="586" spans="1:20" x14ac:dyDescent="0.35">
      <c r="A586" t="s">
        <v>1354</v>
      </c>
      <c r="B586" s="2">
        <v>46330</v>
      </c>
      <c r="C586" t="s">
        <v>353</v>
      </c>
      <c r="D586" t="s">
        <v>1077</v>
      </c>
      <c r="E586" t="s">
        <v>56</v>
      </c>
      <c r="F586" t="s">
        <v>57</v>
      </c>
      <c r="G586" t="s">
        <v>28</v>
      </c>
      <c r="H586" t="s">
        <v>131</v>
      </c>
      <c r="I586">
        <v>6</v>
      </c>
      <c r="J586">
        <v>30000</v>
      </c>
      <c r="K586">
        <v>19600</v>
      </c>
      <c r="L586" t="s">
        <v>96</v>
      </c>
      <c r="M586" t="s">
        <v>31</v>
      </c>
      <c r="N586" t="s">
        <v>23</v>
      </c>
      <c r="O586" t="s">
        <v>24</v>
      </c>
      <c r="P586">
        <f>Tableau1_2[[#This Row],[Quantité]]*Tableau1_2[[#This Row],[Prix_Unitaire]]</f>
        <v>180000</v>
      </c>
      <c r="Q586">
        <f>Tableau1_2[[#This Row],[Quantité]]*Tableau1_2[[#This Row],[Coût_Unitaire]]</f>
        <v>117600</v>
      </c>
      <c r="R586">
        <f>Tableau1_2[[#This Row],[CA]]-Tableau1_2[[#This Row],[Cout Total]]</f>
        <v>62400</v>
      </c>
      <c r="S586" s="4">
        <f>Tableau1_2[[#This Row],[Marge]]/Tableau1_2[[#This Row],[CA]]</f>
        <v>0.34666666666666668</v>
      </c>
      <c r="T586" t="str">
        <f>TEXT(Tableau1_2[[#This Row],[Date]],"mmmm")</f>
        <v>novembre</v>
      </c>
    </row>
    <row r="587" spans="1:20" x14ac:dyDescent="0.35">
      <c r="A587" t="s">
        <v>1355</v>
      </c>
      <c r="B587" s="2">
        <v>46193</v>
      </c>
      <c r="C587" t="s">
        <v>1356</v>
      </c>
      <c r="D587" t="s">
        <v>498</v>
      </c>
      <c r="E587" t="s">
        <v>56</v>
      </c>
      <c r="F587" t="s">
        <v>57</v>
      </c>
      <c r="G587" t="s">
        <v>19</v>
      </c>
      <c r="H587" t="s">
        <v>20</v>
      </c>
      <c r="I587">
        <v>7</v>
      </c>
      <c r="J587">
        <v>61800</v>
      </c>
      <c r="K587">
        <v>43600</v>
      </c>
      <c r="L587" t="s">
        <v>36</v>
      </c>
      <c r="M587" t="s">
        <v>51</v>
      </c>
      <c r="N587" t="s">
        <v>52</v>
      </c>
      <c r="O587" t="s">
        <v>91</v>
      </c>
      <c r="P587">
        <f>Tableau1_2[[#This Row],[Quantité]]*Tableau1_2[[#This Row],[Prix_Unitaire]]</f>
        <v>432600</v>
      </c>
      <c r="Q587">
        <f>Tableau1_2[[#This Row],[Quantité]]*Tableau1_2[[#This Row],[Coût_Unitaire]]</f>
        <v>305200</v>
      </c>
      <c r="R587">
        <f>Tableau1_2[[#This Row],[CA]]-Tableau1_2[[#This Row],[Cout Total]]</f>
        <v>127400</v>
      </c>
      <c r="S587" s="4">
        <f>Tableau1_2[[#This Row],[Marge]]/Tableau1_2[[#This Row],[CA]]</f>
        <v>0.29449838187702265</v>
      </c>
      <c r="T587" t="str">
        <f>TEXT(Tableau1_2[[#This Row],[Date]],"mmmm")</f>
        <v>juin</v>
      </c>
    </row>
    <row r="588" spans="1:20" x14ac:dyDescent="0.35">
      <c r="A588" t="s">
        <v>1357</v>
      </c>
      <c r="B588" s="2">
        <v>46120</v>
      </c>
      <c r="C588" t="s">
        <v>1358</v>
      </c>
      <c r="D588" t="s">
        <v>1359</v>
      </c>
      <c r="E588" t="s">
        <v>18</v>
      </c>
      <c r="F588" t="s">
        <v>18</v>
      </c>
      <c r="G588" t="s">
        <v>19</v>
      </c>
      <c r="H588" t="s">
        <v>20</v>
      </c>
      <c r="I588">
        <v>5</v>
      </c>
      <c r="J588">
        <v>68200</v>
      </c>
      <c r="K588">
        <v>43600</v>
      </c>
      <c r="L588" t="s">
        <v>96</v>
      </c>
      <c r="M588" t="s">
        <v>31</v>
      </c>
      <c r="N588" t="s">
        <v>87</v>
      </c>
      <c r="O588" t="s">
        <v>24</v>
      </c>
      <c r="P588">
        <f>Tableau1_2[[#This Row],[Quantité]]*Tableau1_2[[#This Row],[Prix_Unitaire]]</f>
        <v>341000</v>
      </c>
      <c r="Q588">
        <f>Tableau1_2[[#This Row],[Quantité]]*Tableau1_2[[#This Row],[Coût_Unitaire]]</f>
        <v>218000</v>
      </c>
      <c r="R588">
        <f>Tableau1_2[[#This Row],[CA]]-Tableau1_2[[#This Row],[Cout Total]]</f>
        <v>123000</v>
      </c>
      <c r="S588" s="4">
        <f>Tableau1_2[[#This Row],[Marge]]/Tableau1_2[[#This Row],[CA]]</f>
        <v>0.36070381231671556</v>
      </c>
      <c r="T588" t="str">
        <f>TEXT(Tableau1_2[[#This Row],[Date]],"mmmm")</f>
        <v>avril</v>
      </c>
    </row>
    <row r="589" spans="1:20" x14ac:dyDescent="0.35">
      <c r="A589" t="s">
        <v>1360</v>
      </c>
      <c r="B589" s="2">
        <v>46363</v>
      </c>
      <c r="C589" t="s">
        <v>882</v>
      </c>
      <c r="D589" t="s">
        <v>1361</v>
      </c>
      <c r="E589" t="s">
        <v>18</v>
      </c>
      <c r="F589" t="s">
        <v>18</v>
      </c>
      <c r="G589" t="s">
        <v>19</v>
      </c>
      <c r="H589" t="s">
        <v>166</v>
      </c>
      <c r="I589">
        <v>8</v>
      </c>
      <c r="J589">
        <v>133000</v>
      </c>
      <c r="K589">
        <v>97000</v>
      </c>
      <c r="L589" t="s">
        <v>21</v>
      </c>
      <c r="M589" t="s">
        <v>22</v>
      </c>
      <c r="N589" t="s">
        <v>52</v>
      </c>
      <c r="O589" t="s">
        <v>45</v>
      </c>
      <c r="P589">
        <f>Tableau1_2[[#This Row],[Quantité]]*Tableau1_2[[#This Row],[Prix_Unitaire]]</f>
        <v>1064000</v>
      </c>
      <c r="Q589">
        <f>Tableau1_2[[#This Row],[Quantité]]*Tableau1_2[[#This Row],[Coût_Unitaire]]</f>
        <v>776000</v>
      </c>
      <c r="R589">
        <f>Tableau1_2[[#This Row],[CA]]-Tableau1_2[[#This Row],[Cout Total]]</f>
        <v>288000</v>
      </c>
      <c r="S589" s="4">
        <f>Tableau1_2[[#This Row],[Marge]]/Tableau1_2[[#This Row],[CA]]</f>
        <v>0.27067669172932329</v>
      </c>
      <c r="T589" t="str">
        <f>TEXT(Tableau1_2[[#This Row],[Date]],"mmmm")</f>
        <v>décembre</v>
      </c>
    </row>
    <row r="590" spans="1:20" x14ac:dyDescent="0.35">
      <c r="A590" t="s">
        <v>1362</v>
      </c>
      <c r="B590" s="2">
        <v>46353</v>
      </c>
      <c r="C590" t="s">
        <v>892</v>
      </c>
      <c r="D590" t="s">
        <v>1363</v>
      </c>
      <c r="E590" t="s">
        <v>156</v>
      </c>
      <c r="F590" t="s">
        <v>170</v>
      </c>
      <c r="G590" t="s">
        <v>19</v>
      </c>
      <c r="H590" t="s">
        <v>112</v>
      </c>
      <c r="I590">
        <v>7</v>
      </c>
      <c r="J590">
        <v>85000</v>
      </c>
      <c r="K590">
        <v>60100</v>
      </c>
      <c r="L590" t="s">
        <v>80</v>
      </c>
      <c r="M590" t="s">
        <v>37</v>
      </c>
      <c r="N590" t="s">
        <v>23</v>
      </c>
      <c r="O590" t="s">
        <v>24</v>
      </c>
      <c r="P590">
        <f>Tableau1_2[[#This Row],[Quantité]]*Tableau1_2[[#This Row],[Prix_Unitaire]]</f>
        <v>595000</v>
      </c>
      <c r="Q590">
        <f>Tableau1_2[[#This Row],[Quantité]]*Tableau1_2[[#This Row],[Coût_Unitaire]]</f>
        <v>420700</v>
      </c>
      <c r="R590">
        <f>Tableau1_2[[#This Row],[CA]]-Tableau1_2[[#This Row],[Cout Total]]</f>
        <v>174300</v>
      </c>
      <c r="S590" s="4">
        <f>Tableau1_2[[#This Row],[Marge]]/Tableau1_2[[#This Row],[CA]]</f>
        <v>0.29294117647058826</v>
      </c>
      <c r="T590" t="str">
        <f>TEXT(Tableau1_2[[#This Row],[Date]],"mmmm")</f>
        <v>novembre</v>
      </c>
    </row>
    <row r="591" spans="1:20" x14ac:dyDescent="0.35">
      <c r="A591" t="s">
        <v>1364</v>
      </c>
      <c r="B591" s="2">
        <v>46332</v>
      </c>
      <c r="C591" t="s">
        <v>518</v>
      </c>
      <c r="D591" t="s">
        <v>1059</v>
      </c>
      <c r="E591" t="s">
        <v>41</v>
      </c>
      <c r="F591" t="s">
        <v>42</v>
      </c>
      <c r="G591" t="s">
        <v>19</v>
      </c>
      <c r="H591" t="s">
        <v>166</v>
      </c>
      <c r="I591">
        <v>8</v>
      </c>
      <c r="J591">
        <v>147000</v>
      </c>
      <c r="K591">
        <v>97000</v>
      </c>
      <c r="L591" t="s">
        <v>21</v>
      </c>
      <c r="M591" t="s">
        <v>31</v>
      </c>
      <c r="N591" t="s">
        <v>87</v>
      </c>
      <c r="O591" t="s">
        <v>24</v>
      </c>
      <c r="P591">
        <f>Tableau1_2[[#This Row],[Quantité]]*Tableau1_2[[#This Row],[Prix_Unitaire]]</f>
        <v>1176000</v>
      </c>
      <c r="Q591">
        <f>Tableau1_2[[#This Row],[Quantité]]*Tableau1_2[[#This Row],[Coût_Unitaire]]</f>
        <v>776000</v>
      </c>
      <c r="R591">
        <f>Tableau1_2[[#This Row],[CA]]-Tableau1_2[[#This Row],[Cout Total]]</f>
        <v>400000</v>
      </c>
      <c r="S591" s="4">
        <f>Tableau1_2[[#This Row],[Marge]]/Tableau1_2[[#This Row],[CA]]</f>
        <v>0.3401360544217687</v>
      </c>
      <c r="T591" t="str">
        <f>TEXT(Tableau1_2[[#This Row],[Date]],"mmmm")</f>
        <v>novembre</v>
      </c>
    </row>
    <row r="592" spans="1:20" x14ac:dyDescent="0.35">
      <c r="A592" t="s">
        <v>1365</v>
      </c>
      <c r="B592" s="2">
        <v>46266</v>
      </c>
      <c r="C592" t="s">
        <v>559</v>
      </c>
      <c r="D592" t="s">
        <v>144</v>
      </c>
      <c r="E592" t="s">
        <v>156</v>
      </c>
      <c r="F592" t="s">
        <v>170</v>
      </c>
      <c r="G592" t="s">
        <v>34</v>
      </c>
      <c r="H592" t="s">
        <v>86</v>
      </c>
      <c r="I592">
        <v>7</v>
      </c>
      <c r="J592">
        <v>180000</v>
      </c>
      <c r="K592">
        <v>135000</v>
      </c>
      <c r="L592" t="s">
        <v>50</v>
      </c>
      <c r="M592" t="s">
        <v>37</v>
      </c>
      <c r="N592" t="s">
        <v>23</v>
      </c>
      <c r="O592" t="s">
        <v>24</v>
      </c>
      <c r="P592">
        <f>Tableau1_2[[#This Row],[Quantité]]*Tableau1_2[[#This Row],[Prix_Unitaire]]</f>
        <v>1260000</v>
      </c>
      <c r="Q592">
        <f>Tableau1_2[[#This Row],[Quantité]]*Tableau1_2[[#This Row],[Coût_Unitaire]]</f>
        <v>945000</v>
      </c>
      <c r="R592">
        <f>Tableau1_2[[#This Row],[CA]]-Tableau1_2[[#This Row],[Cout Total]]</f>
        <v>315000</v>
      </c>
      <c r="S592" s="4">
        <f>Tableau1_2[[#This Row],[Marge]]/Tableau1_2[[#This Row],[CA]]</f>
        <v>0.25</v>
      </c>
      <c r="T592" t="str">
        <f>TEXT(Tableau1_2[[#This Row],[Date]],"mmmm")</f>
        <v>septembre</v>
      </c>
    </row>
    <row r="593" spans="1:20" x14ac:dyDescent="0.35">
      <c r="A593" t="s">
        <v>1366</v>
      </c>
      <c r="B593" s="2">
        <v>46067</v>
      </c>
      <c r="C593" t="s">
        <v>908</v>
      </c>
      <c r="D593" t="s">
        <v>468</v>
      </c>
      <c r="E593" t="s">
        <v>84</v>
      </c>
      <c r="F593" t="s">
        <v>85</v>
      </c>
      <c r="G593" t="s">
        <v>28</v>
      </c>
      <c r="H593" t="s">
        <v>72</v>
      </c>
      <c r="I593">
        <v>3</v>
      </c>
      <c r="J593">
        <v>9500</v>
      </c>
      <c r="K593">
        <v>6000</v>
      </c>
      <c r="L593" t="s">
        <v>96</v>
      </c>
      <c r="M593" t="s">
        <v>31</v>
      </c>
      <c r="N593" t="s">
        <v>23</v>
      </c>
      <c r="O593" t="s">
        <v>24</v>
      </c>
      <c r="P593">
        <f>Tableau1_2[[#This Row],[Quantité]]*Tableau1_2[[#This Row],[Prix_Unitaire]]</f>
        <v>28500</v>
      </c>
      <c r="Q593">
        <f>Tableau1_2[[#This Row],[Quantité]]*Tableau1_2[[#This Row],[Coût_Unitaire]]</f>
        <v>18000</v>
      </c>
      <c r="R593">
        <f>Tableau1_2[[#This Row],[CA]]-Tableau1_2[[#This Row],[Cout Total]]</f>
        <v>10500</v>
      </c>
      <c r="S593" s="4">
        <f>Tableau1_2[[#This Row],[Marge]]/Tableau1_2[[#This Row],[CA]]</f>
        <v>0.36842105263157893</v>
      </c>
      <c r="T593" t="str">
        <f>TEXT(Tableau1_2[[#This Row],[Date]],"mmmm")</f>
        <v>février</v>
      </c>
    </row>
    <row r="594" spans="1:20" x14ac:dyDescent="0.35">
      <c r="A594" t="s">
        <v>1367</v>
      </c>
      <c r="B594" s="2">
        <v>46227</v>
      </c>
      <c r="C594" t="s">
        <v>1368</v>
      </c>
      <c r="D594" t="s">
        <v>1369</v>
      </c>
      <c r="E594" t="s">
        <v>18</v>
      </c>
      <c r="F594" t="s">
        <v>18</v>
      </c>
      <c r="G594" t="s">
        <v>28</v>
      </c>
      <c r="H594" t="s">
        <v>72</v>
      </c>
      <c r="I594">
        <v>1</v>
      </c>
      <c r="J594">
        <v>10500</v>
      </c>
      <c r="K594">
        <v>6200</v>
      </c>
      <c r="L594" t="s">
        <v>21</v>
      </c>
      <c r="M594" t="s">
        <v>51</v>
      </c>
      <c r="N594" t="s">
        <v>23</v>
      </c>
      <c r="O594" t="s">
        <v>45</v>
      </c>
      <c r="P594">
        <f>Tableau1_2[[#This Row],[Quantité]]*Tableau1_2[[#This Row],[Prix_Unitaire]]</f>
        <v>10500</v>
      </c>
      <c r="Q594">
        <f>Tableau1_2[[#This Row],[Quantité]]*Tableau1_2[[#This Row],[Coût_Unitaire]]</f>
        <v>6200</v>
      </c>
      <c r="R594">
        <f>Tableau1_2[[#This Row],[CA]]-Tableau1_2[[#This Row],[Cout Total]]</f>
        <v>4300</v>
      </c>
      <c r="S594" s="4">
        <f>Tableau1_2[[#This Row],[Marge]]/Tableau1_2[[#This Row],[CA]]</f>
        <v>0.40952380952380951</v>
      </c>
      <c r="T594" t="str">
        <f>TEXT(Tableau1_2[[#This Row],[Date]],"mmmm")</f>
        <v>juillet</v>
      </c>
    </row>
    <row r="595" spans="1:20" x14ac:dyDescent="0.35">
      <c r="A595" t="s">
        <v>1370</v>
      </c>
      <c r="B595" s="2">
        <v>46285</v>
      </c>
      <c r="C595" t="s">
        <v>1371</v>
      </c>
      <c r="D595" t="s">
        <v>674</v>
      </c>
      <c r="E595" t="s">
        <v>41</v>
      </c>
      <c r="F595" t="s">
        <v>42</v>
      </c>
      <c r="G595" t="s">
        <v>28</v>
      </c>
      <c r="H595" t="s">
        <v>29</v>
      </c>
      <c r="I595">
        <v>9</v>
      </c>
      <c r="J595">
        <v>7000</v>
      </c>
      <c r="K595">
        <v>3900</v>
      </c>
      <c r="L595" t="s">
        <v>30</v>
      </c>
      <c r="M595" t="s">
        <v>37</v>
      </c>
      <c r="N595" t="s">
        <v>23</v>
      </c>
      <c r="O595" t="s">
        <v>45</v>
      </c>
      <c r="P595">
        <f>Tableau1_2[[#This Row],[Quantité]]*Tableau1_2[[#This Row],[Prix_Unitaire]]</f>
        <v>63000</v>
      </c>
      <c r="Q595">
        <f>Tableau1_2[[#This Row],[Quantité]]*Tableau1_2[[#This Row],[Coût_Unitaire]]</f>
        <v>35100</v>
      </c>
      <c r="R595">
        <f>Tableau1_2[[#This Row],[CA]]-Tableau1_2[[#This Row],[Cout Total]]</f>
        <v>27900</v>
      </c>
      <c r="S595" s="4">
        <f>Tableau1_2[[#This Row],[Marge]]/Tableau1_2[[#This Row],[CA]]</f>
        <v>0.44285714285714284</v>
      </c>
      <c r="T595" t="str">
        <f>TEXT(Tableau1_2[[#This Row],[Date]],"mmmm")</f>
        <v>septembre</v>
      </c>
    </row>
    <row r="596" spans="1:20" x14ac:dyDescent="0.35">
      <c r="A596" t="s">
        <v>1372</v>
      </c>
      <c r="B596" s="2">
        <v>46219</v>
      </c>
      <c r="C596" t="s">
        <v>1143</v>
      </c>
      <c r="D596" t="s">
        <v>1361</v>
      </c>
      <c r="E596" t="s">
        <v>77</v>
      </c>
      <c r="F596" t="s">
        <v>78</v>
      </c>
      <c r="G596" t="s">
        <v>28</v>
      </c>
      <c r="H596" t="s">
        <v>29</v>
      </c>
      <c r="I596">
        <v>4</v>
      </c>
      <c r="J596">
        <v>7400</v>
      </c>
      <c r="K596">
        <v>4100</v>
      </c>
      <c r="L596" t="s">
        <v>73</v>
      </c>
      <c r="M596" t="s">
        <v>31</v>
      </c>
      <c r="N596" t="s">
        <v>23</v>
      </c>
      <c r="O596" t="s">
        <v>24</v>
      </c>
      <c r="P596">
        <f>Tableau1_2[[#This Row],[Quantité]]*Tableau1_2[[#This Row],[Prix_Unitaire]]</f>
        <v>29600</v>
      </c>
      <c r="Q596">
        <f>Tableau1_2[[#This Row],[Quantité]]*Tableau1_2[[#This Row],[Coût_Unitaire]]</f>
        <v>16400</v>
      </c>
      <c r="R596">
        <f>Tableau1_2[[#This Row],[CA]]-Tableau1_2[[#This Row],[Cout Total]]</f>
        <v>13200</v>
      </c>
      <c r="S596" s="4">
        <f>Tableau1_2[[#This Row],[Marge]]/Tableau1_2[[#This Row],[CA]]</f>
        <v>0.44594594594594594</v>
      </c>
      <c r="T596" t="str">
        <f>TEXT(Tableau1_2[[#This Row],[Date]],"mmmm")</f>
        <v>juillet</v>
      </c>
    </row>
    <row r="597" spans="1:20" x14ac:dyDescent="0.35">
      <c r="A597" t="s">
        <v>1373</v>
      </c>
      <c r="B597" s="2">
        <v>46267</v>
      </c>
      <c r="C597" t="s">
        <v>175</v>
      </c>
      <c r="D597" t="s">
        <v>643</v>
      </c>
      <c r="E597" t="s">
        <v>84</v>
      </c>
      <c r="F597" t="s">
        <v>85</v>
      </c>
      <c r="G597" t="s">
        <v>19</v>
      </c>
      <c r="H597" t="s">
        <v>166</v>
      </c>
      <c r="I597">
        <v>3</v>
      </c>
      <c r="J597">
        <v>140000</v>
      </c>
      <c r="K597">
        <v>97000</v>
      </c>
      <c r="L597" t="s">
        <v>36</v>
      </c>
      <c r="M597" t="s">
        <v>51</v>
      </c>
      <c r="N597" t="s">
        <v>23</v>
      </c>
      <c r="O597" t="s">
        <v>24</v>
      </c>
      <c r="P597">
        <f>Tableau1_2[[#This Row],[Quantité]]*Tableau1_2[[#This Row],[Prix_Unitaire]]</f>
        <v>420000</v>
      </c>
      <c r="Q597">
        <f>Tableau1_2[[#This Row],[Quantité]]*Tableau1_2[[#This Row],[Coût_Unitaire]]</f>
        <v>291000</v>
      </c>
      <c r="R597">
        <f>Tableau1_2[[#This Row],[CA]]-Tableau1_2[[#This Row],[Cout Total]]</f>
        <v>129000</v>
      </c>
      <c r="S597" s="4">
        <f>Tableau1_2[[#This Row],[Marge]]/Tableau1_2[[#This Row],[CA]]</f>
        <v>0.30714285714285716</v>
      </c>
      <c r="T597" t="str">
        <f>TEXT(Tableau1_2[[#This Row],[Date]],"mmmm")</f>
        <v>septembre</v>
      </c>
    </row>
    <row r="598" spans="1:20" x14ac:dyDescent="0.35">
      <c r="A598" t="s">
        <v>1374</v>
      </c>
      <c r="B598" s="2">
        <v>46205</v>
      </c>
      <c r="C598" t="s">
        <v>475</v>
      </c>
      <c r="D598" t="s">
        <v>1375</v>
      </c>
      <c r="E598" t="s">
        <v>18</v>
      </c>
      <c r="F598" t="s">
        <v>18</v>
      </c>
      <c r="G598" t="s">
        <v>34</v>
      </c>
      <c r="H598" t="s">
        <v>35</v>
      </c>
      <c r="I598">
        <v>1</v>
      </c>
      <c r="J598">
        <v>55000</v>
      </c>
      <c r="K598">
        <v>39000</v>
      </c>
      <c r="L598" t="s">
        <v>73</v>
      </c>
      <c r="M598" t="s">
        <v>37</v>
      </c>
      <c r="N598" t="s">
        <v>23</v>
      </c>
      <c r="O598" t="s">
        <v>45</v>
      </c>
      <c r="P598">
        <f>Tableau1_2[[#This Row],[Quantité]]*Tableau1_2[[#This Row],[Prix_Unitaire]]</f>
        <v>55000</v>
      </c>
      <c r="Q598">
        <f>Tableau1_2[[#This Row],[Quantité]]*Tableau1_2[[#This Row],[Coût_Unitaire]]</f>
        <v>39000</v>
      </c>
      <c r="R598">
        <f>Tableau1_2[[#This Row],[CA]]-Tableau1_2[[#This Row],[Cout Total]]</f>
        <v>16000</v>
      </c>
      <c r="S598" s="4">
        <f>Tableau1_2[[#This Row],[Marge]]/Tableau1_2[[#This Row],[CA]]</f>
        <v>0.29090909090909089</v>
      </c>
      <c r="T598" t="str">
        <f>TEXT(Tableau1_2[[#This Row],[Date]],"mmmm")</f>
        <v>juillet</v>
      </c>
    </row>
    <row r="599" spans="1:20" x14ac:dyDescent="0.35">
      <c r="A599" t="s">
        <v>1376</v>
      </c>
      <c r="B599" s="2">
        <v>46304</v>
      </c>
      <c r="C599" t="s">
        <v>129</v>
      </c>
      <c r="D599" t="s">
        <v>1377</v>
      </c>
      <c r="E599" t="s">
        <v>41</v>
      </c>
      <c r="F599" t="s">
        <v>42</v>
      </c>
      <c r="G599" t="s">
        <v>34</v>
      </c>
      <c r="H599" t="s">
        <v>158</v>
      </c>
      <c r="I599">
        <v>7</v>
      </c>
      <c r="J599">
        <v>99800</v>
      </c>
      <c r="K599">
        <v>72100</v>
      </c>
      <c r="L599" t="s">
        <v>30</v>
      </c>
      <c r="M599" t="s">
        <v>51</v>
      </c>
      <c r="N599" t="s">
        <v>87</v>
      </c>
      <c r="O599" t="s">
        <v>24</v>
      </c>
      <c r="P599">
        <f>Tableau1_2[[#This Row],[Quantité]]*Tableau1_2[[#This Row],[Prix_Unitaire]]</f>
        <v>698600</v>
      </c>
      <c r="Q599">
        <f>Tableau1_2[[#This Row],[Quantité]]*Tableau1_2[[#This Row],[Coût_Unitaire]]</f>
        <v>504700</v>
      </c>
      <c r="R599">
        <f>Tableau1_2[[#This Row],[CA]]-Tableau1_2[[#This Row],[Cout Total]]</f>
        <v>193900</v>
      </c>
      <c r="S599" s="4">
        <f>Tableau1_2[[#This Row],[Marge]]/Tableau1_2[[#This Row],[CA]]</f>
        <v>0.27755511022044088</v>
      </c>
      <c r="T599" t="str">
        <f>TEXT(Tableau1_2[[#This Row],[Date]],"mmmm")</f>
        <v>octobre</v>
      </c>
    </row>
    <row r="600" spans="1:20" x14ac:dyDescent="0.35">
      <c r="A600" t="s">
        <v>1378</v>
      </c>
      <c r="B600" s="2">
        <v>46306</v>
      </c>
      <c r="C600" t="s">
        <v>1379</v>
      </c>
      <c r="D600" t="s">
        <v>1380</v>
      </c>
      <c r="E600" t="s">
        <v>190</v>
      </c>
      <c r="F600" t="s">
        <v>191</v>
      </c>
      <c r="G600" t="s">
        <v>19</v>
      </c>
      <c r="H600" t="s">
        <v>20</v>
      </c>
      <c r="I600">
        <v>8</v>
      </c>
      <c r="J600">
        <v>65000</v>
      </c>
      <c r="K600">
        <v>46400</v>
      </c>
      <c r="L600" t="s">
        <v>50</v>
      </c>
      <c r="M600" t="s">
        <v>51</v>
      </c>
      <c r="N600" t="s">
        <v>87</v>
      </c>
      <c r="O600" t="s">
        <v>24</v>
      </c>
      <c r="P600">
        <f>Tableau1_2[[#This Row],[Quantité]]*Tableau1_2[[#This Row],[Prix_Unitaire]]</f>
        <v>520000</v>
      </c>
      <c r="Q600">
        <f>Tableau1_2[[#This Row],[Quantité]]*Tableau1_2[[#This Row],[Coût_Unitaire]]</f>
        <v>371200</v>
      </c>
      <c r="R600">
        <f>Tableau1_2[[#This Row],[CA]]-Tableau1_2[[#This Row],[Cout Total]]</f>
        <v>148800</v>
      </c>
      <c r="S600" s="4">
        <f>Tableau1_2[[#This Row],[Marge]]/Tableau1_2[[#This Row],[CA]]</f>
        <v>0.28615384615384615</v>
      </c>
      <c r="T600" t="str">
        <f>TEXT(Tableau1_2[[#This Row],[Date]],"mmmm")</f>
        <v>octobre</v>
      </c>
    </row>
    <row r="601" spans="1:20" x14ac:dyDescent="0.35">
      <c r="A601" t="s">
        <v>1381</v>
      </c>
      <c r="B601" s="2">
        <v>46243</v>
      </c>
      <c r="C601" t="s">
        <v>104</v>
      </c>
      <c r="D601" t="s">
        <v>1382</v>
      </c>
      <c r="E601" t="s">
        <v>84</v>
      </c>
      <c r="F601" t="s">
        <v>85</v>
      </c>
      <c r="G601" t="s">
        <v>19</v>
      </c>
      <c r="H601" t="s">
        <v>61</v>
      </c>
      <c r="I601">
        <v>7</v>
      </c>
      <c r="J601">
        <v>220000</v>
      </c>
      <c r="K601">
        <v>155200</v>
      </c>
      <c r="L601" t="s">
        <v>73</v>
      </c>
      <c r="M601" t="s">
        <v>22</v>
      </c>
      <c r="N601" t="s">
        <v>52</v>
      </c>
      <c r="O601" t="s">
        <v>24</v>
      </c>
      <c r="P601">
        <f>Tableau1_2[[#This Row],[Quantité]]*Tableau1_2[[#This Row],[Prix_Unitaire]]</f>
        <v>1540000</v>
      </c>
      <c r="Q601">
        <f>Tableau1_2[[#This Row],[Quantité]]*Tableau1_2[[#This Row],[Coût_Unitaire]]</f>
        <v>1086400</v>
      </c>
      <c r="R601">
        <f>Tableau1_2[[#This Row],[CA]]-Tableau1_2[[#This Row],[Cout Total]]</f>
        <v>453600</v>
      </c>
      <c r="S601" s="4">
        <f>Tableau1_2[[#This Row],[Marge]]/Tableau1_2[[#This Row],[CA]]</f>
        <v>0.29454545454545455</v>
      </c>
      <c r="T601" t="str">
        <f>TEXT(Tableau1_2[[#This Row],[Date]],"mmmm")</f>
        <v>août</v>
      </c>
    </row>
    <row r="602" spans="1:20" x14ac:dyDescent="0.35">
      <c r="A602" t="s">
        <v>1383</v>
      </c>
      <c r="B602" s="2">
        <v>46283</v>
      </c>
      <c r="C602" t="s">
        <v>863</v>
      </c>
      <c r="D602" t="s">
        <v>1384</v>
      </c>
      <c r="E602" t="s">
        <v>156</v>
      </c>
      <c r="F602" t="s">
        <v>157</v>
      </c>
      <c r="G602" t="s">
        <v>34</v>
      </c>
      <c r="H602" t="s">
        <v>95</v>
      </c>
      <c r="I602">
        <v>10</v>
      </c>
      <c r="J602">
        <v>450000</v>
      </c>
      <c r="K602">
        <v>381100</v>
      </c>
      <c r="L602" t="s">
        <v>80</v>
      </c>
      <c r="M602" t="s">
        <v>51</v>
      </c>
      <c r="N602" t="s">
        <v>52</v>
      </c>
      <c r="O602" t="s">
        <v>24</v>
      </c>
      <c r="P602">
        <f>Tableau1_2[[#This Row],[Quantité]]*Tableau1_2[[#This Row],[Prix_Unitaire]]</f>
        <v>4500000</v>
      </c>
      <c r="Q602">
        <f>Tableau1_2[[#This Row],[Quantité]]*Tableau1_2[[#This Row],[Coût_Unitaire]]</f>
        <v>3811000</v>
      </c>
      <c r="R602">
        <f>Tableau1_2[[#This Row],[CA]]-Tableau1_2[[#This Row],[Cout Total]]</f>
        <v>689000</v>
      </c>
      <c r="S602" s="4">
        <f>Tableau1_2[[#This Row],[Marge]]/Tableau1_2[[#This Row],[CA]]</f>
        <v>0.15311111111111111</v>
      </c>
      <c r="T602" t="str">
        <f>TEXT(Tableau1_2[[#This Row],[Date]],"mmmm")</f>
        <v>septembre</v>
      </c>
    </row>
    <row r="603" spans="1:20" x14ac:dyDescent="0.35">
      <c r="A603" t="s">
        <v>1385</v>
      </c>
      <c r="B603" s="2">
        <v>46312</v>
      </c>
      <c r="C603" t="s">
        <v>1386</v>
      </c>
      <c r="D603" t="s">
        <v>342</v>
      </c>
      <c r="E603" t="s">
        <v>18</v>
      </c>
      <c r="F603" t="s">
        <v>18</v>
      </c>
      <c r="G603" t="s">
        <v>34</v>
      </c>
      <c r="H603" t="s">
        <v>35</v>
      </c>
      <c r="I603">
        <v>4</v>
      </c>
      <c r="J603">
        <v>57800</v>
      </c>
      <c r="K603">
        <v>37800</v>
      </c>
      <c r="L603" t="s">
        <v>73</v>
      </c>
      <c r="M603" t="s">
        <v>37</v>
      </c>
      <c r="N603" t="s">
        <v>52</v>
      </c>
      <c r="O603" t="s">
        <v>91</v>
      </c>
      <c r="P603">
        <f>Tableau1_2[[#This Row],[Quantité]]*Tableau1_2[[#This Row],[Prix_Unitaire]]</f>
        <v>231200</v>
      </c>
      <c r="Q603">
        <f>Tableau1_2[[#This Row],[Quantité]]*Tableau1_2[[#This Row],[Coût_Unitaire]]</f>
        <v>151200</v>
      </c>
      <c r="R603">
        <f>Tableau1_2[[#This Row],[CA]]-Tableau1_2[[#This Row],[Cout Total]]</f>
        <v>80000</v>
      </c>
      <c r="S603" s="4">
        <f>Tableau1_2[[#This Row],[Marge]]/Tableau1_2[[#This Row],[CA]]</f>
        <v>0.34602076124567471</v>
      </c>
      <c r="T603" t="str">
        <f>TEXT(Tableau1_2[[#This Row],[Date]],"mmmm")</f>
        <v>octobre</v>
      </c>
    </row>
    <row r="604" spans="1:20" x14ac:dyDescent="0.35">
      <c r="A604" t="s">
        <v>1387</v>
      </c>
      <c r="B604" s="2">
        <v>46121</v>
      </c>
      <c r="C604" t="s">
        <v>255</v>
      </c>
      <c r="D604" t="s">
        <v>432</v>
      </c>
      <c r="E604" t="s">
        <v>18</v>
      </c>
      <c r="F604" t="s">
        <v>18</v>
      </c>
      <c r="G604" t="s">
        <v>34</v>
      </c>
      <c r="H604" t="s">
        <v>86</v>
      </c>
      <c r="I604">
        <v>6</v>
      </c>
      <c r="J604">
        <v>189000</v>
      </c>
      <c r="K604">
        <v>135000</v>
      </c>
      <c r="L604" t="s">
        <v>21</v>
      </c>
      <c r="M604" t="s">
        <v>37</v>
      </c>
      <c r="N604" t="s">
        <v>52</v>
      </c>
      <c r="O604" t="s">
        <v>24</v>
      </c>
      <c r="P604">
        <f>Tableau1_2[[#This Row],[Quantité]]*Tableau1_2[[#This Row],[Prix_Unitaire]]</f>
        <v>1134000</v>
      </c>
      <c r="Q604">
        <f>Tableau1_2[[#This Row],[Quantité]]*Tableau1_2[[#This Row],[Coût_Unitaire]]</f>
        <v>810000</v>
      </c>
      <c r="R604">
        <f>Tableau1_2[[#This Row],[CA]]-Tableau1_2[[#This Row],[Cout Total]]</f>
        <v>324000</v>
      </c>
      <c r="S604" s="4">
        <f>Tableau1_2[[#This Row],[Marge]]/Tableau1_2[[#This Row],[CA]]</f>
        <v>0.2857142857142857</v>
      </c>
      <c r="T604" t="str">
        <f>TEXT(Tableau1_2[[#This Row],[Date]],"mmmm")</f>
        <v>avril</v>
      </c>
    </row>
    <row r="605" spans="1:20" x14ac:dyDescent="0.35">
      <c r="A605" t="s">
        <v>1388</v>
      </c>
      <c r="B605" s="2">
        <v>46293</v>
      </c>
      <c r="C605" t="s">
        <v>1216</v>
      </c>
      <c r="D605" t="s">
        <v>1241</v>
      </c>
      <c r="E605" t="s">
        <v>77</v>
      </c>
      <c r="F605" t="s">
        <v>78</v>
      </c>
      <c r="G605" t="s">
        <v>43</v>
      </c>
      <c r="H605" t="s">
        <v>49</v>
      </c>
      <c r="I605">
        <v>8</v>
      </c>
      <c r="J605">
        <v>9000</v>
      </c>
      <c r="K605">
        <v>5600</v>
      </c>
      <c r="L605" t="s">
        <v>36</v>
      </c>
      <c r="M605" t="s">
        <v>37</v>
      </c>
      <c r="N605" t="s">
        <v>23</v>
      </c>
      <c r="O605" t="s">
        <v>45</v>
      </c>
      <c r="P605">
        <f>Tableau1_2[[#This Row],[Quantité]]*Tableau1_2[[#This Row],[Prix_Unitaire]]</f>
        <v>72000</v>
      </c>
      <c r="Q605">
        <f>Tableau1_2[[#This Row],[Quantité]]*Tableau1_2[[#This Row],[Coût_Unitaire]]</f>
        <v>44800</v>
      </c>
      <c r="R605">
        <f>Tableau1_2[[#This Row],[CA]]-Tableau1_2[[#This Row],[Cout Total]]</f>
        <v>27200</v>
      </c>
      <c r="S605" s="4">
        <f>Tableau1_2[[#This Row],[Marge]]/Tableau1_2[[#This Row],[CA]]</f>
        <v>0.37777777777777777</v>
      </c>
      <c r="T605" t="str">
        <f>TEXT(Tableau1_2[[#This Row],[Date]],"mmmm")</f>
        <v>septembre</v>
      </c>
    </row>
    <row r="606" spans="1:20" x14ac:dyDescent="0.35">
      <c r="A606" t="s">
        <v>1389</v>
      </c>
      <c r="B606" s="2">
        <v>46176</v>
      </c>
      <c r="C606" t="s">
        <v>1390</v>
      </c>
      <c r="D606" t="s">
        <v>276</v>
      </c>
      <c r="E606" t="s">
        <v>70</v>
      </c>
      <c r="F606" t="s">
        <v>71</v>
      </c>
      <c r="G606" t="s">
        <v>28</v>
      </c>
      <c r="H606" t="s">
        <v>131</v>
      </c>
      <c r="I606">
        <v>5</v>
      </c>
      <c r="J606">
        <v>30000</v>
      </c>
      <c r="K606">
        <v>19600</v>
      </c>
      <c r="L606" t="s">
        <v>66</v>
      </c>
      <c r="M606" t="s">
        <v>51</v>
      </c>
      <c r="N606" t="s">
        <v>52</v>
      </c>
      <c r="O606" t="s">
        <v>24</v>
      </c>
      <c r="P606">
        <f>Tableau1_2[[#This Row],[Quantité]]*Tableau1_2[[#This Row],[Prix_Unitaire]]</f>
        <v>150000</v>
      </c>
      <c r="Q606">
        <f>Tableau1_2[[#This Row],[Quantité]]*Tableau1_2[[#This Row],[Coût_Unitaire]]</f>
        <v>98000</v>
      </c>
      <c r="R606">
        <f>Tableau1_2[[#This Row],[CA]]-Tableau1_2[[#This Row],[Cout Total]]</f>
        <v>52000</v>
      </c>
      <c r="S606" s="4">
        <f>Tableau1_2[[#This Row],[Marge]]/Tableau1_2[[#This Row],[CA]]</f>
        <v>0.34666666666666668</v>
      </c>
      <c r="T606" t="str">
        <f>TEXT(Tableau1_2[[#This Row],[Date]],"mmmm")</f>
        <v>juin</v>
      </c>
    </row>
    <row r="607" spans="1:20" x14ac:dyDescent="0.35">
      <c r="A607" t="s">
        <v>1391</v>
      </c>
      <c r="B607" s="2">
        <v>46366</v>
      </c>
      <c r="C607" t="s">
        <v>427</v>
      </c>
      <c r="D607" t="s">
        <v>814</v>
      </c>
      <c r="E607" t="s">
        <v>84</v>
      </c>
      <c r="F607" t="s">
        <v>85</v>
      </c>
      <c r="G607" t="s">
        <v>34</v>
      </c>
      <c r="H607" t="s">
        <v>86</v>
      </c>
      <c r="I607">
        <v>5</v>
      </c>
      <c r="J607">
        <v>180000</v>
      </c>
      <c r="K607">
        <v>131000</v>
      </c>
      <c r="L607" t="s">
        <v>30</v>
      </c>
      <c r="M607" t="s">
        <v>51</v>
      </c>
      <c r="N607" t="s">
        <v>52</v>
      </c>
      <c r="O607" t="s">
        <v>24</v>
      </c>
      <c r="P607">
        <f>Tableau1_2[[#This Row],[Quantité]]*Tableau1_2[[#This Row],[Prix_Unitaire]]</f>
        <v>900000</v>
      </c>
      <c r="Q607">
        <f>Tableau1_2[[#This Row],[Quantité]]*Tableau1_2[[#This Row],[Coût_Unitaire]]</f>
        <v>655000</v>
      </c>
      <c r="R607">
        <f>Tableau1_2[[#This Row],[CA]]-Tableau1_2[[#This Row],[Cout Total]]</f>
        <v>245000</v>
      </c>
      <c r="S607" s="4">
        <f>Tableau1_2[[#This Row],[Marge]]/Tableau1_2[[#This Row],[CA]]</f>
        <v>0.2722222222222222</v>
      </c>
      <c r="T607" t="str">
        <f>TEXT(Tableau1_2[[#This Row],[Date]],"mmmm")</f>
        <v>décembre</v>
      </c>
    </row>
    <row r="608" spans="1:20" x14ac:dyDescent="0.35">
      <c r="A608" t="s">
        <v>1392</v>
      </c>
      <c r="B608" s="2">
        <v>46377</v>
      </c>
      <c r="C608" t="s">
        <v>387</v>
      </c>
      <c r="D608" t="s">
        <v>144</v>
      </c>
      <c r="E608" t="s">
        <v>18</v>
      </c>
      <c r="F608" t="s">
        <v>18</v>
      </c>
      <c r="G608" t="s">
        <v>19</v>
      </c>
      <c r="H608" t="s">
        <v>20</v>
      </c>
      <c r="I608">
        <v>9</v>
      </c>
      <c r="J608">
        <v>65000</v>
      </c>
      <c r="K608">
        <v>43600</v>
      </c>
      <c r="L608" t="s">
        <v>96</v>
      </c>
      <c r="M608" t="s">
        <v>37</v>
      </c>
      <c r="N608" t="s">
        <v>87</v>
      </c>
      <c r="O608" t="s">
        <v>24</v>
      </c>
      <c r="P608">
        <f>Tableau1_2[[#This Row],[Quantité]]*Tableau1_2[[#This Row],[Prix_Unitaire]]</f>
        <v>585000</v>
      </c>
      <c r="Q608">
        <f>Tableau1_2[[#This Row],[Quantité]]*Tableau1_2[[#This Row],[Coût_Unitaire]]</f>
        <v>392400</v>
      </c>
      <c r="R608">
        <f>Tableau1_2[[#This Row],[CA]]-Tableau1_2[[#This Row],[Cout Total]]</f>
        <v>192600</v>
      </c>
      <c r="S608" s="4">
        <f>Tableau1_2[[#This Row],[Marge]]/Tableau1_2[[#This Row],[CA]]</f>
        <v>0.32923076923076922</v>
      </c>
      <c r="T608" t="str">
        <f>TEXT(Tableau1_2[[#This Row],[Date]],"mmmm")</f>
        <v>décembre</v>
      </c>
    </row>
    <row r="609" spans="1:20" x14ac:dyDescent="0.35">
      <c r="A609" t="s">
        <v>1393</v>
      </c>
      <c r="B609" s="2">
        <v>46351</v>
      </c>
      <c r="C609" t="s">
        <v>759</v>
      </c>
      <c r="D609" t="s">
        <v>521</v>
      </c>
      <c r="E609" t="s">
        <v>41</v>
      </c>
      <c r="F609" t="s">
        <v>42</v>
      </c>
      <c r="G609" t="s">
        <v>34</v>
      </c>
      <c r="H609" t="s">
        <v>86</v>
      </c>
      <c r="I609">
        <v>3</v>
      </c>
      <c r="J609">
        <v>180000</v>
      </c>
      <c r="K609">
        <v>139000</v>
      </c>
      <c r="L609" t="s">
        <v>66</v>
      </c>
      <c r="M609" t="s">
        <v>22</v>
      </c>
      <c r="N609" t="s">
        <v>23</v>
      </c>
      <c r="O609" t="s">
        <v>24</v>
      </c>
      <c r="P609">
        <f>Tableau1_2[[#This Row],[Quantité]]*Tableau1_2[[#This Row],[Prix_Unitaire]]</f>
        <v>540000</v>
      </c>
      <c r="Q609">
        <f>Tableau1_2[[#This Row],[Quantité]]*Tableau1_2[[#This Row],[Coût_Unitaire]]</f>
        <v>417000</v>
      </c>
      <c r="R609">
        <f>Tableau1_2[[#This Row],[CA]]-Tableau1_2[[#This Row],[Cout Total]]</f>
        <v>123000</v>
      </c>
      <c r="S609" s="4">
        <f>Tableau1_2[[#This Row],[Marge]]/Tableau1_2[[#This Row],[CA]]</f>
        <v>0.22777777777777777</v>
      </c>
      <c r="T609" t="str">
        <f>TEXT(Tableau1_2[[#This Row],[Date]],"mmmm")</f>
        <v>novembre</v>
      </c>
    </row>
    <row r="610" spans="1:20" x14ac:dyDescent="0.35">
      <c r="A610" t="s">
        <v>1394</v>
      </c>
      <c r="B610" s="2">
        <v>46290</v>
      </c>
      <c r="C610" t="s">
        <v>148</v>
      </c>
      <c r="D610" t="s">
        <v>1228</v>
      </c>
      <c r="E610" t="s">
        <v>18</v>
      </c>
      <c r="F610" t="s">
        <v>18</v>
      </c>
      <c r="G610" t="s">
        <v>34</v>
      </c>
      <c r="H610" t="s">
        <v>86</v>
      </c>
      <c r="I610">
        <v>3</v>
      </c>
      <c r="J610">
        <v>189000</v>
      </c>
      <c r="K610">
        <v>131000</v>
      </c>
      <c r="L610" t="s">
        <v>73</v>
      </c>
      <c r="M610" t="s">
        <v>37</v>
      </c>
      <c r="N610" t="s">
        <v>87</v>
      </c>
      <c r="O610" t="s">
        <v>45</v>
      </c>
      <c r="P610">
        <f>Tableau1_2[[#This Row],[Quantité]]*Tableau1_2[[#This Row],[Prix_Unitaire]]</f>
        <v>567000</v>
      </c>
      <c r="Q610">
        <f>Tableau1_2[[#This Row],[Quantité]]*Tableau1_2[[#This Row],[Coût_Unitaire]]</f>
        <v>393000</v>
      </c>
      <c r="R610">
        <f>Tableau1_2[[#This Row],[CA]]-Tableau1_2[[#This Row],[Cout Total]]</f>
        <v>174000</v>
      </c>
      <c r="S610" s="4">
        <f>Tableau1_2[[#This Row],[Marge]]/Tableau1_2[[#This Row],[CA]]</f>
        <v>0.30687830687830686</v>
      </c>
      <c r="T610" t="str">
        <f>TEXT(Tableau1_2[[#This Row],[Date]],"mmmm")</f>
        <v>septembre</v>
      </c>
    </row>
    <row r="611" spans="1:20" x14ac:dyDescent="0.35">
      <c r="A611" t="s">
        <v>1395</v>
      </c>
      <c r="B611" s="2">
        <v>46351</v>
      </c>
      <c r="C611" t="s">
        <v>518</v>
      </c>
      <c r="D611" t="s">
        <v>1396</v>
      </c>
      <c r="E611" t="s">
        <v>156</v>
      </c>
      <c r="F611" t="s">
        <v>170</v>
      </c>
      <c r="G611" t="s">
        <v>34</v>
      </c>
      <c r="H611" t="s">
        <v>141</v>
      </c>
      <c r="I611">
        <v>10</v>
      </c>
      <c r="J611">
        <v>160000</v>
      </c>
      <c r="K611">
        <v>123600</v>
      </c>
      <c r="L611" t="s">
        <v>73</v>
      </c>
      <c r="M611" t="s">
        <v>37</v>
      </c>
      <c r="N611" t="s">
        <v>52</v>
      </c>
      <c r="O611" t="s">
        <v>24</v>
      </c>
      <c r="P611">
        <f>Tableau1_2[[#This Row],[Quantité]]*Tableau1_2[[#This Row],[Prix_Unitaire]]</f>
        <v>1600000</v>
      </c>
      <c r="Q611">
        <f>Tableau1_2[[#This Row],[Quantité]]*Tableau1_2[[#This Row],[Coût_Unitaire]]</f>
        <v>1236000</v>
      </c>
      <c r="R611">
        <f>Tableau1_2[[#This Row],[CA]]-Tableau1_2[[#This Row],[Cout Total]]</f>
        <v>364000</v>
      </c>
      <c r="S611" s="4">
        <f>Tableau1_2[[#This Row],[Marge]]/Tableau1_2[[#This Row],[CA]]</f>
        <v>0.22750000000000001</v>
      </c>
      <c r="T611" t="str">
        <f>TEXT(Tableau1_2[[#This Row],[Date]],"mmmm")</f>
        <v>novembre</v>
      </c>
    </row>
    <row r="612" spans="1:20" x14ac:dyDescent="0.35">
      <c r="A612" t="s">
        <v>1397</v>
      </c>
      <c r="B612" s="2">
        <v>46111</v>
      </c>
      <c r="C612" t="s">
        <v>410</v>
      </c>
      <c r="D612" t="s">
        <v>688</v>
      </c>
      <c r="E612" t="s">
        <v>18</v>
      </c>
      <c r="F612" t="s">
        <v>18</v>
      </c>
      <c r="G612" t="s">
        <v>43</v>
      </c>
      <c r="H612" t="s">
        <v>162</v>
      </c>
      <c r="I612">
        <v>9</v>
      </c>
      <c r="J612">
        <v>8000</v>
      </c>
      <c r="K612">
        <v>5200</v>
      </c>
      <c r="L612" t="s">
        <v>73</v>
      </c>
      <c r="M612" t="s">
        <v>51</v>
      </c>
      <c r="N612" t="s">
        <v>23</v>
      </c>
      <c r="O612" t="s">
        <v>91</v>
      </c>
      <c r="P612">
        <f>Tableau1_2[[#This Row],[Quantité]]*Tableau1_2[[#This Row],[Prix_Unitaire]]</f>
        <v>72000</v>
      </c>
      <c r="Q612">
        <f>Tableau1_2[[#This Row],[Quantité]]*Tableau1_2[[#This Row],[Coût_Unitaire]]</f>
        <v>46800</v>
      </c>
      <c r="R612">
        <f>Tableau1_2[[#This Row],[CA]]-Tableau1_2[[#This Row],[Cout Total]]</f>
        <v>25200</v>
      </c>
      <c r="S612" s="4">
        <f>Tableau1_2[[#This Row],[Marge]]/Tableau1_2[[#This Row],[CA]]</f>
        <v>0.35</v>
      </c>
      <c r="T612" t="str">
        <f>TEXT(Tableau1_2[[#This Row],[Date]],"mmmm")</f>
        <v>mars</v>
      </c>
    </row>
    <row r="613" spans="1:20" x14ac:dyDescent="0.35">
      <c r="A613" t="s">
        <v>1398</v>
      </c>
      <c r="B613" s="2">
        <v>46066</v>
      </c>
      <c r="C613" t="s">
        <v>364</v>
      </c>
      <c r="D613" t="s">
        <v>1299</v>
      </c>
      <c r="E613" t="s">
        <v>190</v>
      </c>
      <c r="F613" t="s">
        <v>191</v>
      </c>
      <c r="G613" t="s">
        <v>43</v>
      </c>
      <c r="H613" t="s">
        <v>162</v>
      </c>
      <c r="I613">
        <v>5</v>
      </c>
      <c r="J613">
        <v>8000</v>
      </c>
      <c r="K613">
        <v>4800</v>
      </c>
      <c r="L613" t="s">
        <v>21</v>
      </c>
      <c r="M613" t="s">
        <v>37</v>
      </c>
      <c r="N613" t="s">
        <v>52</v>
      </c>
      <c r="O613" t="s">
        <v>24</v>
      </c>
      <c r="P613">
        <f>Tableau1_2[[#This Row],[Quantité]]*Tableau1_2[[#This Row],[Prix_Unitaire]]</f>
        <v>40000</v>
      </c>
      <c r="Q613">
        <f>Tableau1_2[[#This Row],[Quantité]]*Tableau1_2[[#This Row],[Coût_Unitaire]]</f>
        <v>24000</v>
      </c>
      <c r="R613">
        <f>Tableau1_2[[#This Row],[CA]]-Tableau1_2[[#This Row],[Cout Total]]</f>
        <v>16000</v>
      </c>
      <c r="S613" s="4">
        <f>Tableau1_2[[#This Row],[Marge]]/Tableau1_2[[#This Row],[CA]]</f>
        <v>0.4</v>
      </c>
      <c r="T613" t="str">
        <f>TEXT(Tableau1_2[[#This Row],[Date]],"mmmm")</f>
        <v>février</v>
      </c>
    </row>
    <row r="614" spans="1:20" x14ac:dyDescent="0.35">
      <c r="A614" t="s">
        <v>1399</v>
      </c>
      <c r="B614" s="2">
        <v>46323</v>
      </c>
      <c r="C614" t="s">
        <v>234</v>
      </c>
      <c r="D614" t="s">
        <v>755</v>
      </c>
      <c r="E614" t="s">
        <v>156</v>
      </c>
      <c r="F614" t="s">
        <v>157</v>
      </c>
      <c r="G614" t="s">
        <v>34</v>
      </c>
      <c r="H614" t="s">
        <v>95</v>
      </c>
      <c r="I614">
        <v>7</v>
      </c>
      <c r="J614">
        <v>450000</v>
      </c>
      <c r="K614">
        <v>370000</v>
      </c>
      <c r="L614" t="s">
        <v>80</v>
      </c>
      <c r="M614" t="s">
        <v>37</v>
      </c>
      <c r="N614" t="s">
        <v>23</v>
      </c>
      <c r="O614" t="s">
        <v>24</v>
      </c>
      <c r="P614">
        <f>Tableau1_2[[#This Row],[Quantité]]*Tableau1_2[[#This Row],[Prix_Unitaire]]</f>
        <v>3150000</v>
      </c>
      <c r="Q614">
        <f>Tableau1_2[[#This Row],[Quantité]]*Tableau1_2[[#This Row],[Coût_Unitaire]]</f>
        <v>2590000</v>
      </c>
      <c r="R614">
        <f>Tableau1_2[[#This Row],[CA]]-Tableau1_2[[#This Row],[Cout Total]]</f>
        <v>560000</v>
      </c>
      <c r="S614" s="4">
        <f>Tableau1_2[[#This Row],[Marge]]/Tableau1_2[[#This Row],[CA]]</f>
        <v>0.17777777777777778</v>
      </c>
      <c r="T614" t="str">
        <f>TEXT(Tableau1_2[[#This Row],[Date]],"mmmm")</f>
        <v>octobre</v>
      </c>
    </row>
    <row r="615" spans="1:20" x14ac:dyDescent="0.35">
      <c r="A615" t="s">
        <v>1400</v>
      </c>
      <c r="B615" s="2">
        <v>46327</v>
      </c>
      <c r="C615" t="s">
        <v>874</v>
      </c>
      <c r="D615" t="s">
        <v>1262</v>
      </c>
      <c r="E615" t="s">
        <v>18</v>
      </c>
      <c r="F615" t="s">
        <v>18</v>
      </c>
      <c r="G615" t="s">
        <v>28</v>
      </c>
      <c r="H615" t="s">
        <v>72</v>
      </c>
      <c r="I615">
        <v>10</v>
      </c>
      <c r="J615">
        <v>10000</v>
      </c>
      <c r="K615">
        <v>6200</v>
      </c>
      <c r="L615" t="s">
        <v>21</v>
      </c>
      <c r="M615" t="s">
        <v>37</v>
      </c>
      <c r="N615" t="s">
        <v>52</v>
      </c>
      <c r="O615" t="s">
        <v>24</v>
      </c>
      <c r="P615">
        <f>Tableau1_2[[#This Row],[Quantité]]*Tableau1_2[[#This Row],[Prix_Unitaire]]</f>
        <v>100000</v>
      </c>
      <c r="Q615">
        <f>Tableau1_2[[#This Row],[Quantité]]*Tableau1_2[[#This Row],[Coût_Unitaire]]</f>
        <v>62000</v>
      </c>
      <c r="R615">
        <f>Tableau1_2[[#This Row],[CA]]-Tableau1_2[[#This Row],[Cout Total]]</f>
        <v>38000</v>
      </c>
      <c r="S615" s="4">
        <f>Tableau1_2[[#This Row],[Marge]]/Tableau1_2[[#This Row],[CA]]</f>
        <v>0.38</v>
      </c>
      <c r="T615" t="str">
        <f>TEXT(Tableau1_2[[#This Row],[Date]],"mmmm")</f>
        <v>novembre</v>
      </c>
    </row>
    <row r="616" spans="1:20" x14ac:dyDescent="0.35">
      <c r="A616" t="s">
        <v>1401</v>
      </c>
      <c r="B616" s="2">
        <v>46147</v>
      </c>
      <c r="C616" t="s">
        <v>396</v>
      </c>
      <c r="D616" t="s">
        <v>48</v>
      </c>
      <c r="E616" t="s">
        <v>77</v>
      </c>
      <c r="F616" t="s">
        <v>78</v>
      </c>
      <c r="G616" t="s">
        <v>34</v>
      </c>
      <c r="H616" t="s">
        <v>35</v>
      </c>
      <c r="I616">
        <v>10</v>
      </c>
      <c r="J616">
        <v>55000</v>
      </c>
      <c r="K616">
        <v>39000</v>
      </c>
      <c r="L616" t="s">
        <v>96</v>
      </c>
      <c r="M616" t="s">
        <v>37</v>
      </c>
      <c r="N616" t="s">
        <v>23</v>
      </c>
      <c r="O616" t="s">
        <v>24</v>
      </c>
      <c r="P616">
        <f>Tableau1_2[[#This Row],[Quantité]]*Tableau1_2[[#This Row],[Prix_Unitaire]]</f>
        <v>550000</v>
      </c>
      <c r="Q616">
        <f>Tableau1_2[[#This Row],[Quantité]]*Tableau1_2[[#This Row],[Coût_Unitaire]]</f>
        <v>390000</v>
      </c>
      <c r="R616">
        <f>Tableau1_2[[#This Row],[CA]]-Tableau1_2[[#This Row],[Cout Total]]</f>
        <v>160000</v>
      </c>
      <c r="S616" s="4">
        <f>Tableau1_2[[#This Row],[Marge]]/Tableau1_2[[#This Row],[CA]]</f>
        <v>0.29090909090909089</v>
      </c>
      <c r="T616" t="str">
        <f>TEXT(Tableau1_2[[#This Row],[Date]],"mmmm")</f>
        <v>mai</v>
      </c>
    </row>
    <row r="617" spans="1:20" x14ac:dyDescent="0.35">
      <c r="A617" t="s">
        <v>1402</v>
      </c>
      <c r="B617" s="2">
        <v>46188</v>
      </c>
      <c r="C617" t="s">
        <v>123</v>
      </c>
      <c r="D617" t="s">
        <v>1403</v>
      </c>
      <c r="E617" t="s">
        <v>156</v>
      </c>
      <c r="F617" t="s">
        <v>170</v>
      </c>
      <c r="G617" t="s">
        <v>28</v>
      </c>
      <c r="H617" t="s">
        <v>65</v>
      </c>
      <c r="I617">
        <v>1</v>
      </c>
      <c r="J617">
        <v>12600</v>
      </c>
      <c r="K617">
        <v>7500</v>
      </c>
      <c r="L617" t="s">
        <v>73</v>
      </c>
      <c r="M617" t="s">
        <v>37</v>
      </c>
      <c r="N617" t="s">
        <v>52</v>
      </c>
      <c r="O617" t="s">
        <v>24</v>
      </c>
      <c r="P617">
        <f>Tableau1_2[[#This Row],[Quantité]]*Tableau1_2[[#This Row],[Prix_Unitaire]]</f>
        <v>12600</v>
      </c>
      <c r="Q617">
        <f>Tableau1_2[[#This Row],[Quantité]]*Tableau1_2[[#This Row],[Coût_Unitaire]]</f>
        <v>7500</v>
      </c>
      <c r="R617">
        <f>Tableau1_2[[#This Row],[CA]]-Tableau1_2[[#This Row],[Cout Total]]</f>
        <v>5100</v>
      </c>
      <c r="S617" s="4">
        <f>Tableau1_2[[#This Row],[Marge]]/Tableau1_2[[#This Row],[CA]]</f>
        <v>0.40476190476190477</v>
      </c>
      <c r="T617" t="str">
        <f>TEXT(Tableau1_2[[#This Row],[Date]],"mmmm")</f>
        <v>juin</v>
      </c>
    </row>
    <row r="618" spans="1:20" x14ac:dyDescent="0.35">
      <c r="A618" t="s">
        <v>1404</v>
      </c>
      <c r="B618" s="2">
        <v>46253</v>
      </c>
      <c r="C618" t="s">
        <v>1166</v>
      </c>
      <c r="D618" t="s">
        <v>1405</v>
      </c>
      <c r="E618" t="s">
        <v>156</v>
      </c>
      <c r="F618" t="s">
        <v>170</v>
      </c>
      <c r="G618" t="s">
        <v>34</v>
      </c>
      <c r="H618" t="s">
        <v>86</v>
      </c>
      <c r="I618">
        <v>4</v>
      </c>
      <c r="J618">
        <v>180000</v>
      </c>
      <c r="K618">
        <v>131000</v>
      </c>
      <c r="L618" t="s">
        <v>73</v>
      </c>
      <c r="M618" t="s">
        <v>37</v>
      </c>
      <c r="N618" t="s">
        <v>23</v>
      </c>
      <c r="O618" t="s">
        <v>24</v>
      </c>
      <c r="P618">
        <f>Tableau1_2[[#This Row],[Quantité]]*Tableau1_2[[#This Row],[Prix_Unitaire]]</f>
        <v>720000</v>
      </c>
      <c r="Q618">
        <f>Tableau1_2[[#This Row],[Quantité]]*Tableau1_2[[#This Row],[Coût_Unitaire]]</f>
        <v>524000</v>
      </c>
      <c r="R618">
        <f>Tableau1_2[[#This Row],[CA]]-Tableau1_2[[#This Row],[Cout Total]]</f>
        <v>196000</v>
      </c>
      <c r="S618" s="4">
        <f>Tableau1_2[[#This Row],[Marge]]/Tableau1_2[[#This Row],[CA]]</f>
        <v>0.2722222222222222</v>
      </c>
      <c r="T618" t="str">
        <f>TEXT(Tableau1_2[[#This Row],[Date]],"mmmm")</f>
        <v>août</v>
      </c>
    </row>
    <row r="619" spans="1:20" x14ac:dyDescent="0.35">
      <c r="A619" t="s">
        <v>1406</v>
      </c>
      <c r="B619" s="2">
        <v>46346</v>
      </c>
      <c r="C619" t="s">
        <v>1216</v>
      </c>
      <c r="D619" t="s">
        <v>1332</v>
      </c>
      <c r="E619" t="s">
        <v>56</v>
      </c>
      <c r="F619" t="s">
        <v>57</v>
      </c>
      <c r="G619" t="s">
        <v>34</v>
      </c>
      <c r="H619" t="s">
        <v>158</v>
      </c>
      <c r="I619">
        <v>3</v>
      </c>
      <c r="J619">
        <v>90200</v>
      </c>
      <c r="K619">
        <v>70000</v>
      </c>
      <c r="L619" t="s">
        <v>73</v>
      </c>
      <c r="M619" t="s">
        <v>51</v>
      </c>
      <c r="N619" t="s">
        <v>23</v>
      </c>
      <c r="O619" t="s">
        <v>45</v>
      </c>
      <c r="P619">
        <f>Tableau1_2[[#This Row],[Quantité]]*Tableau1_2[[#This Row],[Prix_Unitaire]]</f>
        <v>270600</v>
      </c>
      <c r="Q619">
        <f>Tableau1_2[[#This Row],[Quantité]]*Tableau1_2[[#This Row],[Coût_Unitaire]]</f>
        <v>210000</v>
      </c>
      <c r="R619">
        <f>Tableau1_2[[#This Row],[CA]]-Tableau1_2[[#This Row],[Cout Total]]</f>
        <v>60600</v>
      </c>
      <c r="S619" s="4">
        <f>Tableau1_2[[#This Row],[Marge]]/Tableau1_2[[#This Row],[CA]]</f>
        <v>0.22394678492239467</v>
      </c>
      <c r="T619" t="str">
        <f>TEXT(Tableau1_2[[#This Row],[Date]],"mmmm")</f>
        <v>novembre</v>
      </c>
    </row>
    <row r="620" spans="1:20" x14ac:dyDescent="0.35">
      <c r="A620" t="s">
        <v>1407</v>
      </c>
      <c r="B620" s="2">
        <v>46375</v>
      </c>
      <c r="C620" t="s">
        <v>1067</v>
      </c>
      <c r="D620" t="s">
        <v>1408</v>
      </c>
      <c r="E620" t="s">
        <v>18</v>
      </c>
      <c r="F620" t="s">
        <v>18</v>
      </c>
      <c r="G620" t="s">
        <v>43</v>
      </c>
      <c r="H620" t="s">
        <v>49</v>
      </c>
      <c r="I620">
        <v>7</v>
      </c>
      <c r="J620">
        <v>8600</v>
      </c>
      <c r="K620">
        <v>6000</v>
      </c>
      <c r="L620" t="s">
        <v>50</v>
      </c>
      <c r="M620" t="s">
        <v>51</v>
      </c>
      <c r="N620" t="s">
        <v>23</v>
      </c>
      <c r="O620" t="s">
        <v>24</v>
      </c>
      <c r="P620">
        <f>Tableau1_2[[#This Row],[Quantité]]*Tableau1_2[[#This Row],[Prix_Unitaire]]</f>
        <v>60200</v>
      </c>
      <c r="Q620">
        <f>Tableau1_2[[#This Row],[Quantité]]*Tableau1_2[[#This Row],[Coût_Unitaire]]</f>
        <v>42000</v>
      </c>
      <c r="R620">
        <f>Tableau1_2[[#This Row],[CA]]-Tableau1_2[[#This Row],[Cout Total]]</f>
        <v>18200</v>
      </c>
      <c r="S620" s="4">
        <f>Tableau1_2[[#This Row],[Marge]]/Tableau1_2[[#This Row],[CA]]</f>
        <v>0.30232558139534882</v>
      </c>
      <c r="T620" t="str">
        <f>TEXT(Tableau1_2[[#This Row],[Date]],"mmmm")</f>
        <v>décembre</v>
      </c>
    </row>
    <row r="621" spans="1:20" x14ac:dyDescent="0.35">
      <c r="A621" t="s">
        <v>1409</v>
      </c>
      <c r="B621" s="2">
        <v>46358</v>
      </c>
      <c r="C621" t="s">
        <v>1410</v>
      </c>
      <c r="D621" t="s">
        <v>317</v>
      </c>
      <c r="E621" t="s">
        <v>56</v>
      </c>
      <c r="F621" t="s">
        <v>57</v>
      </c>
      <c r="G621" t="s">
        <v>28</v>
      </c>
      <c r="H621" t="s">
        <v>131</v>
      </c>
      <c r="I621">
        <v>8</v>
      </c>
      <c r="J621">
        <v>28500</v>
      </c>
      <c r="K621">
        <v>18400</v>
      </c>
      <c r="L621" t="s">
        <v>96</v>
      </c>
      <c r="M621" t="s">
        <v>37</v>
      </c>
      <c r="N621" t="s">
        <v>23</v>
      </c>
      <c r="O621" t="s">
        <v>24</v>
      </c>
      <c r="P621">
        <f>Tableau1_2[[#This Row],[Quantité]]*Tableau1_2[[#This Row],[Prix_Unitaire]]</f>
        <v>228000</v>
      </c>
      <c r="Q621">
        <f>Tableau1_2[[#This Row],[Quantité]]*Tableau1_2[[#This Row],[Coût_Unitaire]]</f>
        <v>147200</v>
      </c>
      <c r="R621">
        <f>Tableau1_2[[#This Row],[CA]]-Tableau1_2[[#This Row],[Cout Total]]</f>
        <v>80800</v>
      </c>
      <c r="S621" s="4">
        <f>Tableau1_2[[#This Row],[Marge]]/Tableau1_2[[#This Row],[CA]]</f>
        <v>0.35438596491228069</v>
      </c>
      <c r="T621" t="str">
        <f>TEXT(Tableau1_2[[#This Row],[Date]],"mmmm")</f>
        <v>décembre</v>
      </c>
    </row>
    <row r="622" spans="1:20" x14ac:dyDescent="0.35">
      <c r="A622" t="s">
        <v>1411</v>
      </c>
      <c r="B622" s="2">
        <v>46220</v>
      </c>
      <c r="C622" t="s">
        <v>110</v>
      </c>
      <c r="D622" t="s">
        <v>1412</v>
      </c>
      <c r="E622" t="s">
        <v>18</v>
      </c>
      <c r="F622" t="s">
        <v>18</v>
      </c>
      <c r="G622" t="s">
        <v>28</v>
      </c>
      <c r="H622" t="s">
        <v>131</v>
      </c>
      <c r="I622">
        <v>9</v>
      </c>
      <c r="J622">
        <v>28500</v>
      </c>
      <c r="K622">
        <v>19600</v>
      </c>
      <c r="L622" t="s">
        <v>21</v>
      </c>
      <c r="M622" t="s">
        <v>37</v>
      </c>
      <c r="N622" t="s">
        <v>52</v>
      </c>
      <c r="O622" t="s">
        <v>91</v>
      </c>
      <c r="P622">
        <f>Tableau1_2[[#This Row],[Quantité]]*Tableau1_2[[#This Row],[Prix_Unitaire]]</f>
        <v>256500</v>
      </c>
      <c r="Q622">
        <f>Tableau1_2[[#This Row],[Quantité]]*Tableau1_2[[#This Row],[Coût_Unitaire]]</f>
        <v>176400</v>
      </c>
      <c r="R622">
        <f>Tableau1_2[[#This Row],[CA]]-Tableau1_2[[#This Row],[Cout Total]]</f>
        <v>80100</v>
      </c>
      <c r="S622" s="4">
        <f>Tableau1_2[[#This Row],[Marge]]/Tableau1_2[[#This Row],[CA]]</f>
        <v>0.31228070175438599</v>
      </c>
      <c r="T622" t="str">
        <f>TEXT(Tableau1_2[[#This Row],[Date]],"mmmm")</f>
        <v>juillet</v>
      </c>
    </row>
    <row r="623" spans="1:20" x14ac:dyDescent="0.35">
      <c r="A623" t="s">
        <v>1413</v>
      </c>
      <c r="B623" s="2">
        <v>46373</v>
      </c>
      <c r="C623" t="s">
        <v>1414</v>
      </c>
      <c r="D623" t="s">
        <v>646</v>
      </c>
      <c r="E623" t="s">
        <v>18</v>
      </c>
      <c r="F623" t="s">
        <v>18</v>
      </c>
      <c r="G623" t="s">
        <v>28</v>
      </c>
      <c r="H623" t="s">
        <v>248</v>
      </c>
      <c r="I623">
        <v>5</v>
      </c>
      <c r="J623">
        <v>25000</v>
      </c>
      <c r="K623">
        <v>16000</v>
      </c>
      <c r="L623" t="s">
        <v>30</v>
      </c>
      <c r="M623" t="s">
        <v>22</v>
      </c>
      <c r="N623" t="s">
        <v>23</v>
      </c>
      <c r="O623" t="s">
        <v>24</v>
      </c>
      <c r="P623">
        <f>Tableau1_2[[#This Row],[Quantité]]*Tableau1_2[[#This Row],[Prix_Unitaire]]</f>
        <v>125000</v>
      </c>
      <c r="Q623">
        <f>Tableau1_2[[#This Row],[Quantité]]*Tableau1_2[[#This Row],[Coût_Unitaire]]</f>
        <v>80000</v>
      </c>
      <c r="R623">
        <f>Tableau1_2[[#This Row],[CA]]-Tableau1_2[[#This Row],[Cout Total]]</f>
        <v>45000</v>
      </c>
      <c r="S623" s="4">
        <f>Tableau1_2[[#This Row],[Marge]]/Tableau1_2[[#This Row],[CA]]</f>
        <v>0.36</v>
      </c>
      <c r="T623" t="str">
        <f>TEXT(Tableau1_2[[#This Row],[Date]],"mmmm")</f>
        <v>décembre</v>
      </c>
    </row>
    <row r="624" spans="1:20" x14ac:dyDescent="0.35">
      <c r="A624" t="s">
        <v>1415</v>
      </c>
      <c r="B624" s="2">
        <v>46280</v>
      </c>
      <c r="C624" t="s">
        <v>1416</v>
      </c>
      <c r="D624" t="s">
        <v>273</v>
      </c>
      <c r="E624" t="s">
        <v>84</v>
      </c>
      <c r="F624" t="s">
        <v>85</v>
      </c>
      <c r="G624" t="s">
        <v>28</v>
      </c>
      <c r="H624" t="s">
        <v>248</v>
      </c>
      <c r="I624">
        <v>5</v>
      </c>
      <c r="J624">
        <v>25000</v>
      </c>
      <c r="K624">
        <v>15500</v>
      </c>
      <c r="L624" t="s">
        <v>73</v>
      </c>
      <c r="M624" t="s">
        <v>37</v>
      </c>
      <c r="N624" t="s">
        <v>87</v>
      </c>
      <c r="O624" t="s">
        <v>91</v>
      </c>
      <c r="P624">
        <f>Tableau1_2[[#This Row],[Quantité]]*Tableau1_2[[#This Row],[Prix_Unitaire]]</f>
        <v>125000</v>
      </c>
      <c r="Q624">
        <f>Tableau1_2[[#This Row],[Quantité]]*Tableau1_2[[#This Row],[Coût_Unitaire]]</f>
        <v>77500</v>
      </c>
      <c r="R624">
        <f>Tableau1_2[[#This Row],[CA]]-Tableau1_2[[#This Row],[Cout Total]]</f>
        <v>47500</v>
      </c>
      <c r="S624" s="4">
        <f>Tableau1_2[[#This Row],[Marge]]/Tableau1_2[[#This Row],[CA]]</f>
        <v>0.38</v>
      </c>
      <c r="T624" t="str">
        <f>TEXT(Tableau1_2[[#This Row],[Date]],"mmmm")</f>
        <v>septembre</v>
      </c>
    </row>
    <row r="625" spans="1:20" x14ac:dyDescent="0.35">
      <c r="A625" t="s">
        <v>1417</v>
      </c>
      <c r="B625" s="2">
        <v>46310</v>
      </c>
      <c r="C625" t="s">
        <v>314</v>
      </c>
      <c r="D625" t="s">
        <v>1418</v>
      </c>
      <c r="E625" t="s">
        <v>156</v>
      </c>
      <c r="F625" t="s">
        <v>157</v>
      </c>
      <c r="G625" t="s">
        <v>43</v>
      </c>
      <c r="H625" t="s">
        <v>79</v>
      </c>
      <c r="I625">
        <v>8</v>
      </c>
      <c r="J625">
        <v>6300</v>
      </c>
      <c r="K625">
        <v>4300</v>
      </c>
      <c r="L625" t="s">
        <v>36</v>
      </c>
      <c r="M625" t="s">
        <v>51</v>
      </c>
      <c r="N625" t="s">
        <v>87</v>
      </c>
      <c r="O625" t="s">
        <v>24</v>
      </c>
      <c r="P625">
        <f>Tableau1_2[[#This Row],[Quantité]]*Tableau1_2[[#This Row],[Prix_Unitaire]]</f>
        <v>50400</v>
      </c>
      <c r="Q625">
        <f>Tableau1_2[[#This Row],[Quantité]]*Tableau1_2[[#This Row],[Coût_Unitaire]]</f>
        <v>34400</v>
      </c>
      <c r="R625">
        <f>Tableau1_2[[#This Row],[CA]]-Tableau1_2[[#This Row],[Cout Total]]</f>
        <v>16000</v>
      </c>
      <c r="S625" s="4">
        <f>Tableau1_2[[#This Row],[Marge]]/Tableau1_2[[#This Row],[CA]]</f>
        <v>0.31746031746031744</v>
      </c>
      <c r="T625" t="str">
        <f>TEXT(Tableau1_2[[#This Row],[Date]],"mmmm")</f>
        <v>octobre</v>
      </c>
    </row>
    <row r="626" spans="1:20" x14ac:dyDescent="0.35">
      <c r="A626" t="s">
        <v>1419</v>
      </c>
      <c r="B626" s="2">
        <v>46336</v>
      </c>
      <c r="C626" t="s">
        <v>252</v>
      </c>
      <c r="D626" t="s">
        <v>1420</v>
      </c>
      <c r="E626" t="s">
        <v>156</v>
      </c>
      <c r="F626" t="s">
        <v>170</v>
      </c>
      <c r="G626" t="s">
        <v>19</v>
      </c>
      <c r="H626" t="s">
        <v>112</v>
      </c>
      <c r="I626">
        <v>10</v>
      </c>
      <c r="J626">
        <v>80800</v>
      </c>
      <c r="K626">
        <v>60100</v>
      </c>
      <c r="L626" t="s">
        <v>30</v>
      </c>
      <c r="M626" t="s">
        <v>22</v>
      </c>
      <c r="N626" t="s">
        <v>52</v>
      </c>
      <c r="O626" t="s">
        <v>24</v>
      </c>
      <c r="P626">
        <f>Tableau1_2[[#This Row],[Quantité]]*Tableau1_2[[#This Row],[Prix_Unitaire]]</f>
        <v>808000</v>
      </c>
      <c r="Q626">
        <f>Tableau1_2[[#This Row],[Quantité]]*Tableau1_2[[#This Row],[Coût_Unitaire]]</f>
        <v>601000</v>
      </c>
      <c r="R626">
        <f>Tableau1_2[[#This Row],[CA]]-Tableau1_2[[#This Row],[Cout Total]]</f>
        <v>207000</v>
      </c>
      <c r="S626" s="4">
        <f>Tableau1_2[[#This Row],[Marge]]/Tableau1_2[[#This Row],[CA]]</f>
        <v>0.25618811881188119</v>
      </c>
      <c r="T626" t="str">
        <f>TEXT(Tableau1_2[[#This Row],[Date]],"mmmm")</f>
        <v>novembre</v>
      </c>
    </row>
    <row r="627" spans="1:20" x14ac:dyDescent="0.35">
      <c r="A627" t="s">
        <v>1421</v>
      </c>
      <c r="B627" s="2">
        <v>46044</v>
      </c>
      <c r="C627" t="s">
        <v>334</v>
      </c>
      <c r="D627" t="s">
        <v>450</v>
      </c>
      <c r="E627" t="s">
        <v>18</v>
      </c>
      <c r="F627" t="s">
        <v>18</v>
      </c>
      <c r="G627" t="s">
        <v>43</v>
      </c>
      <c r="H627" t="s">
        <v>79</v>
      </c>
      <c r="I627">
        <v>6</v>
      </c>
      <c r="J627">
        <v>6300</v>
      </c>
      <c r="K627">
        <v>4200</v>
      </c>
      <c r="L627" t="s">
        <v>30</v>
      </c>
      <c r="M627" t="s">
        <v>51</v>
      </c>
      <c r="N627" t="s">
        <v>87</v>
      </c>
      <c r="O627" t="s">
        <v>91</v>
      </c>
      <c r="P627">
        <f>Tableau1_2[[#This Row],[Quantité]]*Tableau1_2[[#This Row],[Prix_Unitaire]]</f>
        <v>37800</v>
      </c>
      <c r="Q627">
        <f>Tableau1_2[[#This Row],[Quantité]]*Tableau1_2[[#This Row],[Coût_Unitaire]]</f>
        <v>25200</v>
      </c>
      <c r="R627">
        <f>Tableau1_2[[#This Row],[CA]]-Tableau1_2[[#This Row],[Cout Total]]</f>
        <v>12600</v>
      </c>
      <c r="S627" s="4">
        <f>Tableau1_2[[#This Row],[Marge]]/Tableau1_2[[#This Row],[CA]]</f>
        <v>0.33333333333333331</v>
      </c>
      <c r="T627" t="str">
        <f>TEXT(Tableau1_2[[#This Row],[Date]],"mmmm")</f>
        <v>janvier</v>
      </c>
    </row>
    <row r="628" spans="1:20" x14ac:dyDescent="0.35">
      <c r="A628" t="s">
        <v>1422</v>
      </c>
      <c r="B628" s="2">
        <v>46162</v>
      </c>
      <c r="C628" t="s">
        <v>107</v>
      </c>
      <c r="D628" t="s">
        <v>470</v>
      </c>
      <c r="E628" t="s">
        <v>18</v>
      </c>
      <c r="F628" t="s">
        <v>18</v>
      </c>
      <c r="G628" t="s">
        <v>28</v>
      </c>
      <c r="H628" t="s">
        <v>65</v>
      </c>
      <c r="I628">
        <v>1</v>
      </c>
      <c r="J628">
        <v>11400</v>
      </c>
      <c r="K628">
        <v>7300</v>
      </c>
      <c r="L628" t="s">
        <v>66</v>
      </c>
      <c r="M628" t="s">
        <v>51</v>
      </c>
      <c r="N628" t="s">
        <v>52</v>
      </c>
      <c r="O628" t="s">
        <v>24</v>
      </c>
      <c r="P628">
        <f>Tableau1_2[[#This Row],[Quantité]]*Tableau1_2[[#This Row],[Prix_Unitaire]]</f>
        <v>11400</v>
      </c>
      <c r="Q628">
        <f>Tableau1_2[[#This Row],[Quantité]]*Tableau1_2[[#This Row],[Coût_Unitaire]]</f>
        <v>7300</v>
      </c>
      <c r="R628">
        <f>Tableau1_2[[#This Row],[CA]]-Tableau1_2[[#This Row],[Cout Total]]</f>
        <v>4100</v>
      </c>
      <c r="S628" s="4">
        <f>Tableau1_2[[#This Row],[Marge]]/Tableau1_2[[#This Row],[CA]]</f>
        <v>0.35964912280701755</v>
      </c>
      <c r="T628" t="str">
        <f>TEXT(Tableau1_2[[#This Row],[Date]],"mmmm")</f>
        <v>mai</v>
      </c>
    </row>
    <row r="629" spans="1:20" x14ac:dyDescent="0.35">
      <c r="A629" t="s">
        <v>1423</v>
      </c>
      <c r="B629" s="2">
        <v>46315</v>
      </c>
      <c r="C629" t="s">
        <v>1424</v>
      </c>
      <c r="D629" t="s">
        <v>821</v>
      </c>
      <c r="E629" t="s">
        <v>18</v>
      </c>
      <c r="F629" t="s">
        <v>18</v>
      </c>
      <c r="G629" t="s">
        <v>28</v>
      </c>
      <c r="H629" t="s">
        <v>65</v>
      </c>
      <c r="I629">
        <v>1</v>
      </c>
      <c r="J629">
        <v>12000</v>
      </c>
      <c r="K629">
        <v>7500</v>
      </c>
      <c r="L629" t="s">
        <v>30</v>
      </c>
      <c r="M629" t="s">
        <v>37</v>
      </c>
      <c r="N629" t="s">
        <v>23</v>
      </c>
      <c r="O629" t="s">
        <v>24</v>
      </c>
      <c r="P629">
        <f>Tableau1_2[[#This Row],[Quantité]]*Tableau1_2[[#This Row],[Prix_Unitaire]]</f>
        <v>12000</v>
      </c>
      <c r="Q629">
        <f>Tableau1_2[[#This Row],[Quantité]]*Tableau1_2[[#This Row],[Coût_Unitaire]]</f>
        <v>7500</v>
      </c>
      <c r="R629">
        <f>Tableau1_2[[#This Row],[CA]]-Tableau1_2[[#This Row],[Cout Total]]</f>
        <v>4500</v>
      </c>
      <c r="S629" s="4">
        <f>Tableau1_2[[#This Row],[Marge]]/Tableau1_2[[#This Row],[CA]]</f>
        <v>0.375</v>
      </c>
      <c r="T629" t="str">
        <f>TEXT(Tableau1_2[[#This Row],[Date]],"mmmm")</f>
        <v>octobre</v>
      </c>
    </row>
    <row r="630" spans="1:20" x14ac:dyDescent="0.35">
      <c r="A630" t="s">
        <v>1425</v>
      </c>
      <c r="B630" s="2">
        <v>46075</v>
      </c>
      <c r="C630" t="s">
        <v>1210</v>
      </c>
      <c r="D630" t="s">
        <v>306</v>
      </c>
      <c r="E630" t="s">
        <v>18</v>
      </c>
      <c r="F630" t="s">
        <v>18</v>
      </c>
      <c r="G630" t="s">
        <v>19</v>
      </c>
      <c r="H630" t="s">
        <v>112</v>
      </c>
      <c r="I630">
        <v>8</v>
      </c>
      <c r="J630">
        <v>85000</v>
      </c>
      <c r="K630">
        <v>62000</v>
      </c>
      <c r="L630" t="s">
        <v>73</v>
      </c>
      <c r="M630" t="s">
        <v>37</v>
      </c>
      <c r="N630" t="s">
        <v>23</v>
      </c>
      <c r="O630" t="s">
        <v>24</v>
      </c>
      <c r="P630">
        <f>Tableau1_2[[#This Row],[Quantité]]*Tableau1_2[[#This Row],[Prix_Unitaire]]</f>
        <v>680000</v>
      </c>
      <c r="Q630">
        <f>Tableau1_2[[#This Row],[Quantité]]*Tableau1_2[[#This Row],[Coût_Unitaire]]</f>
        <v>496000</v>
      </c>
      <c r="R630">
        <f>Tableau1_2[[#This Row],[CA]]-Tableau1_2[[#This Row],[Cout Total]]</f>
        <v>184000</v>
      </c>
      <c r="S630" s="4">
        <f>Tableau1_2[[#This Row],[Marge]]/Tableau1_2[[#This Row],[CA]]</f>
        <v>0.27058823529411763</v>
      </c>
      <c r="T630" t="str">
        <f>TEXT(Tableau1_2[[#This Row],[Date]],"mmmm")</f>
        <v>février</v>
      </c>
    </row>
    <row r="631" spans="1:20" x14ac:dyDescent="0.35">
      <c r="A631" t="s">
        <v>1426</v>
      </c>
      <c r="B631" s="2">
        <v>46209</v>
      </c>
      <c r="C631" t="s">
        <v>1237</v>
      </c>
      <c r="D631" t="s">
        <v>1427</v>
      </c>
      <c r="E631" t="s">
        <v>84</v>
      </c>
      <c r="F631" t="s">
        <v>85</v>
      </c>
      <c r="G631" t="s">
        <v>28</v>
      </c>
      <c r="H631" t="s">
        <v>65</v>
      </c>
      <c r="I631">
        <v>9</v>
      </c>
      <c r="J631">
        <v>12600</v>
      </c>
      <c r="K631">
        <v>7700</v>
      </c>
      <c r="L631" t="s">
        <v>36</v>
      </c>
      <c r="M631" t="s">
        <v>22</v>
      </c>
      <c r="N631" t="s">
        <v>87</v>
      </c>
      <c r="O631" t="s">
        <v>24</v>
      </c>
      <c r="P631">
        <f>Tableau1_2[[#This Row],[Quantité]]*Tableau1_2[[#This Row],[Prix_Unitaire]]</f>
        <v>113400</v>
      </c>
      <c r="Q631">
        <f>Tableau1_2[[#This Row],[Quantité]]*Tableau1_2[[#This Row],[Coût_Unitaire]]</f>
        <v>69300</v>
      </c>
      <c r="R631">
        <f>Tableau1_2[[#This Row],[CA]]-Tableau1_2[[#This Row],[Cout Total]]</f>
        <v>44100</v>
      </c>
      <c r="S631" s="4">
        <f>Tableau1_2[[#This Row],[Marge]]/Tableau1_2[[#This Row],[CA]]</f>
        <v>0.3888888888888889</v>
      </c>
      <c r="T631" t="str">
        <f>TEXT(Tableau1_2[[#This Row],[Date]],"mmmm")</f>
        <v>juillet</v>
      </c>
    </row>
    <row r="632" spans="1:20" x14ac:dyDescent="0.35">
      <c r="A632" t="s">
        <v>1428</v>
      </c>
      <c r="B632" s="2">
        <v>46262</v>
      </c>
      <c r="C632" t="s">
        <v>210</v>
      </c>
      <c r="D632" t="s">
        <v>1429</v>
      </c>
      <c r="E632" t="s">
        <v>18</v>
      </c>
      <c r="F632" t="s">
        <v>18</v>
      </c>
      <c r="G632" t="s">
        <v>19</v>
      </c>
      <c r="H632" t="s">
        <v>112</v>
      </c>
      <c r="I632">
        <v>4</v>
      </c>
      <c r="J632">
        <v>80800</v>
      </c>
      <c r="K632">
        <v>63900</v>
      </c>
      <c r="L632" t="s">
        <v>50</v>
      </c>
      <c r="M632" t="s">
        <v>22</v>
      </c>
      <c r="N632" t="s">
        <v>23</v>
      </c>
      <c r="O632" t="s">
        <v>24</v>
      </c>
      <c r="P632">
        <f>Tableau1_2[[#This Row],[Quantité]]*Tableau1_2[[#This Row],[Prix_Unitaire]]</f>
        <v>323200</v>
      </c>
      <c r="Q632">
        <f>Tableau1_2[[#This Row],[Quantité]]*Tableau1_2[[#This Row],[Coût_Unitaire]]</f>
        <v>255600</v>
      </c>
      <c r="R632">
        <f>Tableau1_2[[#This Row],[CA]]-Tableau1_2[[#This Row],[Cout Total]]</f>
        <v>67600</v>
      </c>
      <c r="S632" s="4">
        <f>Tableau1_2[[#This Row],[Marge]]/Tableau1_2[[#This Row],[CA]]</f>
        <v>0.20915841584158415</v>
      </c>
      <c r="T632" t="str">
        <f>TEXT(Tableau1_2[[#This Row],[Date]],"mmmm")</f>
        <v>août</v>
      </c>
    </row>
    <row r="633" spans="1:20" x14ac:dyDescent="0.35">
      <c r="A633" t="s">
        <v>1430</v>
      </c>
      <c r="B633" s="2">
        <v>46164</v>
      </c>
      <c r="C633" t="s">
        <v>497</v>
      </c>
      <c r="D633" t="s">
        <v>1217</v>
      </c>
      <c r="E633" t="s">
        <v>18</v>
      </c>
      <c r="F633" t="s">
        <v>18</v>
      </c>
      <c r="G633" t="s">
        <v>43</v>
      </c>
      <c r="H633" t="s">
        <v>177</v>
      </c>
      <c r="I633">
        <v>10</v>
      </c>
      <c r="J633">
        <v>18000</v>
      </c>
      <c r="K633">
        <v>12100</v>
      </c>
      <c r="L633" t="s">
        <v>50</v>
      </c>
      <c r="M633" t="s">
        <v>37</v>
      </c>
      <c r="N633" t="s">
        <v>52</v>
      </c>
      <c r="O633" t="s">
        <v>24</v>
      </c>
      <c r="P633">
        <f>Tableau1_2[[#This Row],[Quantité]]*Tableau1_2[[#This Row],[Prix_Unitaire]]</f>
        <v>180000</v>
      </c>
      <c r="Q633">
        <f>Tableau1_2[[#This Row],[Quantité]]*Tableau1_2[[#This Row],[Coût_Unitaire]]</f>
        <v>121000</v>
      </c>
      <c r="R633">
        <f>Tableau1_2[[#This Row],[CA]]-Tableau1_2[[#This Row],[Cout Total]]</f>
        <v>59000</v>
      </c>
      <c r="S633" s="4">
        <f>Tableau1_2[[#This Row],[Marge]]/Tableau1_2[[#This Row],[CA]]</f>
        <v>0.32777777777777778</v>
      </c>
      <c r="T633" t="str">
        <f>TEXT(Tableau1_2[[#This Row],[Date]],"mmmm")</f>
        <v>mai</v>
      </c>
    </row>
    <row r="634" spans="1:20" x14ac:dyDescent="0.35">
      <c r="A634" t="s">
        <v>1431</v>
      </c>
      <c r="B634" s="2">
        <v>46129</v>
      </c>
      <c r="C634" t="s">
        <v>1432</v>
      </c>
      <c r="D634" t="s">
        <v>223</v>
      </c>
      <c r="E634" t="s">
        <v>18</v>
      </c>
      <c r="F634" t="s">
        <v>18</v>
      </c>
      <c r="G634" t="s">
        <v>34</v>
      </c>
      <c r="H634" t="s">
        <v>35</v>
      </c>
      <c r="I634">
        <v>10</v>
      </c>
      <c r="J634">
        <v>57800</v>
      </c>
      <c r="K634">
        <v>37800</v>
      </c>
      <c r="L634" t="s">
        <v>36</v>
      </c>
      <c r="M634" t="s">
        <v>22</v>
      </c>
      <c r="N634" t="s">
        <v>23</v>
      </c>
      <c r="O634" t="s">
        <v>24</v>
      </c>
      <c r="P634">
        <f>Tableau1_2[[#This Row],[Quantité]]*Tableau1_2[[#This Row],[Prix_Unitaire]]</f>
        <v>578000</v>
      </c>
      <c r="Q634">
        <f>Tableau1_2[[#This Row],[Quantité]]*Tableau1_2[[#This Row],[Coût_Unitaire]]</f>
        <v>378000</v>
      </c>
      <c r="R634">
        <f>Tableau1_2[[#This Row],[CA]]-Tableau1_2[[#This Row],[Cout Total]]</f>
        <v>200000</v>
      </c>
      <c r="S634" s="4">
        <f>Tableau1_2[[#This Row],[Marge]]/Tableau1_2[[#This Row],[CA]]</f>
        <v>0.34602076124567471</v>
      </c>
      <c r="T634" t="str">
        <f>TEXT(Tableau1_2[[#This Row],[Date]],"mmmm")</f>
        <v>avril</v>
      </c>
    </row>
    <row r="635" spans="1:20" x14ac:dyDescent="0.35">
      <c r="A635" t="s">
        <v>1433</v>
      </c>
      <c r="B635" s="2">
        <v>46064</v>
      </c>
      <c r="C635" t="s">
        <v>805</v>
      </c>
      <c r="D635" t="s">
        <v>1434</v>
      </c>
      <c r="E635" t="s">
        <v>18</v>
      </c>
      <c r="F635" t="s">
        <v>18</v>
      </c>
      <c r="G635" t="s">
        <v>34</v>
      </c>
      <c r="H635" t="s">
        <v>141</v>
      </c>
      <c r="I635">
        <v>10</v>
      </c>
      <c r="J635">
        <v>160000</v>
      </c>
      <c r="K635">
        <v>116400</v>
      </c>
      <c r="L635" t="s">
        <v>73</v>
      </c>
      <c r="M635" t="s">
        <v>31</v>
      </c>
      <c r="N635" t="s">
        <v>52</v>
      </c>
      <c r="O635" t="s">
        <v>24</v>
      </c>
      <c r="P635">
        <f>Tableau1_2[[#This Row],[Quantité]]*Tableau1_2[[#This Row],[Prix_Unitaire]]</f>
        <v>1600000</v>
      </c>
      <c r="Q635">
        <f>Tableau1_2[[#This Row],[Quantité]]*Tableau1_2[[#This Row],[Coût_Unitaire]]</f>
        <v>1164000</v>
      </c>
      <c r="R635">
        <f>Tableau1_2[[#This Row],[CA]]-Tableau1_2[[#This Row],[Cout Total]]</f>
        <v>436000</v>
      </c>
      <c r="S635" s="4">
        <f>Tableau1_2[[#This Row],[Marge]]/Tableau1_2[[#This Row],[CA]]</f>
        <v>0.27250000000000002</v>
      </c>
      <c r="T635" t="str">
        <f>TEXT(Tableau1_2[[#This Row],[Date]],"mmmm")</f>
        <v>février</v>
      </c>
    </row>
    <row r="636" spans="1:20" x14ac:dyDescent="0.35">
      <c r="A636" t="s">
        <v>1436</v>
      </c>
      <c r="B636" s="2">
        <v>46253</v>
      </c>
      <c r="C636" t="s">
        <v>1437</v>
      </c>
      <c r="D636" t="s">
        <v>953</v>
      </c>
      <c r="E636" t="s">
        <v>84</v>
      </c>
      <c r="F636" t="s">
        <v>85</v>
      </c>
      <c r="G636" t="s">
        <v>28</v>
      </c>
      <c r="H636" t="s">
        <v>29</v>
      </c>
      <c r="I636">
        <v>5</v>
      </c>
      <c r="J636">
        <v>7000</v>
      </c>
      <c r="K636">
        <v>4000</v>
      </c>
      <c r="L636" t="s">
        <v>30</v>
      </c>
      <c r="M636" t="s">
        <v>51</v>
      </c>
      <c r="N636" t="s">
        <v>23</v>
      </c>
      <c r="O636" t="s">
        <v>24</v>
      </c>
      <c r="P636">
        <f>Tableau1_2[[#This Row],[Quantité]]*Tableau1_2[[#This Row],[Prix_Unitaire]]</f>
        <v>35000</v>
      </c>
      <c r="Q636">
        <f>Tableau1_2[[#This Row],[Quantité]]*Tableau1_2[[#This Row],[Coût_Unitaire]]</f>
        <v>20000</v>
      </c>
      <c r="R636">
        <f>Tableau1_2[[#This Row],[CA]]-Tableau1_2[[#This Row],[Cout Total]]</f>
        <v>15000</v>
      </c>
      <c r="S636" s="4">
        <f>Tableau1_2[[#This Row],[Marge]]/Tableau1_2[[#This Row],[CA]]</f>
        <v>0.42857142857142855</v>
      </c>
      <c r="T636" t="str">
        <f>TEXT(Tableau1_2[[#This Row],[Date]],"mmmm")</f>
        <v>août</v>
      </c>
    </row>
    <row r="637" spans="1:20" x14ac:dyDescent="0.35">
      <c r="A637" t="s">
        <v>1438</v>
      </c>
      <c r="B637" s="2">
        <v>46115</v>
      </c>
      <c r="C637" t="s">
        <v>603</v>
      </c>
      <c r="D637" t="s">
        <v>1439</v>
      </c>
      <c r="E637" t="s">
        <v>84</v>
      </c>
      <c r="F637" t="s">
        <v>85</v>
      </c>
      <c r="G637" t="s">
        <v>19</v>
      </c>
      <c r="H637" t="s">
        <v>20</v>
      </c>
      <c r="I637">
        <v>2</v>
      </c>
      <c r="J637">
        <v>68200</v>
      </c>
      <c r="K637">
        <v>43600</v>
      </c>
      <c r="L637" t="s">
        <v>50</v>
      </c>
      <c r="M637" t="s">
        <v>37</v>
      </c>
      <c r="N637" t="s">
        <v>23</v>
      </c>
      <c r="O637" t="s">
        <v>24</v>
      </c>
      <c r="P637">
        <f>Tableau1_2[[#This Row],[Quantité]]*Tableau1_2[[#This Row],[Prix_Unitaire]]</f>
        <v>136400</v>
      </c>
      <c r="Q637">
        <f>Tableau1_2[[#This Row],[Quantité]]*Tableau1_2[[#This Row],[Coût_Unitaire]]</f>
        <v>87200</v>
      </c>
      <c r="R637">
        <f>Tableau1_2[[#This Row],[CA]]-Tableau1_2[[#This Row],[Cout Total]]</f>
        <v>49200</v>
      </c>
      <c r="S637" s="4">
        <f>Tableau1_2[[#This Row],[Marge]]/Tableau1_2[[#This Row],[CA]]</f>
        <v>0.36070381231671556</v>
      </c>
      <c r="T637" t="str">
        <f>TEXT(Tableau1_2[[#This Row],[Date]],"mmmm")</f>
        <v>avril</v>
      </c>
    </row>
    <row r="638" spans="1:20" x14ac:dyDescent="0.35">
      <c r="A638" t="s">
        <v>1440</v>
      </c>
      <c r="B638" s="2">
        <v>46113</v>
      </c>
      <c r="C638" t="s">
        <v>196</v>
      </c>
      <c r="D638" t="s">
        <v>1258</v>
      </c>
      <c r="E638" t="s">
        <v>56</v>
      </c>
      <c r="F638" t="s">
        <v>57</v>
      </c>
      <c r="G638" t="s">
        <v>28</v>
      </c>
      <c r="H638" t="s">
        <v>248</v>
      </c>
      <c r="I638">
        <v>8</v>
      </c>
      <c r="J638">
        <v>25000</v>
      </c>
      <c r="K638">
        <v>15500</v>
      </c>
      <c r="L638" t="s">
        <v>73</v>
      </c>
      <c r="M638" t="s">
        <v>51</v>
      </c>
      <c r="N638" t="s">
        <v>52</v>
      </c>
      <c r="O638" t="s">
        <v>24</v>
      </c>
      <c r="P638">
        <f>Tableau1_2[[#This Row],[Quantité]]*Tableau1_2[[#This Row],[Prix_Unitaire]]</f>
        <v>200000</v>
      </c>
      <c r="Q638">
        <f>Tableau1_2[[#This Row],[Quantité]]*Tableau1_2[[#This Row],[Coût_Unitaire]]</f>
        <v>124000</v>
      </c>
      <c r="R638">
        <f>Tableau1_2[[#This Row],[CA]]-Tableau1_2[[#This Row],[Cout Total]]</f>
        <v>76000</v>
      </c>
      <c r="S638" s="4">
        <f>Tableau1_2[[#This Row],[Marge]]/Tableau1_2[[#This Row],[CA]]</f>
        <v>0.38</v>
      </c>
      <c r="T638" t="str">
        <f>TEXT(Tableau1_2[[#This Row],[Date]],"mmmm")</f>
        <v>avril</v>
      </c>
    </row>
    <row r="639" spans="1:20" x14ac:dyDescent="0.35">
      <c r="A639" t="s">
        <v>1441</v>
      </c>
      <c r="B639" s="2">
        <v>46061</v>
      </c>
      <c r="C639" t="s">
        <v>1442</v>
      </c>
      <c r="D639" t="s">
        <v>1322</v>
      </c>
      <c r="E639" t="s">
        <v>18</v>
      </c>
      <c r="F639" t="s">
        <v>18</v>
      </c>
      <c r="G639" t="s">
        <v>28</v>
      </c>
      <c r="H639" t="s">
        <v>248</v>
      </c>
      <c r="I639">
        <v>8</v>
      </c>
      <c r="J639">
        <v>23800</v>
      </c>
      <c r="K639">
        <v>15500</v>
      </c>
      <c r="L639" t="s">
        <v>96</v>
      </c>
      <c r="M639" t="s">
        <v>31</v>
      </c>
      <c r="N639" t="s">
        <v>87</v>
      </c>
      <c r="O639" t="s">
        <v>24</v>
      </c>
      <c r="P639">
        <f>Tableau1_2[[#This Row],[Quantité]]*Tableau1_2[[#This Row],[Prix_Unitaire]]</f>
        <v>190400</v>
      </c>
      <c r="Q639">
        <f>Tableau1_2[[#This Row],[Quantité]]*Tableau1_2[[#This Row],[Coût_Unitaire]]</f>
        <v>124000</v>
      </c>
      <c r="R639">
        <f>Tableau1_2[[#This Row],[CA]]-Tableau1_2[[#This Row],[Cout Total]]</f>
        <v>66400</v>
      </c>
      <c r="S639" s="4">
        <f>Tableau1_2[[#This Row],[Marge]]/Tableau1_2[[#This Row],[CA]]</f>
        <v>0.34873949579831931</v>
      </c>
      <c r="T639" t="str">
        <f>TEXT(Tableau1_2[[#This Row],[Date]],"mmmm")</f>
        <v>février</v>
      </c>
    </row>
    <row r="640" spans="1:20" x14ac:dyDescent="0.35">
      <c r="A640" t="s">
        <v>1443</v>
      </c>
      <c r="B640" s="2">
        <v>46062</v>
      </c>
      <c r="C640" t="s">
        <v>1444</v>
      </c>
      <c r="D640" t="s">
        <v>1054</v>
      </c>
      <c r="E640" t="s">
        <v>70</v>
      </c>
      <c r="F640" t="s">
        <v>71</v>
      </c>
      <c r="G640" t="s">
        <v>43</v>
      </c>
      <c r="H640" t="s">
        <v>44</v>
      </c>
      <c r="I640">
        <v>7</v>
      </c>
      <c r="J640">
        <v>15000</v>
      </c>
      <c r="K640">
        <v>9500</v>
      </c>
      <c r="L640" t="s">
        <v>50</v>
      </c>
      <c r="M640" t="s">
        <v>51</v>
      </c>
      <c r="N640" t="s">
        <v>52</v>
      </c>
      <c r="O640" t="s">
        <v>91</v>
      </c>
      <c r="P640">
        <f>Tableau1_2[[#This Row],[Quantité]]*Tableau1_2[[#This Row],[Prix_Unitaire]]</f>
        <v>105000</v>
      </c>
      <c r="Q640">
        <f>Tableau1_2[[#This Row],[Quantité]]*Tableau1_2[[#This Row],[Coût_Unitaire]]</f>
        <v>66500</v>
      </c>
      <c r="R640">
        <f>Tableau1_2[[#This Row],[CA]]-Tableau1_2[[#This Row],[Cout Total]]</f>
        <v>38500</v>
      </c>
      <c r="S640" s="4">
        <f>Tableau1_2[[#This Row],[Marge]]/Tableau1_2[[#This Row],[CA]]</f>
        <v>0.36666666666666664</v>
      </c>
      <c r="T640" t="str">
        <f>TEXT(Tableau1_2[[#This Row],[Date]],"mmmm")</f>
        <v>février</v>
      </c>
    </row>
    <row r="641" spans="1:20" x14ac:dyDescent="0.35">
      <c r="A641" t="s">
        <v>1445</v>
      </c>
      <c r="B641" s="2">
        <v>46337</v>
      </c>
      <c r="C641" t="s">
        <v>1446</v>
      </c>
      <c r="D641" t="s">
        <v>317</v>
      </c>
      <c r="E641" t="s">
        <v>156</v>
      </c>
      <c r="F641" t="s">
        <v>170</v>
      </c>
      <c r="G641" t="s">
        <v>43</v>
      </c>
      <c r="H641" t="s">
        <v>79</v>
      </c>
      <c r="I641">
        <v>10</v>
      </c>
      <c r="J641">
        <v>6000</v>
      </c>
      <c r="K641">
        <v>4300</v>
      </c>
      <c r="L641" t="s">
        <v>50</v>
      </c>
      <c r="M641" t="s">
        <v>37</v>
      </c>
      <c r="N641" t="s">
        <v>52</v>
      </c>
      <c r="O641" t="s">
        <v>24</v>
      </c>
      <c r="P641">
        <f>Tableau1_2[[#This Row],[Quantité]]*Tableau1_2[[#This Row],[Prix_Unitaire]]</f>
        <v>60000</v>
      </c>
      <c r="Q641">
        <f>Tableau1_2[[#This Row],[Quantité]]*Tableau1_2[[#This Row],[Coût_Unitaire]]</f>
        <v>43000</v>
      </c>
      <c r="R641">
        <f>Tableau1_2[[#This Row],[CA]]-Tableau1_2[[#This Row],[Cout Total]]</f>
        <v>17000</v>
      </c>
      <c r="S641" s="4">
        <f>Tableau1_2[[#This Row],[Marge]]/Tableau1_2[[#This Row],[CA]]</f>
        <v>0.28333333333333333</v>
      </c>
      <c r="T641" t="str">
        <f>TEXT(Tableau1_2[[#This Row],[Date]],"mmmm")</f>
        <v>novembre</v>
      </c>
    </row>
    <row r="642" spans="1:20" x14ac:dyDescent="0.35">
      <c r="A642" t="s">
        <v>1447</v>
      </c>
      <c r="B642" s="2">
        <v>46062</v>
      </c>
      <c r="C642" t="s">
        <v>1448</v>
      </c>
      <c r="D642" t="s">
        <v>1094</v>
      </c>
      <c r="E642" t="s">
        <v>18</v>
      </c>
      <c r="F642" t="s">
        <v>18</v>
      </c>
      <c r="G642" t="s">
        <v>19</v>
      </c>
      <c r="H642" t="s">
        <v>112</v>
      </c>
      <c r="I642">
        <v>1</v>
      </c>
      <c r="J642">
        <v>89200</v>
      </c>
      <c r="K642">
        <v>63900</v>
      </c>
      <c r="L642" t="s">
        <v>21</v>
      </c>
      <c r="M642" t="s">
        <v>37</v>
      </c>
      <c r="N642" t="s">
        <v>52</v>
      </c>
      <c r="O642" t="s">
        <v>24</v>
      </c>
      <c r="P642">
        <f>Tableau1_2[[#This Row],[Quantité]]*Tableau1_2[[#This Row],[Prix_Unitaire]]</f>
        <v>89200</v>
      </c>
      <c r="Q642">
        <f>Tableau1_2[[#This Row],[Quantité]]*Tableau1_2[[#This Row],[Coût_Unitaire]]</f>
        <v>63900</v>
      </c>
      <c r="R642">
        <f>Tableau1_2[[#This Row],[CA]]-Tableau1_2[[#This Row],[Cout Total]]</f>
        <v>25300</v>
      </c>
      <c r="S642" s="4">
        <f>Tableau1_2[[#This Row],[Marge]]/Tableau1_2[[#This Row],[CA]]</f>
        <v>0.28363228699551568</v>
      </c>
      <c r="T642" t="str">
        <f>TEXT(Tableau1_2[[#This Row],[Date]],"mmmm")</f>
        <v>février</v>
      </c>
    </row>
    <row r="643" spans="1:20" x14ac:dyDescent="0.35">
      <c r="A643" t="s">
        <v>1449</v>
      </c>
      <c r="B643" s="2">
        <v>46202</v>
      </c>
      <c r="C643" t="s">
        <v>1450</v>
      </c>
      <c r="D643" t="s">
        <v>1322</v>
      </c>
      <c r="E643" t="s">
        <v>18</v>
      </c>
      <c r="F643" t="s">
        <v>18</v>
      </c>
      <c r="G643" t="s">
        <v>34</v>
      </c>
      <c r="H643" t="s">
        <v>95</v>
      </c>
      <c r="I643">
        <v>2</v>
      </c>
      <c r="J643">
        <v>427500</v>
      </c>
      <c r="K643">
        <v>358900</v>
      </c>
      <c r="L643" t="s">
        <v>80</v>
      </c>
      <c r="M643" t="s">
        <v>31</v>
      </c>
      <c r="N643" t="s">
        <v>52</v>
      </c>
      <c r="O643" t="s">
        <v>24</v>
      </c>
      <c r="P643">
        <f>Tableau1_2[[#This Row],[Quantité]]*Tableau1_2[[#This Row],[Prix_Unitaire]]</f>
        <v>855000</v>
      </c>
      <c r="Q643">
        <f>Tableau1_2[[#This Row],[Quantité]]*Tableau1_2[[#This Row],[Coût_Unitaire]]</f>
        <v>717800</v>
      </c>
      <c r="R643">
        <f>Tableau1_2[[#This Row],[CA]]-Tableau1_2[[#This Row],[Cout Total]]</f>
        <v>137200</v>
      </c>
      <c r="S643" s="4">
        <f>Tableau1_2[[#This Row],[Marge]]/Tableau1_2[[#This Row],[CA]]</f>
        <v>0.16046783625730995</v>
      </c>
      <c r="T643" t="str">
        <f>TEXT(Tableau1_2[[#This Row],[Date]],"mmmm")</f>
        <v>juin</v>
      </c>
    </row>
    <row r="644" spans="1:20" x14ac:dyDescent="0.35">
      <c r="A644" t="s">
        <v>1451</v>
      </c>
      <c r="B644" s="2">
        <v>46292</v>
      </c>
      <c r="C644" t="s">
        <v>945</v>
      </c>
      <c r="D644" t="s">
        <v>1256</v>
      </c>
      <c r="E644" t="s">
        <v>41</v>
      </c>
      <c r="F644" t="s">
        <v>42</v>
      </c>
      <c r="G644" t="s">
        <v>43</v>
      </c>
      <c r="H644" t="s">
        <v>44</v>
      </c>
      <c r="I644">
        <v>3</v>
      </c>
      <c r="J644">
        <v>15000</v>
      </c>
      <c r="K644">
        <v>9500</v>
      </c>
      <c r="L644" t="s">
        <v>96</v>
      </c>
      <c r="M644" t="s">
        <v>22</v>
      </c>
      <c r="N644" t="s">
        <v>23</v>
      </c>
      <c r="O644" t="s">
        <v>24</v>
      </c>
      <c r="P644">
        <f>Tableau1_2[[#This Row],[Quantité]]*Tableau1_2[[#This Row],[Prix_Unitaire]]</f>
        <v>45000</v>
      </c>
      <c r="Q644">
        <f>Tableau1_2[[#This Row],[Quantité]]*Tableau1_2[[#This Row],[Coût_Unitaire]]</f>
        <v>28500</v>
      </c>
      <c r="R644">
        <f>Tableau1_2[[#This Row],[CA]]-Tableau1_2[[#This Row],[Cout Total]]</f>
        <v>16500</v>
      </c>
      <c r="S644" s="4">
        <f>Tableau1_2[[#This Row],[Marge]]/Tableau1_2[[#This Row],[CA]]</f>
        <v>0.36666666666666664</v>
      </c>
      <c r="T644" t="str">
        <f>TEXT(Tableau1_2[[#This Row],[Date]],"mmmm")</f>
        <v>septembre</v>
      </c>
    </row>
    <row r="645" spans="1:20" x14ac:dyDescent="0.35">
      <c r="A645" t="s">
        <v>1452</v>
      </c>
      <c r="B645" s="2">
        <v>46062</v>
      </c>
      <c r="C645" t="s">
        <v>308</v>
      </c>
      <c r="D645" t="s">
        <v>1453</v>
      </c>
      <c r="E645" t="s">
        <v>41</v>
      </c>
      <c r="F645" t="s">
        <v>42</v>
      </c>
      <c r="G645" t="s">
        <v>34</v>
      </c>
      <c r="H645" t="s">
        <v>35</v>
      </c>
      <c r="I645">
        <v>10</v>
      </c>
      <c r="J645">
        <v>52200</v>
      </c>
      <c r="K645">
        <v>40200</v>
      </c>
      <c r="L645" t="s">
        <v>21</v>
      </c>
      <c r="M645" t="s">
        <v>37</v>
      </c>
      <c r="N645" t="s">
        <v>87</v>
      </c>
      <c r="O645" t="s">
        <v>24</v>
      </c>
      <c r="P645">
        <f>Tableau1_2[[#This Row],[Quantité]]*Tableau1_2[[#This Row],[Prix_Unitaire]]</f>
        <v>522000</v>
      </c>
      <c r="Q645">
        <f>Tableau1_2[[#This Row],[Quantité]]*Tableau1_2[[#This Row],[Coût_Unitaire]]</f>
        <v>402000</v>
      </c>
      <c r="R645">
        <f>Tableau1_2[[#This Row],[CA]]-Tableau1_2[[#This Row],[Cout Total]]</f>
        <v>120000</v>
      </c>
      <c r="S645" s="4">
        <f>Tableau1_2[[#This Row],[Marge]]/Tableau1_2[[#This Row],[CA]]</f>
        <v>0.22988505747126436</v>
      </c>
      <c r="T645" t="str">
        <f>TEXT(Tableau1_2[[#This Row],[Date]],"mmmm")</f>
        <v>février</v>
      </c>
    </row>
    <row r="646" spans="1:20" x14ac:dyDescent="0.35">
      <c r="A646" t="s">
        <v>1454</v>
      </c>
      <c r="B646" s="2">
        <v>46023</v>
      </c>
      <c r="C646" t="s">
        <v>888</v>
      </c>
      <c r="D646" t="s">
        <v>447</v>
      </c>
      <c r="E646" t="s">
        <v>70</v>
      </c>
      <c r="F646" t="s">
        <v>71</v>
      </c>
      <c r="G646" t="s">
        <v>19</v>
      </c>
      <c r="H646" t="s">
        <v>112</v>
      </c>
      <c r="I646">
        <v>2</v>
      </c>
      <c r="J646">
        <v>85000</v>
      </c>
      <c r="K646">
        <v>62000</v>
      </c>
      <c r="L646" t="s">
        <v>96</v>
      </c>
      <c r="M646" t="s">
        <v>31</v>
      </c>
      <c r="N646" t="s">
        <v>23</v>
      </c>
      <c r="O646" t="s">
        <v>24</v>
      </c>
      <c r="P646">
        <f>Tableau1_2[[#This Row],[Quantité]]*Tableau1_2[[#This Row],[Prix_Unitaire]]</f>
        <v>170000</v>
      </c>
      <c r="Q646">
        <f>Tableau1_2[[#This Row],[Quantité]]*Tableau1_2[[#This Row],[Coût_Unitaire]]</f>
        <v>124000</v>
      </c>
      <c r="R646">
        <f>Tableau1_2[[#This Row],[CA]]-Tableau1_2[[#This Row],[Cout Total]]</f>
        <v>46000</v>
      </c>
      <c r="S646" s="4">
        <f>Tableau1_2[[#This Row],[Marge]]/Tableau1_2[[#This Row],[CA]]</f>
        <v>0.27058823529411763</v>
      </c>
      <c r="T646" t="str">
        <f>TEXT(Tableau1_2[[#This Row],[Date]],"mmmm")</f>
        <v>janvier</v>
      </c>
    </row>
    <row r="647" spans="1:20" x14ac:dyDescent="0.35">
      <c r="A647" t="s">
        <v>1455</v>
      </c>
      <c r="B647" s="2">
        <v>46294</v>
      </c>
      <c r="C647" t="s">
        <v>1456</v>
      </c>
      <c r="D647" t="s">
        <v>1308</v>
      </c>
      <c r="E647" t="s">
        <v>156</v>
      </c>
      <c r="F647" t="s">
        <v>170</v>
      </c>
      <c r="G647" t="s">
        <v>28</v>
      </c>
      <c r="H647" t="s">
        <v>131</v>
      </c>
      <c r="I647">
        <v>10</v>
      </c>
      <c r="J647">
        <v>31500</v>
      </c>
      <c r="K647">
        <v>19000</v>
      </c>
      <c r="L647" t="s">
        <v>30</v>
      </c>
      <c r="M647" t="s">
        <v>31</v>
      </c>
      <c r="N647" t="s">
        <v>23</v>
      </c>
      <c r="O647" t="s">
        <v>45</v>
      </c>
      <c r="P647">
        <f>Tableau1_2[[#This Row],[Quantité]]*Tableau1_2[[#This Row],[Prix_Unitaire]]</f>
        <v>315000</v>
      </c>
      <c r="Q647">
        <f>Tableau1_2[[#This Row],[Quantité]]*Tableau1_2[[#This Row],[Coût_Unitaire]]</f>
        <v>190000</v>
      </c>
      <c r="R647">
        <f>Tableau1_2[[#This Row],[CA]]-Tableau1_2[[#This Row],[Cout Total]]</f>
        <v>125000</v>
      </c>
      <c r="S647" s="4">
        <f>Tableau1_2[[#This Row],[Marge]]/Tableau1_2[[#This Row],[CA]]</f>
        <v>0.3968253968253968</v>
      </c>
      <c r="T647" t="str">
        <f>TEXT(Tableau1_2[[#This Row],[Date]],"mmmm")</f>
        <v>septembre</v>
      </c>
    </row>
    <row r="648" spans="1:20" x14ac:dyDescent="0.35">
      <c r="A648" t="s">
        <v>1457</v>
      </c>
      <c r="B648" s="2">
        <v>46310</v>
      </c>
      <c r="C648" t="s">
        <v>222</v>
      </c>
      <c r="D648" t="s">
        <v>1264</v>
      </c>
      <c r="E648" t="s">
        <v>18</v>
      </c>
      <c r="F648" t="s">
        <v>18</v>
      </c>
      <c r="G648" t="s">
        <v>28</v>
      </c>
      <c r="H648" t="s">
        <v>72</v>
      </c>
      <c r="I648">
        <v>6</v>
      </c>
      <c r="J648">
        <v>10500</v>
      </c>
      <c r="K648">
        <v>6000</v>
      </c>
      <c r="L648" t="s">
        <v>66</v>
      </c>
      <c r="M648" t="s">
        <v>37</v>
      </c>
      <c r="N648" t="s">
        <v>23</v>
      </c>
      <c r="O648" t="s">
        <v>24</v>
      </c>
      <c r="P648">
        <f>Tableau1_2[[#This Row],[Quantité]]*Tableau1_2[[#This Row],[Prix_Unitaire]]</f>
        <v>63000</v>
      </c>
      <c r="Q648">
        <f>Tableau1_2[[#This Row],[Quantité]]*Tableau1_2[[#This Row],[Coût_Unitaire]]</f>
        <v>36000</v>
      </c>
      <c r="R648">
        <f>Tableau1_2[[#This Row],[CA]]-Tableau1_2[[#This Row],[Cout Total]]</f>
        <v>27000</v>
      </c>
      <c r="S648" s="4">
        <f>Tableau1_2[[#This Row],[Marge]]/Tableau1_2[[#This Row],[CA]]</f>
        <v>0.42857142857142855</v>
      </c>
      <c r="T648" t="str">
        <f>TEXT(Tableau1_2[[#This Row],[Date]],"mmmm")</f>
        <v>octobre</v>
      </c>
    </row>
    <row r="649" spans="1:20" x14ac:dyDescent="0.35">
      <c r="A649" t="s">
        <v>1458</v>
      </c>
      <c r="B649" s="2">
        <v>46233</v>
      </c>
      <c r="C649" t="s">
        <v>114</v>
      </c>
      <c r="D649" t="s">
        <v>724</v>
      </c>
      <c r="E649" t="s">
        <v>156</v>
      </c>
      <c r="F649" t="s">
        <v>170</v>
      </c>
      <c r="G649" t="s">
        <v>34</v>
      </c>
      <c r="H649" t="s">
        <v>141</v>
      </c>
      <c r="I649">
        <v>5</v>
      </c>
      <c r="J649">
        <v>152000</v>
      </c>
      <c r="K649">
        <v>120000</v>
      </c>
      <c r="L649" t="s">
        <v>36</v>
      </c>
      <c r="M649" t="s">
        <v>51</v>
      </c>
      <c r="N649" t="s">
        <v>52</v>
      </c>
      <c r="O649" t="s">
        <v>91</v>
      </c>
      <c r="P649">
        <f>Tableau1_2[[#This Row],[Quantité]]*Tableau1_2[[#This Row],[Prix_Unitaire]]</f>
        <v>760000</v>
      </c>
      <c r="Q649">
        <f>Tableau1_2[[#This Row],[Quantité]]*Tableau1_2[[#This Row],[Coût_Unitaire]]</f>
        <v>600000</v>
      </c>
      <c r="R649">
        <f>Tableau1_2[[#This Row],[CA]]-Tableau1_2[[#This Row],[Cout Total]]</f>
        <v>160000</v>
      </c>
      <c r="S649" s="4">
        <f>Tableau1_2[[#This Row],[Marge]]/Tableau1_2[[#This Row],[CA]]</f>
        <v>0.21052631578947367</v>
      </c>
      <c r="T649" t="str">
        <f>TEXT(Tableau1_2[[#This Row],[Date]],"mmmm")</f>
        <v>juillet</v>
      </c>
    </row>
    <row r="650" spans="1:20" x14ac:dyDescent="0.35">
      <c r="A650" t="s">
        <v>1459</v>
      </c>
      <c r="B650" s="2">
        <v>46105</v>
      </c>
      <c r="C650" t="s">
        <v>207</v>
      </c>
      <c r="D650" t="s">
        <v>297</v>
      </c>
      <c r="E650" t="s">
        <v>18</v>
      </c>
      <c r="F650" t="s">
        <v>18</v>
      </c>
      <c r="G650" t="s">
        <v>28</v>
      </c>
      <c r="H650" t="s">
        <v>29</v>
      </c>
      <c r="I650">
        <v>10</v>
      </c>
      <c r="J650">
        <v>6600</v>
      </c>
      <c r="K650">
        <v>4000</v>
      </c>
      <c r="L650" t="s">
        <v>96</v>
      </c>
      <c r="M650" t="s">
        <v>51</v>
      </c>
      <c r="N650" t="s">
        <v>52</v>
      </c>
      <c r="O650" t="s">
        <v>24</v>
      </c>
      <c r="P650">
        <f>Tableau1_2[[#This Row],[Quantité]]*Tableau1_2[[#This Row],[Prix_Unitaire]]</f>
        <v>66000</v>
      </c>
      <c r="Q650">
        <f>Tableau1_2[[#This Row],[Quantité]]*Tableau1_2[[#This Row],[Coût_Unitaire]]</f>
        <v>40000</v>
      </c>
      <c r="R650">
        <f>Tableau1_2[[#This Row],[CA]]-Tableau1_2[[#This Row],[Cout Total]]</f>
        <v>26000</v>
      </c>
      <c r="S650" s="4">
        <f>Tableau1_2[[#This Row],[Marge]]/Tableau1_2[[#This Row],[CA]]</f>
        <v>0.39393939393939392</v>
      </c>
      <c r="T650" t="str">
        <f>TEXT(Tableau1_2[[#This Row],[Date]],"mmmm")</f>
        <v>mars</v>
      </c>
    </row>
    <row r="651" spans="1:20" x14ac:dyDescent="0.35">
      <c r="A651" t="s">
        <v>1460</v>
      </c>
      <c r="B651" s="2">
        <v>46386</v>
      </c>
      <c r="C651" t="s">
        <v>143</v>
      </c>
      <c r="D651" t="s">
        <v>1403</v>
      </c>
      <c r="E651" t="s">
        <v>84</v>
      </c>
      <c r="F651" t="s">
        <v>85</v>
      </c>
      <c r="G651" t="s">
        <v>34</v>
      </c>
      <c r="H651" t="s">
        <v>86</v>
      </c>
      <c r="I651">
        <v>8</v>
      </c>
      <c r="J651">
        <v>171000</v>
      </c>
      <c r="K651">
        <v>131000</v>
      </c>
      <c r="L651" t="s">
        <v>96</v>
      </c>
      <c r="M651" t="s">
        <v>37</v>
      </c>
      <c r="N651" t="s">
        <v>23</v>
      </c>
      <c r="O651" t="s">
        <v>24</v>
      </c>
      <c r="P651">
        <f>Tableau1_2[[#This Row],[Quantité]]*Tableau1_2[[#This Row],[Prix_Unitaire]]</f>
        <v>1368000</v>
      </c>
      <c r="Q651">
        <f>Tableau1_2[[#This Row],[Quantité]]*Tableau1_2[[#This Row],[Coût_Unitaire]]</f>
        <v>1048000</v>
      </c>
      <c r="R651">
        <f>Tableau1_2[[#This Row],[CA]]-Tableau1_2[[#This Row],[Cout Total]]</f>
        <v>320000</v>
      </c>
      <c r="S651" s="4">
        <f>Tableau1_2[[#This Row],[Marge]]/Tableau1_2[[#This Row],[CA]]</f>
        <v>0.23391812865497075</v>
      </c>
      <c r="T651" t="str">
        <f>TEXT(Tableau1_2[[#This Row],[Date]],"mmmm")</f>
        <v>décembre</v>
      </c>
    </row>
    <row r="652" spans="1:20" x14ac:dyDescent="0.35">
      <c r="A652" t="s">
        <v>1461</v>
      </c>
      <c r="B652" s="2">
        <v>46232</v>
      </c>
      <c r="C652" t="s">
        <v>808</v>
      </c>
      <c r="D652" t="s">
        <v>1230</v>
      </c>
      <c r="E652" t="s">
        <v>70</v>
      </c>
      <c r="F652" t="s">
        <v>71</v>
      </c>
      <c r="G652" t="s">
        <v>34</v>
      </c>
      <c r="H652" t="s">
        <v>95</v>
      </c>
      <c r="I652">
        <v>3</v>
      </c>
      <c r="J652">
        <v>450000</v>
      </c>
      <c r="K652">
        <v>370000</v>
      </c>
      <c r="L652" t="s">
        <v>66</v>
      </c>
      <c r="M652" t="s">
        <v>31</v>
      </c>
      <c r="N652" t="s">
        <v>52</v>
      </c>
      <c r="O652" t="s">
        <v>91</v>
      </c>
      <c r="P652">
        <f>Tableau1_2[[#This Row],[Quantité]]*Tableau1_2[[#This Row],[Prix_Unitaire]]</f>
        <v>1350000</v>
      </c>
      <c r="Q652">
        <f>Tableau1_2[[#This Row],[Quantité]]*Tableau1_2[[#This Row],[Coût_Unitaire]]</f>
        <v>1110000</v>
      </c>
      <c r="R652">
        <f>Tableau1_2[[#This Row],[CA]]-Tableau1_2[[#This Row],[Cout Total]]</f>
        <v>240000</v>
      </c>
      <c r="S652" s="4">
        <f>Tableau1_2[[#This Row],[Marge]]/Tableau1_2[[#This Row],[CA]]</f>
        <v>0.17777777777777778</v>
      </c>
      <c r="T652" t="str">
        <f>TEXT(Tableau1_2[[#This Row],[Date]],"mmmm")</f>
        <v>juillet</v>
      </c>
    </row>
    <row r="653" spans="1:20" x14ac:dyDescent="0.35">
      <c r="A653" t="s">
        <v>1462</v>
      </c>
      <c r="B653" s="2">
        <v>46266</v>
      </c>
      <c r="C653" t="s">
        <v>1463</v>
      </c>
      <c r="D653" t="s">
        <v>447</v>
      </c>
      <c r="E653" t="s">
        <v>56</v>
      </c>
      <c r="F653" t="s">
        <v>57</v>
      </c>
      <c r="G653" t="s">
        <v>43</v>
      </c>
      <c r="H653" t="s">
        <v>44</v>
      </c>
      <c r="I653">
        <v>7</v>
      </c>
      <c r="J653">
        <v>15000</v>
      </c>
      <c r="K653">
        <v>9500</v>
      </c>
      <c r="L653" t="s">
        <v>36</v>
      </c>
      <c r="M653" t="s">
        <v>51</v>
      </c>
      <c r="N653" t="s">
        <v>87</v>
      </c>
      <c r="O653" t="s">
        <v>24</v>
      </c>
      <c r="P653">
        <f>Tableau1_2[[#This Row],[Quantité]]*Tableau1_2[[#This Row],[Prix_Unitaire]]</f>
        <v>105000</v>
      </c>
      <c r="Q653">
        <f>Tableau1_2[[#This Row],[Quantité]]*Tableau1_2[[#This Row],[Coût_Unitaire]]</f>
        <v>66500</v>
      </c>
      <c r="R653">
        <f>Tableau1_2[[#This Row],[CA]]-Tableau1_2[[#This Row],[Cout Total]]</f>
        <v>38500</v>
      </c>
      <c r="S653" s="4">
        <f>Tableau1_2[[#This Row],[Marge]]/Tableau1_2[[#This Row],[CA]]</f>
        <v>0.36666666666666664</v>
      </c>
      <c r="T653" t="str">
        <f>TEXT(Tableau1_2[[#This Row],[Date]],"mmmm")</f>
        <v>septembre</v>
      </c>
    </row>
    <row r="654" spans="1:20" x14ac:dyDescent="0.35">
      <c r="A654" t="s">
        <v>1464</v>
      </c>
      <c r="B654" s="2">
        <v>46154</v>
      </c>
      <c r="C654" t="s">
        <v>1465</v>
      </c>
      <c r="D654" t="s">
        <v>504</v>
      </c>
      <c r="E654" t="s">
        <v>18</v>
      </c>
      <c r="F654" t="s">
        <v>18</v>
      </c>
      <c r="G654" t="s">
        <v>28</v>
      </c>
      <c r="H654" t="s">
        <v>131</v>
      </c>
      <c r="I654">
        <v>7</v>
      </c>
      <c r="J654">
        <v>28500</v>
      </c>
      <c r="K654">
        <v>19600</v>
      </c>
      <c r="L654" t="s">
        <v>66</v>
      </c>
      <c r="M654" t="s">
        <v>51</v>
      </c>
      <c r="N654" t="s">
        <v>23</v>
      </c>
      <c r="O654" t="s">
        <v>24</v>
      </c>
      <c r="P654">
        <f>Tableau1_2[[#This Row],[Quantité]]*Tableau1_2[[#This Row],[Prix_Unitaire]]</f>
        <v>199500</v>
      </c>
      <c r="Q654">
        <f>Tableau1_2[[#This Row],[Quantité]]*Tableau1_2[[#This Row],[Coût_Unitaire]]</f>
        <v>137200</v>
      </c>
      <c r="R654">
        <f>Tableau1_2[[#This Row],[CA]]-Tableau1_2[[#This Row],[Cout Total]]</f>
        <v>62300</v>
      </c>
      <c r="S654" s="4">
        <f>Tableau1_2[[#This Row],[Marge]]/Tableau1_2[[#This Row],[CA]]</f>
        <v>0.31228070175438599</v>
      </c>
      <c r="T654" t="str">
        <f>TEXT(Tableau1_2[[#This Row],[Date]],"mmmm")</f>
        <v>mai</v>
      </c>
    </row>
    <row r="655" spans="1:20" x14ac:dyDescent="0.35">
      <c r="A655" t="s">
        <v>1466</v>
      </c>
      <c r="B655" s="2">
        <v>46174</v>
      </c>
      <c r="C655" t="s">
        <v>777</v>
      </c>
      <c r="D655" t="s">
        <v>1303</v>
      </c>
      <c r="E655" t="s">
        <v>18</v>
      </c>
      <c r="F655" t="s">
        <v>18</v>
      </c>
      <c r="G655" t="s">
        <v>43</v>
      </c>
      <c r="H655" t="s">
        <v>177</v>
      </c>
      <c r="I655">
        <v>1</v>
      </c>
      <c r="J655">
        <v>18000</v>
      </c>
      <c r="K655">
        <v>12500</v>
      </c>
      <c r="L655" t="s">
        <v>73</v>
      </c>
      <c r="M655" t="s">
        <v>37</v>
      </c>
      <c r="N655" t="s">
        <v>23</v>
      </c>
      <c r="O655" t="s">
        <v>24</v>
      </c>
      <c r="P655">
        <f>Tableau1_2[[#This Row],[Quantité]]*Tableau1_2[[#This Row],[Prix_Unitaire]]</f>
        <v>18000</v>
      </c>
      <c r="Q655">
        <f>Tableau1_2[[#This Row],[Quantité]]*Tableau1_2[[#This Row],[Coût_Unitaire]]</f>
        <v>12500</v>
      </c>
      <c r="R655">
        <f>Tableau1_2[[#This Row],[CA]]-Tableau1_2[[#This Row],[Cout Total]]</f>
        <v>5500</v>
      </c>
      <c r="S655" s="4">
        <f>Tableau1_2[[#This Row],[Marge]]/Tableau1_2[[#This Row],[CA]]</f>
        <v>0.30555555555555558</v>
      </c>
      <c r="T655" t="str">
        <f>TEXT(Tableau1_2[[#This Row],[Date]],"mmmm")</f>
        <v>juin</v>
      </c>
    </row>
    <row r="656" spans="1:20" x14ac:dyDescent="0.35">
      <c r="A656" t="s">
        <v>1467</v>
      </c>
      <c r="B656" s="2">
        <v>46249</v>
      </c>
      <c r="C656" t="s">
        <v>228</v>
      </c>
      <c r="D656" t="s">
        <v>1014</v>
      </c>
      <c r="E656" t="s">
        <v>190</v>
      </c>
      <c r="F656" t="s">
        <v>191</v>
      </c>
      <c r="G656" t="s">
        <v>19</v>
      </c>
      <c r="H656" t="s">
        <v>61</v>
      </c>
      <c r="I656">
        <v>6</v>
      </c>
      <c r="J656">
        <v>220000</v>
      </c>
      <c r="K656">
        <v>160000</v>
      </c>
      <c r="L656" t="s">
        <v>80</v>
      </c>
      <c r="M656" t="s">
        <v>22</v>
      </c>
      <c r="N656" t="s">
        <v>87</v>
      </c>
      <c r="O656" t="s">
        <v>24</v>
      </c>
      <c r="P656">
        <f>Tableau1_2[[#This Row],[Quantité]]*Tableau1_2[[#This Row],[Prix_Unitaire]]</f>
        <v>1320000</v>
      </c>
      <c r="Q656">
        <f>Tableau1_2[[#This Row],[Quantité]]*Tableau1_2[[#This Row],[Coût_Unitaire]]</f>
        <v>960000</v>
      </c>
      <c r="R656">
        <f>Tableau1_2[[#This Row],[CA]]-Tableau1_2[[#This Row],[Cout Total]]</f>
        <v>360000</v>
      </c>
      <c r="S656" s="4">
        <f>Tableau1_2[[#This Row],[Marge]]/Tableau1_2[[#This Row],[CA]]</f>
        <v>0.27272727272727271</v>
      </c>
      <c r="T656" t="str">
        <f>TEXT(Tableau1_2[[#This Row],[Date]],"mmmm")</f>
        <v>août</v>
      </c>
    </row>
    <row r="657" spans="1:20" x14ac:dyDescent="0.35">
      <c r="A657" t="s">
        <v>1468</v>
      </c>
      <c r="B657" s="2">
        <v>46165</v>
      </c>
      <c r="C657" t="s">
        <v>1207</v>
      </c>
      <c r="D657" t="s">
        <v>535</v>
      </c>
      <c r="E657" t="s">
        <v>18</v>
      </c>
      <c r="F657" t="s">
        <v>18</v>
      </c>
      <c r="G657" t="s">
        <v>43</v>
      </c>
      <c r="H657" t="s">
        <v>162</v>
      </c>
      <c r="I657">
        <v>8</v>
      </c>
      <c r="J657">
        <v>7600</v>
      </c>
      <c r="K657">
        <v>5000</v>
      </c>
      <c r="L657" t="s">
        <v>73</v>
      </c>
      <c r="M657" t="s">
        <v>37</v>
      </c>
      <c r="N657" t="s">
        <v>23</v>
      </c>
      <c r="O657" t="s">
        <v>24</v>
      </c>
      <c r="P657">
        <f>Tableau1_2[[#This Row],[Quantité]]*Tableau1_2[[#This Row],[Prix_Unitaire]]</f>
        <v>60800</v>
      </c>
      <c r="Q657">
        <f>Tableau1_2[[#This Row],[Quantité]]*Tableau1_2[[#This Row],[Coût_Unitaire]]</f>
        <v>40000</v>
      </c>
      <c r="R657">
        <f>Tableau1_2[[#This Row],[CA]]-Tableau1_2[[#This Row],[Cout Total]]</f>
        <v>20800</v>
      </c>
      <c r="S657" s="4">
        <f>Tableau1_2[[#This Row],[Marge]]/Tableau1_2[[#This Row],[CA]]</f>
        <v>0.34210526315789475</v>
      </c>
      <c r="T657" t="str">
        <f>TEXT(Tableau1_2[[#This Row],[Date]],"mmmm")</f>
        <v>mai</v>
      </c>
    </row>
    <row r="658" spans="1:20" x14ac:dyDescent="0.35">
      <c r="A658" t="s">
        <v>1469</v>
      </c>
      <c r="B658" s="2">
        <v>46028</v>
      </c>
      <c r="C658" t="s">
        <v>337</v>
      </c>
      <c r="D658" t="s">
        <v>267</v>
      </c>
      <c r="E658" t="s">
        <v>18</v>
      </c>
      <c r="F658" t="s">
        <v>18</v>
      </c>
      <c r="G658" t="s">
        <v>34</v>
      </c>
      <c r="H658" t="s">
        <v>95</v>
      </c>
      <c r="I658">
        <v>9</v>
      </c>
      <c r="J658">
        <v>450000</v>
      </c>
      <c r="K658">
        <v>381100</v>
      </c>
      <c r="L658" t="s">
        <v>80</v>
      </c>
      <c r="M658" t="s">
        <v>37</v>
      </c>
      <c r="N658" t="s">
        <v>23</v>
      </c>
      <c r="O658" t="s">
        <v>24</v>
      </c>
      <c r="P658">
        <f>Tableau1_2[[#This Row],[Quantité]]*Tableau1_2[[#This Row],[Prix_Unitaire]]</f>
        <v>4050000</v>
      </c>
      <c r="Q658">
        <f>Tableau1_2[[#This Row],[Quantité]]*Tableau1_2[[#This Row],[Coût_Unitaire]]</f>
        <v>3429900</v>
      </c>
      <c r="R658">
        <f>Tableau1_2[[#This Row],[CA]]-Tableau1_2[[#This Row],[Cout Total]]</f>
        <v>620100</v>
      </c>
      <c r="S658" s="4">
        <f>Tableau1_2[[#This Row],[Marge]]/Tableau1_2[[#This Row],[CA]]</f>
        <v>0.15311111111111111</v>
      </c>
      <c r="T658" t="str">
        <f>TEXT(Tableau1_2[[#This Row],[Date]],"mmmm")</f>
        <v>janvier</v>
      </c>
    </row>
    <row r="659" spans="1:20" x14ac:dyDescent="0.35">
      <c r="A659" t="s">
        <v>1470</v>
      </c>
      <c r="B659" s="2">
        <v>46230</v>
      </c>
      <c r="C659" t="s">
        <v>513</v>
      </c>
      <c r="D659" t="s">
        <v>1471</v>
      </c>
      <c r="E659" t="s">
        <v>84</v>
      </c>
      <c r="F659" t="s">
        <v>85</v>
      </c>
      <c r="G659" t="s">
        <v>43</v>
      </c>
      <c r="H659" t="s">
        <v>44</v>
      </c>
      <c r="I659">
        <v>7</v>
      </c>
      <c r="J659">
        <v>15000</v>
      </c>
      <c r="K659">
        <v>9500</v>
      </c>
      <c r="L659" t="s">
        <v>80</v>
      </c>
      <c r="M659" t="s">
        <v>37</v>
      </c>
      <c r="N659" t="s">
        <v>52</v>
      </c>
      <c r="O659" t="s">
        <v>24</v>
      </c>
      <c r="P659">
        <f>Tableau1_2[[#This Row],[Quantité]]*Tableau1_2[[#This Row],[Prix_Unitaire]]</f>
        <v>105000</v>
      </c>
      <c r="Q659">
        <f>Tableau1_2[[#This Row],[Quantité]]*Tableau1_2[[#This Row],[Coût_Unitaire]]</f>
        <v>66500</v>
      </c>
      <c r="R659">
        <f>Tableau1_2[[#This Row],[CA]]-Tableau1_2[[#This Row],[Cout Total]]</f>
        <v>38500</v>
      </c>
      <c r="S659" s="4">
        <f>Tableau1_2[[#This Row],[Marge]]/Tableau1_2[[#This Row],[CA]]</f>
        <v>0.36666666666666664</v>
      </c>
      <c r="T659" t="str">
        <f>TEXT(Tableau1_2[[#This Row],[Date]],"mmmm")</f>
        <v>juillet</v>
      </c>
    </row>
    <row r="660" spans="1:20" x14ac:dyDescent="0.35">
      <c r="A660" t="s">
        <v>1472</v>
      </c>
      <c r="B660" s="2">
        <v>46027</v>
      </c>
      <c r="C660" t="s">
        <v>1156</v>
      </c>
      <c r="D660" t="s">
        <v>1473</v>
      </c>
      <c r="E660" t="s">
        <v>41</v>
      </c>
      <c r="F660" t="s">
        <v>42</v>
      </c>
      <c r="G660" t="s">
        <v>43</v>
      </c>
      <c r="H660" t="s">
        <v>44</v>
      </c>
      <c r="I660">
        <v>9</v>
      </c>
      <c r="J660">
        <v>15800</v>
      </c>
      <c r="K660">
        <v>9800</v>
      </c>
      <c r="L660" t="s">
        <v>80</v>
      </c>
      <c r="M660" t="s">
        <v>37</v>
      </c>
      <c r="N660" t="s">
        <v>52</v>
      </c>
      <c r="O660" t="s">
        <v>24</v>
      </c>
      <c r="P660">
        <f>Tableau1_2[[#This Row],[Quantité]]*Tableau1_2[[#This Row],[Prix_Unitaire]]</f>
        <v>142200</v>
      </c>
      <c r="Q660">
        <f>Tableau1_2[[#This Row],[Quantité]]*Tableau1_2[[#This Row],[Coût_Unitaire]]</f>
        <v>88200</v>
      </c>
      <c r="R660">
        <f>Tableau1_2[[#This Row],[CA]]-Tableau1_2[[#This Row],[Cout Total]]</f>
        <v>54000</v>
      </c>
      <c r="S660" s="4">
        <f>Tableau1_2[[#This Row],[Marge]]/Tableau1_2[[#This Row],[CA]]</f>
        <v>0.379746835443038</v>
      </c>
      <c r="T660" t="str">
        <f>TEXT(Tableau1_2[[#This Row],[Date]],"mmmm")</f>
        <v>janvier</v>
      </c>
    </row>
    <row r="661" spans="1:20" x14ac:dyDescent="0.35">
      <c r="A661" t="s">
        <v>1474</v>
      </c>
      <c r="B661" s="2">
        <v>46082</v>
      </c>
      <c r="C661" t="s">
        <v>638</v>
      </c>
      <c r="D661" t="s">
        <v>750</v>
      </c>
      <c r="E661" t="s">
        <v>41</v>
      </c>
      <c r="F661" t="s">
        <v>42</v>
      </c>
      <c r="G661" t="s">
        <v>43</v>
      </c>
      <c r="H661" t="s">
        <v>49</v>
      </c>
      <c r="I661">
        <v>8</v>
      </c>
      <c r="J661">
        <v>8600</v>
      </c>
      <c r="K661">
        <v>5800</v>
      </c>
      <c r="L661" t="s">
        <v>66</v>
      </c>
      <c r="M661" t="s">
        <v>51</v>
      </c>
      <c r="N661" t="s">
        <v>23</v>
      </c>
      <c r="O661" t="s">
        <v>45</v>
      </c>
      <c r="P661">
        <f>Tableau1_2[[#This Row],[Quantité]]*Tableau1_2[[#This Row],[Prix_Unitaire]]</f>
        <v>68800</v>
      </c>
      <c r="Q661">
        <f>Tableau1_2[[#This Row],[Quantité]]*Tableau1_2[[#This Row],[Coût_Unitaire]]</f>
        <v>46400</v>
      </c>
      <c r="R661">
        <f>Tableau1_2[[#This Row],[CA]]-Tableau1_2[[#This Row],[Cout Total]]</f>
        <v>22400</v>
      </c>
      <c r="S661" s="4">
        <f>Tableau1_2[[#This Row],[Marge]]/Tableau1_2[[#This Row],[CA]]</f>
        <v>0.32558139534883723</v>
      </c>
      <c r="T661" t="str">
        <f>TEXT(Tableau1_2[[#This Row],[Date]],"mmmm")</f>
        <v>mars</v>
      </c>
    </row>
    <row r="662" spans="1:20" x14ac:dyDescent="0.35">
      <c r="A662" t="s">
        <v>1475</v>
      </c>
      <c r="B662" s="2">
        <v>46375</v>
      </c>
      <c r="C662" t="s">
        <v>774</v>
      </c>
      <c r="D662" t="s">
        <v>781</v>
      </c>
      <c r="E662" t="s">
        <v>70</v>
      </c>
      <c r="F662" t="s">
        <v>71</v>
      </c>
      <c r="G662" t="s">
        <v>34</v>
      </c>
      <c r="H662" t="s">
        <v>86</v>
      </c>
      <c r="I662">
        <v>1</v>
      </c>
      <c r="J662">
        <v>171000</v>
      </c>
      <c r="K662">
        <v>131000</v>
      </c>
      <c r="L662" t="s">
        <v>50</v>
      </c>
      <c r="M662" t="s">
        <v>51</v>
      </c>
      <c r="N662" t="s">
        <v>23</v>
      </c>
      <c r="O662" t="s">
        <v>24</v>
      </c>
      <c r="P662">
        <f>Tableau1_2[[#This Row],[Quantité]]*Tableau1_2[[#This Row],[Prix_Unitaire]]</f>
        <v>171000</v>
      </c>
      <c r="Q662">
        <f>Tableau1_2[[#This Row],[Quantité]]*Tableau1_2[[#This Row],[Coût_Unitaire]]</f>
        <v>131000</v>
      </c>
      <c r="R662">
        <f>Tableau1_2[[#This Row],[CA]]-Tableau1_2[[#This Row],[Cout Total]]</f>
        <v>40000</v>
      </c>
      <c r="S662" s="4">
        <f>Tableau1_2[[#This Row],[Marge]]/Tableau1_2[[#This Row],[CA]]</f>
        <v>0.23391812865497075</v>
      </c>
      <c r="T662" t="str">
        <f>TEXT(Tableau1_2[[#This Row],[Date]],"mmmm")</f>
        <v>décembre</v>
      </c>
    </row>
    <row r="663" spans="1:20" x14ac:dyDescent="0.35">
      <c r="A663" t="s">
        <v>1476</v>
      </c>
      <c r="B663" s="2">
        <v>46078</v>
      </c>
      <c r="C663" t="s">
        <v>143</v>
      </c>
      <c r="D663" t="s">
        <v>235</v>
      </c>
      <c r="E663" t="s">
        <v>190</v>
      </c>
      <c r="F663" t="s">
        <v>191</v>
      </c>
      <c r="G663" t="s">
        <v>28</v>
      </c>
      <c r="H663" t="s">
        <v>72</v>
      </c>
      <c r="I663">
        <v>10</v>
      </c>
      <c r="J663">
        <v>10000</v>
      </c>
      <c r="K663">
        <v>6200</v>
      </c>
      <c r="L663" t="s">
        <v>21</v>
      </c>
      <c r="M663" t="s">
        <v>22</v>
      </c>
      <c r="N663" t="s">
        <v>23</v>
      </c>
      <c r="O663" t="s">
        <v>24</v>
      </c>
      <c r="P663">
        <f>Tableau1_2[[#This Row],[Quantité]]*Tableau1_2[[#This Row],[Prix_Unitaire]]</f>
        <v>100000</v>
      </c>
      <c r="Q663">
        <f>Tableau1_2[[#This Row],[Quantité]]*Tableau1_2[[#This Row],[Coût_Unitaire]]</f>
        <v>62000</v>
      </c>
      <c r="R663">
        <f>Tableau1_2[[#This Row],[CA]]-Tableau1_2[[#This Row],[Cout Total]]</f>
        <v>38000</v>
      </c>
      <c r="S663" s="4">
        <f>Tableau1_2[[#This Row],[Marge]]/Tableau1_2[[#This Row],[CA]]</f>
        <v>0.38</v>
      </c>
      <c r="T663" t="str">
        <f>TEXT(Tableau1_2[[#This Row],[Date]],"mmmm")</f>
        <v>février</v>
      </c>
    </row>
    <row r="664" spans="1:20" x14ac:dyDescent="0.35">
      <c r="A664" t="s">
        <v>1477</v>
      </c>
      <c r="B664" s="2">
        <v>46211</v>
      </c>
      <c r="C664" t="s">
        <v>605</v>
      </c>
      <c r="D664" t="s">
        <v>229</v>
      </c>
      <c r="E664" t="s">
        <v>77</v>
      </c>
      <c r="F664" t="s">
        <v>78</v>
      </c>
      <c r="G664" t="s">
        <v>28</v>
      </c>
      <c r="H664" t="s">
        <v>72</v>
      </c>
      <c r="I664">
        <v>3</v>
      </c>
      <c r="J664">
        <v>10000</v>
      </c>
      <c r="K664">
        <v>6400</v>
      </c>
      <c r="L664" t="s">
        <v>80</v>
      </c>
      <c r="M664" t="s">
        <v>51</v>
      </c>
      <c r="N664" t="s">
        <v>52</v>
      </c>
      <c r="O664" t="s">
        <v>45</v>
      </c>
      <c r="P664">
        <f>Tableau1_2[[#This Row],[Quantité]]*Tableau1_2[[#This Row],[Prix_Unitaire]]</f>
        <v>30000</v>
      </c>
      <c r="Q664">
        <f>Tableau1_2[[#This Row],[Quantité]]*Tableau1_2[[#This Row],[Coût_Unitaire]]</f>
        <v>19200</v>
      </c>
      <c r="R664">
        <f>Tableau1_2[[#This Row],[CA]]-Tableau1_2[[#This Row],[Cout Total]]</f>
        <v>10800</v>
      </c>
      <c r="S664" s="4">
        <f>Tableau1_2[[#This Row],[Marge]]/Tableau1_2[[#This Row],[CA]]</f>
        <v>0.36</v>
      </c>
      <c r="T664" t="str">
        <f>TEXT(Tableau1_2[[#This Row],[Date]],"mmmm")</f>
        <v>juillet</v>
      </c>
    </row>
    <row r="665" spans="1:20" x14ac:dyDescent="0.35">
      <c r="A665" t="s">
        <v>1478</v>
      </c>
      <c r="B665" s="2">
        <v>46265</v>
      </c>
      <c r="C665" t="s">
        <v>1479</v>
      </c>
      <c r="D665" t="s">
        <v>306</v>
      </c>
      <c r="E665" t="s">
        <v>84</v>
      </c>
      <c r="F665" t="s">
        <v>85</v>
      </c>
      <c r="G665" t="s">
        <v>34</v>
      </c>
      <c r="H665" t="s">
        <v>95</v>
      </c>
      <c r="I665">
        <v>10</v>
      </c>
      <c r="J665">
        <v>427500</v>
      </c>
      <c r="K665">
        <v>381100</v>
      </c>
      <c r="L665" t="s">
        <v>66</v>
      </c>
      <c r="M665" t="s">
        <v>51</v>
      </c>
      <c r="N665" t="s">
        <v>23</v>
      </c>
      <c r="O665" t="s">
        <v>24</v>
      </c>
      <c r="P665">
        <f>Tableau1_2[[#This Row],[Quantité]]*Tableau1_2[[#This Row],[Prix_Unitaire]]</f>
        <v>4275000</v>
      </c>
      <c r="Q665">
        <f>Tableau1_2[[#This Row],[Quantité]]*Tableau1_2[[#This Row],[Coût_Unitaire]]</f>
        <v>3811000</v>
      </c>
      <c r="R665">
        <f>Tableau1_2[[#This Row],[CA]]-Tableau1_2[[#This Row],[Cout Total]]</f>
        <v>464000</v>
      </c>
      <c r="S665" s="4">
        <f>Tableau1_2[[#This Row],[Marge]]/Tableau1_2[[#This Row],[CA]]</f>
        <v>0.10853801169590643</v>
      </c>
      <c r="T665" t="str">
        <f>TEXT(Tableau1_2[[#This Row],[Date]],"mmmm")</f>
        <v>août</v>
      </c>
    </row>
    <row r="666" spans="1:20" x14ac:dyDescent="0.35">
      <c r="A666" t="s">
        <v>1480</v>
      </c>
      <c r="B666" s="2">
        <v>46301</v>
      </c>
      <c r="C666" t="s">
        <v>1481</v>
      </c>
      <c r="D666" t="s">
        <v>235</v>
      </c>
      <c r="E666" t="s">
        <v>18</v>
      </c>
      <c r="F666" t="s">
        <v>18</v>
      </c>
      <c r="G666" t="s">
        <v>43</v>
      </c>
      <c r="H666" t="s">
        <v>162</v>
      </c>
      <c r="I666">
        <v>8</v>
      </c>
      <c r="J666">
        <v>8000</v>
      </c>
      <c r="K666">
        <v>4800</v>
      </c>
      <c r="L666" t="s">
        <v>21</v>
      </c>
      <c r="M666" t="s">
        <v>22</v>
      </c>
      <c r="N666" t="s">
        <v>52</v>
      </c>
      <c r="O666" t="s">
        <v>24</v>
      </c>
      <c r="P666">
        <f>Tableau1_2[[#This Row],[Quantité]]*Tableau1_2[[#This Row],[Prix_Unitaire]]</f>
        <v>64000</v>
      </c>
      <c r="Q666">
        <f>Tableau1_2[[#This Row],[Quantité]]*Tableau1_2[[#This Row],[Coût_Unitaire]]</f>
        <v>38400</v>
      </c>
      <c r="R666">
        <f>Tableau1_2[[#This Row],[CA]]-Tableau1_2[[#This Row],[Cout Total]]</f>
        <v>25600</v>
      </c>
      <c r="S666" s="4">
        <f>Tableau1_2[[#This Row],[Marge]]/Tableau1_2[[#This Row],[CA]]</f>
        <v>0.4</v>
      </c>
      <c r="T666" t="str">
        <f>TEXT(Tableau1_2[[#This Row],[Date]],"mmmm")</f>
        <v>octobre</v>
      </c>
    </row>
    <row r="667" spans="1:20" x14ac:dyDescent="0.35">
      <c r="A667" t="s">
        <v>1482</v>
      </c>
      <c r="B667" s="2">
        <v>46305</v>
      </c>
      <c r="C667" t="s">
        <v>207</v>
      </c>
      <c r="D667" t="s">
        <v>40</v>
      </c>
      <c r="E667" t="s">
        <v>70</v>
      </c>
      <c r="F667" t="s">
        <v>71</v>
      </c>
      <c r="G667" t="s">
        <v>34</v>
      </c>
      <c r="H667" t="s">
        <v>35</v>
      </c>
      <c r="I667">
        <v>6</v>
      </c>
      <c r="J667">
        <v>52200</v>
      </c>
      <c r="K667">
        <v>40200</v>
      </c>
      <c r="L667" t="s">
        <v>80</v>
      </c>
      <c r="M667" t="s">
        <v>37</v>
      </c>
      <c r="N667" t="s">
        <v>52</v>
      </c>
      <c r="O667" t="s">
        <v>24</v>
      </c>
      <c r="P667">
        <f>Tableau1_2[[#This Row],[Quantité]]*Tableau1_2[[#This Row],[Prix_Unitaire]]</f>
        <v>313200</v>
      </c>
      <c r="Q667">
        <f>Tableau1_2[[#This Row],[Quantité]]*Tableau1_2[[#This Row],[Coût_Unitaire]]</f>
        <v>241200</v>
      </c>
      <c r="R667">
        <f>Tableau1_2[[#This Row],[CA]]-Tableau1_2[[#This Row],[Cout Total]]</f>
        <v>72000</v>
      </c>
      <c r="S667" s="4">
        <f>Tableau1_2[[#This Row],[Marge]]/Tableau1_2[[#This Row],[CA]]</f>
        <v>0.22988505747126436</v>
      </c>
      <c r="T667" t="str">
        <f>TEXT(Tableau1_2[[#This Row],[Date]],"mmmm")</f>
        <v>octobre</v>
      </c>
    </row>
    <row r="668" spans="1:20" x14ac:dyDescent="0.35">
      <c r="A668" t="s">
        <v>1483</v>
      </c>
      <c r="B668" s="2">
        <v>46141</v>
      </c>
      <c r="C668" t="s">
        <v>664</v>
      </c>
      <c r="D668" t="s">
        <v>1484</v>
      </c>
      <c r="E668" t="s">
        <v>18</v>
      </c>
      <c r="F668" t="s">
        <v>18</v>
      </c>
      <c r="G668" t="s">
        <v>34</v>
      </c>
      <c r="H668" t="s">
        <v>141</v>
      </c>
      <c r="I668">
        <v>5</v>
      </c>
      <c r="J668">
        <v>168000</v>
      </c>
      <c r="K668">
        <v>116400</v>
      </c>
      <c r="L668" t="s">
        <v>80</v>
      </c>
      <c r="M668" t="s">
        <v>37</v>
      </c>
      <c r="N668" t="s">
        <v>52</v>
      </c>
      <c r="O668" t="s">
        <v>24</v>
      </c>
      <c r="P668">
        <f>Tableau1_2[[#This Row],[Quantité]]*Tableau1_2[[#This Row],[Prix_Unitaire]]</f>
        <v>840000</v>
      </c>
      <c r="Q668">
        <f>Tableau1_2[[#This Row],[Quantité]]*Tableau1_2[[#This Row],[Coût_Unitaire]]</f>
        <v>582000</v>
      </c>
      <c r="R668">
        <f>Tableau1_2[[#This Row],[CA]]-Tableau1_2[[#This Row],[Cout Total]]</f>
        <v>258000</v>
      </c>
      <c r="S668" s="4">
        <f>Tableau1_2[[#This Row],[Marge]]/Tableau1_2[[#This Row],[CA]]</f>
        <v>0.30714285714285716</v>
      </c>
      <c r="T668" t="str">
        <f>TEXT(Tableau1_2[[#This Row],[Date]],"mmmm")</f>
        <v>avril</v>
      </c>
    </row>
    <row r="669" spans="1:20" x14ac:dyDescent="0.35">
      <c r="A669" t="s">
        <v>1485</v>
      </c>
      <c r="B669" s="2">
        <v>46347</v>
      </c>
      <c r="C669" t="s">
        <v>727</v>
      </c>
      <c r="D669" t="s">
        <v>1486</v>
      </c>
      <c r="E669" t="s">
        <v>18</v>
      </c>
      <c r="F669" t="s">
        <v>18</v>
      </c>
      <c r="G669" t="s">
        <v>28</v>
      </c>
      <c r="H669" t="s">
        <v>248</v>
      </c>
      <c r="I669">
        <v>7</v>
      </c>
      <c r="J669">
        <v>26200</v>
      </c>
      <c r="K669">
        <v>16000</v>
      </c>
      <c r="L669" t="s">
        <v>73</v>
      </c>
      <c r="M669" t="s">
        <v>31</v>
      </c>
      <c r="N669" t="s">
        <v>23</v>
      </c>
      <c r="O669" t="s">
        <v>24</v>
      </c>
      <c r="P669">
        <f>Tableau1_2[[#This Row],[Quantité]]*Tableau1_2[[#This Row],[Prix_Unitaire]]</f>
        <v>183400</v>
      </c>
      <c r="Q669">
        <f>Tableau1_2[[#This Row],[Quantité]]*Tableau1_2[[#This Row],[Coût_Unitaire]]</f>
        <v>112000</v>
      </c>
      <c r="R669">
        <f>Tableau1_2[[#This Row],[CA]]-Tableau1_2[[#This Row],[Cout Total]]</f>
        <v>71400</v>
      </c>
      <c r="S669" s="4">
        <f>Tableau1_2[[#This Row],[Marge]]/Tableau1_2[[#This Row],[CA]]</f>
        <v>0.38931297709923662</v>
      </c>
      <c r="T669" t="str">
        <f>TEXT(Tableau1_2[[#This Row],[Date]],"mmmm")</f>
        <v>novembre</v>
      </c>
    </row>
    <row r="670" spans="1:20" x14ac:dyDescent="0.35">
      <c r="A670" t="s">
        <v>1487</v>
      </c>
      <c r="B670" s="2">
        <v>46240</v>
      </c>
      <c r="C670" t="s">
        <v>559</v>
      </c>
      <c r="D670" t="s">
        <v>636</v>
      </c>
      <c r="E670" t="s">
        <v>18</v>
      </c>
      <c r="F670" t="s">
        <v>18</v>
      </c>
      <c r="G670" t="s">
        <v>43</v>
      </c>
      <c r="H670" t="s">
        <v>44</v>
      </c>
      <c r="I670">
        <v>5</v>
      </c>
      <c r="J670">
        <v>15000</v>
      </c>
      <c r="K670">
        <v>9500</v>
      </c>
      <c r="L670" t="s">
        <v>30</v>
      </c>
      <c r="M670" t="s">
        <v>51</v>
      </c>
      <c r="N670" t="s">
        <v>23</v>
      </c>
      <c r="O670" t="s">
        <v>24</v>
      </c>
      <c r="P670">
        <f>Tableau1_2[[#This Row],[Quantité]]*Tableau1_2[[#This Row],[Prix_Unitaire]]</f>
        <v>75000</v>
      </c>
      <c r="Q670">
        <f>Tableau1_2[[#This Row],[Quantité]]*Tableau1_2[[#This Row],[Coût_Unitaire]]</f>
        <v>47500</v>
      </c>
      <c r="R670">
        <f>Tableau1_2[[#This Row],[CA]]-Tableau1_2[[#This Row],[Cout Total]]</f>
        <v>27500</v>
      </c>
      <c r="S670" s="4">
        <f>Tableau1_2[[#This Row],[Marge]]/Tableau1_2[[#This Row],[CA]]</f>
        <v>0.36666666666666664</v>
      </c>
      <c r="T670" t="str">
        <f>TEXT(Tableau1_2[[#This Row],[Date]],"mmmm")</f>
        <v>août</v>
      </c>
    </row>
    <row r="671" spans="1:20" x14ac:dyDescent="0.35">
      <c r="A671" t="s">
        <v>1488</v>
      </c>
      <c r="B671" s="2">
        <v>46112</v>
      </c>
      <c r="C671" t="s">
        <v>730</v>
      </c>
      <c r="D671" t="s">
        <v>1132</v>
      </c>
      <c r="E671" t="s">
        <v>41</v>
      </c>
      <c r="F671" t="s">
        <v>42</v>
      </c>
      <c r="G671" t="s">
        <v>43</v>
      </c>
      <c r="H671" t="s">
        <v>49</v>
      </c>
      <c r="I671">
        <v>5</v>
      </c>
      <c r="J671">
        <v>9000</v>
      </c>
      <c r="K671">
        <v>6000</v>
      </c>
      <c r="L671" t="s">
        <v>36</v>
      </c>
      <c r="M671" t="s">
        <v>37</v>
      </c>
      <c r="N671" t="s">
        <v>23</v>
      </c>
      <c r="O671" t="s">
        <v>24</v>
      </c>
      <c r="P671">
        <f>Tableau1_2[[#This Row],[Quantité]]*Tableau1_2[[#This Row],[Prix_Unitaire]]</f>
        <v>45000</v>
      </c>
      <c r="Q671">
        <f>Tableau1_2[[#This Row],[Quantité]]*Tableau1_2[[#This Row],[Coût_Unitaire]]</f>
        <v>30000</v>
      </c>
      <c r="R671">
        <f>Tableau1_2[[#This Row],[CA]]-Tableau1_2[[#This Row],[Cout Total]]</f>
        <v>15000</v>
      </c>
      <c r="S671" s="4">
        <f>Tableau1_2[[#This Row],[Marge]]/Tableau1_2[[#This Row],[CA]]</f>
        <v>0.33333333333333331</v>
      </c>
      <c r="T671" t="str">
        <f>TEXT(Tableau1_2[[#This Row],[Date]],"mmmm")</f>
        <v>mars</v>
      </c>
    </row>
    <row r="672" spans="1:20" x14ac:dyDescent="0.35">
      <c r="A672" t="s">
        <v>1489</v>
      </c>
      <c r="B672" s="2">
        <v>46382</v>
      </c>
      <c r="C672" t="s">
        <v>1490</v>
      </c>
      <c r="D672" t="s">
        <v>846</v>
      </c>
      <c r="E672" t="s">
        <v>41</v>
      </c>
      <c r="F672" t="s">
        <v>42</v>
      </c>
      <c r="G672" t="s">
        <v>28</v>
      </c>
      <c r="H672" t="s">
        <v>29</v>
      </c>
      <c r="I672">
        <v>9</v>
      </c>
      <c r="J672">
        <v>6600</v>
      </c>
      <c r="K672">
        <v>4100</v>
      </c>
      <c r="L672" t="s">
        <v>66</v>
      </c>
      <c r="M672" t="s">
        <v>51</v>
      </c>
      <c r="N672" t="s">
        <v>23</v>
      </c>
      <c r="O672" t="s">
        <v>91</v>
      </c>
      <c r="P672">
        <f>Tableau1_2[[#This Row],[Quantité]]*Tableau1_2[[#This Row],[Prix_Unitaire]]</f>
        <v>59400</v>
      </c>
      <c r="Q672">
        <f>Tableau1_2[[#This Row],[Quantité]]*Tableau1_2[[#This Row],[Coût_Unitaire]]</f>
        <v>36900</v>
      </c>
      <c r="R672">
        <f>Tableau1_2[[#This Row],[CA]]-Tableau1_2[[#This Row],[Cout Total]]</f>
        <v>22500</v>
      </c>
      <c r="S672" s="4">
        <f>Tableau1_2[[#This Row],[Marge]]/Tableau1_2[[#This Row],[CA]]</f>
        <v>0.37878787878787878</v>
      </c>
      <c r="T672" t="str">
        <f>TEXT(Tableau1_2[[#This Row],[Date]],"mmmm")</f>
        <v>décembre</v>
      </c>
    </row>
    <row r="673" spans="1:20" x14ac:dyDescent="0.35">
      <c r="A673" t="s">
        <v>1491</v>
      </c>
      <c r="B673" s="2">
        <v>46152</v>
      </c>
      <c r="C673" t="s">
        <v>63</v>
      </c>
      <c r="D673" t="s">
        <v>1126</v>
      </c>
      <c r="E673" t="s">
        <v>156</v>
      </c>
      <c r="F673" t="s">
        <v>170</v>
      </c>
      <c r="G673" t="s">
        <v>19</v>
      </c>
      <c r="H673" t="s">
        <v>61</v>
      </c>
      <c r="I673">
        <v>2</v>
      </c>
      <c r="J673">
        <v>209000</v>
      </c>
      <c r="K673">
        <v>155200</v>
      </c>
      <c r="L673" t="s">
        <v>96</v>
      </c>
      <c r="M673" t="s">
        <v>51</v>
      </c>
      <c r="N673" t="s">
        <v>52</v>
      </c>
      <c r="O673" t="s">
        <v>45</v>
      </c>
      <c r="P673">
        <f>Tableau1_2[[#This Row],[Quantité]]*Tableau1_2[[#This Row],[Prix_Unitaire]]</f>
        <v>418000</v>
      </c>
      <c r="Q673">
        <f>Tableau1_2[[#This Row],[Quantité]]*Tableau1_2[[#This Row],[Coût_Unitaire]]</f>
        <v>310400</v>
      </c>
      <c r="R673">
        <f>Tableau1_2[[#This Row],[CA]]-Tableau1_2[[#This Row],[Cout Total]]</f>
        <v>107600</v>
      </c>
      <c r="S673" s="4">
        <f>Tableau1_2[[#This Row],[Marge]]/Tableau1_2[[#This Row],[CA]]</f>
        <v>0.25741626794258371</v>
      </c>
      <c r="T673" t="str">
        <f>TEXT(Tableau1_2[[#This Row],[Date]],"mmmm")</f>
        <v>mai</v>
      </c>
    </row>
    <row r="674" spans="1:20" x14ac:dyDescent="0.35">
      <c r="A674" t="s">
        <v>1492</v>
      </c>
      <c r="B674" s="2">
        <v>46297</v>
      </c>
      <c r="C674" t="s">
        <v>626</v>
      </c>
      <c r="D674" t="s">
        <v>622</v>
      </c>
      <c r="E674" t="s">
        <v>84</v>
      </c>
      <c r="F674" t="s">
        <v>85</v>
      </c>
      <c r="G674" t="s">
        <v>19</v>
      </c>
      <c r="H674" t="s">
        <v>112</v>
      </c>
      <c r="I674">
        <v>8</v>
      </c>
      <c r="J674">
        <v>85000</v>
      </c>
      <c r="K674">
        <v>62000</v>
      </c>
      <c r="L674" t="s">
        <v>50</v>
      </c>
      <c r="M674" t="s">
        <v>22</v>
      </c>
      <c r="N674" t="s">
        <v>52</v>
      </c>
      <c r="O674" t="s">
        <v>91</v>
      </c>
      <c r="P674">
        <f>Tableau1_2[[#This Row],[Quantité]]*Tableau1_2[[#This Row],[Prix_Unitaire]]</f>
        <v>680000</v>
      </c>
      <c r="Q674">
        <f>Tableau1_2[[#This Row],[Quantité]]*Tableau1_2[[#This Row],[Coût_Unitaire]]</f>
        <v>496000</v>
      </c>
      <c r="R674">
        <f>Tableau1_2[[#This Row],[CA]]-Tableau1_2[[#This Row],[Cout Total]]</f>
        <v>184000</v>
      </c>
      <c r="S674" s="4">
        <f>Tableau1_2[[#This Row],[Marge]]/Tableau1_2[[#This Row],[CA]]</f>
        <v>0.27058823529411763</v>
      </c>
      <c r="T674" t="str">
        <f>TEXT(Tableau1_2[[#This Row],[Date]],"mmmm")</f>
        <v>octobre</v>
      </c>
    </row>
    <row r="675" spans="1:20" x14ac:dyDescent="0.35">
      <c r="A675" t="s">
        <v>1493</v>
      </c>
      <c r="B675" s="2">
        <v>46159</v>
      </c>
      <c r="C675" t="s">
        <v>955</v>
      </c>
      <c r="D675" t="s">
        <v>570</v>
      </c>
      <c r="E675" t="s">
        <v>156</v>
      </c>
      <c r="F675" t="s">
        <v>170</v>
      </c>
      <c r="G675" t="s">
        <v>28</v>
      </c>
      <c r="H675" t="s">
        <v>65</v>
      </c>
      <c r="I675">
        <v>10</v>
      </c>
      <c r="J675">
        <v>12600</v>
      </c>
      <c r="K675">
        <v>7700</v>
      </c>
      <c r="L675" t="s">
        <v>96</v>
      </c>
      <c r="M675" t="s">
        <v>37</v>
      </c>
      <c r="N675" t="s">
        <v>23</v>
      </c>
      <c r="O675" t="s">
        <v>45</v>
      </c>
      <c r="P675">
        <f>Tableau1_2[[#This Row],[Quantité]]*Tableau1_2[[#This Row],[Prix_Unitaire]]</f>
        <v>126000</v>
      </c>
      <c r="Q675">
        <f>Tableau1_2[[#This Row],[Quantité]]*Tableau1_2[[#This Row],[Coût_Unitaire]]</f>
        <v>77000</v>
      </c>
      <c r="R675">
        <f>Tableau1_2[[#This Row],[CA]]-Tableau1_2[[#This Row],[Cout Total]]</f>
        <v>49000</v>
      </c>
      <c r="S675" s="4">
        <f>Tableau1_2[[#This Row],[Marge]]/Tableau1_2[[#This Row],[CA]]</f>
        <v>0.3888888888888889</v>
      </c>
      <c r="T675" t="str">
        <f>TEXT(Tableau1_2[[#This Row],[Date]],"mmmm")</f>
        <v>mai</v>
      </c>
    </row>
    <row r="676" spans="1:20" x14ac:dyDescent="0.35">
      <c r="A676" t="s">
        <v>1494</v>
      </c>
      <c r="B676" s="2">
        <v>46238</v>
      </c>
      <c r="C676" t="s">
        <v>1248</v>
      </c>
      <c r="D676" t="s">
        <v>130</v>
      </c>
      <c r="E676" t="s">
        <v>84</v>
      </c>
      <c r="F676" t="s">
        <v>85</v>
      </c>
      <c r="G676" t="s">
        <v>43</v>
      </c>
      <c r="H676" t="s">
        <v>79</v>
      </c>
      <c r="I676">
        <v>7</v>
      </c>
      <c r="J676">
        <v>5700</v>
      </c>
      <c r="K676">
        <v>4100</v>
      </c>
      <c r="L676" t="s">
        <v>36</v>
      </c>
      <c r="M676" t="s">
        <v>31</v>
      </c>
      <c r="N676" t="s">
        <v>52</v>
      </c>
      <c r="O676" t="s">
        <v>24</v>
      </c>
      <c r="P676">
        <f>Tableau1_2[[#This Row],[Quantité]]*Tableau1_2[[#This Row],[Prix_Unitaire]]</f>
        <v>39900</v>
      </c>
      <c r="Q676">
        <f>Tableau1_2[[#This Row],[Quantité]]*Tableau1_2[[#This Row],[Coût_Unitaire]]</f>
        <v>28700</v>
      </c>
      <c r="R676">
        <f>Tableau1_2[[#This Row],[CA]]-Tableau1_2[[#This Row],[Cout Total]]</f>
        <v>11200</v>
      </c>
      <c r="S676" s="4">
        <f>Tableau1_2[[#This Row],[Marge]]/Tableau1_2[[#This Row],[CA]]</f>
        <v>0.2807017543859649</v>
      </c>
      <c r="T676" t="str">
        <f>TEXT(Tableau1_2[[#This Row],[Date]],"mmmm")</f>
        <v>août</v>
      </c>
    </row>
    <row r="677" spans="1:20" x14ac:dyDescent="0.35">
      <c r="A677" t="s">
        <v>1495</v>
      </c>
      <c r="B677" s="2">
        <v>46268</v>
      </c>
      <c r="C677" t="s">
        <v>331</v>
      </c>
      <c r="D677" t="s">
        <v>1439</v>
      </c>
      <c r="E677" t="s">
        <v>18</v>
      </c>
      <c r="F677" t="s">
        <v>18</v>
      </c>
      <c r="G677" t="s">
        <v>19</v>
      </c>
      <c r="H677" t="s">
        <v>61</v>
      </c>
      <c r="I677">
        <v>8</v>
      </c>
      <c r="J677">
        <v>220000</v>
      </c>
      <c r="K677">
        <v>160000</v>
      </c>
      <c r="L677" t="s">
        <v>66</v>
      </c>
      <c r="M677" t="s">
        <v>51</v>
      </c>
      <c r="N677" t="s">
        <v>23</v>
      </c>
      <c r="O677" t="s">
        <v>24</v>
      </c>
      <c r="P677">
        <f>Tableau1_2[[#This Row],[Quantité]]*Tableau1_2[[#This Row],[Prix_Unitaire]]</f>
        <v>1760000</v>
      </c>
      <c r="Q677">
        <f>Tableau1_2[[#This Row],[Quantité]]*Tableau1_2[[#This Row],[Coût_Unitaire]]</f>
        <v>1280000</v>
      </c>
      <c r="R677">
        <f>Tableau1_2[[#This Row],[CA]]-Tableau1_2[[#This Row],[Cout Total]]</f>
        <v>480000</v>
      </c>
      <c r="S677" s="4">
        <f>Tableau1_2[[#This Row],[Marge]]/Tableau1_2[[#This Row],[CA]]</f>
        <v>0.27272727272727271</v>
      </c>
      <c r="T677" t="str">
        <f>TEXT(Tableau1_2[[#This Row],[Date]],"mmmm")</f>
        <v>septembre</v>
      </c>
    </row>
    <row r="678" spans="1:20" x14ac:dyDescent="0.35">
      <c r="A678" t="s">
        <v>1496</v>
      </c>
      <c r="B678" s="2">
        <v>46289</v>
      </c>
      <c r="C678" t="s">
        <v>836</v>
      </c>
      <c r="D678" t="s">
        <v>1497</v>
      </c>
      <c r="E678" t="s">
        <v>18</v>
      </c>
      <c r="F678" t="s">
        <v>18</v>
      </c>
      <c r="G678" t="s">
        <v>34</v>
      </c>
      <c r="H678" t="s">
        <v>141</v>
      </c>
      <c r="I678">
        <v>6</v>
      </c>
      <c r="J678">
        <v>168000</v>
      </c>
      <c r="K678">
        <v>116400</v>
      </c>
      <c r="L678" t="s">
        <v>96</v>
      </c>
      <c r="M678" t="s">
        <v>37</v>
      </c>
      <c r="N678" t="s">
        <v>23</v>
      </c>
      <c r="O678" t="s">
        <v>24</v>
      </c>
      <c r="P678">
        <f>Tableau1_2[[#This Row],[Quantité]]*Tableau1_2[[#This Row],[Prix_Unitaire]]</f>
        <v>1008000</v>
      </c>
      <c r="Q678">
        <f>Tableau1_2[[#This Row],[Quantité]]*Tableau1_2[[#This Row],[Coût_Unitaire]]</f>
        <v>698400</v>
      </c>
      <c r="R678">
        <f>Tableau1_2[[#This Row],[CA]]-Tableau1_2[[#This Row],[Cout Total]]</f>
        <v>309600</v>
      </c>
      <c r="S678" s="4">
        <f>Tableau1_2[[#This Row],[Marge]]/Tableau1_2[[#This Row],[CA]]</f>
        <v>0.30714285714285716</v>
      </c>
      <c r="T678" t="str">
        <f>TEXT(Tableau1_2[[#This Row],[Date]],"mmmm")</f>
        <v>septembre</v>
      </c>
    </row>
    <row r="679" spans="1:20" x14ac:dyDescent="0.35">
      <c r="A679" t="s">
        <v>1498</v>
      </c>
      <c r="B679" s="2">
        <v>46295</v>
      </c>
      <c r="C679" t="s">
        <v>1164</v>
      </c>
      <c r="D679" t="s">
        <v>1195</v>
      </c>
      <c r="E679" t="s">
        <v>84</v>
      </c>
      <c r="F679" t="s">
        <v>85</v>
      </c>
      <c r="G679" t="s">
        <v>34</v>
      </c>
      <c r="H679" t="s">
        <v>95</v>
      </c>
      <c r="I679">
        <v>10</v>
      </c>
      <c r="J679">
        <v>450000</v>
      </c>
      <c r="K679">
        <v>370000</v>
      </c>
      <c r="L679" t="s">
        <v>30</v>
      </c>
      <c r="M679" t="s">
        <v>37</v>
      </c>
      <c r="N679" t="s">
        <v>52</v>
      </c>
      <c r="O679" t="s">
        <v>24</v>
      </c>
      <c r="P679">
        <f>Tableau1_2[[#This Row],[Quantité]]*Tableau1_2[[#This Row],[Prix_Unitaire]]</f>
        <v>4500000</v>
      </c>
      <c r="Q679">
        <f>Tableau1_2[[#This Row],[Quantité]]*Tableau1_2[[#This Row],[Coût_Unitaire]]</f>
        <v>3700000</v>
      </c>
      <c r="R679">
        <f>Tableau1_2[[#This Row],[CA]]-Tableau1_2[[#This Row],[Cout Total]]</f>
        <v>800000</v>
      </c>
      <c r="S679" s="4">
        <f>Tableau1_2[[#This Row],[Marge]]/Tableau1_2[[#This Row],[CA]]</f>
        <v>0.17777777777777778</v>
      </c>
      <c r="T679" t="str">
        <f>TEXT(Tableau1_2[[#This Row],[Date]],"mmmm")</f>
        <v>septembre</v>
      </c>
    </row>
    <row r="680" spans="1:20" x14ac:dyDescent="0.35">
      <c r="A680" t="s">
        <v>1499</v>
      </c>
      <c r="B680" s="2">
        <v>46148</v>
      </c>
      <c r="C680" t="s">
        <v>370</v>
      </c>
      <c r="D680" t="s">
        <v>276</v>
      </c>
      <c r="E680" t="s">
        <v>84</v>
      </c>
      <c r="F680" t="s">
        <v>85</v>
      </c>
      <c r="G680" t="s">
        <v>34</v>
      </c>
      <c r="H680" t="s">
        <v>35</v>
      </c>
      <c r="I680">
        <v>10</v>
      </c>
      <c r="J680">
        <v>55000</v>
      </c>
      <c r="K680">
        <v>39000</v>
      </c>
      <c r="L680" t="s">
        <v>36</v>
      </c>
      <c r="M680" t="s">
        <v>31</v>
      </c>
      <c r="N680" t="s">
        <v>52</v>
      </c>
      <c r="O680" t="s">
        <v>24</v>
      </c>
      <c r="P680">
        <f>Tableau1_2[[#This Row],[Quantité]]*Tableau1_2[[#This Row],[Prix_Unitaire]]</f>
        <v>550000</v>
      </c>
      <c r="Q680">
        <f>Tableau1_2[[#This Row],[Quantité]]*Tableau1_2[[#This Row],[Coût_Unitaire]]</f>
        <v>390000</v>
      </c>
      <c r="R680">
        <f>Tableau1_2[[#This Row],[CA]]-Tableau1_2[[#This Row],[Cout Total]]</f>
        <v>160000</v>
      </c>
      <c r="S680" s="4">
        <f>Tableau1_2[[#This Row],[Marge]]/Tableau1_2[[#This Row],[CA]]</f>
        <v>0.29090909090909089</v>
      </c>
      <c r="T680" t="str">
        <f>TEXT(Tableau1_2[[#This Row],[Date]],"mmmm")</f>
        <v>mai</v>
      </c>
    </row>
    <row r="681" spans="1:20" x14ac:dyDescent="0.35">
      <c r="A681" t="s">
        <v>1500</v>
      </c>
      <c r="B681" s="2">
        <v>46326</v>
      </c>
      <c r="C681" t="s">
        <v>1501</v>
      </c>
      <c r="D681" t="s">
        <v>507</v>
      </c>
      <c r="E681" t="s">
        <v>41</v>
      </c>
      <c r="F681" t="s">
        <v>42</v>
      </c>
      <c r="G681" t="s">
        <v>34</v>
      </c>
      <c r="H681" t="s">
        <v>158</v>
      </c>
      <c r="I681">
        <v>1</v>
      </c>
      <c r="J681">
        <v>99800</v>
      </c>
      <c r="K681">
        <v>67900</v>
      </c>
      <c r="L681" t="s">
        <v>21</v>
      </c>
      <c r="M681" t="s">
        <v>51</v>
      </c>
      <c r="N681" t="s">
        <v>23</v>
      </c>
      <c r="O681" t="s">
        <v>45</v>
      </c>
      <c r="P681">
        <f>Tableau1_2[[#This Row],[Quantité]]*Tableau1_2[[#This Row],[Prix_Unitaire]]</f>
        <v>99800</v>
      </c>
      <c r="Q681">
        <f>Tableau1_2[[#This Row],[Quantité]]*Tableau1_2[[#This Row],[Coût_Unitaire]]</f>
        <v>67900</v>
      </c>
      <c r="R681">
        <f>Tableau1_2[[#This Row],[CA]]-Tableau1_2[[#This Row],[Cout Total]]</f>
        <v>31900</v>
      </c>
      <c r="S681" s="4">
        <f>Tableau1_2[[#This Row],[Marge]]/Tableau1_2[[#This Row],[CA]]</f>
        <v>0.31963927855711421</v>
      </c>
      <c r="T681" t="str">
        <f>TEXT(Tableau1_2[[#This Row],[Date]],"mmmm")</f>
        <v>octobre</v>
      </c>
    </row>
    <row r="682" spans="1:20" x14ac:dyDescent="0.35">
      <c r="A682" t="s">
        <v>1504</v>
      </c>
      <c r="B682" s="2">
        <v>46357</v>
      </c>
      <c r="C682" t="s">
        <v>39</v>
      </c>
      <c r="D682" t="s">
        <v>767</v>
      </c>
      <c r="E682" t="s">
        <v>18</v>
      </c>
      <c r="F682" t="s">
        <v>18</v>
      </c>
      <c r="G682" t="s">
        <v>34</v>
      </c>
      <c r="H682" t="s">
        <v>86</v>
      </c>
      <c r="I682">
        <v>9</v>
      </c>
      <c r="J682">
        <v>180000</v>
      </c>
      <c r="K682">
        <v>139000</v>
      </c>
      <c r="L682" t="s">
        <v>50</v>
      </c>
      <c r="M682" t="s">
        <v>51</v>
      </c>
      <c r="N682" t="s">
        <v>52</v>
      </c>
      <c r="O682" t="s">
        <v>24</v>
      </c>
      <c r="P682">
        <f>Tableau1_2[[#This Row],[Quantité]]*Tableau1_2[[#This Row],[Prix_Unitaire]]</f>
        <v>1620000</v>
      </c>
      <c r="Q682">
        <f>Tableau1_2[[#This Row],[Quantité]]*Tableau1_2[[#This Row],[Coût_Unitaire]]</f>
        <v>1251000</v>
      </c>
      <c r="R682">
        <f>Tableau1_2[[#This Row],[CA]]-Tableau1_2[[#This Row],[Cout Total]]</f>
        <v>369000</v>
      </c>
      <c r="S682" s="4">
        <f>Tableau1_2[[#This Row],[Marge]]/Tableau1_2[[#This Row],[CA]]</f>
        <v>0.22777777777777777</v>
      </c>
      <c r="T682" t="str">
        <f>TEXT(Tableau1_2[[#This Row],[Date]],"mmmm")</f>
        <v>décembre</v>
      </c>
    </row>
    <row r="683" spans="1:20" x14ac:dyDescent="0.35">
      <c r="A683" t="s">
        <v>1505</v>
      </c>
      <c r="B683" s="2">
        <v>46137</v>
      </c>
      <c r="C683" t="s">
        <v>1506</v>
      </c>
      <c r="D683" t="s">
        <v>589</v>
      </c>
      <c r="E683" t="s">
        <v>190</v>
      </c>
      <c r="F683" t="s">
        <v>191</v>
      </c>
      <c r="G683" t="s">
        <v>43</v>
      </c>
      <c r="H683" t="s">
        <v>177</v>
      </c>
      <c r="I683">
        <v>6</v>
      </c>
      <c r="J683">
        <v>18000</v>
      </c>
      <c r="K683">
        <v>12500</v>
      </c>
      <c r="L683" t="s">
        <v>50</v>
      </c>
      <c r="M683" t="s">
        <v>37</v>
      </c>
      <c r="N683" t="s">
        <v>87</v>
      </c>
      <c r="O683" t="s">
        <v>45</v>
      </c>
      <c r="P683">
        <f>Tableau1_2[[#This Row],[Quantité]]*Tableau1_2[[#This Row],[Prix_Unitaire]]</f>
        <v>108000</v>
      </c>
      <c r="Q683">
        <f>Tableau1_2[[#This Row],[Quantité]]*Tableau1_2[[#This Row],[Coût_Unitaire]]</f>
        <v>75000</v>
      </c>
      <c r="R683">
        <f>Tableau1_2[[#This Row],[CA]]-Tableau1_2[[#This Row],[Cout Total]]</f>
        <v>33000</v>
      </c>
      <c r="S683" s="4">
        <f>Tableau1_2[[#This Row],[Marge]]/Tableau1_2[[#This Row],[CA]]</f>
        <v>0.30555555555555558</v>
      </c>
      <c r="T683" t="str">
        <f>TEXT(Tableau1_2[[#This Row],[Date]],"mmmm")</f>
        <v>avril</v>
      </c>
    </row>
    <row r="684" spans="1:20" x14ac:dyDescent="0.35">
      <c r="A684" t="s">
        <v>1507</v>
      </c>
      <c r="B684" s="2">
        <v>46324</v>
      </c>
      <c r="C684" t="s">
        <v>1444</v>
      </c>
      <c r="D684" t="s">
        <v>1403</v>
      </c>
      <c r="E684" t="s">
        <v>156</v>
      </c>
      <c r="F684" t="s">
        <v>157</v>
      </c>
      <c r="G684" t="s">
        <v>19</v>
      </c>
      <c r="H684" t="s">
        <v>166</v>
      </c>
      <c r="I684">
        <v>3</v>
      </c>
      <c r="J684">
        <v>133000</v>
      </c>
      <c r="K684">
        <v>97000</v>
      </c>
      <c r="L684" t="s">
        <v>73</v>
      </c>
      <c r="M684" t="s">
        <v>37</v>
      </c>
      <c r="N684" t="s">
        <v>52</v>
      </c>
      <c r="O684" t="s">
        <v>24</v>
      </c>
      <c r="P684">
        <f>Tableau1_2[[#This Row],[Quantité]]*Tableau1_2[[#This Row],[Prix_Unitaire]]</f>
        <v>399000</v>
      </c>
      <c r="Q684">
        <f>Tableau1_2[[#This Row],[Quantité]]*Tableau1_2[[#This Row],[Coût_Unitaire]]</f>
        <v>291000</v>
      </c>
      <c r="R684">
        <f>Tableau1_2[[#This Row],[CA]]-Tableau1_2[[#This Row],[Cout Total]]</f>
        <v>108000</v>
      </c>
      <c r="S684" s="4">
        <f>Tableau1_2[[#This Row],[Marge]]/Tableau1_2[[#This Row],[CA]]</f>
        <v>0.27067669172932329</v>
      </c>
      <c r="T684" t="str">
        <f>TEXT(Tableau1_2[[#This Row],[Date]],"mmmm")</f>
        <v>octobre</v>
      </c>
    </row>
    <row r="685" spans="1:20" x14ac:dyDescent="0.35">
      <c r="A685" t="s">
        <v>1508</v>
      </c>
      <c r="B685" s="2">
        <v>46275</v>
      </c>
      <c r="C685" t="s">
        <v>1509</v>
      </c>
      <c r="D685" t="s">
        <v>665</v>
      </c>
      <c r="E685" t="s">
        <v>156</v>
      </c>
      <c r="F685" t="s">
        <v>157</v>
      </c>
      <c r="G685" t="s">
        <v>19</v>
      </c>
      <c r="H685" t="s">
        <v>112</v>
      </c>
      <c r="I685">
        <v>6</v>
      </c>
      <c r="J685">
        <v>89200</v>
      </c>
      <c r="K685">
        <v>63900</v>
      </c>
      <c r="L685" t="s">
        <v>50</v>
      </c>
      <c r="M685" t="s">
        <v>51</v>
      </c>
      <c r="N685" t="s">
        <v>23</v>
      </c>
      <c r="O685" t="s">
        <v>24</v>
      </c>
      <c r="P685">
        <f>Tableau1_2[[#This Row],[Quantité]]*Tableau1_2[[#This Row],[Prix_Unitaire]]</f>
        <v>535200</v>
      </c>
      <c r="Q685">
        <f>Tableau1_2[[#This Row],[Quantité]]*Tableau1_2[[#This Row],[Coût_Unitaire]]</f>
        <v>383400</v>
      </c>
      <c r="R685">
        <f>Tableau1_2[[#This Row],[CA]]-Tableau1_2[[#This Row],[Cout Total]]</f>
        <v>151800</v>
      </c>
      <c r="S685" s="4">
        <f>Tableau1_2[[#This Row],[Marge]]/Tableau1_2[[#This Row],[CA]]</f>
        <v>0.28363228699551568</v>
      </c>
      <c r="T685" t="str">
        <f>TEXT(Tableau1_2[[#This Row],[Date]],"mmmm")</f>
        <v>septembre</v>
      </c>
    </row>
    <row r="686" spans="1:20" x14ac:dyDescent="0.35">
      <c r="A686" t="s">
        <v>1510</v>
      </c>
      <c r="B686" s="2">
        <v>46111</v>
      </c>
      <c r="C686" t="s">
        <v>1511</v>
      </c>
      <c r="D686" t="s">
        <v>613</v>
      </c>
      <c r="E686" t="s">
        <v>41</v>
      </c>
      <c r="F686" t="s">
        <v>42</v>
      </c>
      <c r="G686" t="s">
        <v>43</v>
      </c>
      <c r="H686" t="s">
        <v>162</v>
      </c>
      <c r="I686">
        <v>2</v>
      </c>
      <c r="J686">
        <v>8000</v>
      </c>
      <c r="K686">
        <v>5000</v>
      </c>
      <c r="L686" t="s">
        <v>80</v>
      </c>
      <c r="M686" t="s">
        <v>51</v>
      </c>
      <c r="N686" t="s">
        <v>23</v>
      </c>
      <c r="O686" t="s">
        <v>24</v>
      </c>
      <c r="P686">
        <f>Tableau1_2[[#This Row],[Quantité]]*Tableau1_2[[#This Row],[Prix_Unitaire]]</f>
        <v>16000</v>
      </c>
      <c r="Q686">
        <f>Tableau1_2[[#This Row],[Quantité]]*Tableau1_2[[#This Row],[Coût_Unitaire]]</f>
        <v>10000</v>
      </c>
      <c r="R686">
        <f>Tableau1_2[[#This Row],[CA]]-Tableau1_2[[#This Row],[Cout Total]]</f>
        <v>6000</v>
      </c>
      <c r="S686" s="4">
        <f>Tableau1_2[[#This Row],[Marge]]/Tableau1_2[[#This Row],[CA]]</f>
        <v>0.375</v>
      </c>
      <c r="T686" t="str">
        <f>TEXT(Tableau1_2[[#This Row],[Date]],"mmmm")</f>
        <v>mars</v>
      </c>
    </row>
    <row r="687" spans="1:20" x14ac:dyDescent="0.35">
      <c r="A687" t="s">
        <v>1512</v>
      </c>
      <c r="B687" s="2">
        <v>46221</v>
      </c>
      <c r="C687" t="s">
        <v>526</v>
      </c>
      <c r="D687" t="s">
        <v>1031</v>
      </c>
      <c r="E687" t="s">
        <v>77</v>
      </c>
      <c r="F687" t="s">
        <v>78</v>
      </c>
      <c r="G687" t="s">
        <v>43</v>
      </c>
      <c r="H687" t="s">
        <v>79</v>
      </c>
      <c r="I687">
        <v>6</v>
      </c>
      <c r="J687">
        <v>5700</v>
      </c>
      <c r="K687">
        <v>4200</v>
      </c>
      <c r="L687" t="s">
        <v>36</v>
      </c>
      <c r="M687" t="s">
        <v>51</v>
      </c>
      <c r="N687" t="s">
        <v>52</v>
      </c>
      <c r="O687" t="s">
        <v>91</v>
      </c>
      <c r="P687">
        <f>Tableau1_2[[#This Row],[Quantité]]*Tableau1_2[[#This Row],[Prix_Unitaire]]</f>
        <v>34200</v>
      </c>
      <c r="Q687">
        <f>Tableau1_2[[#This Row],[Quantité]]*Tableau1_2[[#This Row],[Coût_Unitaire]]</f>
        <v>25200</v>
      </c>
      <c r="R687">
        <f>Tableau1_2[[#This Row],[CA]]-Tableau1_2[[#This Row],[Cout Total]]</f>
        <v>9000</v>
      </c>
      <c r="S687" s="4">
        <f>Tableau1_2[[#This Row],[Marge]]/Tableau1_2[[#This Row],[CA]]</f>
        <v>0.26315789473684209</v>
      </c>
      <c r="T687" t="str">
        <f>TEXT(Tableau1_2[[#This Row],[Date]],"mmmm")</f>
        <v>juillet</v>
      </c>
    </row>
    <row r="688" spans="1:20" x14ac:dyDescent="0.35">
      <c r="A688" t="s">
        <v>1513</v>
      </c>
      <c r="B688" s="2">
        <v>46380</v>
      </c>
      <c r="C688" t="s">
        <v>326</v>
      </c>
      <c r="D688" t="s">
        <v>1408</v>
      </c>
      <c r="E688" t="s">
        <v>18</v>
      </c>
      <c r="F688" t="s">
        <v>18</v>
      </c>
      <c r="G688" t="s">
        <v>34</v>
      </c>
      <c r="H688" t="s">
        <v>158</v>
      </c>
      <c r="I688">
        <v>1</v>
      </c>
      <c r="J688">
        <v>99800</v>
      </c>
      <c r="K688">
        <v>67900</v>
      </c>
      <c r="L688" t="s">
        <v>21</v>
      </c>
      <c r="M688" t="s">
        <v>37</v>
      </c>
      <c r="N688" t="s">
        <v>23</v>
      </c>
      <c r="O688" t="s">
        <v>91</v>
      </c>
      <c r="P688">
        <f>Tableau1_2[[#This Row],[Quantité]]*Tableau1_2[[#This Row],[Prix_Unitaire]]</f>
        <v>99800</v>
      </c>
      <c r="Q688">
        <f>Tableau1_2[[#This Row],[Quantité]]*Tableau1_2[[#This Row],[Coût_Unitaire]]</f>
        <v>67900</v>
      </c>
      <c r="R688">
        <f>Tableau1_2[[#This Row],[CA]]-Tableau1_2[[#This Row],[Cout Total]]</f>
        <v>31900</v>
      </c>
      <c r="S688" s="4">
        <f>Tableau1_2[[#This Row],[Marge]]/Tableau1_2[[#This Row],[CA]]</f>
        <v>0.31963927855711421</v>
      </c>
      <c r="T688" t="str">
        <f>TEXT(Tableau1_2[[#This Row],[Date]],"mmmm")</f>
        <v>décembre</v>
      </c>
    </row>
    <row r="689" spans="1:20" x14ac:dyDescent="0.35">
      <c r="A689" t="s">
        <v>1514</v>
      </c>
      <c r="B689" s="2">
        <v>46171</v>
      </c>
      <c r="C689" t="s">
        <v>621</v>
      </c>
      <c r="D689" t="s">
        <v>731</v>
      </c>
      <c r="E689" t="s">
        <v>156</v>
      </c>
      <c r="F689" t="s">
        <v>157</v>
      </c>
      <c r="G689" t="s">
        <v>43</v>
      </c>
      <c r="H689" t="s">
        <v>177</v>
      </c>
      <c r="I689">
        <v>4</v>
      </c>
      <c r="J689">
        <v>18000</v>
      </c>
      <c r="K689">
        <v>12500</v>
      </c>
      <c r="L689" t="s">
        <v>80</v>
      </c>
      <c r="M689" t="s">
        <v>37</v>
      </c>
      <c r="N689" t="s">
        <v>23</v>
      </c>
      <c r="O689" t="s">
        <v>24</v>
      </c>
      <c r="P689">
        <f>Tableau1_2[[#This Row],[Quantité]]*Tableau1_2[[#This Row],[Prix_Unitaire]]</f>
        <v>72000</v>
      </c>
      <c r="Q689">
        <f>Tableau1_2[[#This Row],[Quantité]]*Tableau1_2[[#This Row],[Coût_Unitaire]]</f>
        <v>50000</v>
      </c>
      <c r="R689">
        <f>Tableau1_2[[#This Row],[CA]]-Tableau1_2[[#This Row],[Cout Total]]</f>
        <v>22000</v>
      </c>
      <c r="S689" s="4">
        <f>Tableau1_2[[#This Row],[Marge]]/Tableau1_2[[#This Row],[CA]]</f>
        <v>0.30555555555555558</v>
      </c>
      <c r="T689" t="str">
        <f>TEXT(Tableau1_2[[#This Row],[Date]],"mmmm")</f>
        <v>mai</v>
      </c>
    </row>
    <row r="690" spans="1:20" x14ac:dyDescent="0.35">
      <c r="A690" t="s">
        <v>1515</v>
      </c>
      <c r="B690" s="2">
        <v>46068</v>
      </c>
      <c r="C690" t="s">
        <v>1183</v>
      </c>
      <c r="D690" t="s">
        <v>688</v>
      </c>
      <c r="E690" t="s">
        <v>18</v>
      </c>
      <c r="F690" t="s">
        <v>18</v>
      </c>
      <c r="G690" t="s">
        <v>19</v>
      </c>
      <c r="H690" t="s">
        <v>112</v>
      </c>
      <c r="I690">
        <v>3</v>
      </c>
      <c r="J690">
        <v>85000</v>
      </c>
      <c r="K690">
        <v>62000</v>
      </c>
      <c r="L690" t="s">
        <v>80</v>
      </c>
      <c r="M690" t="s">
        <v>51</v>
      </c>
      <c r="N690" t="s">
        <v>52</v>
      </c>
      <c r="O690" t="s">
        <v>24</v>
      </c>
      <c r="P690">
        <f>Tableau1_2[[#This Row],[Quantité]]*Tableau1_2[[#This Row],[Prix_Unitaire]]</f>
        <v>255000</v>
      </c>
      <c r="Q690">
        <f>Tableau1_2[[#This Row],[Quantité]]*Tableau1_2[[#This Row],[Coût_Unitaire]]</f>
        <v>186000</v>
      </c>
      <c r="R690">
        <f>Tableau1_2[[#This Row],[CA]]-Tableau1_2[[#This Row],[Cout Total]]</f>
        <v>69000</v>
      </c>
      <c r="S690" s="4">
        <f>Tableau1_2[[#This Row],[Marge]]/Tableau1_2[[#This Row],[CA]]</f>
        <v>0.27058823529411763</v>
      </c>
      <c r="T690" t="str">
        <f>TEXT(Tableau1_2[[#This Row],[Date]],"mmmm")</f>
        <v>février</v>
      </c>
    </row>
    <row r="691" spans="1:20" x14ac:dyDescent="0.35">
      <c r="A691" t="s">
        <v>1516</v>
      </c>
      <c r="B691" s="2">
        <v>46081</v>
      </c>
      <c r="C691" t="s">
        <v>943</v>
      </c>
      <c r="D691" t="s">
        <v>567</v>
      </c>
      <c r="E691" t="s">
        <v>77</v>
      </c>
      <c r="F691" t="s">
        <v>78</v>
      </c>
      <c r="G691" t="s">
        <v>43</v>
      </c>
      <c r="H691" t="s">
        <v>177</v>
      </c>
      <c r="I691">
        <v>4</v>
      </c>
      <c r="J691">
        <v>17100</v>
      </c>
      <c r="K691">
        <v>12500</v>
      </c>
      <c r="L691" t="s">
        <v>66</v>
      </c>
      <c r="M691" t="s">
        <v>37</v>
      </c>
      <c r="N691" t="s">
        <v>23</v>
      </c>
      <c r="O691" t="s">
        <v>91</v>
      </c>
      <c r="P691">
        <f>Tableau1_2[[#This Row],[Quantité]]*Tableau1_2[[#This Row],[Prix_Unitaire]]</f>
        <v>68400</v>
      </c>
      <c r="Q691">
        <f>Tableau1_2[[#This Row],[Quantité]]*Tableau1_2[[#This Row],[Coût_Unitaire]]</f>
        <v>50000</v>
      </c>
      <c r="R691">
        <f>Tableau1_2[[#This Row],[CA]]-Tableau1_2[[#This Row],[Cout Total]]</f>
        <v>18400</v>
      </c>
      <c r="S691" s="4">
        <f>Tableau1_2[[#This Row],[Marge]]/Tableau1_2[[#This Row],[CA]]</f>
        <v>0.26900584795321636</v>
      </c>
      <c r="T691" t="str">
        <f>TEXT(Tableau1_2[[#This Row],[Date]],"mmmm")</f>
        <v>février</v>
      </c>
    </row>
    <row r="692" spans="1:20" x14ac:dyDescent="0.35">
      <c r="A692" t="s">
        <v>1517</v>
      </c>
      <c r="B692" s="2">
        <v>46055</v>
      </c>
      <c r="C692" t="s">
        <v>1518</v>
      </c>
      <c r="D692" t="s">
        <v>1519</v>
      </c>
      <c r="E692" t="s">
        <v>18</v>
      </c>
      <c r="F692" t="s">
        <v>18</v>
      </c>
      <c r="G692" t="s">
        <v>28</v>
      </c>
      <c r="H692" t="s">
        <v>29</v>
      </c>
      <c r="I692">
        <v>1</v>
      </c>
      <c r="J692">
        <v>7000</v>
      </c>
      <c r="K692">
        <v>4000</v>
      </c>
      <c r="L692" t="s">
        <v>50</v>
      </c>
      <c r="M692" t="s">
        <v>31</v>
      </c>
      <c r="N692" t="s">
        <v>52</v>
      </c>
      <c r="O692" t="s">
        <v>91</v>
      </c>
      <c r="P692">
        <f>Tableau1_2[[#This Row],[Quantité]]*Tableau1_2[[#This Row],[Prix_Unitaire]]</f>
        <v>7000</v>
      </c>
      <c r="Q692">
        <f>Tableau1_2[[#This Row],[Quantité]]*Tableau1_2[[#This Row],[Coût_Unitaire]]</f>
        <v>4000</v>
      </c>
      <c r="R692">
        <f>Tableau1_2[[#This Row],[CA]]-Tableau1_2[[#This Row],[Cout Total]]</f>
        <v>3000</v>
      </c>
      <c r="S692" s="4">
        <f>Tableau1_2[[#This Row],[Marge]]/Tableau1_2[[#This Row],[CA]]</f>
        <v>0.42857142857142855</v>
      </c>
      <c r="T692" t="str">
        <f>TEXT(Tableau1_2[[#This Row],[Date]],"mmmm")</f>
        <v>février</v>
      </c>
    </row>
    <row r="693" spans="1:20" x14ac:dyDescent="0.35">
      <c r="A693" t="s">
        <v>1520</v>
      </c>
      <c r="B693" s="2">
        <v>46106</v>
      </c>
      <c r="C693" t="s">
        <v>774</v>
      </c>
      <c r="D693" t="s">
        <v>1043</v>
      </c>
      <c r="E693" t="s">
        <v>156</v>
      </c>
      <c r="F693" t="s">
        <v>170</v>
      </c>
      <c r="G693" t="s">
        <v>43</v>
      </c>
      <c r="H693" t="s">
        <v>49</v>
      </c>
      <c r="I693">
        <v>1</v>
      </c>
      <c r="J693">
        <v>9000</v>
      </c>
      <c r="K693">
        <v>5600</v>
      </c>
      <c r="L693" t="s">
        <v>36</v>
      </c>
      <c r="M693" t="s">
        <v>31</v>
      </c>
      <c r="N693" t="s">
        <v>23</v>
      </c>
      <c r="O693" t="s">
        <v>24</v>
      </c>
      <c r="P693">
        <f>Tableau1_2[[#This Row],[Quantité]]*Tableau1_2[[#This Row],[Prix_Unitaire]]</f>
        <v>9000</v>
      </c>
      <c r="Q693">
        <f>Tableau1_2[[#This Row],[Quantité]]*Tableau1_2[[#This Row],[Coût_Unitaire]]</f>
        <v>5600</v>
      </c>
      <c r="R693">
        <f>Tableau1_2[[#This Row],[CA]]-Tableau1_2[[#This Row],[Cout Total]]</f>
        <v>3400</v>
      </c>
      <c r="S693" s="4">
        <f>Tableau1_2[[#This Row],[Marge]]/Tableau1_2[[#This Row],[CA]]</f>
        <v>0.37777777777777777</v>
      </c>
      <c r="T693" t="str">
        <f>TEXT(Tableau1_2[[#This Row],[Date]],"mmmm")</f>
        <v>mars</v>
      </c>
    </row>
    <row r="694" spans="1:20" x14ac:dyDescent="0.35">
      <c r="A694" t="s">
        <v>1521</v>
      </c>
      <c r="B694" s="2">
        <v>46349</v>
      </c>
      <c r="C694" t="s">
        <v>1522</v>
      </c>
      <c r="D694" t="s">
        <v>697</v>
      </c>
      <c r="E694" t="s">
        <v>18</v>
      </c>
      <c r="F694" t="s">
        <v>18</v>
      </c>
      <c r="G694" t="s">
        <v>43</v>
      </c>
      <c r="H694" t="s">
        <v>44</v>
      </c>
      <c r="I694">
        <v>8</v>
      </c>
      <c r="J694">
        <v>14200</v>
      </c>
      <c r="K694">
        <v>9500</v>
      </c>
      <c r="L694" t="s">
        <v>66</v>
      </c>
      <c r="M694" t="s">
        <v>37</v>
      </c>
      <c r="N694" t="s">
        <v>87</v>
      </c>
      <c r="O694" t="s">
        <v>24</v>
      </c>
      <c r="P694">
        <f>Tableau1_2[[#This Row],[Quantité]]*Tableau1_2[[#This Row],[Prix_Unitaire]]</f>
        <v>113600</v>
      </c>
      <c r="Q694">
        <f>Tableau1_2[[#This Row],[Quantité]]*Tableau1_2[[#This Row],[Coût_Unitaire]]</f>
        <v>76000</v>
      </c>
      <c r="R694">
        <f>Tableau1_2[[#This Row],[CA]]-Tableau1_2[[#This Row],[Cout Total]]</f>
        <v>37600</v>
      </c>
      <c r="S694" s="4">
        <f>Tableau1_2[[#This Row],[Marge]]/Tableau1_2[[#This Row],[CA]]</f>
        <v>0.33098591549295775</v>
      </c>
      <c r="T694" t="str">
        <f>TEXT(Tableau1_2[[#This Row],[Date]],"mmmm")</f>
        <v>novembre</v>
      </c>
    </row>
    <row r="695" spans="1:20" x14ac:dyDescent="0.35">
      <c r="A695" t="s">
        <v>1523</v>
      </c>
      <c r="B695" s="2">
        <v>46127</v>
      </c>
      <c r="C695" t="s">
        <v>1524</v>
      </c>
      <c r="D695" t="s">
        <v>803</v>
      </c>
      <c r="E695" t="s">
        <v>190</v>
      </c>
      <c r="F695" t="s">
        <v>191</v>
      </c>
      <c r="G695" t="s">
        <v>34</v>
      </c>
      <c r="H695" t="s">
        <v>95</v>
      </c>
      <c r="I695">
        <v>6</v>
      </c>
      <c r="J695">
        <v>450000</v>
      </c>
      <c r="K695">
        <v>370000</v>
      </c>
      <c r="L695" t="s">
        <v>36</v>
      </c>
      <c r="M695" t="s">
        <v>51</v>
      </c>
      <c r="N695" t="s">
        <v>23</v>
      </c>
      <c r="O695" t="s">
        <v>24</v>
      </c>
      <c r="P695">
        <f>Tableau1_2[[#This Row],[Quantité]]*Tableau1_2[[#This Row],[Prix_Unitaire]]</f>
        <v>2700000</v>
      </c>
      <c r="Q695">
        <f>Tableau1_2[[#This Row],[Quantité]]*Tableau1_2[[#This Row],[Coût_Unitaire]]</f>
        <v>2220000</v>
      </c>
      <c r="R695">
        <f>Tableau1_2[[#This Row],[CA]]-Tableau1_2[[#This Row],[Cout Total]]</f>
        <v>480000</v>
      </c>
      <c r="S695" s="4">
        <f>Tableau1_2[[#This Row],[Marge]]/Tableau1_2[[#This Row],[CA]]</f>
        <v>0.17777777777777778</v>
      </c>
      <c r="T695" t="str">
        <f>TEXT(Tableau1_2[[#This Row],[Date]],"mmmm")</f>
        <v>avril</v>
      </c>
    </row>
    <row r="696" spans="1:20" x14ac:dyDescent="0.35">
      <c r="A696" t="s">
        <v>1525</v>
      </c>
      <c r="B696" s="2">
        <v>46227</v>
      </c>
      <c r="C696" t="s">
        <v>164</v>
      </c>
      <c r="D696" t="s">
        <v>963</v>
      </c>
      <c r="E696" t="s">
        <v>18</v>
      </c>
      <c r="F696" t="s">
        <v>18</v>
      </c>
      <c r="G696" t="s">
        <v>43</v>
      </c>
      <c r="H696" t="s">
        <v>44</v>
      </c>
      <c r="I696">
        <v>7</v>
      </c>
      <c r="J696">
        <v>15000</v>
      </c>
      <c r="K696">
        <v>9800</v>
      </c>
      <c r="L696" t="s">
        <v>73</v>
      </c>
      <c r="M696" t="s">
        <v>22</v>
      </c>
      <c r="N696" t="s">
        <v>23</v>
      </c>
      <c r="O696" t="s">
        <v>45</v>
      </c>
      <c r="P696">
        <f>Tableau1_2[[#This Row],[Quantité]]*Tableau1_2[[#This Row],[Prix_Unitaire]]</f>
        <v>105000</v>
      </c>
      <c r="Q696">
        <f>Tableau1_2[[#This Row],[Quantité]]*Tableau1_2[[#This Row],[Coût_Unitaire]]</f>
        <v>68600</v>
      </c>
      <c r="R696">
        <f>Tableau1_2[[#This Row],[CA]]-Tableau1_2[[#This Row],[Cout Total]]</f>
        <v>36400</v>
      </c>
      <c r="S696" s="4">
        <f>Tableau1_2[[#This Row],[Marge]]/Tableau1_2[[#This Row],[CA]]</f>
        <v>0.34666666666666668</v>
      </c>
      <c r="T696" t="str">
        <f>TEXT(Tableau1_2[[#This Row],[Date]],"mmmm")</f>
        <v>juillet</v>
      </c>
    </row>
    <row r="697" spans="1:20" x14ac:dyDescent="0.35">
      <c r="A697" t="s">
        <v>1526</v>
      </c>
      <c r="B697" s="2">
        <v>46153</v>
      </c>
      <c r="C697" t="s">
        <v>1527</v>
      </c>
      <c r="D697" t="s">
        <v>64</v>
      </c>
      <c r="E697" t="s">
        <v>18</v>
      </c>
      <c r="F697" t="s">
        <v>18</v>
      </c>
      <c r="G697" t="s">
        <v>43</v>
      </c>
      <c r="H697" t="s">
        <v>49</v>
      </c>
      <c r="I697">
        <v>6</v>
      </c>
      <c r="J697">
        <v>9000</v>
      </c>
      <c r="K697">
        <v>6000</v>
      </c>
      <c r="L697" t="s">
        <v>50</v>
      </c>
      <c r="M697" t="s">
        <v>51</v>
      </c>
      <c r="N697" t="s">
        <v>52</v>
      </c>
      <c r="O697" t="s">
        <v>24</v>
      </c>
      <c r="P697">
        <f>Tableau1_2[[#This Row],[Quantité]]*Tableau1_2[[#This Row],[Prix_Unitaire]]</f>
        <v>54000</v>
      </c>
      <c r="Q697">
        <f>Tableau1_2[[#This Row],[Quantité]]*Tableau1_2[[#This Row],[Coût_Unitaire]]</f>
        <v>36000</v>
      </c>
      <c r="R697">
        <f>Tableau1_2[[#This Row],[CA]]-Tableau1_2[[#This Row],[Cout Total]]</f>
        <v>18000</v>
      </c>
      <c r="S697" s="4">
        <f>Tableau1_2[[#This Row],[Marge]]/Tableau1_2[[#This Row],[CA]]</f>
        <v>0.33333333333333331</v>
      </c>
      <c r="T697" t="str">
        <f>TEXT(Tableau1_2[[#This Row],[Date]],"mmmm")</f>
        <v>mai</v>
      </c>
    </row>
    <row r="698" spans="1:20" x14ac:dyDescent="0.35">
      <c r="A698" t="s">
        <v>1528</v>
      </c>
      <c r="B698" s="2">
        <v>46195</v>
      </c>
      <c r="C698" t="s">
        <v>1529</v>
      </c>
      <c r="D698" t="s">
        <v>180</v>
      </c>
      <c r="E698" t="s">
        <v>18</v>
      </c>
      <c r="F698" t="s">
        <v>18</v>
      </c>
      <c r="G698" t="s">
        <v>34</v>
      </c>
      <c r="H698" t="s">
        <v>95</v>
      </c>
      <c r="I698">
        <v>9</v>
      </c>
      <c r="J698">
        <v>427500</v>
      </c>
      <c r="K698">
        <v>358900</v>
      </c>
      <c r="L698" t="s">
        <v>30</v>
      </c>
      <c r="M698" t="s">
        <v>22</v>
      </c>
      <c r="N698" t="s">
        <v>87</v>
      </c>
      <c r="O698" t="s">
        <v>24</v>
      </c>
      <c r="P698">
        <f>Tableau1_2[[#This Row],[Quantité]]*Tableau1_2[[#This Row],[Prix_Unitaire]]</f>
        <v>3847500</v>
      </c>
      <c r="Q698">
        <f>Tableau1_2[[#This Row],[Quantité]]*Tableau1_2[[#This Row],[Coût_Unitaire]]</f>
        <v>3230100</v>
      </c>
      <c r="R698">
        <f>Tableau1_2[[#This Row],[CA]]-Tableau1_2[[#This Row],[Cout Total]]</f>
        <v>617400</v>
      </c>
      <c r="S698" s="4">
        <f>Tableau1_2[[#This Row],[Marge]]/Tableau1_2[[#This Row],[CA]]</f>
        <v>0.16046783625730995</v>
      </c>
      <c r="T698" t="str">
        <f>TEXT(Tableau1_2[[#This Row],[Date]],"mmmm")</f>
        <v>juin</v>
      </c>
    </row>
    <row r="699" spans="1:20" x14ac:dyDescent="0.35">
      <c r="A699" t="s">
        <v>1530</v>
      </c>
      <c r="B699" s="2">
        <v>46363</v>
      </c>
      <c r="C699" t="s">
        <v>1051</v>
      </c>
      <c r="D699" t="s">
        <v>530</v>
      </c>
      <c r="E699" t="s">
        <v>190</v>
      </c>
      <c r="F699" t="s">
        <v>191</v>
      </c>
      <c r="G699" t="s">
        <v>34</v>
      </c>
      <c r="H699" t="s">
        <v>158</v>
      </c>
      <c r="I699">
        <v>3</v>
      </c>
      <c r="J699">
        <v>99800</v>
      </c>
      <c r="K699">
        <v>70000</v>
      </c>
      <c r="L699" t="s">
        <v>96</v>
      </c>
      <c r="M699" t="s">
        <v>22</v>
      </c>
      <c r="N699" t="s">
        <v>52</v>
      </c>
      <c r="O699" t="s">
        <v>24</v>
      </c>
      <c r="P699">
        <f>Tableau1_2[[#This Row],[Quantité]]*Tableau1_2[[#This Row],[Prix_Unitaire]]</f>
        <v>299400</v>
      </c>
      <c r="Q699">
        <f>Tableau1_2[[#This Row],[Quantité]]*Tableau1_2[[#This Row],[Coût_Unitaire]]</f>
        <v>210000</v>
      </c>
      <c r="R699">
        <f>Tableau1_2[[#This Row],[CA]]-Tableau1_2[[#This Row],[Cout Total]]</f>
        <v>89400</v>
      </c>
      <c r="S699" s="4">
        <f>Tableau1_2[[#This Row],[Marge]]/Tableau1_2[[#This Row],[CA]]</f>
        <v>0.29859719438877758</v>
      </c>
      <c r="T699" t="str">
        <f>TEXT(Tableau1_2[[#This Row],[Date]],"mmmm")</f>
        <v>décembre</v>
      </c>
    </row>
    <row r="700" spans="1:20" x14ac:dyDescent="0.35">
      <c r="A700" t="s">
        <v>1531</v>
      </c>
      <c r="B700" s="2">
        <v>46125</v>
      </c>
      <c r="C700" t="s">
        <v>1532</v>
      </c>
      <c r="D700" t="s">
        <v>1297</v>
      </c>
      <c r="E700" t="s">
        <v>77</v>
      </c>
      <c r="F700" t="s">
        <v>78</v>
      </c>
      <c r="G700" t="s">
        <v>43</v>
      </c>
      <c r="H700" t="s">
        <v>49</v>
      </c>
      <c r="I700">
        <v>6</v>
      </c>
      <c r="J700">
        <v>9400</v>
      </c>
      <c r="K700">
        <v>6000</v>
      </c>
      <c r="L700" t="s">
        <v>50</v>
      </c>
      <c r="M700" t="s">
        <v>37</v>
      </c>
      <c r="N700" t="s">
        <v>23</v>
      </c>
      <c r="O700" t="s">
        <v>24</v>
      </c>
      <c r="P700">
        <f>Tableau1_2[[#This Row],[Quantité]]*Tableau1_2[[#This Row],[Prix_Unitaire]]</f>
        <v>56400</v>
      </c>
      <c r="Q700">
        <f>Tableau1_2[[#This Row],[Quantité]]*Tableau1_2[[#This Row],[Coût_Unitaire]]</f>
        <v>36000</v>
      </c>
      <c r="R700">
        <f>Tableau1_2[[#This Row],[CA]]-Tableau1_2[[#This Row],[Cout Total]]</f>
        <v>20400</v>
      </c>
      <c r="S700" s="4">
        <f>Tableau1_2[[#This Row],[Marge]]/Tableau1_2[[#This Row],[CA]]</f>
        <v>0.36170212765957449</v>
      </c>
      <c r="T700" t="str">
        <f>TEXT(Tableau1_2[[#This Row],[Date]],"mmmm")</f>
        <v>avril</v>
      </c>
    </row>
    <row r="701" spans="1:20" x14ac:dyDescent="0.35">
      <c r="A701" t="s">
        <v>1533</v>
      </c>
      <c r="B701" s="2">
        <v>46356</v>
      </c>
      <c r="C701" t="s">
        <v>489</v>
      </c>
      <c r="D701" t="s">
        <v>356</v>
      </c>
      <c r="E701" t="s">
        <v>84</v>
      </c>
      <c r="F701" t="s">
        <v>85</v>
      </c>
      <c r="G701" t="s">
        <v>34</v>
      </c>
      <c r="H701" t="s">
        <v>95</v>
      </c>
      <c r="I701">
        <v>8</v>
      </c>
      <c r="J701">
        <v>450000</v>
      </c>
      <c r="K701">
        <v>381100</v>
      </c>
      <c r="L701" t="s">
        <v>66</v>
      </c>
      <c r="M701" t="s">
        <v>51</v>
      </c>
      <c r="N701" t="s">
        <v>23</v>
      </c>
      <c r="O701" t="s">
        <v>45</v>
      </c>
      <c r="P701">
        <f>Tableau1_2[[#This Row],[Quantité]]*Tableau1_2[[#This Row],[Prix_Unitaire]]</f>
        <v>3600000</v>
      </c>
      <c r="Q701">
        <f>Tableau1_2[[#This Row],[Quantité]]*Tableau1_2[[#This Row],[Coût_Unitaire]]</f>
        <v>3048800</v>
      </c>
      <c r="R701">
        <f>Tableau1_2[[#This Row],[CA]]-Tableau1_2[[#This Row],[Cout Total]]</f>
        <v>551200</v>
      </c>
      <c r="S701" s="4">
        <f>Tableau1_2[[#This Row],[Marge]]/Tableau1_2[[#This Row],[CA]]</f>
        <v>0.15311111111111111</v>
      </c>
      <c r="T701" t="str">
        <f>TEXT(Tableau1_2[[#This Row],[Date]],"mmmm")</f>
        <v>novembre</v>
      </c>
    </row>
    <row r="702" spans="1:20" x14ac:dyDescent="0.35">
      <c r="A702" t="s">
        <v>1534</v>
      </c>
      <c r="B702" s="2">
        <v>46192</v>
      </c>
      <c r="C702" t="s">
        <v>945</v>
      </c>
      <c r="D702" t="s">
        <v>1535</v>
      </c>
      <c r="E702" t="s">
        <v>18</v>
      </c>
      <c r="F702" t="s">
        <v>18</v>
      </c>
      <c r="G702" t="s">
        <v>34</v>
      </c>
      <c r="H702" t="s">
        <v>95</v>
      </c>
      <c r="I702">
        <v>1</v>
      </c>
      <c r="J702">
        <v>427500</v>
      </c>
      <c r="K702">
        <v>358900</v>
      </c>
      <c r="L702" t="s">
        <v>66</v>
      </c>
      <c r="M702" t="s">
        <v>37</v>
      </c>
      <c r="N702" t="s">
        <v>23</v>
      </c>
      <c r="O702" t="s">
        <v>24</v>
      </c>
      <c r="P702">
        <f>Tableau1_2[[#This Row],[Quantité]]*Tableau1_2[[#This Row],[Prix_Unitaire]]</f>
        <v>427500</v>
      </c>
      <c r="Q702">
        <f>Tableau1_2[[#This Row],[Quantité]]*Tableau1_2[[#This Row],[Coût_Unitaire]]</f>
        <v>358900</v>
      </c>
      <c r="R702">
        <f>Tableau1_2[[#This Row],[CA]]-Tableau1_2[[#This Row],[Cout Total]]</f>
        <v>68600</v>
      </c>
      <c r="S702" s="4">
        <f>Tableau1_2[[#This Row],[Marge]]/Tableau1_2[[#This Row],[CA]]</f>
        <v>0.16046783625730995</v>
      </c>
      <c r="T702" t="str">
        <f>TEXT(Tableau1_2[[#This Row],[Date]],"mmmm")</f>
        <v>juin</v>
      </c>
    </row>
    <row r="703" spans="1:20" x14ac:dyDescent="0.35">
      <c r="A703" t="s">
        <v>1536</v>
      </c>
      <c r="B703" s="2">
        <v>46120</v>
      </c>
      <c r="C703" t="s">
        <v>727</v>
      </c>
      <c r="D703" t="s">
        <v>814</v>
      </c>
      <c r="E703" t="s">
        <v>18</v>
      </c>
      <c r="F703" t="s">
        <v>18</v>
      </c>
      <c r="G703" t="s">
        <v>43</v>
      </c>
      <c r="H703" t="s">
        <v>44</v>
      </c>
      <c r="I703">
        <v>3</v>
      </c>
      <c r="J703">
        <v>15000</v>
      </c>
      <c r="K703">
        <v>9200</v>
      </c>
      <c r="L703" t="s">
        <v>36</v>
      </c>
      <c r="M703" t="s">
        <v>31</v>
      </c>
      <c r="N703" t="s">
        <v>52</v>
      </c>
      <c r="O703" t="s">
        <v>24</v>
      </c>
      <c r="P703">
        <f>Tableau1_2[[#This Row],[Quantité]]*Tableau1_2[[#This Row],[Prix_Unitaire]]</f>
        <v>45000</v>
      </c>
      <c r="Q703">
        <f>Tableau1_2[[#This Row],[Quantité]]*Tableau1_2[[#This Row],[Coût_Unitaire]]</f>
        <v>27600</v>
      </c>
      <c r="R703">
        <f>Tableau1_2[[#This Row],[CA]]-Tableau1_2[[#This Row],[Cout Total]]</f>
        <v>17400</v>
      </c>
      <c r="S703" s="4">
        <f>Tableau1_2[[#This Row],[Marge]]/Tableau1_2[[#This Row],[CA]]</f>
        <v>0.38666666666666666</v>
      </c>
      <c r="T703" t="str">
        <f>TEXT(Tableau1_2[[#This Row],[Date]],"mmmm")</f>
        <v>avril</v>
      </c>
    </row>
    <row r="704" spans="1:20" x14ac:dyDescent="0.35">
      <c r="A704" t="s">
        <v>1537</v>
      </c>
      <c r="B704" s="2">
        <v>46297</v>
      </c>
      <c r="C704" t="s">
        <v>1076</v>
      </c>
      <c r="D704" t="s">
        <v>631</v>
      </c>
      <c r="E704" t="s">
        <v>70</v>
      </c>
      <c r="F704" t="s">
        <v>71</v>
      </c>
      <c r="G704" t="s">
        <v>34</v>
      </c>
      <c r="H704" t="s">
        <v>141</v>
      </c>
      <c r="I704">
        <v>1</v>
      </c>
      <c r="J704">
        <v>168000</v>
      </c>
      <c r="K704">
        <v>120000</v>
      </c>
      <c r="L704" t="s">
        <v>30</v>
      </c>
      <c r="M704" t="s">
        <v>51</v>
      </c>
      <c r="N704" t="s">
        <v>52</v>
      </c>
      <c r="O704" t="s">
        <v>24</v>
      </c>
      <c r="P704">
        <f>Tableau1_2[[#This Row],[Quantité]]*Tableau1_2[[#This Row],[Prix_Unitaire]]</f>
        <v>168000</v>
      </c>
      <c r="Q704">
        <f>Tableau1_2[[#This Row],[Quantité]]*Tableau1_2[[#This Row],[Coût_Unitaire]]</f>
        <v>120000</v>
      </c>
      <c r="R704">
        <f>Tableau1_2[[#This Row],[CA]]-Tableau1_2[[#This Row],[Cout Total]]</f>
        <v>48000</v>
      </c>
      <c r="S704" s="4">
        <f>Tableau1_2[[#This Row],[Marge]]/Tableau1_2[[#This Row],[CA]]</f>
        <v>0.2857142857142857</v>
      </c>
      <c r="T704" t="str">
        <f>TEXT(Tableau1_2[[#This Row],[Date]],"mmmm")</f>
        <v>octobre</v>
      </c>
    </row>
    <row r="705" spans="1:20" x14ac:dyDescent="0.35">
      <c r="A705" t="s">
        <v>1538</v>
      </c>
      <c r="B705" s="2">
        <v>46064</v>
      </c>
      <c r="C705" t="s">
        <v>1539</v>
      </c>
      <c r="D705" t="s">
        <v>992</v>
      </c>
      <c r="E705" t="s">
        <v>18</v>
      </c>
      <c r="F705" t="s">
        <v>18</v>
      </c>
      <c r="G705" t="s">
        <v>43</v>
      </c>
      <c r="H705" t="s">
        <v>79</v>
      </c>
      <c r="I705">
        <v>3</v>
      </c>
      <c r="J705">
        <v>6300</v>
      </c>
      <c r="K705">
        <v>4100</v>
      </c>
      <c r="L705" t="s">
        <v>73</v>
      </c>
      <c r="M705" t="s">
        <v>51</v>
      </c>
      <c r="N705" t="s">
        <v>23</v>
      </c>
      <c r="O705" t="s">
        <v>24</v>
      </c>
      <c r="P705">
        <f>Tableau1_2[[#This Row],[Quantité]]*Tableau1_2[[#This Row],[Prix_Unitaire]]</f>
        <v>18900</v>
      </c>
      <c r="Q705">
        <f>Tableau1_2[[#This Row],[Quantité]]*Tableau1_2[[#This Row],[Coût_Unitaire]]</f>
        <v>12300</v>
      </c>
      <c r="R705">
        <f>Tableau1_2[[#This Row],[CA]]-Tableau1_2[[#This Row],[Cout Total]]</f>
        <v>6600</v>
      </c>
      <c r="S705" s="4">
        <f>Tableau1_2[[#This Row],[Marge]]/Tableau1_2[[#This Row],[CA]]</f>
        <v>0.34920634920634919</v>
      </c>
      <c r="T705" t="str">
        <f>TEXT(Tableau1_2[[#This Row],[Date]],"mmmm")</f>
        <v>février</v>
      </c>
    </row>
    <row r="706" spans="1:20" x14ac:dyDescent="0.35">
      <c r="A706" t="s">
        <v>1540</v>
      </c>
      <c r="B706" s="2">
        <v>46173</v>
      </c>
      <c r="C706" t="s">
        <v>1541</v>
      </c>
      <c r="D706" t="s">
        <v>1542</v>
      </c>
      <c r="E706" t="s">
        <v>70</v>
      </c>
      <c r="F706" t="s">
        <v>71</v>
      </c>
      <c r="G706" t="s">
        <v>34</v>
      </c>
      <c r="H706" t="s">
        <v>141</v>
      </c>
      <c r="I706">
        <v>6</v>
      </c>
      <c r="J706">
        <v>152000</v>
      </c>
      <c r="K706">
        <v>116400</v>
      </c>
      <c r="L706" t="s">
        <v>21</v>
      </c>
      <c r="M706" t="s">
        <v>31</v>
      </c>
      <c r="N706" t="s">
        <v>52</v>
      </c>
      <c r="O706" t="s">
        <v>45</v>
      </c>
      <c r="P706">
        <f>Tableau1_2[[#This Row],[Quantité]]*Tableau1_2[[#This Row],[Prix_Unitaire]]</f>
        <v>912000</v>
      </c>
      <c r="Q706">
        <f>Tableau1_2[[#This Row],[Quantité]]*Tableau1_2[[#This Row],[Coût_Unitaire]]</f>
        <v>698400</v>
      </c>
      <c r="R706">
        <f>Tableau1_2[[#This Row],[CA]]-Tableau1_2[[#This Row],[Cout Total]]</f>
        <v>213600</v>
      </c>
      <c r="S706" s="4">
        <f>Tableau1_2[[#This Row],[Marge]]/Tableau1_2[[#This Row],[CA]]</f>
        <v>0.23421052631578948</v>
      </c>
      <c r="T706" t="str">
        <f>TEXT(Tableau1_2[[#This Row],[Date]],"mmmm")</f>
        <v>mai</v>
      </c>
    </row>
    <row r="707" spans="1:20" x14ac:dyDescent="0.35">
      <c r="A707" t="s">
        <v>1543</v>
      </c>
      <c r="B707" s="2">
        <v>46327</v>
      </c>
      <c r="C707" t="s">
        <v>1503</v>
      </c>
      <c r="D707" t="s">
        <v>1234</v>
      </c>
      <c r="E707" t="s">
        <v>156</v>
      </c>
      <c r="F707" t="s">
        <v>157</v>
      </c>
      <c r="G707" t="s">
        <v>43</v>
      </c>
      <c r="H707" t="s">
        <v>162</v>
      </c>
      <c r="I707">
        <v>5</v>
      </c>
      <c r="J707">
        <v>8000</v>
      </c>
      <c r="K707">
        <v>5000</v>
      </c>
      <c r="L707" t="s">
        <v>30</v>
      </c>
      <c r="M707" t="s">
        <v>51</v>
      </c>
      <c r="N707" t="s">
        <v>23</v>
      </c>
      <c r="O707" t="s">
        <v>24</v>
      </c>
      <c r="P707">
        <f>Tableau1_2[[#This Row],[Quantité]]*Tableau1_2[[#This Row],[Prix_Unitaire]]</f>
        <v>40000</v>
      </c>
      <c r="Q707">
        <f>Tableau1_2[[#This Row],[Quantité]]*Tableau1_2[[#This Row],[Coût_Unitaire]]</f>
        <v>25000</v>
      </c>
      <c r="R707">
        <f>Tableau1_2[[#This Row],[CA]]-Tableau1_2[[#This Row],[Cout Total]]</f>
        <v>15000</v>
      </c>
      <c r="S707" s="4">
        <f>Tableau1_2[[#This Row],[Marge]]/Tableau1_2[[#This Row],[CA]]</f>
        <v>0.375</v>
      </c>
      <c r="T707" t="str">
        <f>TEXT(Tableau1_2[[#This Row],[Date]],"mmmm")</f>
        <v>novembre</v>
      </c>
    </row>
    <row r="708" spans="1:20" x14ac:dyDescent="0.35">
      <c r="A708" t="s">
        <v>1544</v>
      </c>
      <c r="B708" s="2">
        <v>46379</v>
      </c>
      <c r="C708" t="s">
        <v>733</v>
      </c>
      <c r="D708" t="s">
        <v>998</v>
      </c>
      <c r="E708" t="s">
        <v>156</v>
      </c>
      <c r="F708" t="s">
        <v>170</v>
      </c>
      <c r="G708" t="s">
        <v>28</v>
      </c>
      <c r="H708" t="s">
        <v>29</v>
      </c>
      <c r="I708">
        <v>9</v>
      </c>
      <c r="J708">
        <v>7000</v>
      </c>
      <c r="K708">
        <v>4000</v>
      </c>
      <c r="L708" t="s">
        <v>73</v>
      </c>
      <c r="M708" t="s">
        <v>37</v>
      </c>
      <c r="N708" t="s">
        <v>23</v>
      </c>
      <c r="O708" t="s">
        <v>45</v>
      </c>
      <c r="P708">
        <f>Tableau1_2[[#This Row],[Quantité]]*Tableau1_2[[#This Row],[Prix_Unitaire]]</f>
        <v>63000</v>
      </c>
      <c r="Q708">
        <f>Tableau1_2[[#This Row],[Quantité]]*Tableau1_2[[#This Row],[Coût_Unitaire]]</f>
        <v>36000</v>
      </c>
      <c r="R708">
        <f>Tableau1_2[[#This Row],[CA]]-Tableau1_2[[#This Row],[Cout Total]]</f>
        <v>27000</v>
      </c>
      <c r="S708" s="4">
        <f>Tableau1_2[[#This Row],[Marge]]/Tableau1_2[[#This Row],[CA]]</f>
        <v>0.42857142857142855</v>
      </c>
      <c r="T708" t="str">
        <f>TEXT(Tableau1_2[[#This Row],[Date]],"mmmm")</f>
        <v>décembre</v>
      </c>
    </row>
    <row r="709" spans="1:20" x14ac:dyDescent="0.35">
      <c r="A709" t="s">
        <v>1545</v>
      </c>
      <c r="B709" s="2">
        <v>46307</v>
      </c>
      <c r="C709" t="s">
        <v>588</v>
      </c>
      <c r="D709" t="s">
        <v>1546</v>
      </c>
      <c r="E709" t="s">
        <v>18</v>
      </c>
      <c r="F709" t="s">
        <v>18</v>
      </c>
      <c r="G709" t="s">
        <v>34</v>
      </c>
      <c r="H709" t="s">
        <v>86</v>
      </c>
      <c r="I709">
        <v>9</v>
      </c>
      <c r="J709">
        <v>180000</v>
      </c>
      <c r="K709">
        <v>135000</v>
      </c>
      <c r="L709" t="s">
        <v>50</v>
      </c>
      <c r="M709" t="s">
        <v>51</v>
      </c>
      <c r="N709" t="s">
        <v>52</v>
      </c>
      <c r="O709" t="s">
        <v>45</v>
      </c>
      <c r="P709">
        <f>Tableau1_2[[#This Row],[Quantité]]*Tableau1_2[[#This Row],[Prix_Unitaire]]</f>
        <v>1620000</v>
      </c>
      <c r="Q709">
        <f>Tableau1_2[[#This Row],[Quantité]]*Tableau1_2[[#This Row],[Coût_Unitaire]]</f>
        <v>1215000</v>
      </c>
      <c r="R709">
        <f>Tableau1_2[[#This Row],[CA]]-Tableau1_2[[#This Row],[Cout Total]]</f>
        <v>405000</v>
      </c>
      <c r="S709" s="4">
        <f>Tableau1_2[[#This Row],[Marge]]/Tableau1_2[[#This Row],[CA]]</f>
        <v>0.25</v>
      </c>
      <c r="T709" t="str">
        <f>TEXT(Tableau1_2[[#This Row],[Date]],"mmmm")</f>
        <v>octobre</v>
      </c>
    </row>
    <row r="710" spans="1:20" x14ac:dyDescent="0.35">
      <c r="A710" t="s">
        <v>1547</v>
      </c>
      <c r="B710" s="2">
        <v>46036</v>
      </c>
      <c r="C710" t="s">
        <v>1548</v>
      </c>
      <c r="D710" t="s">
        <v>755</v>
      </c>
      <c r="E710" t="s">
        <v>18</v>
      </c>
      <c r="F710" t="s">
        <v>18</v>
      </c>
      <c r="G710" t="s">
        <v>43</v>
      </c>
      <c r="H710" t="s">
        <v>162</v>
      </c>
      <c r="I710">
        <v>3</v>
      </c>
      <c r="J710">
        <v>8400</v>
      </c>
      <c r="K710">
        <v>5000</v>
      </c>
      <c r="L710" t="s">
        <v>30</v>
      </c>
      <c r="M710" t="s">
        <v>37</v>
      </c>
      <c r="N710" t="s">
        <v>52</v>
      </c>
      <c r="O710" t="s">
        <v>24</v>
      </c>
      <c r="P710">
        <f>Tableau1_2[[#This Row],[Quantité]]*Tableau1_2[[#This Row],[Prix_Unitaire]]</f>
        <v>25200</v>
      </c>
      <c r="Q710">
        <f>Tableau1_2[[#This Row],[Quantité]]*Tableau1_2[[#This Row],[Coût_Unitaire]]</f>
        <v>15000</v>
      </c>
      <c r="R710">
        <f>Tableau1_2[[#This Row],[CA]]-Tableau1_2[[#This Row],[Cout Total]]</f>
        <v>10200</v>
      </c>
      <c r="S710" s="4">
        <f>Tableau1_2[[#This Row],[Marge]]/Tableau1_2[[#This Row],[CA]]</f>
        <v>0.40476190476190477</v>
      </c>
      <c r="T710" t="str">
        <f>TEXT(Tableau1_2[[#This Row],[Date]],"mmmm")</f>
        <v>janvier</v>
      </c>
    </row>
    <row r="711" spans="1:20" x14ac:dyDescent="0.35">
      <c r="A711" t="s">
        <v>1549</v>
      </c>
      <c r="B711" s="2">
        <v>46109</v>
      </c>
      <c r="C711" t="s">
        <v>1056</v>
      </c>
      <c r="D711" t="s">
        <v>1171</v>
      </c>
      <c r="E711" t="s">
        <v>18</v>
      </c>
      <c r="F711" t="s">
        <v>18</v>
      </c>
      <c r="G711" t="s">
        <v>34</v>
      </c>
      <c r="H711" t="s">
        <v>86</v>
      </c>
      <c r="I711">
        <v>2</v>
      </c>
      <c r="J711">
        <v>180000</v>
      </c>
      <c r="K711">
        <v>139000</v>
      </c>
      <c r="L711" t="s">
        <v>36</v>
      </c>
      <c r="M711" t="s">
        <v>31</v>
      </c>
      <c r="N711" t="s">
        <v>23</v>
      </c>
      <c r="O711" t="s">
        <v>24</v>
      </c>
      <c r="P711">
        <f>Tableau1_2[[#This Row],[Quantité]]*Tableau1_2[[#This Row],[Prix_Unitaire]]</f>
        <v>360000</v>
      </c>
      <c r="Q711">
        <f>Tableau1_2[[#This Row],[Quantité]]*Tableau1_2[[#This Row],[Coût_Unitaire]]</f>
        <v>278000</v>
      </c>
      <c r="R711">
        <f>Tableau1_2[[#This Row],[CA]]-Tableau1_2[[#This Row],[Cout Total]]</f>
        <v>82000</v>
      </c>
      <c r="S711" s="4">
        <f>Tableau1_2[[#This Row],[Marge]]/Tableau1_2[[#This Row],[CA]]</f>
        <v>0.22777777777777777</v>
      </c>
      <c r="T711" t="str">
        <f>TEXT(Tableau1_2[[#This Row],[Date]],"mmmm")</f>
        <v>mars</v>
      </c>
    </row>
    <row r="712" spans="1:20" x14ac:dyDescent="0.35">
      <c r="A712" t="s">
        <v>1550</v>
      </c>
      <c r="B712" s="2">
        <v>46150</v>
      </c>
      <c r="C712" t="s">
        <v>467</v>
      </c>
      <c r="D712" t="s">
        <v>1551</v>
      </c>
      <c r="E712" t="s">
        <v>84</v>
      </c>
      <c r="F712" t="s">
        <v>85</v>
      </c>
      <c r="G712" t="s">
        <v>28</v>
      </c>
      <c r="H712" t="s">
        <v>29</v>
      </c>
      <c r="I712">
        <v>1</v>
      </c>
      <c r="J712">
        <v>7000</v>
      </c>
      <c r="K712">
        <v>3900</v>
      </c>
      <c r="L712" t="s">
        <v>21</v>
      </c>
      <c r="M712" t="s">
        <v>22</v>
      </c>
      <c r="N712" t="s">
        <v>23</v>
      </c>
      <c r="O712" t="s">
        <v>24</v>
      </c>
      <c r="P712">
        <f>Tableau1_2[[#This Row],[Quantité]]*Tableau1_2[[#This Row],[Prix_Unitaire]]</f>
        <v>7000</v>
      </c>
      <c r="Q712">
        <f>Tableau1_2[[#This Row],[Quantité]]*Tableau1_2[[#This Row],[Coût_Unitaire]]</f>
        <v>3900</v>
      </c>
      <c r="R712">
        <f>Tableau1_2[[#This Row],[CA]]-Tableau1_2[[#This Row],[Cout Total]]</f>
        <v>3100</v>
      </c>
      <c r="S712" s="4">
        <f>Tableau1_2[[#This Row],[Marge]]/Tableau1_2[[#This Row],[CA]]</f>
        <v>0.44285714285714284</v>
      </c>
      <c r="T712" t="str">
        <f>TEXT(Tableau1_2[[#This Row],[Date]],"mmmm")</f>
        <v>mai</v>
      </c>
    </row>
    <row r="713" spans="1:20" x14ac:dyDescent="0.35">
      <c r="A713" t="s">
        <v>1552</v>
      </c>
      <c r="B713" s="2">
        <v>46061</v>
      </c>
      <c r="C713" t="s">
        <v>580</v>
      </c>
      <c r="D713" t="s">
        <v>1141</v>
      </c>
      <c r="E713" t="s">
        <v>84</v>
      </c>
      <c r="F713" t="s">
        <v>85</v>
      </c>
      <c r="G713" t="s">
        <v>28</v>
      </c>
      <c r="H713" t="s">
        <v>248</v>
      </c>
      <c r="I713">
        <v>6</v>
      </c>
      <c r="J713">
        <v>26200</v>
      </c>
      <c r="K713">
        <v>15500</v>
      </c>
      <c r="L713" t="s">
        <v>80</v>
      </c>
      <c r="M713" t="s">
        <v>51</v>
      </c>
      <c r="N713" t="s">
        <v>52</v>
      </c>
      <c r="O713" t="s">
        <v>24</v>
      </c>
      <c r="P713">
        <f>Tableau1_2[[#This Row],[Quantité]]*Tableau1_2[[#This Row],[Prix_Unitaire]]</f>
        <v>157200</v>
      </c>
      <c r="Q713">
        <f>Tableau1_2[[#This Row],[Quantité]]*Tableau1_2[[#This Row],[Coût_Unitaire]]</f>
        <v>93000</v>
      </c>
      <c r="R713">
        <f>Tableau1_2[[#This Row],[CA]]-Tableau1_2[[#This Row],[Cout Total]]</f>
        <v>64200</v>
      </c>
      <c r="S713" s="4">
        <f>Tableau1_2[[#This Row],[Marge]]/Tableau1_2[[#This Row],[CA]]</f>
        <v>0.40839694656488551</v>
      </c>
      <c r="T713" t="str">
        <f>TEXT(Tableau1_2[[#This Row],[Date]],"mmmm")</f>
        <v>février</v>
      </c>
    </row>
    <row r="714" spans="1:20" x14ac:dyDescent="0.35">
      <c r="A714" t="s">
        <v>1553</v>
      </c>
      <c r="B714" s="2">
        <v>46344</v>
      </c>
      <c r="C714" t="s">
        <v>1524</v>
      </c>
      <c r="D714" t="s">
        <v>1554</v>
      </c>
      <c r="E714" t="s">
        <v>18</v>
      </c>
      <c r="F714" t="s">
        <v>18</v>
      </c>
      <c r="G714" t="s">
        <v>28</v>
      </c>
      <c r="H714" t="s">
        <v>131</v>
      </c>
      <c r="I714">
        <v>1</v>
      </c>
      <c r="J714">
        <v>30000</v>
      </c>
      <c r="K714">
        <v>19600</v>
      </c>
      <c r="L714" t="s">
        <v>73</v>
      </c>
      <c r="M714" t="s">
        <v>51</v>
      </c>
      <c r="N714" t="s">
        <v>52</v>
      </c>
      <c r="O714" t="s">
        <v>24</v>
      </c>
      <c r="P714">
        <f>Tableau1_2[[#This Row],[Quantité]]*Tableau1_2[[#This Row],[Prix_Unitaire]]</f>
        <v>30000</v>
      </c>
      <c r="Q714">
        <f>Tableau1_2[[#This Row],[Quantité]]*Tableau1_2[[#This Row],[Coût_Unitaire]]</f>
        <v>19600</v>
      </c>
      <c r="R714">
        <f>Tableau1_2[[#This Row],[CA]]-Tableau1_2[[#This Row],[Cout Total]]</f>
        <v>10400</v>
      </c>
      <c r="S714" s="4">
        <f>Tableau1_2[[#This Row],[Marge]]/Tableau1_2[[#This Row],[CA]]</f>
        <v>0.34666666666666668</v>
      </c>
      <c r="T714" t="str">
        <f>TEXT(Tableau1_2[[#This Row],[Date]],"mmmm")</f>
        <v>novembre</v>
      </c>
    </row>
    <row r="715" spans="1:20" x14ac:dyDescent="0.35">
      <c r="A715" t="s">
        <v>1555</v>
      </c>
      <c r="B715" s="2">
        <v>46171</v>
      </c>
      <c r="C715" t="s">
        <v>678</v>
      </c>
      <c r="D715" t="s">
        <v>329</v>
      </c>
      <c r="E715" t="s">
        <v>190</v>
      </c>
      <c r="F715" t="s">
        <v>191</v>
      </c>
      <c r="G715" t="s">
        <v>34</v>
      </c>
      <c r="H715" t="s">
        <v>141</v>
      </c>
      <c r="I715">
        <v>8</v>
      </c>
      <c r="J715">
        <v>160000</v>
      </c>
      <c r="K715">
        <v>120000</v>
      </c>
      <c r="L715" t="s">
        <v>21</v>
      </c>
      <c r="M715" t="s">
        <v>31</v>
      </c>
      <c r="N715" t="s">
        <v>52</v>
      </c>
      <c r="O715" t="s">
        <v>24</v>
      </c>
      <c r="P715">
        <f>Tableau1_2[[#This Row],[Quantité]]*Tableau1_2[[#This Row],[Prix_Unitaire]]</f>
        <v>1280000</v>
      </c>
      <c r="Q715">
        <f>Tableau1_2[[#This Row],[Quantité]]*Tableau1_2[[#This Row],[Coût_Unitaire]]</f>
        <v>960000</v>
      </c>
      <c r="R715">
        <f>Tableau1_2[[#This Row],[CA]]-Tableau1_2[[#This Row],[Cout Total]]</f>
        <v>320000</v>
      </c>
      <c r="S715" s="4">
        <f>Tableau1_2[[#This Row],[Marge]]/Tableau1_2[[#This Row],[CA]]</f>
        <v>0.25</v>
      </c>
      <c r="T715" t="str">
        <f>TEXT(Tableau1_2[[#This Row],[Date]],"mmmm")</f>
        <v>mai</v>
      </c>
    </row>
    <row r="716" spans="1:20" x14ac:dyDescent="0.35">
      <c r="A716" t="s">
        <v>1556</v>
      </c>
      <c r="B716" s="2">
        <v>46229</v>
      </c>
      <c r="C716" t="s">
        <v>393</v>
      </c>
      <c r="D716" t="s">
        <v>1557</v>
      </c>
      <c r="E716" t="s">
        <v>56</v>
      </c>
      <c r="F716" t="s">
        <v>57</v>
      </c>
      <c r="G716" t="s">
        <v>28</v>
      </c>
      <c r="H716" t="s">
        <v>72</v>
      </c>
      <c r="I716">
        <v>9</v>
      </c>
      <c r="J716">
        <v>10500</v>
      </c>
      <c r="K716">
        <v>6200</v>
      </c>
      <c r="L716" t="s">
        <v>96</v>
      </c>
      <c r="M716" t="s">
        <v>31</v>
      </c>
      <c r="N716" t="s">
        <v>23</v>
      </c>
      <c r="O716" t="s">
        <v>24</v>
      </c>
      <c r="P716">
        <f>Tableau1_2[[#This Row],[Quantité]]*Tableau1_2[[#This Row],[Prix_Unitaire]]</f>
        <v>94500</v>
      </c>
      <c r="Q716">
        <f>Tableau1_2[[#This Row],[Quantité]]*Tableau1_2[[#This Row],[Coût_Unitaire]]</f>
        <v>55800</v>
      </c>
      <c r="R716">
        <f>Tableau1_2[[#This Row],[CA]]-Tableau1_2[[#This Row],[Cout Total]]</f>
        <v>38700</v>
      </c>
      <c r="S716" s="4">
        <f>Tableau1_2[[#This Row],[Marge]]/Tableau1_2[[#This Row],[CA]]</f>
        <v>0.40952380952380951</v>
      </c>
      <c r="T716" t="str">
        <f>TEXT(Tableau1_2[[#This Row],[Date]],"mmmm")</f>
        <v>juillet</v>
      </c>
    </row>
    <row r="717" spans="1:20" x14ac:dyDescent="0.35">
      <c r="A717" t="s">
        <v>1558</v>
      </c>
      <c r="B717" s="2">
        <v>46110</v>
      </c>
      <c r="C717" t="s">
        <v>379</v>
      </c>
      <c r="D717" t="s">
        <v>1559</v>
      </c>
      <c r="E717" t="s">
        <v>41</v>
      </c>
      <c r="F717" t="s">
        <v>42</v>
      </c>
      <c r="G717" t="s">
        <v>28</v>
      </c>
      <c r="H717" t="s">
        <v>72</v>
      </c>
      <c r="I717">
        <v>1</v>
      </c>
      <c r="J717">
        <v>10000</v>
      </c>
      <c r="K717">
        <v>6200</v>
      </c>
      <c r="L717" t="s">
        <v>36</v>
      </c>
      <c r="M717" t="s">
        <v>51</v>
      </c>
      <c r="N717" t="s">
        <v>23</v>
      </c>
      <c r="O717" t="s">
        <v>24</v>
      </c>
      <c r="P717">
        <f>Tableau1_2[[#This Row],[Quantité]]*Tableau1_2[[#This Row],[Prix_Unitaire]]</f>
        <v>10000</v>
      </c>
      <c r="Q717">
        <f>Tableau1_2[[#This Row],[Quantité]]*Tableau1_2[[#This Row],[Coût_Unitaire]]</f>
        <v>6200</v>
      </c>
      <c r="R717">
        <f>Tableau1_2[[#This Row],[CA]]-Tableau1_2[[#This Row],[Cout Total]]</f>
        <v>3800</v>
      </c>
      <c r="S717" s="4">
        <f>Tableau1_2[[#This Row],[Marge]]/Tableau1_2[[#This Row],[CA]]</f>
        <v>0.38</v>
      </c>
      <c r="T717" t="str">
        <f>TEXT(Tableau1_2[[#This Row],[Date]],"mmmm")</f>
        <v>mars</v>
      </c>
    </row>
    <row r="718" spans="1:20" x14ac:dyDescent="0.35">
      <c r="A718" t="s">
        <v>1560</v>
      </c>
      <c r="B718" s="2">
        <v>46242</v>
      </c>
      <c r="C718" t="s">
        <v>1072</v>
      </c>
      <c r="D718" t="s">
        <v>99</v>
      </c>
      <c r="E718" t="s">
        <v>190</v>
      </c>
      <c r="F718" t="s">
        <v>191</v>
      </c>
      <c r="G718" t="s">
        <v>43</v>
      </c>
      <c r="H718" t="s">
        <v>49</v>
      </c>
      <c r="I718">
        <v>7</v>
      </c>
      <c r="J718">
        <v>9400</v>
      </c>
      <c r="K718">
        <v>5600</v>
      </c>
      <c r="L718" t="s">
        <v>66</v>
      </c>
      <c r="M718" t="s">
        <v>37</v>
      </c>
      <c r="N718" t="s">
        <v>23</v>
      </c>
      <c r="O718" t="s">
        <v>45</v>
      </c>
      <c r="P718">
        <f>Tableau1_2[[#This Row],[Quantité]]*Tableau1_2[[#This Row],[Prix_Unitaire]]</f>
        <v>65800</v>
      </c>
      <c r="Q718">
        <f>Tableau1_2[[#This Row],[Quantité]]*Tableau1_2[[#This Row],[Coût_Unitaire]]</f>
        <v>39200</v>
      </c>
      <c r="R718">
        <f>Tableau1_2[[#This Row],[CA]]-Tableau1_2[[#This Row],[Cout Total]]</f>
        <v>26600</v>
      </c>
      <c r="S718" s="4">
        <f>Tableau1_2[[#This Row],[Marge]]/Tableau1_2[[#This Row],[CA]]</f>
        <v>0.40425531914893614</v>
      </c>
      <c r="T718" t="str">
        <f>TEXT(Tableau1_2[[#This Row],[Date]],"mmmm")</f>
        <v>août</v>
      </c>
    </row>
    <row r="719" spans="1:20" x14ac:dyDescent="0.35">
      <c r="A719" t="s">
        <v>1561</v>
      </c>
      <c r="B719" s="2">
        <v>46369</v>
      </c>
      <c r="C719" t="s">
        <v>981</v>
      </c>
      <c r="D719" t="s">
        <v>1117</v>
      </c>
      <c r="E719" t="s">
        <v>77</v>
      </c>
      <c r="F719" t="s">
        <v>78</v>
      </c>
      <c r="G719" t="s">
        <v>34</v>
      </c>
      <c r="H719" t="s">
        <v>86</v>
      </c>
      <c r="I719">
        <v>8</v>
      </c>
      <c r="J719">
        <v>171000</v>
      </c>
      <c r="K719">
        <v>131000</v>
      </c>
      <c r="L719" t="s">
        <v>80</v>
      </c>
      <c r="M719" t="s">
        <v>37</v>
      </c>
      <c r="N719" t="s">
        <v>23</v>
      </c>
      <c r="O719" t="s">
        <v>24</v>
      </c>
      <c r="P719">
        <f>Tableau1_2[[#This Row],[Quantité]]*Tableau1_2[[#This Row],[Prix_Unitaire]]</f>
        <v>1368000</v>
      </c>
      <c r="Q719">
        <f>Tableau1_2[[#This Row],[Quantité]]*Tableau1_2[[#This Row],[Coût_Unitaire]]</f>
        <v>1048000</v>
      </c>
      <c r="R719">
        <f>Tableau1_2[[#This Row],[CA]]-Tableau1_2[[#This Row],[Cout Total]]</f>
        <v>320000</v>
      </c>
      <c r="S719" s="4">
        <f>Tableau1_2[[#This Row],[Marge]]/Tableau1_2[[#This Row],[CA]]</f>
        <v>0.23391812865497075</v>
      </c>
      <c r="T719" t="str">
        <f>TEXT(Tableau1_2[[#This Row],[Date]],"mmmm")</f>
        <v>décembre</v>
      </c>
    </row>
    <row r="720" spans="1:20" x14ac:dyDescent="0.35">
      <c r="A720" t="s">
        <v>1562</v>
      </c>
      <c r="B720" s="2">
        <v>46231</v>
      </c>
      <c r="C720" t="s">
        <v>104</v>
      </c>
      <c r="D720" t="s">
        <v>1563</v>
      </c>
      <c r="E720" t="s">
        <v>70</v>
      </c>
      <c r="F720" t="s">
        <v>71</v>
      </c>
      <c r="G720" t="s">
        <v>34</v>
      </c>
      <c r="H720" t="s">
        <v>141</v>
      </c>
      <c r="I720">
        <v>1</v>
      </c>
      <c r="J720">
        <v>152000</v>
      </c>
      <c r="K720">
        <v>120000</v>
      </c>
      <c r="L720" t="s">
        <v>66</v>
      </c>
      <c r="M720" t="s">
        <v>37</v>
      </c>
      <c r="N720" t="s">
        <v>23</v>
      </c>
      <c r="O720" t="s">
        <v>24</v>
      </c>
      <c r="P720">
        <f>Tableau1_2[[#This Row],[Quantité]]*Tableau1_2[[#This Row],[Prix_Unitaire]]</f>
        <v>152000</v>
      </c>
      <c r="Q720">
        <f>Tableau1_2[[#This Row],[Quantité]]*Tableau1_2[[#This Row],[Coût_Unitaire]]</f>
        <v>120000</v>
      </c>
      <c r="R720">
        <f>Tableau1_2[[#This Row],[CA]]-Tableau1_2[[#This Row],[Cout Total]]</f>
        <v>32000</v>
      </c>
      <c r="S720" s="4">
        <f>Tableau1_2[[#This Row],[Marge]]/Tableau1_2[[#This Row],[CA]]</f>
        <v>0.21052631578947367</v>
      </c>
      <c r="T720" t="str">
        <f>TEXT(Tableau1_2[[#This Row],[Date]],"mmmm")</f>
        <v>juillet</v>
      </c>
    </row>
    <row r="721" spans="1:20" x14ac:dyDescent="0.35">
      <c r="A721" t="s">
        <v>1564</v>
      </c>
      <c r="B721" s="2">
        <v>46144</v>
      </c>
      <c r="C721" t="s">
        <v>1565</v>
      </c>
      <c r="D721" t="s">
        <v>262</v>
      </c>
      <c r="E721" t="s">
        <v>190</v>
      </c>
      <c r="F721" t="s">
        <v>191</v>
      </c>
      <c r="G721" t="s">
        <v>19</v>
      </c>
      <c r="H721" t="s">
        <v>166</v>
      </c>
      <c r="I721">
        <v>2</v>
      </c>
      <c r="J721">
        <v>140000</v>
      </c>
      <c r="K721">
        <v>103000</v>
      </c>
      <c r="L721" t="s">
        <v>73</v>
      </c>
      <c r="M721" t="s">
        <v>31</v>
      </c>
      <c r="N721" t="s">
        <v>52</v>
      </c>
      <c r="O721" t="s">
        <v>24</v>
      </c>
      <c r="P721">
        <f>Tableau1_2[[#This Row],[Quantité]]*Tableau1_2[[#This Row],[Prix_Unitaire]]</f>
        <v>280000</v>
      </c>
      <c r="Q721">
        <f>Tableau1_2[[#This Row],[Quantité]]*Tableau1_2[[#This Row],[Coût_Unitaire]]</f>
        <v>206000</v>
      </c>
      <c r="R721">
        <f>Tableau1_2[[#This Row],[CA]]-Tableau1_2[[#This Row],[Cout Total]]</f>
        <v>74000</v>
      </c>
      <c r="S721" s="4">
        <f>Tableau1_2[[#This Row],[Marge]]/Tableau1_2[[#This Row],[CA]]</f>
        <v>0.26428571428571429</v>
      </c>
      <c r="T721" t="str">
        <f>TEXT(Tableau1_2[[#This Row],[Date]],"mmmm")</f>
        <v>mai</v>
      </c>
    </row>
    <row r="722" spans="1:20" x14ac:dyDescent="0.35">
      <c r="A722" t="s">
        <v>1566</v>
      </c>
      <c r="B722" s="2">
        <v>46039</v>
      </c>
      <c r="C722" t="s">
        <v>1567</v>
      </c>
      <c r="D722" t="s">
        <v>1091</v>
      </c>
      <c r="E722" t="s">
        <v>156</v>
      </c>
      <c r="F722" t="s">
        <v>157</v>
      </c>
      <c r="G722" t="s">
        <v>19</v>
      </c>
      <c r="H722" t="s">
        <v>20</v>
      </c>
      <c r="I722">
        <v>3</v>
      </c>
      <c r="J722">
        <v>65000</v>
      </c>
      <c r="K722">
        <v>46400</v>
      </c>
      <c r="L722" t="s">
        <v>96</v>
      </c>
      <c r="M722" t="s">
        <v>31</v>
      </c>
      <c r="N722" t="s">
        <v>23</v>
      </c>
      <c r="O722" t="s">
        <v>24</v>
      </c>
      <c r="P722">
        <f>Tableau1_2[[#This Row],[Quantité]]*Tableau1_2[[#This Row],[Prix_Unitaire]]</f>
        <v>195000</v>
      </c>
      <c r="Q722">
        <f>Tableau1_2[[#This Row],[Quantité]]*Tableau1_2[[#This Row],[Coût_Unitaire]]</f>
        <v>139200</v>
      </c>
      <c r="R722">
        <f>Tableau1_2[[#This Row],[CA]]-Tableau1_2[[#This Row],[Cout Total]]</f>
        <v>55800</v>
      </c>
      <c r="S722" s="4">
        <f>Tableau1_2[[#This Row],[Marge]]/Tableau1_2[[#This Row],[CA]]</f>
        <v>0.28615384615384615</v>
      </c>
      <c r="T722" t="str">
        <f>TEXT(Tableau1_2[[#This Row],[Date]],"mmmm")</f>
        <v>janvier</v>
      </c>
    </row>
    <row r="723" spans="1:20" x14ac:dyDescent="0.35">
      <c r="A723" t="s">
        <v>1568</v>
      </c>
      <c r="B723" s="2">
        <v>46312</v>
      </c>
      <c r="C723" t="s">
        <v>1340</v>
      </c>
      <c r="D723" t="s">
        <v>403</v>
      </c>
      <c r="E723" t="s">
        <v>190</v>
      </c>
      <c r="F723" t="s">
        <v>191</v>
      </c>
      <c r="G723" t="s">
        <v>34</v>
      </c>
      <c r="H723" t="s">
        <v>158</v>
      </c>
      <c r="I723">
        <v>5</v>
      </c>
      <c r="J723">
        <v>95000</v>
      </c>
      <c r="K723">
        <v>70000</v>
      </c>
      <c r="L723" t="s">
        <v>80</v>
      </c>
      <c r="M723" t="s">
        <v>31</v>
      </c>
      <c r="N723" t="s">
        <v>87</v>
      </c>
      <c r="O723" t="s">
        <v>24</v>
      </c>
      <c r="P723">
        <f>Tableau1_2[[#This Row],[Quantité]]*Tableau1_2[[#This Row],[Prix_Unitaire]]</f>
        <v>475000</v>
      </c>
      <c r="Q723">
        <f>Tableau1_2[[#This Row],[Quantité]]*Tableau1_2[[#This Row],[Coût_Unitaire]]</f>
        <v>350000</v>
      </c>
      <c r="R723">
        <f>Tableau1_2[[#This Row],[CA]]-Tableau1_2[[#This Row],[Cout Total]]</f>
        <v>125000</v>
      </c>
      <c r="S723" s="4">
        <f>Tableau1_2[[#This Row],[Marge]]/Tableau1_2[[#This Row],[CA]]</f>
        <v>0.26315789473684209</v>
      </c>
      <c r="T723" t="str">
        <f>TEXT(Tableau1_2[[#This Row],[Date]],"mmmm")</f>
        <v>octobre</v>
      </c>
    </row>
    <row r="724" spans="1:20" x14ac:dyDescent="0.35">
      <c r="A724" t="s">
        <v>1569</v>
      </c>
      <c r="B724" s="2">
        <v>46326</v>
      </c>
      <c r="C724" t="s">
        <v>518</v>
      </c>
      <c r="D724" t="s">
        <v>223</v>
      </c>
      <c r="E724" t="s">
        <v>190</v>
      </c>
      <c r="F724" t="s">
        <v>191</v>
      </c>
      <c r="G724" t="s">
        <v>28</v>
      </c>
      <c r="H724" t="s">
        <v>248</v>
      </c>
      <c r="I724">
        <v>10</v>
      </c>
      <c r="J724">
        <v>25000</v>
      </c>
      <c r="K724">
        <v>16000</v>
      </c>
      <c r="L724" t="s">
        <v>96</v>
      </c>
      <c r="M724" t="s">
        <v>37</v>
      </c>
      <c r="N724" t="s">
        <v>23</v>
      </c>
      <c r="O724" t="s">
        <v>24</v>
      </c>
      <c r="P724">
        <f>Tableau1_2[[#This Row],[Quantité]]*Tableau1_2[[#This Row],[Prix_Unitaire]]</f>
        <v>250000</v>
      </c>
      <c r="Q724">
        <f>Tableau1_2[[#This Row],[Quantité]]*Tableau1_2[[#This Row],[Coût_Unitaire]]</f>
        <v>160000</v>
      </c>
      <c r="R724">
        <f>Tableau1_2[[#This Row],[CA]]-Tableau1_2[[#This Row],[Cout Total]]</f>
        <v>90000</v>
      </c>
      <c r="S724" s="4">
        <f>Tableau1_2[[#This Row],[Marge]]/Tableau1_2[[#This Row],[CA]]</f>
        <v>0.36</v>
      </c>
      <c r="T724" t="str">
        <f>TEXT(Tableau1_2[[#This Row],[Date]],"mmmm")</f>
        <v>octobre</v>
      </c>
    </row>
    <row r="725" spans="1:20" x14ac:dyDescent="0.35">
      <c r="A725" t="s">
        <v>1570</v>
      </c>
      <c r="B725" s="2">
        <v>46092</v>
      </c>
      <c r="C725" t="s">
        <v>1416</v>
      </c>
      <c r="D725" t="s">
        <v>875</v>
      </c>
      <c r="E725" t="s">
        <v>18</v>
      </c>
      <c r="F725" t="s">
        <v>18</v>
      </c>
      <c r="G725" t="s">
        <v>43</v>
      </c>
      <c r="H725" t="s">
        <v>79</v>
      </c>
      <c r="I725">
        <v>1</v>
      </c>
      <c r="J725">
        <v>6000</v>
      </c>
      <c r="K725">
        <v>4100</v>
      </c>
      <c r="L725" t="s">
        <v>30</v>
      </c>
      <c r="M725" t="s">
        <v>51</v>
      </c>
      <c r="N725" t="s">
        <v>87</v>
      </c>
      <c r="O725" t="s">
        <v>24</v>
      </c>
      <c r="P725">
        <f>Tableau1_2[[#This Row],[Quantité]]*Tableau1_2[[#This Row],[Prix_Unitaire]]</f>
        <v>6000</v>
      </c>
      <c r="Q725">
        <f>Tableau1_2[[#This Row],[Quantité]]*Tableau1_2[[#This Row],[Coût_Unitaire]]</f>
        <v>4100</v>
      </c>
      <c r="R725">
        <f>Tableau1_2[[#This Row],[CA]]-Tableau1_2[[#This Row],[Cout Total]]</f>
        <v>1900</v>
      </c>
      <c r="S725" s="4">
        <f>Tableau1_2[[#This Row],[Marge]]/Tableau1_2[[#This Row],[CA]]</f>
        <v>0.31666666666666665</v>
      </c>
      <c r="T725" t="str">
        <f>TEXT(Tableau1_2[[#This Row],[Date]],"mmmm")</f>
        <v>mars</v>
      </c>
    </row>
    <row r="726" spans="1:20" x14ac:dyDescent="0.35">
      <c r="A726" t="s">
        <v>1571</v>
      </c>
      <c r="B726" s="2">
        <v>46072</v>
      </c>
      <c r="C726" t="s">
        <v>1572</v>
      </c>
      <c r="D726" t="s">
        <v>1573</v>
      </c>
      <c r="E726" t="s">
        <v>18</v>
      </c>
      <c r="F726" t="s">
        <v>18</v>
      </c>
      <c r="G726" t="s">
        <v>43</v>
      </c>
      <c r="H726" t="s">
        <v>49</v>
      </c>
      <c r="I726">
        <v>4</v>
      </c>
      <c r="J726">
        <v>9000</v>
      </c>
      <c r="K726">
        <v>5600</v>
      </c>
      <c r="L726" t="s">
        <v>73</v>
      </c>
      <c r="M726" t="s">
        <v>51</v>
      </c>
      <c r="N726" t="s">
        <v>52</v>
      </c>
      <c r="O726" t="s">
        <v>24</v>
      </c>
      <c r="P726">
        <f>Tableau1_2[[#This Row],[Quantité]]*Tableau1_2[[#This Row],[Prix_Unitaire]]</f>
        <v>36000</v>
      </c>
      <c r="Q726">
        <f>Tableau1_2[[#This Row],[Quantité]]*Tableau1_2[[#This Row],[Coût_Unitaire]]</f>
        <v>22400</v>
      </c>
      <c r="R726">
        <f>Tableau1_2[[#This Row],[CA]]-Tableau1_2[[#This Row],[Cout Total]]</f>
        <v>13600</v>
      </c>
      <c r="S726" s="4">
        <f>Tableau1_2[[#This Row],[Marge]]/Tableau1_2[[#This Row],[CA]]</f>
        <v>0.37777777777777777</v>
      </c>
      <c r="T726" t="str">
        <f>TEXT(Tableau1_2[[#This Row],[Date]],"mmmm")</f>
        <v>février</v>
      </c>
    </row>
    <row r="727" spans="1:20" x14ac:dyDescent="0.35">
      <c r="A727" t="s">
        <v>1574</v>
      </c>
      <c r="B727" s="2">
        <v>46078</v>
      </c>
      <c r="C727" t="s">
        <v>1575</v>
      </c>
      <c r="D727" t="s">
        <v>1576</v>
      </c>
      <c r="E727" t="s">
        <v>18</v>
      </c>
      <c r="F727" t="s">
        <v>18</v>
      </c>
      <c r="G727" t="s">
        <v>28</v>
      </c>
      <c r="H727" t="s">
        <v>72</v>
      </c>
      <c r="I727">
        <v>8</v>
      </c>
      <c r="J727">
        <v>10500</v>
      </c>
      <c r="K727">
        <v>6400</v>
      </c>
      <c r="L727" t="s">
        <v>66</v>
      </c>
      <c r="M727" t="s">
        <v>51</v>
      </c>
      <c r="N727" t="s">
        <v>52</v>
      </c>
      <c r="O727" t="s">
        <v>24</v>
      </c>
      <c r="P727">
        <f>Tableau1_2[[#This Row],[Quantité]]*Tableau1_2[[#This Row],[Prix_Unitaire]]</f>
        <v>84000</v>
      </c>
      <c r="Q727">
        <f>Tableau1_2[[#This Row],[Quantité]]*Tableau1_2[[#This Row],[Coût_Unitaire]]</f>
        <v>51200</v>
      </c>
      <c r="R727">
        <f>Tableau1_2[[#This Row],[CA]]-Tableau1_2[[#This Row],[Cout Total]]</f>
        <v>32800</v>
      </c>
      <c r="S727" s="4">
        <f>Tableau1_2[[#This Row],[Marge]]/Tableau1_2[[#This Row],[CA]]</f>
        <v>0.39047619047619048</v>
      </c>
      <c r="T727" t="str">
        <f>TEXT(Tableau1_2[[#This Row],[Date]],"mmmm")</f>
        <v>février</v>
      </c>
    </row>
    <row r="728" spans="1:20" x14ac:dyDescent="0.35">
      <c r="A728" t="s">
        <v>1577</v>
      </c>
      <c r="B728" s="2">
        <v>46293</v>
      </c>
      <c r="C728" t="s">
        <v>685</v>
      </c>
      <c r="D728" t="s">
        <v>1113</v>
      </c>
      <c r="E728" t="s">
        <v>18</v>
      </c>
      <c r="F728" t="s">
        <v>18</v>
      </c>
      <c r="G728" t="s">
        <v>28</v>
      </c>
      <c r="H728" t="s">
        <v>248</v>
      </c>
      <c r="I728">
        <v>9</v>
      </c>
      <c r="J728">
        <v>26200</v>
      </c>
      <c r="K728">
        <v>15500</v>
      </c>
      <c r="L728" t="s">
        <v>66</v>
      </c>
      <c r="M728" t="s">
        <v>37</v>
      </c>
      <c r="N728" t="s">
        <v>23</v>
      </c>
      <c r="O728" t="s">
        <v>24</v>
      </c>
      <c r="P728">
        <f>Tableau1_2[[#This Row],[Quantité]]*Tableau1_2[[#This Row],[Prix_Unitaire]]</f>
        <v>235800</v>
      </c>
      <c r="Q728">
        <f>Tableau1_2[[#This Row],[Quantité]]*Tableau1_2[[#This Row],[Coût_Unitaire]]</f>
        <v>139500</v>
      </c>
      <c r="R728">
        <f>Tableau1_2[[#This Row],[CA]]-Tableau1_2[[#This Row],[Cout Total]]</f>
        <v>96300</v>
      </c>
      <c r="S728" s="4">
        <f>Tableau1_2[[#This Row],[Marge]]/Tableau1_2[[#This Row],[CA]]</f>
        <v>0.40839694656488551</v>
      </c>
      <c r="T728" t="str">
        <f>TEXT(Tableau1_2[[#This Row],[Date]],"mmmm")</f>
        <v>septembre</v>
      </c>
    </row>
    <row r="729" spans="1:20" x14ac:dyDescent="0.35">
      <c r="A729" t="s">
        <v>1578</v>
      </c>
      <c r="B729" s="2">
        <v>46094</v>
      </c>
      <c r="C729" t="s">
        <v>1192</v>
      </c>
      <c r="D729" t="s">
        <v>422</v>
      </c>
      <c r="E729" t="s">
        <v>18</v>
      </c>
      <c r="F729" t="s">
        <v>18</v>
      </c>
      <c r="G729" t="s">
        <v>28</v>
      </c>
      <c r="H729" t="s">
        <v>248</v>
      </c>
      <c r="I729">
        <v>1</v>
      </c>
      <c r="J729">
        <v>23800</v>
      </c>
      <c r="K729">
        <v>16000</v>
      </c>
      <c r="L729" t="s">
        <v>80</v>
      </c>
      <c r="M729" t="s">
        <v>51</v>
      </c>
      <c r="N729" t="s">
        <v>23</v>
      </c>
      <c r="O729" t="s">
        <v>24</v>
      </c>
      <c r="P729">
        <f>Tableau1_2[[#This Row],[Quantité]]*Tableau1_2[[#This Row],[Prix_Unitaire]]</f>
        <v>23800</v>
      </c>
      <c r="Q729">
        <f>Tableau1_2[[#This Row],[Quantité]]*Tableau1_2[[#This Row],[Coût_Unitaire]]</f>
        <v>16000</v>
      </c>
      <c r="R729">
        <f>Tableau1_2[[#This Row],[CA]]-Tableau1_2[[#This Row],[Cout Total]]</f>
        <v>7800</v>
      </c>
      <c r="S729" s="4">
        <f>Tableau1_2[[#This Row],[Marge]]/Tableau1_2[[#This Row],[CA]]</f>
        <v>0.32773109243697479</v>
      </c>
      <c r="T729" t="str">
        <f>TEXT(Tableau1_2[[#This Row],[Date]],"mmmm")</f>
        <v>mars</v>
      </c>
    </row>
    <row r="730" spans="1:20" x14ac:dyDescent="0.35">
      <c r="A730" t="s">
        <v>1579</v>
      </c>
      <c r="B730" s="2">
        <v>46369</v>
      </c>
      <c r="C730" t="s">
        <v>413</v>
      </c>
      <c r="D730" t="s">
        <v>176</v>
      </c>
      <c r="E730" t="s">
        <v>56</v>
      </c>
      <c r="F730" t="s">
        <v>57</v>
      </c>
      <c r="G730" t="s">
        <v>28</v>
      </c>
      <c r="H730" t="s">
        <v>131</v>
      </c>
      <c r="I730">
        <v>4</v>
      </c>
      <c r="J730">
        <v>28500</v>
      </c>
      <c r="K730">
        <v>18400</v>
      </c>
      <c r="L730" t="s">
        <v>66</v>
      </c>
      <c r="M730" t="s">
        <v>51</v>
      </c>
      <c r="N730" t="s">
        <v>87</v>
      </c>
      <c r="O730" t="s">
        <v>45</v>
      </c>
      <c r="P730">
        <f>Tableau1_2[[#This Row],[Quantité]]*Tableau1_2[[#This Row],[Prix_Unitaire]]</f>
        <v>114000</v>
      </c>
      <c r="Q730">
        <f>Tableau1_2[[#This Row],[Quantité]]*Tableau1_2[[#This Row],[Coût_Unitaire]]</f>
        <v>73600</v>
      </c>
      <c r="R730">
        <f>Tableau1_2[[#This Row],[CA]]-Tableau1_2[[#This Row],[Cout Total]]</f>
        <v>40400</v>
      </c>
      <c r="S730" s="4">
        <f>Tableau1_2[[#This Row],[Marge]]/Tableau1_2[[#This Row],[CA]]</f>
        <v>0.35438596491228069</v>
      </c>
      <c r="T730" t="str">
        <f>TEXT(Tableau1_2[[#This Row],[Date]],"mmmm")</f>
        <v>décembre</v>
      </c>
    </row>
    <row r="731" spans="1:20" x14ac:dyDescent="0.35">
      <c r="A731" t="s">
        <v>1580</v>
      </c>
      <c r="B731" s="2">
        <v>46219</v>
      </c>
      <c r="C731" t="s">
        <v>478</v>
      </c>
      <c r="D731" t="s">
        <v>1581</v>
      </c>
      <c r="E731" t="s">
        <v>18</v>
      </c>
      <c r="F731" t="s">
        <v>18</v>
      </c>
      <c r="G731" t="s">
        <v>28</v>
      </c>
      <c r="H731" t="s">
        <v>248</v>
      </c>
      <c r="I731">
        <v>6</v>
      </c>
      <c r="J731">
        <v>25000</v>
      </c>
      <c r="K731">
        <v>16000</v>
      </c>
      <c r="L731" t="s">
        <v>66</v>
      </c>
      <c r="M731" t="s">
        <v>37</v>
      </c>
      <c r="N731" t="s">
        <v>23</v>
      </c>
      <c r="O731" t="s">
        <v>24</v>
      </c>
      <c r="P731">
        <f>Tableau1_2[[#This Row],[Quantité]]*Tableau1_2[[#This Row],[Prix_Unitaire]]</f>
        <v>150000</v>
      </c>
      <c r="Q731">
        <f>Tableau1_2[[#This Row],[Quantité]]*Tableau1_2[[#This Row],[Coût_Unitaire]]</f>
        <v>96000</v>
      </c>
      <c r="R731">
        <f>Tableau1_2[[#This Row],[CA]]-Tableau1_2[[#This Row],[Cout Total]]</f>
        <v>54000</v>
      </c>
      <c r="S731" s="4">
        <f>Tableau1_2[[#This Row],[Marge]]/Tableau1_2[[#This Row],[CA]]</f>
        <v>0.36</v>
      </c>
      <c r="T731" t="str">
        <f>TEXT(Tableau1_2[[#This Row],[Date]],"mmmm")</f>
        <v>juillet</v>
      </c>
    </row>
    <row r="732" spans="1:20" x14ac:dyDescent="0.35">
      <c r="A732" t="s">
        <v>1582</v>
      </c>
      <c r="B732" s="2">
        <v>46154</v>
      </c>
      <c r="C732" t="s">
        <v>458</v>
      </c>
      <c r="D732" t="s">
        <v>629</v>
      </c>
      <c r="E732" t="s">
        <v>41</v>
      </c>
      <c r="F732" t="s">
        <v>42</v>
      </c>
      <c r="G732" t="s">
        <v>19</v>
      </c>
      <c r="H732" t="s">
        <v>61</v>
      </c>
      <c r="I732">
        <v>4</v>
      </c>
      <c r="J732">
        <v>220000</v>
      </c>
      <c r="K732">
        <v>164800</v>
      </c>
      <c r="L732" t="s">
        <v>21</v>
      </c>
      <c r="M732" t="s">
        <v>31</v>
      </c>
      <c r="N732" t="s">
        <v>23</v>
      </c>
      <c r="O732" t="s">
        <v>24</v>
      </c>
      <c r="P732">
        <f>Tableau1_2[[#This Row],[Quantité]]*Tableau1_2[[#This Row],[Prix_Unitaire]]</f>
        <v>880000</v>
      </c>
      <c r="Q732">
        <f>Tableau1_2[[#This Row],[Quantité]]*Tableau1_2[[#This Row],[Coût_Unitaire]]</f>
        <v>659200</v>
      </c>
      <c r="R732">
        <f>Tableau1_2[[#This Row],[CA]]-Tableau1_2[[#This Row],[Cout Total]]</f>
        <v>220800</v>
      </c>
      <c r="S732" s="4">
        <f>Tableau1_2[[#This Row],[Marge]]/Tableau1_2[[#This Row],[CA]]</f>
        <v>0.25090909090909091</v>
      </c>
      <c r="T732" t="str">
        <f>TEXT(Tableau1_2[[#This Row],[Date]],"mmmm")</f>
        <v>mai</v>
      </c>
    </row>
    <row r="733" spans="1:20" x14ac:dyDescent="0.35">
      <c r="A733" t="s">
        <v>1583</v>
      </c>
      <c r="B733" s="2">
        <v>46119</v>
      </c>
      <c r="C733" t="s">
        <v>1164</v>
      </c>
      <c r="D733" t="s">
        <v>1584</v>
      </c>
      <c r="E733" t="s">
        <v>156</v>
      </c>
      <c r="F733" t="s">
        <v>157</v>
      </c>
      <c r="G733" t="s">
        <v>34</v>
      </c>
      <c r="H733" t="s">
        <v>86</v>
      </c>
      <c r="I733">
        <v>6</v>
      </c>
      <c r="J733">
        <v>171000</v>
      </c>
      <c r="K733">
        <v>135000</v>
      </c>
      <c r="L733" t="s">
        <v>21</v>
      </c>
      <c r="M733" t="s">
        <v>31</v>
      </c>
      <c r="N733" t="s">
        <v>52</v>
      </c>
      <c r="O733" t="s">
        <v>24</v>
      </c>
      <c r="P733">
        <f>Tableau1_2[[#This Row],[Quantité]]*Tableau1_2[[#This Row],[Prix_Unitaire]]</f>
        <v>1026000</v>
      </c>
      <c r="Q733">
        <f>Tableau1_2[[#This Row],[Quantité]]*Tableau1_2[[#This Row],[Coût_Unitaire]]</f>
        <v>810000</v>
      </c>
      <c r="R733">
        <f>Tableau1_2[[#This Row],[CA]]-Tableau1_2[[#This Row],[Cout Total]]</f>
        <v>216000</v>
      </c>
      <c r="S733" s="4">
        <f>Tableau1_2[[#This Row],[Marge]]/Tableau1_2[[#This Row],[CA]]</f>
        <v>0.21052631578947367</v>
      </c>
      <c r="T733" t="str">
        <f>TEXT(Tableau1_2[[#This Row],[Date]],"mmmm")</f>
        <v>avril</v>
      </c>
    </row>
    <row r="734" spans="1:20" x14ac:dyDescent="0.35">
      <c r="A734" t="s">
        <v>1585</v>
      </c>
      <c r="B734" s="2">
        <v>46104</v>
      </c>
      <c r="C734" t="s">
        <v>529</v>
      </c>
      <c r="D734" t="s">
        <v>909</v>
      </c>
      <c r="E734" t="s">
        <v>84</v>
      </c>
      <c r="F734" t="s">
        <v>85</v>
      </c>
      <c r="G734" t="s">
        <v>19</v>
      </c>
      <c r="H734" t="s">
        <v>166</v>
      </c>
      <c r="I734">
        <v>3</v>
      </c>
      <c r="J734">
        <v>133000</v>
      </c>
      <c r="K734">
        <v>103000</v>
      </c>
      <c r="L734" t="s">
        <v>66</v>
      </c>
      <c r="M734" t="s">
        <v>22</v>
      </c>
      <c r="N734" t="s">
        <v>87</v>
      </c>
      <c r="O734" t="s">
        <v>24</v>
      </c>
      <c r="P734">
        <f>Tableau1_2[[#This Row],[Quantité]]*Tableau1_2[[#This Row],[Prix_Unitaire]]</f>
        <v>399000</v>
      </c>
      <c r="Q734">
        <f>Tableau1_2[[#This Row],[Quantité]]*Tableau1_2[[#This Row],[Coût_Unitaire]]</f>
        <v>309000</v>
      </c>
      <c r="R734">
        <f>Tableau1_2[[#This Row],[CA]]-Tableau1_2[[#This Row],[Cout Total]]</f>
        <v>90000</v>
      </c>
      <c r="S734" s="4">
        <f>Tableau1_2[[#This Row],[Marge]]/Tableau1_2[[#This Row],[CA]]</f>
        <v>0.22556390977443608</v>
      </c>
      <c r="T734" t="str">
        <f>TEXT(Tableau1_2[[#This Row],[Date]],"mmmm")</f>
        <v>mars</v>
      </c>
    </row>
    <row r="735" spans="1:20" x14ac:dyDescent="0.35">
      <c r="A735" t="s">
        <v>1586</v>
      </c>
      <c r="B735" s="2">
        <v>46249</v>
      </c>
      <c r="C735" t="s">
        <v>405</v>
      </c>
      <c r="D735" t="s">
        <v>1332</v>
      </c>
      <c r="E735" t="s">
        <v>18</v>
      </c>
      <c r="F735" t="s">
        <v>18</v>
      </c>
      <c r="G735" t="s">
        <v>19</v>
      </c>
      <c r="H735" t="s">
        <v>166</v>
      </c>
      <c r="I735">
        <v>8</v>
      </c>
      <c r="J735">
        <v>133000</v>
      </c>
      <c r="K735">
        <v>97000</v>
      </c>
      <c r="L735" t="s">
        <v>50</v>
      </c>
      <c r="M735" t="s">
        <v>37</v>
      </c>
      <c r="N735" t="s">
        <v>87</v>
      </c>
      <c r="O735" t="s">
        <v>24</v>
      </c>
      <c r="P735">
        <f>Tableau1_2[[#This Row],[Quantité]]*Tableau1_2[[#This Row],[Prix_Unitaire]]</f>
        <v>1064000</v>
      </c>
      <c r="Q735">
        <f>Tableau1_2[[#This Row],[Quantité]]*Tableau1_2[[#This Row],[Coût_Unitaire]]</f>
        <v>776000</v>
      </c>
      <c r="R735">
        <f>Tableau1_2[[#This Row],[CA]]-Tableau1_2[[#This Row],[Cout Total]]</f>
        <v>288000</v>
      </c>
      <c r="S735" s="4">
        <f>Tableau1_2[[#This Row],[Marge]]/Tableau1_2[[#This Row],[CA]]</f>
        <v>0.27067669172932329</v>
      </c>
      <c r="T735" t="str">
        <f>TEXT(Tableau1_2[[#This Row],[Date]],"mmmm")</f>
        <v>août</v>
      </c>
    </row>
    <row r="736" spans="1:20" x14ac:dyDescent="0.35">
      <c r="A736" t="s">
        <v>1587</v>
      </c>
      <c r="B736" s="2">
        <v>46188</v>
      </c>
      <c r="C736" t="s">
        <v>366</v>
      </c>
      <c r="D736" t="s">
        <v>391</v>
      </c>
      <c r="E736" t="s">
        <v>190</v>
      </c>
      <c r="F736" t="s">
        <v>191</v>
      </c>
      <c r="G736" t="s">
        <v>43</v>
      </c>
      <c r="H736" t="s">
        <v>79</v>
      </c>
      <c r="I736">
        <v>5</v>
      </c>
      <c r="J736">
        <v>6000</v>
      </c>
      <c r="K736">
        <v>4300</v>
      </c>
      <c r="L736" t="s">
        <v>96</v>
      </c>
      <c r="M736" t="s">
        <v>37</v>
      </c>
      <c r="N736" t="s">
        <v>23</v>
      </c>
      <c r="O736" t="s">
        <v>45</v>
      </c>
      <c r="P736">
        <f>Tableau1_2[[#This Row],[Quantité]]*Tableau1_2[[#This Row],[Prix_Unitaire]]</f>
        <v>30000</v>
      </c>
      <c r="Q736">
        <f>Tableau1_2[[#This Row],[Quantité]]*Tableau1_2[[#This Row],[Coût_Unitaire]]</f>
        <v>21500</v>
      </c>
      <c r="R736">
        <f>Tableau1_2[[#This Row],[CA]]-Tableau1_2[[#This Row],[Cout Total]]</f>
        <v>8500</v>
      </c>
      <c r="S736" s="4">
        <f>Tableau1_2[[#This Row],[Marge]]/Tableau1_2[[#This Row],[CA]]</f>
        <v>0.28333333333333333</v>
      </c>
      <c r="T736" t="str">
        <f>TEXT(Tableau1_2[[#This Row],[Date]],"mmmm")</f>
        <v>juin</v>
      </c>
    </row>
    <row r="737" spans="1:20" x14ac:dyDescent="0.35">
      <c r="A737" t="s">
        <v>1588</v>
      </c>
      <c r="B737" s="2">
        <v>46051</v>
      </c>
      <c r="C737" t="s">
        <v>299</v>
      </c>
      <c r="D737" t="s">
        <v>501</v>
      </c>
      <c r="E737" t="s">
        <v>77</v>
      </c>
      <c r="F737" t="s">
        <v>78</v>
      </c>
      <c r="G737" t="s">
        <v>28</v>
      </c>
      <c r="H737" t="s">
        <v>72</v>
      </c>
      <c r="I737">
        <v>2</v>
      </c>
      <c r="J737">
        <v>10000</v>
      </c>
      <c r="K737">
        <v>6400</v>
      </c>
      <c r="L737" t="s">
        <v>21</v>
      </c>
      <c r="M737" t="s">
        <v>37</v>
      </c>
      <c r="N737" t="s">
        <v>23</v>
      </c>
      <c r="O737" t="s">
        <v>24</v>
      </c>
      <c r="P737">
        <f>Tableau1_2[[#This Row],[Quantité]]*Tableau1_2[[#This Row],[Prix_Unitaire]]</f>
        <v>20000</v>
      </c>
      <c r="Q737">
        <f>Tableau1_2[[#This Row],[Quantité]]*Tableau1_2[[#This Row],[Coût_Unitaire]]</f>
        <v>12800</v>
      </c>
      <c r="R737">
        <f>Tableau1_2[[#This Row],[CA]]-Tableau1_2[[#This Row],[Cout Total]]</f>
        <v>7200</v>
      </c>
      <c r="S737" s="4">
        <f>Tableau1_2[[#This Row],[Marge]]/Tableau1_2[[#This Row],[CA]]</f>
        <v>0.36</v>
      </c>
      <c r="T737" t="str">
        <f>TEXT(Tableau1_2[[#This Row],[Date]],"mmmm")</f>
        <v>janvier</v>
      </c>
    </row>
    <row r="738" spans="1:20" x14ac:dyDescent="0.35">
      <c r="A738" t="s">
        <v>1589</v>
      </c>
      <c r="B738" s="2">
        <v>46286</v>
      </c>
      <c r="C738" t="s">
        <v>1509</v>
      </c>
      <c r="D738" t="s">
        <v>1087</v>
      </c>
      <c r="E738" t="s">
        <v>18</v>
      </c>
      <c r="F738" t="s">
        <v>18</v>
      </c>
      <c r="G738" t="s">
        <v>43</v>
      </c>
      <c r="H738" t="s">
        <v>79</v>
      </c>
      <c r="I738">
        <v>6</v>
      </c>
      <c r="J738">
        <v>5700</v>
      </c>
      <c r="K738">
        <v>4200</v>
      </c>
      <c r="L738" t="s">
        <v>96</v>
      </c>
      <c r="M738" t="s">
        <v>51</v>
      </c>
      <c r="N738" t="s">
        <v>52</v>
      </c>
      <c r="O738" t="s">
        <v>45</v>
      </c>
      <c r="P738">
        <f>Tableau1_2[[#This Row],[Quantité]]*Tableau1_2[[#This Row],[Prix_Unitaire]]</f>
        <v>34200</v>
      </c>
      <c r="Q738">
        <f>Tableau1_2[[#This Row],[Quantité]]*Tableau1_2[[#This Row],[Coût_Unitaire]]</f>
        <v>25200</v>
      </c>
      <c r="R738">
        <f>Tableau1_2[[#This Row],[CA]]-Tableau1_2[[#This Row],[Cout Total]]</f>
        <v>9000</v>
      </c>
      <c r="S738" s="4">
        <f>Tableau1_2[[#This Row],[Marge]]/Tableau1_2[[#This Row],[CA]]</f>
        <v>0.26315789473684209</v>
      </c>
      <c r="T738" t="str">
        <f>TEXT(Tableau1_2[[#This Row],[Date]],"mmmm")</f>
        <v>septembre</v>
      </c>
    </row>
    <row r="739" spans="1:20" x14ac:dyDescent="0.35">
      <c r="A739" t="s">
        <v>1590</v>
      </c>
      <c r="B739" s="2">
        <v>46303</v>
      </c>
      <c r="C739" t="s">
        <v>237</v>
      </c>
      <c r="D739" t="s">
        <v>1591</v>
      </c>
      <c r="E739" t="s">
        <v>156</v>
      </c>
      <c r="F739" t="s">
        <v>170</v>
      </c>
      <c r="G739" t="s">
        <v>28</v>
      </c>
      <c r="H739" t="s">
        <v>248</v>
      </c>
      <c r="I739">
        <v>7</v>
      </c>
      <c r="J739">
        <v>26200</v>
      </c>
      <c r="K739">
        <v>16000</v>
      </c>
      <c r="L739" t="s">
        <v>21</v>
      </c>
      <c r="M739" t="s">
        <v>37</v>
      </c>
      <c r="N739" t="s">
        <v>23</v>
      </c>
      <c r="O739" t="s">
        <v>24</v>
      </c>
      <c r="P739">
        <f>Tableau1_2[[#This Row],[Quantité]]*Tableau1_2[[#This Row],[Prix_Unitaire]]</f>
        <v>183400</v>
      </c>
      <c r="Q739">
        <f>Tableau1_2[[#This Row],[Quantité]]*Tableau1_2[[#This Row],[Coût_Unitaire]]</f>
        <v>112000</v>
      </c>
      <c r="R739">
        <f>Tableau1_2[[#This Row],[CA]]-Tableau1_2[[#This Row],[Cout Total]]</f>
        <v>71400</v>
      </c>
      <c r="S739" s="4">
        <f>Tableau1_2[[#This Row],[Marge]]/Tableau1_2[[#This Row],[CA]]</f>
        <v>0.38931297709923662</v>
      </c>
      <c r="T739" t="str">
        <f>TEXT(Tableau1_2[[#This Row],[Date]],"mmmm")</f>
        <v>octobre</v>
      </c>
    </row>
    <row r="740" spans="1:20" x14ac:dyDescent="0.35">
      <c r="A740" t="s">
        <v>1592</v>
      </c>
      <c r="B740" s="2">
        <v>46348</v>
      </c>
      <c r="C740" t="s">
        <v>1302</v>
      </c>
      <c r="D740" t="s">
        <v>284</v>
      </c>
      <c r="E740" t="s">
        <v>190</v>
      </c>
      <c r="F740" t="s">
        <v>191</v>
      </c>
      <c r="G740" t="s">
        <v>34</v>
      </c>
      <c r="H740" t="s">
        <v>86</v>
      </c>
      <c r="I740">
        <v>5</v>
      </c>
      <c r="J740">
        <v>189000</v>
      </c>
      <c r="K740">
        <v>139000</v>
      </c>
      <c r="L740" t="s">
        <v>96</v>
      </c>
      <c r="M740" t="s">
        <v>22</v>
      </c>
      <c r="N740" t="s">
        <v>52</v>
      </c>
      <c r="O740" t="s">
        <v>24</v>
      </c>
      <c r="P740">
        <f>Tableau1_2[[#This Row],[Quantité]]*Tableau1_2[[#This Row],[Prix_Unitaire]]</f>
        <v>945000</v>
      </c>
      <c r="Q740">
        <f>Tableau1_2[[#This Row],[Quantité]]*Tableau1_2[[#This Row],[Coût_Unitaire]]</f>
        <v>695000</v>
      </c>
      <c r="R740">
        <f>Tableau1_2[[#This Row],[CA]]-Tableau1_2[[#This Row],[Cout Total]]</f>
        <v>250000</v>
      </c>
      <c r="S740" s="4">
        <f>Tableau1_2[[#This Row],[Marge]]/Tableau1_2[[#This Row],[CA]]</f>
        <v>0.26455026455026454</v>
      </c>
      <c r="T740" t="str">
        <f>TEXT(Tableau1_2[[#This Row],[Date]],"mmmm")</f>
        <v>novembre</v>
      </c>
    </row>
    <row r="741" spans="1:20" x14ac:dyDescent="0.35">
      <c r="A741" t="s">
        <v>1593</v>
      </c>
      <c r="B741" s="2">
        <v>46201</v>
      </c>
      <c r="C741" t="s">
        <v>1594</v>
      </c>
      <c r="D741" t="s">
        <v>1330</v>
      </c>
      <c r="E741" t="s">
        <v>70</v>
      </c>
      <c r="F741" t="s">
        <v>71</v>
      </c>
      <c r="G741" t="s">
        <v>34</v>
      </c>
      <c r="H741" t="s">
        <v>141</v>
      </c>
      <c r="I741">
        <v>1</v>
      </c>
      <c r="J741">
        <v>160000</v>
      </c>
      <c r="K741">
        <v>123600</v>
      </c>
      <c r="L741" t="s">
        <v>21</v>
      </c>
      <c r="M741" t="s">
        <v>37</v>
      </c>
      <c r="N741" t="s">
        <v>23</v>
      </c>
      <c r="O741" t="s">
        <v>24</v>
      </c>
      <c r="P741">
        <f>Tableau1_2[[#This Row],[Quantité]]*Tableau1_2[[#This Row],[Prix_Unitaire]]</f>
        <v>160000</v>
      </c>
      <c r="Q741">
        <f>Tableau1_2[[#This Row],[Quantité]]*Tableau1_2[[#This Row],[Coût_Unitaire]]</f>
        <v>123600</v>
      </c>
      <c r="R741">
        <f>Tableau1_2[[#This Row],[CA]]-Tableau1_2[[#This Row],[Cout Total]]</f>
        <v>36400</v>
      </c>
      <c r="S741" s="4">
        <f>Tableau1_2[[#This Row],[Marge]]/Tableau1_2[[#This Row],[CA]]</f>
        <v>0.22750000000000001</v>
      </c>
      <c r="T741" t="str">
        <f>TEXT(Tableau1_2[[#This Row],[Date]],"mmmm")</f>
        <v>juin</v>
      </c>
    </row>
    <row r="742" spans="1:20" x14ac:dyDescent="0.35">
      <c r="A742" t="s">
        <v>1595</v>
      </c>
      <c r="B742" s="2">
        <v>46208</v>
      </c>
      <c r="C742" t="s">
        <v>874</v>
      </c>
      <c r="D742" t="s">
        <v>1181</v>
      </c>
      <c r="E742" t="s">
        <v>84</v>
      </c>
      <c r="F742" t="s">
        <v>85</v>
      </c>
      <c r="G742" t="s">
        <v>34</v>
      </c>
      <c r="H742" t="s">
        <v>141</v>
      </c>
      <c r="I742">
        <v>6</v>
      </c>
      <c r="J742">
        <v>152000</v>
      </c>
      <c r="K742">
        <v>120000</v>
      </c>
      <c r="L742" t="s">
        <v>21</v>
      </c>
      <c r="M742" t="s">
        <v>37</v>
      </c>
      <c r="N742" t="s">
        <v>52</v>
      </c>
      <c r="O742" t="s">
        <v>45</v>
      </c>
      <c r="P742">
        <f>Tableau1_2[[#This Row],[Quantité]]*Tableau1_2[[#This Row],[Prix_Unitaire]]</f>
        <v>912000</v>
      </c>
      <c r="Q742">
        <f>Tableau1_2[[#This Row],[Quantité]]*Tableau1_2[[#This Row],[Coût_Unitaire]]</f>
        <v>720000</v>
      </c>
      <c r="R742">
        <f>Tableau1_2[[#This Row],[CA]]-Tableau1_2[[#This Row],[Cout Total]]</f>
        <v>192000</v>
      </c>
      <c r="S742" s="4">
        <f>Tableau1_2[[#This Row],[Marge]]/Tableau1_2[[#This Row],[CA]]</f>
        <v>0.21052631578947367</v>
      </c>
      <c r="T742" t="str">
        <f>TEXT(Tableau1_2[[#This Row],[Date]],"mmmm")</f>
        <v>juillet</v>
      </c>
    </row>
    <row r="743" spans="1:20" x14ac:dyDescent="0.35">
      <c r="A743" t="s">
        <v>1596</v>
      </c>
      <c r="B743" s="2">
        <v>46230</v>
      </c>
      <c r="C743" t="s">
        <v>1597</v>
      </c>
      <c r="D743" t="s">
        <v>1598</v>
      </c>
      <c r="E743" t="s">
        <v>77</v>
      </c>
      <c r="F743" t="s">
        <v>78</v>
      </c>
      <c r="G743" t="s">
        <v>34</v>
      </c>
      <c r="H743" t="s">
        <v>95</v>
      </c>
      <c r="I743">
        <v>2</v>
      </c>
      <c r="J743">
        <v>450000</v>
      </c>
      <c r="K743">
        <v>370000</v>
      </c>
      <c r="L743" t="s">
        <v>73</v>
      </c>
      <c r="M743" t="s">
        <v>22</v>
      </c>
      <c r="N743" t="s">
        <v>52</v>
      </c>
      <c r="O743" t="s">
        <v>24</v>
      </c>
      <c r="P743">
        <f>Tableau1_2[[#This Row],[Quantité]]*Tableau1_2[[#This Row],[Prix_Unitaire]]</f>
        <v>900000</v>
      </c>
      <c r="Q743">
        <f>Tableau1_2[[#This Row],[Quantité]]*Tableau1_2[[#This Row],[Coût_Unitaire]]</f>
        <v>740000</v>
      </c>
      <c r="R743">
        <f>Tableau1_2[[#This Row],[CA]]-Tableau1_2[[#This Row],[Cout Total]]</f>
        <v>160000</v>
      </c>
      <c r="S743" s="4">
        <f>Tableau1_2[[#This Row],[Marge]]/Tableau1_2[[#This Row],[CA]]</f>
        <v>0.17777777777777778</v>
      </c>
      <c r="T743" t="str">
        <f>TEXT(Tableau1_2[[#This Row],[Date]],"mmmm")</f>
        <v>juillet</v>
      </c>
    </row>
    <row r="744" spans="1:20" x14ac:dyDescent="0.35">
      <c r="A744" t="s">
        <v>1599</v>
      </c>
      <c r="B744" s="2">
        <v>46112</v>
      </c>
      <c r="C744" t="s">
        <v>382</v>
      </c>
      <c r="D744" t="s">
        <v>1230</v>
      </c>
      <c r="E744" t="s">
        <v>77</v>
      </c>
      <c r="F744" t="s">
        <v>78</v>
      </c>
      <c r="G744" t="s">
        <v>43</v>
      </c>
      <c r="H744" t="s">
        <v>79</v>
      </c>
      <c r="I744">
        <v>2</v>
      </c>
      <c r="J744">
        <v>6000</v>
      </c>
      <c r="K744">
        <v>4300</v>
      </c>
      <c r="L744" t="s">
        <v>66</v>
      </c>
      <c r="M744" t="s">
        <v>37</v>
      </c>
      <c r="N744" t="s">
        <v>23</v>
      </c>
      <c r="O744" t="s">
        <v>91</v>
      </c>
      <c r="P744">
        <f>Tableau1_2[[#This Row],[Quantité]]*Tableau1_2[[#This Row],[Prix_Unitaire]]</f>
        <v>12000</v>
      </c>
      <c r="Q744">
        <f>Tableau1_2[[#This Row],[Quantité]]*Tableau1_2[[#This Row],[Coût_Unitaire]]</f>
        <v>8600</v>
      </c>
      <c r="R744">
        <f>Tableau1_2[[#This Row],[CA]]-Tableau1_2[[#This Row],[Cout Total]]</f>
        <v>3400</v>
      </c>
      <c r="S744" s="4">
        <f>Tableau1_2[[#This Row],[Marge]]/Tableau1_2[[#This Row],[CA]]</f>
        <v>0.28333333333333333</v>
      </c>
      <c r="T744" t="str">
        <f>TEXT(Tableau1_2[[#This Row],[Date]],"mmmm")</f>
        <v>mars</v>
      </c>
    </row>
    <row r="745" spans="1:20" x14ac:dyDescent="0.35">
      <c r="A745" t="s">
        <v>1600</v>
      </c>
      <c r="B745" s="2">
        <v>46292</v>
      </c>
      <c r="C745" t="s">
        <v>1501</v>
      </c>
      <c r="D745" t="s">
        <v>1126</v>
      </c>
      <c r="E745" t="s">
        <v>18</v>
      </c>
      <c r="F745" t="s">
        <v>18</v>
      </c>
      <c r="G745" t="s">
        <v>34</v>
      </c>
      <c r="H745" t="s">
        <v>86</v>
      </c>
      <c r="I745">
        <v>5</v>
      </c>
      <c r="J745">
        <v>180000</v>
      </c>
      <c r="K745">
        <v>139000</v>
      </c>
      <c r="L745" t="s">
        <v>21</v>
      </c>
      <c r="M745" t="s">
        <v>31</v>
      </c>
      <c r="N745" t="s">
        <v>23</v>
      </c>
      <c r="O745" t="s">
        <v>24</v>
      </c>
      <c r="P745">
        <f>Tableau1_2[[#This Row],[Quantité]]*Tableau1_2[[#This Row],[Prix_Unitaire]]</f>
        <v>900000</v>
      </c>
      <c r="Q745">
        <f>Tableau1_2[[#This Row],[Quantité]]*Tableau1_2[[#This Row],[Coût_Unitaire]]</f>
        <v>695000</v>
      </c>
      <c r="R745">
        <f>Tableau1_2[[#This Row],[CA]]-Tableau1_2[[#This Row],[Cout Total]]</f>
        <v>205000</v>
      </c>
      <c r="S745" s="4">
        <f>Tableau1_2[[#This Row],[Marge]]/Tableau1_2[[#This Row],[CA]]</f>
        <v>0.22777777777777777</v>
      </c>
      <c r="T745" t="str">
        <f>TEXT(Tableau1_2[[#This Row],[Date]],"mmmm")</f>
        <v>septembre</v>
      </c>
    </row>
    <row r="746" spans="1:20" x14ac:dyDescent="0.35">
      <c r="A746" t="s">
        <v>1601</v>
      </c>
      <c r="B746" s="2">
        <v>46157</v>
      </c>
      <c r="C746" t="s">
        <v>452</v>
      </c>
      <c r="D746" t="s">
        <v>1602</v>
      </c>
      <c r="E746" t="s">
        <v>18</v>
      </c>
      <c r="F746" t="s">
        <v>18</v>
      </c>
      <c r="G746" t="s">
        <v>43</v>
      </c>
      <c r="H746" t="s">
        <v>79</v>
      </c>
      <c r="I746">
        <v>8</v>
      </c>
      <c r="J746">
        <v>5700</v>
      </c>
      <c r="K746">
        <v>4300</v>
      </c>
      <c r="L746" t="s">
        <v>50</v>
      </c>
      <c r="M746" t="s">
        <v>31</v>
      </c>
      <c r="N746" t="s">
        <v>87</v>
      </c>
      <c r="O746" t="s">
        <v>91</v>
      </c>
      <c r="P746">
        <f>Tableau1_2[[#This Row],[Quantité]]*Tableau1_2[[#This Row],[Prix_Unitaire]]</f>
        <v>45600</v>
      </c>
      <c r="Q746">
        <f>Tableau1_2[[#This Row],[Quantité]]*Tableau1_2[[#This Row],[Coût_Unitaire]]</f>
        <v>34400</v>
      </c>
      <c r="R746">
        <f>Tableau1_2[[#This Row],[CA]]-Tableau1_2[[#This Row],[Cout Total]]</f>
        <v>11200</v>
      </c>
      <c r="S746" s="4">
        <f>Tableau1_2[[#This Row],[Marge]]/Tableau1_2[[#This Row],[CA]]</f>
        <v>0.24561403508771928</v>
      </c>
      <c r="T746" t="str">
        <f>TEXT(Tableau1_2[[#This Row],[Date]],"mmmm")</f>
        <v>mai</v>
      </c>
    </row>
    <row r="747" spans="1:20" x14ac:dyDescent="0.35">
      <c r="A747" t="s">
        <v>1603</v>
      </c>
      <c r="B747" s="2">
        <v>46200</v>
      </c>
      <c r="C747" t="s">
        <v>575</v>
      </c>
      <c r="D747" t="s">
        <v>1604</v>
      </c>
      <c r="E747" t="s">
        <v>18</v>
      </c>
      <c r="F747" t="s">
        <v>18</v>
      </c>
      <c r="G747" t="s">
        <v>34</v>
      </c>
      <c r="H747" t="s">
        <v>158</v>
      </c>
      <c r="I747">
        <v>5</v>
      </c>
      <c r="J747">
        <v>95000</v>
      </c>
      <c r="K747">
        <v>70000</v>
      </c>
      <c r="L747" t="s">
        <v>30</v>
      </c>
      <c r="M747" t="s">
        <v>37</v>
      </c>
      <c r="N747" t="s">
        <v>23</v>
      </c>
      <c r="O747" t="s">
        <v>24</v>
      </c>
      <c r="P747">
        <f>Tableau1_2[[#This Row],[Quantité]]*Tableau1_2[[#This Row],[Prix_Unitaire]]</f>
        <v>475000</v>
      </c>
      <c r="Q747">
        <f>Tableau1_2[[#This Row],[Quantité]]*Tableau1_2[[#This Row],[Coût_Unitaire]]</f>
        <v>350000</v>
      </c>
      <c r="R747">
        <f>Tableau1_2[[#This Row],[CA]]-Tableau1_2[[#This Row],[Cout Total]]</f>
        <v>125000</v>
      </c>
      <c r="S747" s="4">
        <f>Tableau1_2[[#This Row],[Marge]]/Tableau1_2[[#This Row],[CA]]</f>
        <v>0.26315789473684209</v>
      </c>
      <c r="T747" t="str">
        <f>TEXT(Tableau1_2[[#This Row],[Date]],"mmmm")</f>
        <v>juin</v>
      </c>
    </row>
    <row r="748" spans="1:20" x14ac:dyDescent="0.35">
      <c r="A748" t="s">
        <v>1605</v>
      </c>
      <c r="B748" s="2">
        <v>46122</v>
      </c>
      <c r="C748" t="s">
        <v>759</v>
      </c>
      <c r="D748" t="s">
        <v>1382</v>
      </c>
      <c r="E748" t="s">
        <v>156</v>
      </c>
      <c r="F748" t="s">
        <v>170</v>
      </c>
      <c r="G748" t="s">
        <v>19</v>
      </c>
      <c r="H748" t="s">
        <v>112</v>
      </c>
      <c r="I748">
        <v>2</v>
      </c>
      <c r="J748">
        <v>80800</v>
      </c>
      <c r="K748">
        <v>62000</v>
      </c>
      <c r="L748" t="s">
        <v>96</v>
      </c>
      <c r="M748" t="s">
        <v>37</v>
      </c>
      <c r="N748" t="s">
        <v>52</v>
      </c>
      <c r="O748" t="s">
        <v>24</v>
      </c>
      <c r="P748">
        <f>Tableau1_2[[#This Row],[Quantité]]*Tableau1_2[[#This Row],[Prix_Unitaire]]</f>
        <v>161600</v>
      </c>
      <c r="Q748">
        <f>Tableau1_2[[#This Row],[Quantité]]*Tableau1_2[[#This Row],[Coût_Unitaire]]</f>
        <v>124000</v>
      </c>
      <c r="R748">
        <f>Tableau1_2[[#This Row],[CA]]-Tableau1_2[[#This Row],[Cout Total]]</f>
        <v>37600</v>
      </c>
      <c r="S748" s="4">
        <f>Tableau1_2[[#This Row],[Marge]]/Tableau1_2[[#This Row],[CA]]</f>
        <v>0.23267326732673269</v>
      </c>
      <c r="T748" t="str">
        <f>TEXT(Tableau1_2[[#This Row],[Date]],"mmmm")</f>
        <v>avril</v>
      </c>
    </row>
    <row r="749" spans="1:20" x14ac:dyDescent="0.35">
      <c r="A749" t="s">
        <v>1606</v>
      </c>
      <c r="B749" s="2">
        <v>46188</v>
      </c>
      <c r="C749" t="s">
        <v>1358</v>
      </c>
      <c r="D749" t="s">
        <v>438</v>
      </c>
      <c r="E749" t="s">
        <v>156</v>
      </c>
      <c r="F749" t="s">
        <v>157</v>
      </c>
      <c r="G749" t="s">
        <v>19</v>
      </c>
      <c r="H749" t="s">
        <v>166</v>
      </c>
      <c r="I749">
        <v>7</v>
      </c>
      <c r="J749">
        <v>133000</v>
      </c>
      <c r="K749">
        <v>97000</v>
      </c>
      <c r="L749" t="s">
        <v>73</v>
      </c>
      <c r="M749" t="s">
        <v>37</v>
      </c>
      <c r="N749" t="s">
        <v>23</v>
      </c>
      <c r="O749" t="s">
        <v>24</v>
      </c>
      <c r="P749">
        <f>Tableau1_2[[#This Row],[Quantité]]*Tableau1_2[[#This Row],[Prix_Unitaire]]</f>
        <v>931000</v>
      </c>
      <c r="Q749">
        <f>Tableau1_2[[#This Row],[Quantité]]*Tableau1_2[[#This Row],[Coût_Unitaire]]</f>
        <v>679000</v>
      </c>
      <c r="R749">
        <f>Tableau1_2[[#This Row],[CA]]-Tableau1_2[[#This Row],[Cout Total]]</f>
        <v>252000</v>
      </c>
      <c r="S749" s="4">
        <f>Tableau1_2[[#This Row],[Marge]]/Tableau1_2[[#This Row],[CA]]</f>
        <v>0.27067669172932329</v>
      </c>
      <c r="T749" t="str">
        <f>TEXT(Tableau1_2[[#This Row],[Date]],"mmmm")</f>
        <v>juin</v>
      </c>
    </row>
    <row r="750" spans="1:20" x14ac:dyDescent="0.35">
      <c r="A750" t="s">
        <v>1607</v>
      </c>
      <c r="B750" s="2">
        <v>46250</v>
      </c>
      <c r="C750" t="s">
        <v>853</v>
      </c>
      <c r="D750" t="s">
        <v>144</v>
      </c>
      <c r="E750" t="s">
        <v>41</v>
      </c>
      <c r="F750" t="s">
        <v>42</v>
      </c>
      <c r="G750" t="s">
        <v>34</v>
      </c>
      <c r="H750" t="s">
        <v>95</v>
      </c>
      <c r="I750">
        <v>1</v>
      </c>
      <c r="J750">
        <v>450000</v>
      </c>
      <c r="K750">
        <v>370000</v>
      </c>
      <c r="L750" t="s">
        <v>80</v>
      </c>
      <c r="M750" t="s">
        <v>22</v>
      </c>
      <c r="N750" t="s">
        <v>52</v>
      </c>
      <c r="O750" t="s">
        <v>24</v>
      </c>
      <c r="P750">
        <f>Tableau1_2[[#This Row],[Quantité]]*Tableau1_2[[#This Row],[Prix_Unitaire]]</f>
        <v>450000</v>
      </c>
      <c r="Q750">
        <f>Tableau1_2[[#This Row],[Quantité]]*Tableau1_2[[#This Row],[Coût_Unitaire]]</f>
        <v>370000</v>
      </c>
      <c r="R750">
        <f>Tableau1_2[[#This Row],[CA]]-Tableau1_2[[#This Row],[Cout Total]]</f>
        <v>80000</v>
      </c>
      <c r="S750" s="4">
        <f>Tableau1_2[[#This Row],[Marge]]/Tableau1_2[[#This Row],[CA]]</f>
        <v>0.17777777777777778</v>
      </c>
      <c r="T750" t="str">
        <f>TEXT(Tableau1_2[[#This Row],[Date]],"mmmm")</f>
        <v>août</v>
      </c>
    </row>
    <row r="751" spans="1:20" x14ac:dyDescent="0.35">
      <c r="A751" t="s">
        <v>1608</v>
      </c>
      <c r="B751" s="2">
        <v>46303</v>
      </c>
      <c r="C751" t="s">
        <v>1609</v>
      </c>
      <c r="D751" t="s">
        <v>1054</v>
      </c>
      <c r="E751" t="s">
        <v>190</v>
      </c>
      <c r="F751" t="s">
        <v>191</v>
      </c>
      <c r="G751" t="s">
        <v>28</v>
      </c>
      <c r="H751" t="s">
        <v>65</v>
      </c>
      <c r="I751">
        <v>10</v>
      </c>
      <c r="J751">
        <v>12600</v>
      </c>
      <c r="K751">
        <v>7300</v>
      </c>
      <c r="L751" t="s">
        <v>50</v>
      </c>
      <c r="M751" t="s">
        <v>37</v>
      </c>
      <c r="N751" t="s">
        <v>52</v>
      </c>
      <c r="O751" t="s">
        <v>24</v>
      </c>
      <c r="P751">
        <f>Tableau1_2[[#This Row],[Quantité]]*Tableau1_2[[#This Row],[Prix_Unitaire]]</f>
        <v>126000</v>
      </c>
      <c r="Q751">
        <f>Tableau1_2[[#This Row],[Quantité]]*Tableau1_2[[#This Row],[Coût_Unitaire]]</f>
        <v>73000</v>
      </c>
      <c r="R751">
        <f>Tableau1_2[[#This Row],[CA]]-Tableau1_2[[#This Row],[Cout Total]]</f>
        <v>53000</v>
      </c>
      <c r="S751" s="4">
        <f>Tableau1_2[[#This Row],[Marge]]/Tableau1_2[[#This Row],[CA]]</f>
        <v>0.42063492063492064</v>
      </c>
      <c r="T751" t="str">
        <f>TEXT(Tableau1_2[[#This Row],[Date]],"mmmm")</f>
        <v>octobre</v>
      </c>
    </row>
    <row r="752" spans="1:20" x14ac:dyDescent="0.35">
      <c r="A752" t="s">
        <v>1610</v>
      </c>
      <c r="B752" s="2">
        <v>46256</v>
      </c>
      <c r="C752" t="s">
        <v>1532</v>
      </c>
      <c r="D752" t="s">
        <v>1427</v>
      </c>
      <c r="E752" t="s">
        <v>70</v>
      </c>
      <c r="F752" t="s">
        <v>71</v>
      </c>
      <c r="G752" t="s">
        <v>34</v>
      </c>
      <c r="H752" t="s">
        <v>95</v>
      </c>
      <c r="I752">
        <v>3</v>
      </c>
      <c r="J752">
        <v>427500</v>
      </c>
      <c r="K752">
        <v>358900</v>
      </c>
      <c r="L752" t="s">
        <v>73</v>
      </c>
      <c r="M752" t="s">
        <v>51</v>
      </c>
      <c r="N752" t="s">
        <v>52</v>
      </c>
      <c r="O752" t="s">
        <v>45</v>
      </c>
      <c r="P752">
        <f>Tableau1_2[[#This Row],[Quantité]]*Tableau1_2[[#This Row],[Prix_Unitaire]]</f>
        <v>1282500</v>
      </c>
      <c r="Q752">
        <f>Tableau1_2[[#This Row],[Quantité]]*Tableau1_2[[#This Row],[Coût_Unitaire]]</f>
        <v>1076700</v>
      </c>
      <c r="R752">
        <f>Tableau1_2[[#This Row],[CA]]-Tableau1_2[[#This Row],[Cout Total]]</f>
        <v>205800</v>
      </c>
      <c r="S752" s="4">
        <f>Tableau1_2[[#This Row],[Marge]]/Tableau1_2[[#This Row],[CA]]</f>
        <v>0.16046783625730995</v>
      </c>
      <c r="T752" t="str">
        <f>TEXT(Tableau1_2[[#This Row],[Date]],"mmmm")</f>
        <v>août</v>
      </c>
    </row>
    <row r="753" spans="1:20" x14ac:dyDescent="0.35">
      <c r="A753" t="s">
        <v>1611</v>
      </c>
      <c r="B753" s="2">
        <v>46152</v>
      </c>
      <c r="C753" t="s">
        <v>1040</v>
      </c>
      <c r="D753" t="s">
        <v>1052</v>
      </c>
      <c r="E753" t="s">
        <v>77</v>
      </c>
      <c r="F753" t="s">
        <v>78</v>
      </c>
      <c r="G753" t="s">
        <v>34</v>
      </c>
      <c r="H753" t="s">
        <v>95</v>
      </c>
      <c r="I753">
        <v>6</v>
      </c>
      <c r="J753">
        <v>472500</v>
      </c>
      <c r="K753">
        <v>370000</v>
      </c>
      <c r="L753" t="s">
        <v>96</v>
      </c>
      <c r="M753" t="s">
        <v>22</v>
      </c>
      <c r="N753" t="s">
        <v>87</v>
      </c>
      <c r="O753" t="s">
        <v>24</v>
      </c>
      <c r="P753">
        <f>Tableau1_2[[#This Row],[Quantité]]*Tableau1_2[[#This Row],[Prix_Unitaire]]</f>
        <v>2835000</v>
      </c>
      <c r="Q753">
        <f>Tableau1_2[[#This Row],[Quantité]]*Tableau1_2[[#This Row],[Coût_Unitaire]]</f>
        <v>2220000</v>
      </c>
      <c r="R753">
        <f>Tableau1_2[[#This Row],[CA]]-Tableau1_2[[#This Row],[Cout Total]]</f>
        <v>615000</v>
      </c>
      <c r="S753" s="4">
        <f>Tableau1_2[[#This Row],[Marge]]/Tableau1_2[[#This Row],[CA]]</f>
        <v>0.21693121693121692</v>
      </c>
      <c r="T753" t="str">
        <f>TEXT(Tableau1_2[[#This Row],[Date]],"mmmm")</f>
        <v>mai</v>
      </c>
    </row>
    <row r="754" spans="1:20" x14ac:dyDescent="0.35">
      <c r="A754" t="s">
        <v>1612</v>
      </c>
      <c r="B754" s="2">
        <v>46290</v>
      </c>
      <c r="C754" t="s">
        <v>107</v>
      </c>
      <c r="D754" t="s">
        <v>1613</v>
      </c>
      <c r="E754" t="s">
        <v>18</v>
      </c>
      <c r="F754" t="s">
        <v>18</v>
      </c>
      <c r="G754" t="s">
        <v>34</v>
      </c>
      <c r="H754" t="s">
        <v>35</v>
      </c>
      <c r="I754">
        <v>9</v>
      </c>
      <c r="J754">
        <v>55000</v>
      </c>
      <c r="K754">
        <v>37800</v>
      </c>
      <c r="L754" t="s">
        <v>96</v>
      </c>
      <c r="M754" t="s">
        <v>51</v>
      </c>
      <c r="N754" t="s">
        <v>87</v>
      </c>
      <c r="O754" t="s">
        <v>91</v>
      </c>
      <c r="P754">
        <f>Tableau1_2[[#This Row],[Quantité]]*Tableau1_2[[#This Row],[Prix_Unitaire]]</f>
        <v>495000</v>
      </c>
      <c r="Q754">
        <f>Tableau1_2[[#This Row],[Quantité]]*Tableau1_2[[#This Row],[Coût_Unitaire]]</f>
        <v>340200</v>
      </c>
      <c r="R754">
        <f>Tableau1_2[[#This Row],[CA]]-Tableau1_2[[#This Row],[Cout Total]]</f>
        <v>154800</v>
      </c>
      <c r="S754" s="4">
        <f>Tableau1_2[[#This Row],[Marge]]/Tableau1_2[[#This Row],[CA]]</f>
        <v>0.31272727272727274</v>
      </c>
      <c r="T754" t="str">
        <f>TEXT(Tableau1_2[[#This Row],[Date]],"mmmm")</f>
        <v>septembre</v>
      </c>
    </row>
    <row r="755" spans="1:20" x14ac:dyDescent="0.35">
      <c r="A755" t="s">
        <v>1614</v>
      </c>
      <c r="B755" s="2">
        <v>46361</v>
      </c>
      <c r="C755" t="s">
        <v>877</v>
      </c>
      <c r="D755" t="s">
        <v>94</v>
      </c>
      <c r="E755" t="s">
        <v>56</v>
      </c>
      <c r="F755" t="s">
        <v>57</v>
      </c>
      <c r="G755" t="s">
        <v>19</v>
      </c>
      <c r="H755" t="s">
        <v>20</v>
      </c>
      <c r="I755">
        <v>8</v>
      </c>
      <c r="J755">
        <v>65000</v>
      </c>
      <c r="K755">
        <v>45000</v>
      </c>
      <c r="L755" t="s">
        <v>96</v>
      </c>
      <c r="M755" t="s">
        <v>51</v>
      </c>
      <c r="N755" t="s">
        <v>23</v>
      </c>
      <c r="O755" t="s">
        <v>24</v>
      </c>
      <c r="P755">
        <f>Tableau1_2[[#This Row],[Quantité]]*Tableau1_2[[#This Row],[Prix_Unitaire]]</f>
        <v>520000</v>
      </c>
      <c r="Q755">
        <f>Tableau1_2[[#This Row],[Quantité]]*Tableau1_2[[#This Row],[Coût_Unitaire]]</f>
        <v>360000</v>
      </c>
      <c r="R755">
        <f>Tableau1_2[[#This Row],[CA]]-Tableau1_2[[#This Row],[Cout Total]]</f>
        <v>160000</v>
      </c>
      <c r="S755" s="4">
        <f>Tableau1_2[[#This Row],[Marge]]/Tableau1_2[[#This Row],[CA]]</f>
        <v>0.30769230769230771</v>
      </c>
      <c r="T755" t="str">
        <f>TEXT(Tableau1_2[[#This Row],[Date]],"mmmm")</f>
        <v>décembre</v>
      </c>
    </row>
    <row r="756" spans="1:20" x14ac:dyDescent="0.35">
      <c r="A756" t="s">
        <v>1615</v>
      </c>
      <c r="B756" s="2">
        <v>46257</v>
      </c>
      <c r="C756" t="s">
        <v>580</v>
      </c>
      <c r="D756" t="s">
        <v>362</v>
      </c>
      <c r="E756" t="s">
        <v>70</v>
      </c>
      <c r="F756" t="s">
        <v>71</v>
      </c>
      <c r="G756" t="s">
        <v>43</v>
      </c>
      <c r="H756" t="s">
        <v>177</v>
      </c>
      <c r="I756">
        <v>1</v>
      </c>
      <c r="J756">
        <v>18900</v>
      </c>
      <c r="K756">
        <v>12900</v>
      </c>
      <c r="L756" t="s">
        <v>73</v>
      </c>
      <c r="M756" t="s">
        <v>37</v>
      </c>
      <c r="N756" t="s">
        <v>52</v>
      </c>
      <c r="O756" t="s">
        <v>24</v>
      </c>
      <c r="P756">
        <f>Tableau1_2[[#This Row],[Quantité]]*Tableau1_2[[#This Row],[Prix_Unitaire]]</f>
        <v>18900</v>
      </c>
      <c r="Q756">
        <f>Tableau1_2[[#This Row],[Quantité]]*Tableau1_2[[#This Row],[Coût_Unitaire]]</f>
        <v>12900</v>
      </c>
      <c r="R756">
        <f>Tableau1_2[[#This Row],[CA]]-Tableau1_2[[#This Row],[Cout Total]]</f>
        <v>6000</v>
      </c>
      <c r="S756" s="4">
        <f>Tableau1_2[[#This Row],[Marge]]/Tableau1_2[[#This Row],[CA]]</f>
        <v>0.31746031746031744</v>
      </c>
      <c r="T756" t="str">
        <f>TEXT(Tableau1_2[[#This Row],[Date]],"mmmm")</f>
        <v>août</v>
      </c>
    </row>
    <row r="757" spans="1:20" x14ac:dyDescent="0.35">
      <c r="A757" t="s">
        <v>1616</v>
      </c>
      <c r="B757" s="2">
        <v>46093</v>
      </c>
      <c r="C757" t="s">
        <v>1617</v>
      </c>
      <c r="D757" t="s">
        <v>297</v>
      </c>
      <c r="E757" t="s">
        <v>77</v>
      </c>
      <c r="F757" t="s">
        <v>78</v>
      </c>
      <c r="G757" t="s">
        <v>28</v>
      </c>
      <c r="H757" t="s">
        <v>131</v>
      </c>
      <c r="I757">
        <v>3</v>
      </c>
      <c r="J757">
        <v>28500</v>
      </c>
      <c r="K757">
        <v>19600</v>
      </c>
      <c r="L757" t="s">
        <v>21</v>
      </c>
      <c r="M757" t="s">
        <v>22</v>
      </c>
      <c r="N757" t="s">
        <v>87</v>
      </c>
      <c r="O757" t="s">
        <v>24</v>
      </c>
      <c r="P757">
        <f>Tableau1_2[[#This Row],[Quantité]]*Tableau1_2[[#This Row],[Prix_Unitaire]]</f>
        <v>85500</v>
      </c>
      <c r="Q757">
        <f>Tableau1_2[[#This Row],[Quantité]]*Tableau1_2[[#This Row],[Coût_Unitaire]]</f>
        <v>58800</v>
      </c>
      <c r="R757">
        <f>Tableau1_2[[#This Row],[CA]]-Tableau1_2[[#This Row],[Cout Total]]</f>
        <v>26700</v>
      </c>
      <c r="S757" s="4">
        <f>Tableau1_2[[#This Row],[Marge]]/Tableau1_2[[#This Row],[CA]]</f>
        <v>0.31228070175438599</v>
      </c>
      <c r="T757" t="str">
        <f>TEXT(Tableau1_2[[#This Row],[Date]],"mmmm")</f>
        <v>mars</v>
      </c>
    </row>
    <row r="758" spans="1:20" x14ac:dyDescent="0.35">
      <c r="A758" t="s">
        <v>1618</v>
      </c>
      <c r="B758" s="2">
        <v>46360</v>
      </c>
      <c r="C758" t="s">
        <v>1064</v>
      </c>
      <c r="D758" t="s">
        <v>1104</v>
      </c>
      <c r="E758" t="s">
        <v>56</v>
      </c>
      <c r="F758" t="s">
        <v>57</v>
      </c>
      <c r="G758" t="s">
        <v>34</v>
      </c>
      <c r="H758" t="s">
        <v>95</v>
      </c>
      <c r="I758">
        <v>9</v>
      </c>
      <c r="J758">
        <v>450000</v>
      </c>
      <c r="K758">
        <v>370000</v>
      </c>
      <c r="L758" t="s">
        <v>21</v>
      </c>
      <c r="M758" t="s">
        <v>37</v>
      </c>
      <c r="N758" t="s">
        <v>87</v>
      </c>
      <c r="O758" t="s">
        <v>91</v>
      </c>
      <c r="P758">
        <f>Tableau1_2[[#This Row],[Quantité]]*Tableau1_2[[#This Row],[Prix_Unitaire]]</f>
        <v>4050000</v>
      </c>
      <c r="Q758">
        <f>Tableau1_2[[#This Row],[Quantité]]*Tableau1_2[[#This Row],[Coût_Unitaire]]</f>
        <v>3330000</v>
      </c>
      <c r="R758">
        <f>Tableau1_2[[#This Row],[CA]]-Tableau1_2[[#This Row],[Cout Total]]</f>
        <v>720000</v>
      </c>
      <c r="S758" s="4">
        <f>Tableau1_2[[#This Row],[Marge]]/Tableau1_2[[#This Row],[CA]]</f>
        <v>0.17777777777777778</v>
      </c>
      <c r="T758" t="str">
        <f>TEXT(Tableau1_2[[#This Row],[Date]],"mmmm")</f>
        <v>décembre</v>
      </c>
    </row>
    <row r="759" spans="1:20" x14ac:dyDescent="0.35">
      <c r="A759" t="s">
        <v>1619</v>
      </c>
      <c r="B759" s="2">
        <v>46139</v>
      </c>
      <c r="C759" t="s">
        <v>1620</v>
      </c>
      <c r="D759" t="s">
        <v>950</v>
      </c>
      <c r="E759" t="s">
        <v>18</v>
      </c>
      <c r="F759" t="s">
        <v>18</v>
      </c>
      <c r="G759" t="s">
        <v>43</v>
      </c>
      <c r="H759" t="s">
        <v>79</v>
      </c>
      <c r="I759">
        <v>10</v>
      </c>
      <c r="J759">
        <v>5700</v>
      </c>
      <c r="K759">
        <v>4200</v>
      </c>
      <c r="L759" t="s">
        <v>21</v>
      </c>
      <c r="M759" t="s">
        <v>22</v>
      </c>
      <c r="N759" t="s">
        <v>87</v>
      </c>
      <c r="O759" t="s">
        <v>91</v>
      </c>
      <c r="P759">
        <f>Tableau1_2[[#This Row],[Quantité]]*Tableau1_2[[#This Row],[Prix_Unitaire]]</f>
        <v>57000</v>
      </c>
      <c r="Q759">
        <f>Tableau1_2[[#This Row],[Quantité]]*Tableau1_2[[#This Row],[Coût_Unitaire]]</f>
        <v>42000</v>
      </c>
      <c r="R759">
        <f>Tableau1_2[[#This Row],[CA]]-Tableau1_2[[#This Row],[Cout Total]]</f>
        <v>15000</v>
      </c>
      <c r="S759" s="4">
        <f>Tableau1_2[[#This Row],[Marge]]/Tableau1_2[[#This Row],[CA]]</f>
        <v>0.26315789473684209</v>
      </c>
      <c r="T759" t="str">
        <f>TEXT(Tableau1_2[[#This Row],[Date]],"mmmm")</f>
        <v>avril</v>
      </c>
    </row>
    <row r="760" spans="1:20" x14ac:dyDescent="0.35">
      <c r="A760" t="s">
        <v>1621</v>
      </c>
      <c r="B760" s="2">
        <v>46210</v>
      </c>
      <c r="C760" t="s">
        <v>1465</v>
      </c>
      <c r="D760" t="s">
        <v>1292</v>
      </c>
      <c r="E760" t="s">
        <v>41</v>
      </c>
      <c r="F760" t="s">
        <v>42</v>
      </c>
      <c r="G760" t="s">
        <v>34</v>
      </c>
      <c r="H760" t="s">
        <v>95</v>
      </c>
      <c r="I760">
        <v>4</v>
      </c>
      <c r="J760">
        <v>450000</v>
      </c>
      <c r="K760">
        <v>381100</v>
      </c>
      <c r="L760" t="s">
        <v>80</v>
      </c>
      <c r="M760" t="s">
        <v>51</v>
      </c>
      <c r="N760" t="s">
        <v>52</v>
      </c>
      <c r="O760" t="s">
        <v>24</v>
      </c>
      <c r="P760">
        <f>Tableau1_2[[#This Row],[Quantité]]*Tableau1_2[[#This Row],[Prix_Unitaire]]</f>
        <v>1800000</v>
      </c>
      <c r="Q760">
        <f>Tableau1_2[[#This Row],[Quantité]]*Tableau1_2[[#This Row],[Coût_Unitaire]]</f>
        <v>1524400</v>
      </c>
      <c r="R760">
        <f>Tableau1_2[[#This Row],[CA]]-Tableau1_2[[#This Row],[Cout Total]]</f>
        <v>275600</v>
      </c>
      <c r="S760" s="4">
        <f>Tableau1_2[[#This Row],[Marge]]/Tableau1_2[[#This Row],[CA]]</f>
        <v>0.15311111111111111</v>
      </c>
      <c r="T760" t="str">
        <f>TEXT(Tableau1_2[[#This Row],[Date]],"mmmm")</f>
        <v>juillet</v>
      </c>
    </row>
    <row r="761" spans="1:20" x14ac:dyDescent="0.35">
      <c r="A761" t="s">
        <v>1622</v>
      </c>
      <c r="B761" s="2">
        <v>46364</v>
      </c>
      <c r="C761" t="s">
        <v>275</v>
      </c>
      <c r="D761" t="s">
        <v>540</v>
      </c>
      <c r="E761" t="s">
        <v>18</v>
      </c>
      <c r="F761" t="s">
        <v>18</v>
      </c>
      <c r="G761" t="s">
        <v>34</v>
      </c>
      <c r="H761" t="s">
        <v>86</v>
      </c>
      <c r="I761">
        <v>3</v>
      </c>
      <c r="J761">
        <v>171000</v>
      </c>
      <c r="K761">
        <v>131000</v>
      </c>
      <c r="L761" t="s">
        <v>21</v>
      </c>
      <c r="M761" t="s">
        <v>22</v>
      </c>
      <c r="N761" t="s">
        <v>52</v>
      </c>
      <c r="O761" t="s">
        <v>24</v>
      </c>
      <c r="P761">
        <f>Tableau1_2[[#This Row],[Quantité]]*Tableau1_2[[#This Row],[Prix_Unitaire]]</f>
        <v>513000</v>
      </c>
      <c r="Q761">
        <f>Tableau1_2[[#This Row],[Quantité]]*Tableau1_2[[#This Row],[Coût_Unitaire]]</f>
        <v>393000</v>
      </c>
      <c r="R761">
        <f>Tableau1_2[[#This Row],[CA]]-Tableau1_2[[#This Row],[Cout Total]]</f>
        <v>120000</v>
      </c>
      <c r="S761" s="4">
        <f>Tableau1_2[[#This Row],[Marge]]/Tableau1_2[[#This Row],[CA]]</f>
        <v>0.23391812865497075</v>
      </c>
      <c r="T761" t="str">
        <f>TEXT(Tableau1_2[[#This Row],[Date]],"mmmm")</f>
        <v>décembre</v>
      </c>
    </row>
    <row r="762" spans="1:20" x14ac:dyDescent="0.35">
      <c r="A762" t="s">
        <v>1623</v>
      </c>
      <c r="B762" s="2">
        <v>46303</v>
      </c>
      <c r="C762" t="s">
        <v>234</v>
      </c>
      <c r="D762" t="s">
        <v>1299</v>
      </c>
      <c r="E762" t="s">
        <v>70</v>
      </c>
      <c r="F762" t="s">
        <v>71</v>
      </c>
      <c r="G762" t="s">
        <v>28</v>
      </c>
      <c r="H762" t="s">
        <v>29</v>
      </c>
      <c r="I762">
        <v>2</v>
      </c>
      <c r="J762">
        <v>6600</v>
      </c>
      <c r="K762">
        <v>4100</v>
      </c>
      <c r="L762" t="s">
        <v>73</v>
      </c>
      <c r="M762" t="s">
        <v>37</v>
      </c>
      <c r="N762" t="s">
        <v>23</v>
      </c>
      <c r="O762" t="s">
        <v>24</v>
      </c>
      <c r="P762">
        <f>Tableau1_2[[#This Row],[Quantité]]*Tableau1_2[[#This Row],[Prix_Unitaire]]</f>
        <v>13200</v>
      </c>
      <c r="Q762">
        <f>Tableau1_2[[#This Row],[Quantité]]*Tableau1_2[[#This Row],[Coût_Unitaire]]</f>
        <v>8200</v>
      </c>
      <c r="R762">
        <f>Tableau1_2[[#This Row],[CA]]-Tableau1_2[[#This Row],[Cout Total]]</f>
        <v>5000</v>
      </c>
      <c r="S762" s="4">
        <f>Tableau1_2[[#This Row],[Marge]]/Tableau1_2[[#This Row],[CA]]</f>
        <v>0.37878787878787878</v>
      </c>
      <c r="T762" t="str">
        <f>TEXT(Tableau1_2[[#This Row],[Date]],"mmmm")</f>
        <v>octobre</v>
      </c>
    </row>
    <row r="763" spans="1:20" x14ac:dyDescent="0.35">
      <c r="A763" t="s">
        <v>1624</v>
      </c>
      <c r="B763" s="2">
        <v>46114</v>
      </c>
      <c r="C763" t="s">
        <v>1414</v>
      </c>
      <c r="D763" t="s">
        <v>872</v>
      </c>
      <c r="E763" t="s">
        <v>18</v>
      </c>
      <c r="F763" t="s">
        <v>18</v>
      </c>
      <c r="G763" t="s">
        <v>43</v>
      </c>
      <c r="H763" t="s">
        <v>162</v>
      </c>
      <c r="I763">
        <v>10</v>
      </c>
      <c r="J763">
        <v>8000</v>
      </c>
      <c r="K763">
        <v>5200</v>
      </c>
      <c r="L763" t="s">
        <v>30</v>
      </c>
      <c r="M763" t="s">
        <v>31</v>
      </c>
      <c r="N763" t="s">
        <v>23</v>
      </c>
      <c r="O763" t="s">
        <v>24</v>
      </c>
      <c r="P763">
        <f>Tableau1_2[[#This Row],[Quantité]]*Tableau1_2[[#This Row],[Prix_Unitaire]]</f>
        <v>80000</v>
      </c>
      <c r="Q763">
        <f>Tableau1_2[[#This Row],[Quantité]]*Tableau1_2[[#This Row],[Coût_Unitaire]]</f>
        <v>52000</v>
      </c>
      <c r="R763">
        <f>Tableau1_2[[#This Row],[CA]]-Tableau1_2[[#This Row],[Cout Total]]</f>
        <v>28000</v>
      </c>
      <c r="S763" s="4">
        <f>Tableau1_2[[#This Row],[Marge]]/Tableau1_2[[#This Row],[CA]]</f>
        <v>0.35</v>
      </c>
      <c r="T763" t="str">
        <f>TEXT(Tableau1_2[[#This Row],[Date]],"mmmm")</f>
        <v>avril</v>
      </c>
    </row>
    <row r="764" spans="1:20" x14ac:dyDescent="0.35">
      <c r="A764" t="s">
        <v>1625</v>
      </c>
      <c r="B764" s="2">
        <v>46069</v>
      </c>
      <c r="C764" t="s">
        <v>1226</v>
      </c>
      <c r="D764" t="s">
        <v>1604</v>
      </c>
      <c r="E764" t="s">
        <v>18</v>
      </c>
      <c r="F764" t="s">
        <v>18</v>
      </c>
      <c r="G764" t="s">
        <v>28</v>
      </c>
      <c r="H764" t="s">
        <v>65</v>
      </c>
      <c r="I764">
        <v>3</v>
      </c>
      <c r="J764">
        <v>12600</v>
      </c>
      <c r="K764">
        <v>7500</v>
      </c>
      <c r="L764" t="s">
        <v>80</v>
      </c>
      <c r="M764" t="s">
        <v>37</v>
      </c>
      <c r="N764" t="s">
        <v>23</v>
      </c>
      <c r="O764" t="s">
        <v>24</v>
      </c>
      <c r="P764">
        <f>Tableau1_2[[#This Row],[Quantité]]*Tableau1_2[[#This Row],[Prix_Unitaire]]</f>
        <v>37800</v>
      </c>
      <c r="Q764">
        <f>Tableau1_2[[#This Row],[Quantité]]*Tableau1_2[[#This Row],[Coût_Unitaire]]</f>
        <v>22500</v>
      </c>
      <c r="R764">
        <f>Tableau1_2[[#This Row],[CA]]-Tableau1_2[[#This Row],[Cout Total]]</f>
        <v>15300</v>
      </c>
      <c r="S764" s="4">
        <f>Tableau1_2[[#This Row],[Marge]]/Tableau1_2[[#This Row],[CA]]</f>
        <v>0.40476190476190477</v>
      </c>
      <c r="T764" t="str">
        <f>TEXT(Tableau1_2[[#This Row],[Date]],"mmmm")</f>
        <v>février</v>
      </c>
    </row>
    <row r="765" spans="1:20" x14ac:dyDescent="0.35">
      <c r="A765" t="s">
        <v>1626</v>
      </c>
      <c r="B765" s="2">
        <v>46067</v>
      </c>
      <c r="C765" t="s">
        <v>612</v>
      </c>
      <c r="D765" t="s">
        <v>262</v>
      </c>
      <c r="E765" t="s">
        <v>77</v>
      </c>
      <c r="F765" t="s">
        <v>78</v>
      </c>
      <c r="G765" t="s">
        <v>34</v>
      </c>
      <c r="H765" t="s">
        <v>141</v>
      </c>
      <c r="I765">
        <v>2</v>
      </c>
      <c r="J765">
        <v>160000</v>
      </c>
      <c r="K765">
        <v>123600</v>
      </c>
      <c r="L765" t="s">
        <v>80</v>
      </c>
      <c r="M765" t="s">
        <v>51</v>
      </c>
      <c r="N765" t="s">
        <v>52</v>
      </c>
      <c r="O765" t="s">
        <v>45</v>
      </c>
      <c r="P765">
        <f>Tableau1_2[[#This Row],[Quantité]]*Tableau1_2[[#This Row],[Prix_Unitaire]]</f>
        <v>320000</v>
      </c>
      <c r="Q765">
        <f>Tableau1_2[[#This Row],[Quantité]]*Tableau1_2[[#This Row],[Coût_Unitaire]]</f>
        <v>247200</v>
      </c>
      <c r="R765">
        <f>Tableau1_2[[#This Row],[CA]]-Tableau1_2[[#This Row],[Cout Total]]</f>
        <v>72800</v>
      </c>
      <c r="S765" s="4">
        <f>Tableau1_2[[#This Row],[Marge]]/Tableau1_2[[#This Row],[CA]]</f>
        <v>0.22750000000000001</v>
      </c>
      <c r="T765" t="str">
        <f>TEXT(Tableau1_2[[#This Row],[Date]],"mmmm")</f>
        <v>février</v>
      </c>
    </row>
    <row r="766" spans="1:20" x14ac:dyDescent="0.35">
      <c r="A766" t="s">
        <v>1627</v>
      </c>
      <c r="B766" s="2">
        <v>46144</v>
      </c>
      <c r="C766" t="s">
        <v>151</v>
      </c>
      <c r="D766" t="s">
        <v>1628</v>
      </c>
      <c r="E766" t="s">
        <v>18</v>
      </c>
      <c r="F766" t="s">
        <v>18</v>
      </c>
      <c r="G766" t="s">
        <v>43</v>
      </c>
      <c r="H766" t="s">
        <v>162</v>
      </c>
      <c r="I766">
        <v>7</v>
      </c>
      <c r="J766">
        <v>8000</v>
      </c>
      <c r="K766">
        <v>5200</v>
      </c>
      <c r="L766" t="s">
        <v>73</v>
      </c>
      <c r="M766" t="s">
        <v>31</v>
      </c>
      <c r="N766" t="s">
        <v>87</v>
      </c>
      <c r="O766" t="s">
        <v>24</v>
      </c>
      <c r="P766">
        <f>Tableau1_2[[#This Row],[Quantité]]*Tableau1_2[[#This Row],[Prix_Unitaire]]</f>
        <v>56000</v>
      </c>
      <c r="Q766">
        <f>Tableau1_2[[#This Row],[Quantité]]*Tableau1_2[[#This Row],[Coût_Unitaire]]</f>
        <v>36400</v>
      </c>
      <c r="R766">
        <f>Tableau1_2[[#This Row],[CA]]-Tableau1_2[[#This Row],[Cout Total]]</f>
        <v>19600</v>
      </c>
      <c r="S766" s="4">
        <f>Tableau1_2[[#This Row],[Marge]]/Tableau1_2[[#This Row],[CA]]</f>
        <v>0.35</v>
      </c>
      <c r="T766" t="str">
        <f>TEXT(Tableau1_2[[#This Row],[Date]],"mmmm")</f>
        <v>mai</v>
      </c>
    </row>
    <row r="767" spans="1:20" x14ac:dyDescent="0.35">
      <c r="A767" t="s">
        <v>1629</v>
      </c>
      <c r="B767" s="2">
        <v>46145</v>
      </c>
      <c r="C767" t="s">
        <v>148</v>
      </c>
      <c r="D767" t="s">
        <v>17</v>
      </c>
      <c r="E767" t="s">
        <v>18</v>
      </c>
      <c r="F767" t="s">
        <v>18</v>
      </c>
      <c r="G767" t="s">
        <v>28</v>
      </c>
      <c r="H767" t="s">
        <v>248</v>
      </c>
      <c r="I767">
        <v>1</v>
      </c>
      <c r="J767">
        <v>26200</v>
      </c>
      <c r="K767">
        <v>16000</v>
      </c>
      <c r="L767" t="s">
        <v>73</v>
      </c>
      <c r="M767" t="s">
        <v>51</v>
      </c>
      <c r="N767" t="s">
        <v>87</v>
      </c>
      <c r="O767" t="s">
        <v>45</v>
      </c>
      <c r="P767">
        <f>Tableau1_2[[#This Row],[Quantité]]*Tableau1_2[[#This Row],[Prix_Unitaire]]</f>
        <v>26200</v>
      </c>
      <c r="Q767">
        <f>Tableau1_2[[#This Row],[Quantité]]*Tableau1_2[[#This Row],[Coût_Unitaire]]</f>
        <v>16000</v>
      </c>
      <c r="R767">
        <f>Tableau1_2[[#This Row],[CA]]-Tableau1_2[[#This Row],[Cout Total]]</f>
        <v>10200</v>
      </c>
      <c r="S767" s="4">
        <f>Tableau1_2[[#This Row],[Marge]]/Tableau1_2[[#This Row],[CA]]</f>
        <v>0.38931297709923662</v>
      </c>
      <c r="T767" t="str">
        <f>TEXT(Tableau1_2[[#This Row],[Date]],"mmmm")</f>
        <v>mai</v>
      </c>
    </row>
    <row r="768" spans="1:20" x14ac:dyDescent="0.35">
      <c r="A768" t="s">
        <v>1631</v>
      </c>
      <c r="B768" s="2">
        <v>46168</v>
      </c>
      <c r="C768" t="s">
        <v>1632</v>
      </c>
      <c r="D768" t="s">
        <v>1633</v>
      </c>
      <c r="E768" t="s">
        <v>18</v>
      </c>
      <c r="F768" t="s">
        <v>18</v>
      </c>
      <c r="G768" t="s">
        <v>28</v>
      </c>
      <c r="H768" t="s">
        <v>72</v>
      </c>
      <c r="I768">
        <v>2</v>
      </c>
      <c r="J768">
        <v>10500</v>
      </c>
      <c r="K768">
        <v>6200</v>
      </c>
      <c r="L768" t="s">
        <v>66</v>
      </c>
      <c r="M768" t="s">
        <v>22</v>
      </c>
      <c r="N768" t="s">
        <v>23</v>
      </c>
      <c r="O768" t="s">
        <v>24</v>
      </c>
      <c r="P768">
        <f>Tableau1_2[[#This Row],[Quantité]]*Tableau1_2[[#This Row],[Prix_Unitaire]]</f>
        <v>21000</v>
      </c>
      <c r="Q768">
        <f>Tableau1_2[[#This Row],[Quantité]]*Tableau1_2[[#This Row],[Coût_Unitaire]]</f>
        <v>12400</v>
      </c>
      <c r="R768">
        <f>Tableau1_2[[#This Row],[CA]]-Tableau1_2[[#This Row],[Cout Total]]</f>
        <v>8600</v>
      </c>
      <c r="S768" s="4">
        <f>Tableau1_2[[#This Row],[Marge]]/Tableau1_2[[#This Row],[CA]]</f>
        <v>0.40952380952380951</v>
      </c>
      <c r="T768" t="str">
        <f>TEXT(Tableau1_2[[#This Row],[Date]],"mmmm")</f>
        <v>mai</v>
      </c>
    </row>
    <row r="769" spans="1:20" x14ac:dyDescent="0.35">
      <c r="A769" t="s">
        <v>1634</v>
      </c>
      <c r="B769" s="2">
        <v>46094</v>
      </c>
      <c r="C769" t="s">
        <v>518</v>
      </c>
      <c r="D769" t="s">
        <v>1635</v>
      </c>
      <c r="E769" t="s">
        <v>18</v>
      </c>
      <c r="F769" t="s">
        <v>18</v>
      </c>
      <c r="G769" t="s">
        <v>28</v>
      </c>
      <c r="H769" t="s">
        <v>248</v>
      </c>
      <c r="I769">
        <v>8</v>
      </c>
      <c r="J769">
        <v>23800</v>
      </c>
      <c r="K769">
        <v>16500</v>
      </c>
      <c r="L769" t="s">
        <v>73</v>
      </c>
      <c r="M769" t="s">
        <v>37</v>
      </c>
      <c r="N769" t="s">
        <v>23</v>
      </c>
      <c r="O769" t="s">
        <v>24</v>
      </c>
      <c r="P769">
        <f>Tableau1_2[[#This Row],[Quantité]]*Tableau1_2[[#This Row],[Prix_Unitaire]]</f>
        <v>190400</v>
      </c>
      <c r="Q769">
        <f>Tableau1_2[[#This Row],[Quantité]]*Tableau1_2[[#This Row],[Coût_Unitaire]]</f>
        <v>132000</v>
      </c>
      <c r="R769">
        <f>Tableau1_2[[#This Row],[CA]]-Tableau1_2[[#This Row],[Cout Total]]</f>
        <v>58400</v>
      </c>
      <c r="S769" s="4">
        <f>Tableau1_2[[#This Row],[Marge]]/Tableau1_2[[#This Row],[CA]]</f>
        <v>0.30672268907563027</v>
      </c>
      <c r="T769" t="str">
        <f>TEXT(Tableau1_2[[#This Row],[Date]],"mmmm")</f>
        <v>mars</v>
      </c>
    </row>
    <row r="770" spans="1:20" x14ac:dyDescent="0.35">
      <c r="A770" t="s">
        <v>1636</v>
      </c>
      <c r="B770" s="2">
        <v>46184</v>
      </c>
      <c r="C770" t="s">
        <v>896</v>
      </c>
      <c r="D770" t="s">
        <v>1179</v>
      </c>
      <c r="E770" t="s">
        <v>70</v>
      </c>
      <c r="F770" t="s">
        <v>71</v>
      </c>
      <c r="G770" t="s">
        <v>19</v>
      </c>
      <c r="H770" t="s">
        <v>61</v>
      </c>
      <c r="I770">
        <v>2</v>
      </c>
      <c r="J770">
        <v>209000</v>
      </c>
      <c r="K770">
        <v>164800</v>
      </c>
      <c r="L770" t="s">
        <v>50</v>
      </c>
      <c r="M770" t="s">
        <v>22</v>
      </c>
      <c r="N770" t="s">
        <v>23</v>
      </c>
      <c r="O770" t="s">
        <v>24</v>
      </c>
      <c r="P770">
        <f>Tableau1_2[[#This Row],[Quantité]]*Tableau1_2[[#This Row],[Prix_Unitaire]]</f>
        <v>418000</v>
      </c>
      <c r="Q770">
        <f>Tableau1_2[[#This Row],[Quantité]]*Tableau1_2[[#This Row],[Coût_Unitaire]]</f>
        <v>329600</v>
      </c>
      <c r="R770">
        <f>Tableau1_2[[#This Row],[CA]]-Tableau1_2[[#This Row],[Cout Total]]</f>
        <v>88400</v>
      </c>
      <c r="S770" s="4">
        <f>Tableau1_2[[#This Row],[Marge]]/Tableau1_2[[#This Row],[CA]]</f>
        <v>0.21148325358851675</v>
      </c>
      <c r="T770" t="str">
        <f>TEXT(Tableau1_2[[#This Row],[Date]],"mmmm")</f>
        <v>juin</v>
      </c>
    </row>
    <row r="771" spans="1:20" x14ac:dyDescent="0.35">
      <c r="A771" t="s">
        <v>1637</v>
      </c>
      <c r="B771" s="2">
        <v>46140</v>
      </c>
      <c r="C771" t="s">
        <v>783</v>
      </c>
      <c r="D771" t="s">
        <v>1638</v>
      </c>
      <c r="E771" t="s">
        <v>56</v>
      </c>
      <c r="F771" t="s">
        <v>57</v>
      </c>
      <c r="G771" t="s">
        <v>43</v>
      </c>
      <c r="H771" t="s">
        <v>79</v>
      </c>
      <c r="I771">
        <v>4</v>
      </c>
      <c r="J771">
        <v>6000</v>
      </c>
      <c r="K771">
        <v>4200</v>
      </c>
      <c r="L771" t="s">
        <v>21</v>
      </c>
      <c r="M771" t="s">
        <v>37</v>
      </c>
      <c r="N771" t="s">
        <v>87</v>
      </c>
      <c r="O771" t="s">
        <v>24</v>
      </c>
      <c r="P771">
        <f>Tableau1_2[[#This Row],[Quantité]]*Tableau1_2[[#This Row],[Prix_Unitaire]]</f>
        <v>24000</v>
      </c>
      <c r="Q771">
        <f>Tableau1_2[[#This Row],[Quantité]]*Tableau1_2[[#This Row],[Coût_Unitaire]]</f>
        <v>16800</v>
      </c>
      <c r="R771">
        <f>Tableau1_2[[#This Row],[CA]]-Tableau1_2[[#This Row],[Cout Total]]</f>
        <v>7200</v>
      </c>
      <c r="S771" s="4">
        <f>Tableau1_2[[#This Row],[Marge]]/Tableau1_2[[#This Row],[CA]]</f>
        <v>0.3</v>
      </c>
      <c r="T771" t="str">
        <f>TEXT(Tableau1_2[[#This Row],[Date]],"mmmm")</f>
        <v>avril</v>
      </c>
    </row>
    <row r="772" spans="1:20" x14ac:dyDescent="0.35">
      <c r="A772" t="s">
        <v>1639</v>
      </c>
      <c r="B772" s="2">
        <v>46101</v>
      </c>
      <c r="C772" t="s">
        <v>101</v>
      </c>
      <c r="D772" t="s">
        <v>519</v>
      </c>
      <c r="E772" t="s">
        <v>18</v>
      </c>
      <c r="F772" t="s">
        <v>18</v>
      </c>
      <c r="G772" t="s">
        <v>34</v>
      </c>
      <c r="H772" t="s">
        <v>95</v>
      </c>
      <c r="I772">
        <v>7</v>
      </c>
      <c r="J772">
        <v>450000</v>
      </c>
      <c r="K772">
        <v>370000</v>
      </c>
      <c r="L772" t="s">
        <v>80</v>
      </c>
      <c r="M772" t="s">
        <v>22</v>
      </c>
      <c r="N772" t="s">
        <v>52</v>
      </c>
      <c r="O772" t="s">
        <v>24</v>
      </c>
      <c r="P772">
        <f>Tableau1_2[[#This Row],[Quantité]]*Tableau1_2[[#This Row],[Prix_Unitaire]]</f>
        <v>3150000</v>
      </c>
      <c r="Q772">
        <f>Tableau1_2[[#This Row],[Quantité]]*Tableau1_2[[#This Row],[Coût_Unitaire]]</f>
        <v>2590000</v>
      </c>
      <c r="R772">
        <f>Tableau1_2[[#This Row],[CA]]-Tableau1_2[[#This Row],[Cout Total]]</f>
        <v>560000</v>
      </c>
      <c r="S772" s="4">
        <f>Tableau1_2[[#This Row],[Marge]]/Tableau1_2[[#This Row],[CA]]</f>
        <v>0.17777777777777778</v>
      </c>
      <c r="T772" t="str">
        <f>TEXT(Tableau1_2[[#This Row],[Date]],"mmmm")</f>
        <v>mars</v>
      </c>
    </row>
    <row r="773" spans="1:20" x14ac:dyDescent="0.35">
      <c r="A773" t="s">
        <v>1640</v>
      </c>
      <c r="B773" s="2">
        <v>46340</v>
      </c>
      <c r="C773" t="s">
        <v>1379</v>
      </c>
      <c r="D773" t="s">
        <v>1091</v>
      </c>
      <c r="E773" t="s">
        <v>18</v>
      </c>
      <c r="F773" t="s">
        <v>18</v>
      </c>
      <c r="G773" t="s">
        <v>34</v>
      </c>
      <c r="H773" t="s">
        <v>86</v>
      </c>
      <c r="I773">
        <v>4</v>
      </c>
      <c r="J773">
        <v>180000</v>
      </c>
      <c r="K773">
        <v>135000</v>
      </c>
      <c r="L773" t="s">
        <v>96</v>
      </c>
      <c r="M773" t="s">
        <v>37</v>
      </c>
      <c r="N773" t="s">
        <v>23</v>
      </c>
      <c r="O773" t="s">
        <v>24</v>
      </c>
      <c r="P773">
        <f>Tableau1_2[[#This Row],[Quantité]]*Tableau1_2[[#This Row],[Prix_Unitaire]]</f>
        <v>720000</v>
      </c>
      <c r="Q773">
        <f>Tableau1_2[[#This Row],[Quantité]]*Tableau1_2[[#This Row],[Coût_Unitaire]]</f>
        <v>540000</v>
      </c>
      <c r="R773">
        <f>Tableau1_2[[#This Row],[CA]]-Tableau1_2[[#This Row],[Cout Total]]</f>
        <v>180000</v>
      </c>
      <c r="S773" s="4">
        <f>Tableau1_2[[#This Row],[Marge]]/Tableau1_2[[#This Row],[CA]]</f>
        <v>0.25</v>
      </c>
      <c r="T773" t="str">
        <f>TEXT(Tableau1_2[[#This Row],[Date]],"mmmm")</f>
        <v>novembre</v>
      </c>
    </row>
    <row r="774" spans="1:20" x14ac:dyDescent="0.35">
      <c r="A774" t="s">
        <v>1641</v>
      </c>
      <c r="B774" s="2">
        <v>46384</v>
      </c>
      <c r="C774" t="s">
        <v>1642</v>
      </c>
      <c r="D774" t="s">
        <v>1643</v>
      </c>
      <c r="E774" t="s">
        <v>56</v>
      </c>
      <c r="F774" t="s">
        <v>57</v>
      </c>
      <c r="G774" t="s">
        <v>19</v>
      </c>
      <c r="H774" t="s">
        <v>20</v>
      </c>
      <c r="I774">
        <v>1</v>
      </c>
      <c r="J774">
        <v>61800</v>
      </c>
      <c r="K774">
        <v>43600</v>
      </c>
      <c r="L774" t="s">
        <v>50</v>
      </c>
      <c r="M774" t="s">
        <v>22</v>
      </c>
      <c r="N774" t="s">
        <v>23</v>
      </c>
      <c r="O774" t="s">
        <v>24</v>
      </c>
      <c r="P774">
        <f>Tableau1_2[[#This Row],[Quantité]]*Tableau1_2[[#This Row],[Prix_Unitaire]]</f>
        <v>61800</v>
      </c>
      <c r="Q774">
        <f>Tableau1_2[[#This Row],[Quantité]]*Tableau1_2[[#This Row],[Coût_Unitaire]]</f>
        <v>43600</v>
      </c>
      <c r="R774">
        <f>Tableau1_2[[#This Row],[CA]]-Tableau1_2[[#This Row],[Cout Total]]</f>
        <v>18200</v>
      </c>
      <c r="S774" s="4">
        <f>Tableau1_2[[#This Row],[Marge]]/Tableau1_2[[#This Row],[CA]]</f>
        <v>0.29449838187702265</v>
      </c>
      <c r="T774" t="str">
        <f>TEXT(Tableau1_2[[#This Row],[Date]],"mmmm")</f>
        <v>décembre</v>
      </c>
    </row>
    <row r="775" spans="1:20" x14ac:dyDescent="0.35">
      <c r="A775" t="s">
        <v>1644</v>
      </c>
      <c r="B775" s="2">
        <v>46385</v>
      </c>
      <c r="C775" t="s">
        <v>941</v>
      </c>
      <c r="D775" t="s">
        <v>1054</v>
      </c>
      <c r="E775" t="s">
        <v>56</v>
      </c>
      <c r="F775" t="s">
        <v>57</v>
      </c>
      <c r="G775" t="s">
        <v>34</v>
      </c>
      <c r="H775" t="s">
        <v>95</v>
      </c>
      <c r="I775">
        <v>3</v>
      </c>
      <c r="J775">
        <v>450000</v>
      </c>
      <c r="K775">
        <v>381100</v>
      </c>
      <c r="L775" t="s">
        <v>50</v>
      </c>
      <c r="M775" t="s">
        <v>51</v>
      </c>
      <c r="N775" t="s">
        <v>52</v>
      </c>
      <c r="O775" t="s">
        <v>24</v>
      </c>
      <c r="P775">
        <f>Tableau1_2[[#This Row],[Quantité]]*Tableau1_2[[#This Row],[Prix_Unitaire]]</f>
        <v>1350000</v>
      </c>
      <c r="Q775">
        <f>Tableau1_2[[#This Row],[Quantité]]*Tableau1_2[[#This Row],[Coût_Unitaire]]</f>
        <v>1143300</v>
      </c>
      <c r="R775">
        <f>Tableau1_2[[#This Row],[CA]]-Tableau1_2[[#This Row],[Cout Total]]</f>
        <v>206700</v>
      </c>
      <c r="S775" s="4">
        <f>Tableau1_2[[#This Row],[Marge]]/Tableau1_2[[#This Row],[CA]]</f>
        <v>0.15311111111111111</v>
      </c>
      <c r="T775" t="str">
        <f>TEXT(Tableau1_2[[#This Row],[Date]],"mmmm")</f>
        <v>décembre</v>
      </c>
    </row>
    <row r="776" spans="1:20" x14ac:dyDescent="0.35">
      <c r="A776" t="s">
        <v>1645</v>
      </c>
      <c r="B776" s="2">
        <v>46247</v>
      </c>
      <c r="C776" t="s">
        <v>934</v>
      </c>
      <c r="D776" t="s">
        <v>1613</v>
      </c>
      <c r="E776" t="s">
        <v>190</v>
      </c>
      <c r="F776" t="s">
        <v>191</v>
      </c>
      <c r="G776" t="s">
        <v>34</v>
      </c>
      <c r="H776" t="s">
        <v>95</v>
      </c>
      <c r="I776">
        <v>10</v>
      </c>
      <c r="J776">
        <v>472500</v>
      </c>
      <c r="K776">
        <v>358900</v>
      </c>
      <c r="L776" t="s">
        <v>73</v>
      </c>
      <c r="M776" t="s">
        <v>51</v>
      </c>
      <c r="N776" t="s">
        <v>52</v>
      </c>
      <c r="O776" t="s">
        <v>24</v>
      </c>
      <c r="P776">
        <f>Tableau1_2[[#This Row],[Quantité]]*Tableau1_2[[#This Row],[Prix_Unitaire]]</f>
        <v>4725000</v>
      </c>
      <c r="Q776">
        <f>Tableau1_2[[#This Row],[Quantité]]*Tableau1_2[[#This Row],[Coût_Unitaire]]</f>
        <v>3589000</v>
      </c>
      <c r="R776">
        <f>Tableau1_2[[#This Row],[CA]]-Tableau1_2[[#This Row],[Cout Total]]</f>
        <v>1136000</v>
      </c>
      <c r="S776" s="4">
        <f>Tableau1_2[[#This Row],[Marge]]/Tableau1_2[[#This Row],[CA]]</f>
        <v>0.24042328042328043</v>
      </c>
      <c r="T776" t="str">
        <f>TEXT(Tableau1_2[[#This Row],[Date]],"mmmm")</f>
        <v>août</v>
      </c>
    </row>
    <row r="777" spans="1:20" x14ac:dyDescent="0.35">
      <c r="A777" t="s">
        <v>1646</v>
      </c>
      <c r="B777" s="2">
        <v>46153</v>
      </c>
      <c r="C777" t="s">
        <v>234</v>
      </c>
      <c r="D777" t="s">
        <v>1420</v>
      </c>
      <c r="E777" t="s">
        <v>56</v>
      </c>
      <c r="F777" t="s">
        <v>57</v>
      </c>
      <c r="G777" t="s">
        <v>34</v>
      </c>
      <c r="H777" t="s">
        <v>35</v>
      </c>
      <c r="I777">
        <v>4</v>
      </c>
      <c r="J777">
        <v>55000</v>
      </c>
      <c r="K777">
        <v>39000</v>
      </c>
      <c r="L777" t="s">
        <v>36</v>
      </c>
      <c r="M777" t="s">
        <v>37</v>
      </c>
      <c r="N777" t="s">
        <v>52</v>
      </c>
      <c r="O777" t="s">
        <v>24</v>
      </c>
      <c r="P777">
        <f>Tableau1_2[[#This Row],[Quantité]]*Tableau1_2[[#This Row],[Prix_Unitaire]]</f>
        <v>220000</v>
      </c>
      <c r="Q777">
        <f>Tableau1_2[[#This Row],[Quantité]]*Tableau1_2[[#This Row],[Coût_Unitaire]]</f>
        <v>156000</v>
      </c>
      <c r="R777">
        <f>Tableau1_2[[#This Row],[CA]]-Tableau1_2[[#This Row],[Cout Total]]</f>
        <v>64000</v>
      </c>
      <c r="S777" s="4">
        <f>Tableau1_2[[#This Row],[Marge]]/Tableau1_2[[#This Row],[CA]]</f>
        <v>0.29090909090909089</v>
      </c>
      <c r="T777" t="str">
        <f>TEXT(Tableau1_2[[#This Row],[Date]],"mmmm")</f>
        <v>mai</v>
      </c>
    </row>
    <row r="778" spans="1:20" x14ac:dyDescent="0.35">
      <c r="A778" t="s">
        <v>1647</v>
      </c>
      <c r="B778" s="2">
        <v>46049</v>
      </c>
      <c r="C778" t="s">
        <v>510</v>
      </c>
      <c r="D778" t="s">
        <v>1322</v>
      </c>
      <c r="E778" t="s">
        <v>77</v>
      </c>
      <c r="F778" t="s">
        <v>78</v>
      </c>
      <c r="G778" t="s">
        <v>34</v>
      </c>
      <c r="H778" t="s">
        <v>35</v>
      </c>
      <c r="I778">
        <v>2</v>
      </c>
      <c r="J778">
        <v>55000</v>
      </c>
      <c r="K778">
        <v>37800</v>
      </c>
      <c r="L778" t="s">
        <v>21</v>
      </c>
      <c r="M778" t="s">
        <v>51</v>
      </c>
      <c r="N778" t="s">
        <v>52</v>
      </c>
      <c r="O778" t="s">
        <v>24</v>
      </c>
      <c r="P778">
        <f>Tableau1_2[[#This Row],[Quantité]]*Tableau1_2[[#This Row],[Prix_Unitaire]]</f>
        <v>110000</v>
      </c>
      <c r="Q778">
        <f>Tableau1_2[[#This Row],[Quantité]]*Tableau1_2[[#This Row],[Coût_Unitaire]]</f>
        <v>75600</v>
      </c>
      <c r="R778">
        <f>Tableau1_2[[#This Row],[CA]]-Tableau1_2[[#This Row],[Cout Total]]</f>
        <v>34400</v>
      </c>
      <c r="S778" s="4">
        <f>Tableau1_2[[#This Row],[Marge]]/Tableau1_2[[#This Row],[CA]]</f>
        <v>0.31272727272727274</v>
      </c>
      <c r="T778" t="str">
        <f>TEXT(Tableau1_2[[#This Row],[Date]],"mmmm")</f>
        <v>janvier</v>
      </c>
    </row>
    <row r="779" spans="1:20" x14ac:dyDescent="0.35">
      <c r="A779" t="s">
        <v>1648</v>
      </c>
      <c r="B779" s="2">
        <v>46368</v>
      </c>
      <c r="C779" t="s">
        <v>370</v>
      </c>
      <c r="D779" t="s">
        <v>383</v>
      </c>
      <c r="E779" t="s">
        <v>77</v>
      </c>
      <c r="F779" t="s">
        <v>78</v>
      </c>
      <c r="G779" t="s">
        <v>34</v>
      </c>
      <c r="H779" t="s">
        <v>158</v>
      </c>
      <c r="I779">
        <v>9</v>
      </c>
      <c r="J779">
        <v>90200</v>
      </c>
      <c r="K779">
        <v>70000</v>
      </c>
      <c r="L779" t="s">
        <v>50</v>
      </c>
      <c r="M779" t="s">
        <v>37</v>
      </c>
      <c r="N779" t="s">
        <v>87</v>
      </c>
      <c r="O779" t="s">
        <v>24</v>
      </c>
      <c r="P779">
        <f>Tableau1_2[[#This Row],[Quantité]]*Tableau1_2[[#This Row],[Prix_Unitaire]]</f>
        <v>811800</v>
      </c>
      <c r="Q779">
        <f>Tableau1_2[[#This Row],[Quantité]]*Tableau1_2[[#This Row],[Coût_Unitaire]]</f>
        <v>630000</v>
      </c>
      <c r="R779">
        <f>Tableau1_2[[#This Row],[CA]]-Tableau1_2[[#This Row],[Cout Total]]</f>
        <v>181800</v>
      </c>
      <c r="S779" s="4">
        <f>Tableau1_2[[#This Row],[Marge]]/Tableau1_2[[#This Row],[CA]]</f>
        <v>0.22394678492239467</v>
      </c>
      <c r="T779" t="str">
        <f>TEXT(Tableau1_2[[#This Row],[Date]],"mmmm")</f>
        <v>décembre</v>
      </c>
    </row>
    <row r="780" spans="1:20" x14ac:dyDescent="0.35">
      <c r="A780" t="s">
        <v>1649</v>
      </c>
      <c r="B780" s="2">
        <v>46024</v>
      </c>
      <c r="C780" t="s">
        <v>500</v>
      </c>
      <c r="D780" t="s">
        <v>462</v>
      </c>
      <c r="E780" t="s">
        <v>18</v>
      </c>
      <c r="F780" t="s">
        <v>18</v>
      </c>
      <c r="G780" t="s">
        <v>28</v>
      </c>
      <c r="H780" t="s">
        <v>29</v>
      </c>
      <c r="I780">
        <v>1</v>
      </c>
      <c r="J780">
        <v>7000</v>
      </c>
      <c r="K780">
        <v>4100</v>
      </c>
      <c r="L780" t="s">
        <v>66</v>
      </c>
      <c r="M780" t="s">
        <v>51</v>
      </c>
      <c r="N780" t="s">
        <v>87</v>
      </c>
      <c r="O780" t="s">
        <v>91</v>
      </c>
      <c r="P780">
        <f>Tableau1_2[[#This Row],[Quantité]]*Tableau1_2[[#This Row],[Prix_Unitaire]]</f>
        <v>7000</v>
      </c>
      <c r="Q780">
        <f>Tableau1_2[[#This Row],[Quantité]]*Tableau1_2[[#This Row],[Coût_Unitaire]]</f>
        <v>4100</v>
      </c>
      <c r="R780">
        <f>Tableau1_2[[#This Row],[CA]]-Tableau1_2[[#This Row],[Cout Total]]</f>
        <v>2900</v>
      </c>
      <c r="S780" s="4">
        <f>Tableau1_2[[#This Row],[Marge]]/Tableau1_2[[#This Row],[CA]]</f>
        <v>0.41428571428571431</v>
      </c>
      <c r="T780" t="str">
        <f>TEXT(Tableau1_2[[#This Row],[Date]],"mmmm")</f>
        <v>janvier</v>
      </c>
    </row>
    <row r="781" spans="1:20" x14ac:dyDescent="0.35">
      <c r="A781" t="s">
        <v>1650</v>
      </c>
      <c r="B781" s="2">
        <v>46256</v>
      </c>
      <c r="C781" t="s">
        <v>1651</v>
      </c>
      <c r="D781" t="s">
        <v>1171</v>
      </c>
      <c r="E781" t="s">
        <v>156</v>
      </c>
      <c r="F781" t="s">
        <v>157</v>
      </c>
      <c r="G781" t="s">
        <v>34</v>
      </c>
      <c r="H781" t="s">
        <v>95</v>
      </c>
      <c r="I781">
        <v>1</v>
      </c>
      <c r="J781">
        <v>472500</v>
      </c>
      <c r="K781">
        <v>358900</v>
      </c>
      <c r="L781" t="s">
        <v>80</v>
      </c>
      <c r="M781" t="s">
        <v>37</v>
      </c>
      <c r="N781" t="s">
        <v>23</v>
      </c>
      <c r="O781" t="s">
        <v>24</v>
      </c>
      <c r="P781">
        <f>Tableau1_2[[#This Row],[Quantité]]*Tableau1_2[[#This Row],[Prix_Unitaire]]</f>
        <v>472500</v>
      </c>
      <c r="Q781">
        <f>Tableau1_2[[#This Row],[Quantité]]*Tableau1_2[[#This Row],[Coût_Unitaire]]</f>
        <v>358900</v>
      </c>
      <c r="R781">
        <f>Tableau1_2[[#This Row],[CA]]-Tableau1_2[[#This Row],[Cout Total]]</f>
        <v>113600</v>
      </c>
      <c r="S781" s="4">
        <f>Tableau1_2[[#This Row],[Marge]]/Tableau1_2[[#This Row],[CA]]</f>
        <v>0.24042328042328043</v>
      </c>
      <c r="T781" t="str">
        <f>TEXT(Tableau1_2[[#This Row],[Date]],"mmmm")</f>
        <v>août</v>
      </c>
    </row>
    <row r="782" spans="1:20" x14ac:dyDescent="0.35">
      <c r="A782" t="s">
        <v>1652</v>
      </c>
      <c r="B782" s="2">
        <v>46231</v>
      </c>
      <c r="C782" t="s">
        <v>1653</v>
      </c>
      <c r="D782" t="s">
        <v>1654</v>
      </c>
      <c r="E782" t="s">
        <v>77</v>
      </c>
      <c r="F782" t="s">
        <v>78</v>
      </c>
      <c r="G782" t="s">
        <v>43</v>
      </c>
      <c r="H782" t="s">
        <v>44</v>
      </c>
      <c r="I782">
        <v>5</v>
      </c>
      <c r="J782">
        <v>15800</v>
      </c>
      <c r="K782">
        <v>9200</v>
      </c>
      <c r="L782" t="s">
        <v>96</v>
      </c>
      <c r="M782" t="s">
        <v>37</v>
      </c>
      <c r="N782" t="s">
        <v>23</v>
      </c>
      <c r="O782" t="s">
        <v>24</v>
      </c>
      <c r="P782">
        <f>Tableau1_2[[#This Row],[Quantité]]*Tableau1_2[[#This Row],[Prix_Unitaire]]</f>
        <v>79000</v>
      </c>
      <c r="Q782">
        <f>Tableau1_2[[#This Row],[Quantité]]*Tableau1_2[[#This Row],[Coût_Unitaire]]</f>
        <v>46000</v>
      </c>
      <c r="R782">
        <f>Tableau1_2[[#This Row],[CA]]-Tableau1_2[[#This Row],[Cout Total]]</f>
        <v>33000</v>
      </c>
      <c r="S782" s="4">
        <f>Tableau1_2[[#This Row],[Marge]]/Tableau1_2[[#This Row],[CA]]</f>
        <v>0.41772151898734178</v>
      </c>
      <c r="T782" t="str">
        <f>TEXT(Tableau1_2[[#This Row],[Date]],"mmmm")</f>
        <v>juillet</v>
      </c>
    </row>
    <row r="783" spans="1:20" x14ac:dyDescent="0.35">
      <c r="A783" t="s">
        <v>1655</v>
      </c>
      <c r="B783" s="2">
        <v>46327</v>
      </c>
      <c r="C783" t="s">
        <v>1575</v>
      </c>
      <c r="D783" t="s">
        <v>1656</v>
      </c>
      <c r="E783" t="s">
        <v>84</v>
      </c>
      <c r="F783" t="s">
        <v>85</v>
      </c>
      <c r="G783" t="s">
        <v>19</v>
      </c>
      <c r="H783" t="s">
        <v>20</v>
      </c>
      <c r="I783">
        <v>9</v>
      </c>
      <c r="J783">
        <v>61800</v>
      </c>
      <c r="K783">
        <v>43600</v>
      </c>
      <c r="L783" t="s">
        <v>50</v>
      </c>
      <c r="M783" t="s">
        <v>51</v>
      </c>
      <c r="N783" t="s">
        <v>23</v>
      </c>
      <c r="O783" t="s">
        <v>24</v>
      </c>
      <c r="P783">
        <f>Tableau1_2[[#This Row],[Quantité]]*Tableau1_2[[#This Row],[Prix_Unitaire]]</f>
        <v>556200</v>
      </c>
      <c r="Q783">
        <f>Tableau1_2[[#This Row],[Quantité]]*Tableau1_2[[#This Row],[Coût_Unitaire]]</f>
        <v>392400</v>
      </c>
      <c r="R783">
        <f>Tableau1_2[[#This Row],[CA]]-Tableau1_2[[#This Row],[Cout Total]]</f>
        <v>163800</v>
      </c>
      <c r="S783" s="4">
        <f>Tableau1_2[[#This Row],[Marge]]/Tableau1_2[[#This Row],[CA]]</f>
        <v>0.29449838187702265</v>
      </c>
      <c r="T783" t="str">
        <f>TEXT(Tableau1_2[[#This Row],[Date]],"mmmm")</f>
        <v>novembre</v>
      </c>
    </row>
    <row r="784" spans="1:20" x14ac:dyDescent="0.35">
      <c r="A784" t="s">
        <v>1657</v>
      </c>
      <c r="B784" s="2">
        <v>46035</v>
      </c>
      <c r="C784" t="s">
        <v>1658</v>
      </c>
      <c r="D784" t="s">
        <v>1380</v>
      </c>
      <c r="E784" t="s">
        <v>190</v>
      </c>
      <c r="F784" t="s">
        <v>191</v>
      </c>
      <c r="G784" t="s">
        <v>19</v>
      </c>
      <c r="H784" t="s">
        <v>112</v>
      </c>
      <c r="I784">
        <v>4</v>
      </c>
      <c r="J784">
        <v>85000</v>
      </c>
      <c r="K784">
        <v>62000</v>
      </c>
      <c r="L784" t="s">
        <v>21</v>
      </c>
      <c r="M784" t="s">
        <v>37</v>
      </c>
      <c r="N784" t="s">
        <v>87</v>
      </c>
      <c r="O784" t="s">
        <v>24</v>
      </c>
      <c r="P784">
        <f>Tableau1_2[[#This Row],[Quantité]]*Tableau1_2[[#This Row],[Prix_Unitaire]]</f>
        <v>340000</v>
      </c>
      <c r="Q784">
        <f>Tableau1_2[[#This Row],[Quantité]]*Tableau1_2[[#This Row],[Coût_Unitaire]]</f>
        <v>248000</v>
      </c>
      <c r="R784">
        <f>Tableau1_2[[#This Row],[CA]]-Tableau1_2[[#This Row],[Cout Total]]</f>
        <v>92000</v>
      </c>
      <c r="S784" s="4">
        <f>Tableau1_2[[#This Row],[Marge]]/Tableau1_2[[#This Row],[CA]]</f>
        <v>0.27058823529411763</v>
      </c>
      <c r="T784" t="str">
        <f>TEXT(Tableau1_2[[#This Row],[Date]],"mmmm")</f>
        <v>janvier</v>
      </c>
    </row>
    <row r="785" spans="1:20" x14ac:dyDescent="0.35">
      <c r="A785" t="s">
        <v>1659</v>
      </c>
      <c r="B785" s="2">
        <v>46128</v>
      </c>
      <c r="C785" t="s">
        <v>212</v>
      </c>
      <c r="D785" t="s">
        <v>294</v>
      </c>
      <c r="E785" t="s">
        <v>18</v>
      </c>
      <c r="F785" t="s">
        <v>18</v>
      </c>
      <c r="G785" t="s">
        <v>34</v>
      </c>
      <c r="H785" t="s">
        <v>95</v>
      </c>
      <c r="I785">
        <v>6</v>
      </c>
      <c r="J785">
        <v>450000</v>
      </c>
      <c r="K785">
        <v>381100</v>
      </c>
      <c r="L785" t="s">
        <v>36</v>
      </c>
      <c r="M785" t="s">
        <v>31</v>
      </c>
      <c r="N785" t="s">
        <v>52</v>
      </c>
      <c r="O785" t="s">
        <v>24</v>
      </c>
      <c r="P785">
        <f>Tableau1_2[[#This Row],[Quantité]]*Tableau1_2[[#This Row],[Prix_Unitaire]]</f>
        <v>2700000</v>
      </c>
      <c r="Q785">
        <f>Tableau1_2[[#This Row],[Quantité]]*Tableau1_2[[#This Row],[Coût_Unitaire]]</f>
        <v>2286600</v>
      </c>
      <c r="R785">
        <f>Tableau1_2[[#This Row],[CA]]-Tableau1_2[[#This Row],[Cout Total]]</f>
        <v>413400</v>
      </c>
      <c r="S785" s="4">
        <f>Tableau1_2[[#This Row],[Marge]]/Tableau1_2[[#This Row],[CA]]</f>
        <v>0.15311111111111111</v>
      </c>
      <c r="T785" t="str">
        <f>TEXT(Tableau1_2[[#This Row],[Date]],"mmmm")</f>
        <v>avril</v>
      </c>
    </row>
    <row r="786" spans="1:20" x14ac:dyDescent="0.35">
      <c r="A786" t="s">
        <v>1660</v>
      </c>
      <c r="B786" s="2">
        <v>46328</v>
      </c>
      <c r="C786" t="s">
        <v>1661</v>
      </c>
      <c r="D786" t="s">
        <v>703</v>
      </c>
      <c r="E786" t="s">
        <v>84</v>
      </c>
      <c r="F786" t="s">
        <v>85</v>
      </c>
      <c r="G786" t="s">
        <v>34</v>
      </c>
      <c r="H786" t="s">
        <v>95</v>
      </c>
      <c r="I786">
        <v>3</v>
      </c>
      <c r="J786">
        <v>450000</v>
      </c>
      <c r="K786">
        <v>381100</v>
      </c>
      <c r="L786" t="s">
        <v>30</v>
      </c>
      <c r="M786" t="s">
        <v>31</v>
      </c>
      <c r="N786" t="s">
        <v>52</v>
      </c>
      <c r="O786" t="s">
        <v>24</v>
      </c>
      <c r="P786">
        <f>Tableau1_2[[#This Row],[Quantité]]*Tableau1_2[[#This Row],[Prix_Unitaire]]</f>
        <v>1350000</v>
      </c>
      <c r="Q786">
        <f>Tableau1_2[[#This Row],[Quantité]]*Tableau1_2[[#This Row],[Coût_Unitaire]]</f>
        <v>1143300</v>
      </c>
      <c r="R786">
        <f>Tableau1_2[[#This Row],[CA]]-Tableau1_2[[#This Row],[Cout Total]]</f>
        <v>206700</v>
      </c>
      <c r="S786" s="4">
        <f>Tableau1_2[[#This Row],[Marge]]/Tableau1_2[[#This Row],[CA]]</f>
        <v>0.15311111111111111</v>
      </c>
      <c r="T786" t="str">
        <f>TEXT(Tableau1_2[[#This Row],[Date]],"mmmm")</f>
        <v>novembre</v>
      </c>
    </row>
    <row r="787" spans="1:20" x14ac:dyDescent="0.35">
      <c r="A787" t="s">
        <v>1662</v>
      </c>
      <c r="B787" s="2">
        <v>46301</v>
      </c>
      <c r="C787" t="s">
        <v>1501</v>
      </c>
      <c r="D787" t="s">
        <v>291</v>
      </c>
      <c r="E787" t="s">
        <v>84</v>
      </c>
      <c r="F787" t="s">
        <v>85</v>
      </c>
      <c r="G787" t="s">
        <v>34</v>
      </c>
      <c r="H787" t="s">
        <v>141</v>
      </c>
      <c r="I787">
        <v>10</v>
      </c>
      <c r="J787">
        <v>152000</v>
      </c>
      <c r="K787">
        <v>120000</v>
      </c>
      <c r="L787" t="s">
        <v>21</v>
      </c>
      <c r="M787" t="s">
        <v>37</v>
      </c>
      <c r="N787" t="s">
        <v>23</v>
      </c>
      <c r="O787" t="s">
        <v>45</v>
      </c>
      <c r="P787">
        <f>Tableau1_2[[#This Row],[Quantité]]*Tableau1_2[[#This Row],[Prix_Unitaire]]</f>
        <v>1520000</v>
      </c>
      <c r="Q787">
        <f>Tableau1_2[[#This Row],[Quantité]]*Tableau1_2[[#This Row],[Coût_Unitaire]]</f>
        <v>1200000</v>
      </c>
      <c r="R787">
        <f>Tableau1_2[[#This Row],[CA]]-Tableau1_2[[#This Row],[Cout Total]]</f>
        <v>320000</v>
      </c>
      <c r="S787" s="4">
        <f>Tableau1_2[[#This Row],[Marge]]/Tableau1_2[[#This Row],[CA]]</f>
        <v>0.21052631578947367</v>
      </c>
      <c r="T787" t="str">
        <f>TEXT(Tableau1_2[[#This Row],[Date]],"mmmm")</f>
        <v>octobre</v>
      </c>
    </row>
    <row r="788" spans="1:20" x14ac:dyDescent="0.35">
      <c r="A788" t="s">
        <v>1663</v>
      </c>
      <c r="B788" s="2">
        <v>46156</v>
      </c>
      <c r="C788" t="s">
        <v>1572</v>
      </c>
      <c r="D788" t="s">
        <v>1322</v>
      </c>
      <c r="E788" t="s">
        <v>41</v>
      </c>
      <c r="F788" t="s">
        <v>42</v>
      </c>
      <c r="G788" t="s">
        <v>34</v>
      </c>
      <c r="H788" t="s">
        <v>35</v>
      </c>
      <c r="I788">
        <v>2</v>
      </c>
      <c r="J788">
        <v>55000</v>
      </c>
      <c r="K788">
        <v>40200</v>
      </c>
      <c r="L788" t="s">
        <v>30</v>
      </c>
      <c r="M788" t="s">
        <v>31</v>
      </c>
      <c r="N788" t="s">
        <v>23</v>
      </c>
      <c r="O788" t="s">
        <v>45</v>
      </c>
      <c r="P788">
        <f>Tableau1_2[[#This Row],[Quantité]]*Tableau1_2[[#This Row],[Prix_Unitaire]]</f>
        <v>110000</v>
      </c>
      <c r="Q788">
        <f>Tableau1_2[[#This Row],[Quantité]]*Tableau1_2[[#This Row],[Coût_Unitaire]]</f>
        <v>80400</v>
      </c>
      <c r="R788">
        <f>Tableau1_2[[#This Row],[CA]]-Tableau1_2[[#This Row],[Cout Total]]</f>
        <v>29600</v>
      </c>
      <c r="S788" s="4">
        <f>Tableau1_2[[#This Row],[Marge]]/Tableau1_2[[#This Row],[CA]]</f>
        <v>0.2690909090909091</v>
      </c>
      <c r="T788" t="str">
        <f>TEXT(Tableau1_2[[#This Row],[Date]],"mmmm")</f>
        <v>mai</v>
      </c>
    </row>
    <row r="789" spans="1:20" x14ac:dyDescent="0.35">
      <c r="A789" t="s">
        <v>1664</v>
      </c>
      <c r="B789" s="2">
        <v>46197</v>
      </c>
      <c r="C789" t="s">
        <v>1665</v>
      </c>
      <c r="D789" t="s">
        <v>1557</v>
      </c>
      <c r="E789" t="s">
        <v>18</v>
      </c>
      <c r="F789" t="s">
        <v>18</v>
      </c>
      <c r="G789" t="s">
        <v>19</v>
      </c>
      <c r="H789" t="s">
        <v>112</v>
      </c>
      <c r="I789">
        <v>2</v>
      </c>
      <c r="J789">
        <v>80800</v>
      </c>
      <c r="K789">
        <v>63900</v>
      </c>
      <c r="L789" t="s">
        <v>36</v>
      </c>
      <c r="M789" t="s">
        <v>37</v>
      </c>
      <c r="N789" t="s">
        <v>87</v>
      </c>
      <c r="O789" t="s">
        <v>24</v>
      </c>
      <c r="P789">
        <f>Tableau1_2[[#This Row],[Quantité]]*Tableau1_2[[#This Row],[Prix_Unitaire]]</f>
        <v>161600</v>
      </c>
      <c r="Q789">
        <f>Tableau1_2[[#This Row],[Quantité]]*Tableau1_2[[#This Row],[Coût_Unitaire]]</f>
        <v>127800</v>
      </c>
      <c r="R789">
        <f>Tableau1_2[[#This Row],[CA]]-Tableau1_2[[#This Row],[Cout Total]]</f>
        <v>33800</v>
      </c>
      <c r="S789" s="4">
        <f>Tableau1_2[[#This Row],[Marge]]/Tableau1_2[[#This Row],[CA]]</f>
        <v>0.20915841584158415</v>
      </c>
      <c r="T789" t="str">
        <f>TEXT(Tableau1_2[[#This Row],[Date]],"mmmm")</f>
        <v>juin</v>
      </c>
    </row>
    <row r="790" spans="1:20" x14ac:dyDescent="0.35">
      <c r="A790" t="s">
        <v>1666</v>
      </c>
      <c r="B790" s="2">
        <v>46206</v>
      </c>
      <c r="C790" t="s">
        <v>1156</v>
      </c>
      <c r="D790" t="s">
        <v>300</v>
      </c>
      <c r="E790" t="s">
        <v>190</v>
      </c>
      <c r="F790" t="s">
        <v>191</v>
      </c>
      <c r="G790" t="s">
        <v>43</v>
      </c>
      <c r="H790" t="s">
        <v>177</v>
      </c>
      <c r="I790">
        <v>1</v>
      </c>
      <c r="J790">
        <v>18000</v>
      </c>
      <c r="K790">
        <v>12500</v>
      </c>
      <c r="L790" t="s">
        <v>96</v>
      </c>
      <c r="M790" t="s">
        <v>22</v>
      </c>
      <c r="N790" t="s">
        <v>23</v>
      </c>
      <c r="O790" t="s">
        <v>24</v>
      </c>
      <c r="P790">
        <f>Tableau1_2[[#This Row],[Quantité]]*Tableau1_2[[#This Row],[Prix_Unitaire]]</f>
        <v>18000</v>
      </c>
      <c r="Q790">
        <f>Tableau1_2[[#This Row],[Quantité]]*Tableau1_2[[#This Row],[Coût_Unitaire]]</f>
        <v>12500</v>
      </c>
      <c r="R790">
        <f>Tableau1_2[[#This Row],[CA]]-Tableau1_2[[#This Row],[Cout Total]]</f>
        <v>5500</v>
      </c>
      <c r="S790" s="4">
        <f>Tableau1_2[[#This Row],[Marge]]/Tableau1_2[[#This Row],[CA]]</f>
        <v>0.30555555555555558</v>
      </c>
      <c r="T790" t="str">
        <f>TEXT(Tableau1_2[[#This Row],[Date]],"mmmm")</f>
        <v>juillet</v>
      </c>
    </row>
    <row r="791" spans="1:20" x14ac:dyDescent="0.35">
      <c r="A791" t="s">
        <v>1667</v>
      </c>
      <c r="B791" s="2">
        <v>46199</v>
      </c>
      <c r="C791" t="s">
        <v>240</v>
      </c>
      <c r="D791" t="s">
        <v>738</v>
      </c>
      <c r="E791" t="s">
        <v>84</v>
      </c>
      <c r="F791" t="s">
        <v>85</v>
      </c>
      <c r="G791" t="s">
        <v>34</v>
      </c>
      <c r="H791" t="s">
        <v>141</v>
      </c>
      <c r="I791">
        <v>2</v>
      </c>
      <c r="J791">
        <v>152000</v>
      </c>
      <c r="K791">
        <v>120000</v>
      </c>
      <c r="L791" t="s">
        <v>66</v>
      </c>
      <c r="M791" t="s">
        <v>22</v>
      </c>
      <c r="N791" t="s">
        <v>52</v>
      </c>
      <c r="O791" t="s">
        <v>24</v>
      </c>
      <c r="P791">
        <f>Tableau1_2[[#This Row],[Quantité]]*Tableau1_2[[#This Row],[Prix_Unitaire]]</f>
        <v>304000</v>
      </c>
      <c r="Q791">
        <f>Tableau1_2[[#This Row],[Quantité]]*Tableau1_2[[#This Row],[Coût_Unitaire]]</f>
        <v>240000</v>
      </c>
      <c r="R791">
        <f>Tableau1_2[[#This Row],[CA]]-Tableau1_2[[#This Row],[Cout Total]]</f>
        <v>64000</v>
      </c>
      <c r="S791" s="4">
        <f>Tableau1_2[[#This Row],[Marge]]/Tableau1_2[[#This Row],[CA]]</f>
        <v>0.21052631578947367</v>
      </c>
      <c r="T791" t="str">
        <f>TEXT(Tableau1_2[[#This Row],[Date]],"mmmm")</f>
        <v>juin</v>
      </c>
    </row>
    <row r="792" spans="1:20" x14ac:dyDescent="0.35">
      <c r="A792" t="s">
        <v>1668</v>
      </c>
      <c r="B792" s="2">
        <v>46300</v>
      </c>
      <c r="C792" t="s">
        <v>133</v>
      </c>
      <c r="D792" t="s">
        <v>208</v>
      </c>
      <c r="E792" t="s">
        <v>190</v>
      </c>
      <c r="F792" t="s">
        <v>191</v>
      </c>
      <c r="G792" t="s">
        <v>28</v>
      </c>
      <c r="H792" t="s">
        <v>131</v>
      </c>
      <c r="I792">
        <v>2</v>
      </c>
      <c r="J792">
        <v>30000</v>
      </c>
      <c r="K792">
        <v>19600</v>
      </c>
      <c r="L792" t="s">
        <v>50</v>
      </c>
      <c r="M792" t="s">
        <v>51</v>
      </c>
      <c r="N792" t="s">
        <v>87</v>
      </c>
      <c r="O792" t="s">
        <v>24</v>
      </c>
      <c r="P792">
        <f>Tableau1_2[[#This Row],[Quantité]]*Tableau1_2[[#This Row],[Prix_Unitaire]]</f>
        <v>60000</v>
      </c>
      <c r="Q792">
        <f>Tableau1_2[[#This Row],[Quantité]]*Tableau1_2[[#This Row],[Coût_Unitaire]]</f>
        <v>39200</v>
      </c>
      <c r="R792">
        <f>Tableau1_2[[#This Row],[CA]]-Tableau1_2[[#This Row],[Cout Total]]</f>
        <v>20800</v>
      </c>
      <c r="S792" s="4">
        <f>Tableau1_2[[#This Row],[Marge]]/Tableau1_2[[#This Row],[CA]]</f>
        <v>0.34666666666666668</v>
      </c>
      <c r="T792" t="str">
        <f>TEXT(Tableau1_2[[#This Row],[Date]],"mmmm")</f>
        <v>octobre</v>
      </c>
    </row>
    <row r="793" spans="1:20" x14ac:dyDescent="0.35">
      <c r="A793" t="s">
        <v>1669</v>
      </c>
      <c r="B793" s="2">
        <v>46264</v>
      </c>
      <c r="C793" t="s">
        <v>557</v>
      </c>
      <c r="D793" t="s">
        <v>1670</v>
      </c>
      <c r="E793" t="s">
        <v>18</v>
      </c>
      <c r="F793" t="s">
        <v>18</v>
      </c>
      <c r="G793" t="s">
        <v>28</v>
      </c>
      <c r="H793" t="s">
        <v>72</v>
      </c>
      <c r="I793">
        <v>1</v>
      </c>
      <c r="J793">
        <v>9500</v>
      </c>
      <c r="K793">
        <v>6200</v>
      </c>
      <c r="L793" t="s">
        <v>66</v>
      </c>
      <c r="M793" t="s">
        <v>51</v>
      </c>
      <c r="N793" t="s">
        <v>23</v>
      </c>
      <c r="O793" t="s">
        <v>24</v>
      </c>
      <c r="P793">
        <f>Tableau1_2[[#This Row],[Quantité]]*Tableau1_2[[#This Row],[Prix_Unitaire]]</f>
        <v>9500</v>
      </c>
      <c r="Q793">
        <f>Tableau1_2[[#This Row],[Quantité]]*Tableau1_2[[#This Row],[Coût_Unitaire]]</f>
        <v>6200</v>
      </c>
      <c r="R793">
        <f>Tableau1_2[[#This Row],[CA]]-Tableau1_2[[#This Row],[Cout Total]]</f>
        <v>3300</v>
      </c>
      <c r="S793" s="4">
        <f>Tableau1_2[[#This Row],[Marge]]/Tableau1_2[[#This Row],[CA]]</f>
        <v>0.3473684210526316</v>
      </c>
      <c r="T793" t="str">
        <f>TEXT(Tableau1_2[[#This Row],[Date]],"mmmm")</f>
        <v>août</v>
      </c>
    </row>
    <row r="794" spans="1:20" x14ac:dyDescent="0.35">
      <c r="A794" t="s">
        <v>1671</v>
      </c>
      <c r="B794" s="2">
        <v>46220</v>
      </c>
      <c r="C794" t="s">
        <v>830</v>
      </c>
      <c r="D794" t="s">
        <v>688</v>
      </c>
      <c r="E794" t="s">
        <v>77</v>
      </c>
      <c r="F794" t="s">
        <v>78</v>
      </c>
      <c r="G794" t="s">
        <v>34</v>
      </c>
      <c r="H794" t="s">
        <v>86</v>
      </c>
      <c r="I794">
        <v>4</v>
      </c>
      <c r="J794">
        <v>180000</v>
      </c>
      <c r="K794">
        <v>135000</v>
      </c>
      <c r="L794" t="s">
        <v>30</v>
      </c>
      <c r="M794" t="s">
        <v>31</v>
      </c>
      <c r="N794" t="s">
        <v>52</v>
      </c>
      <c r="O794" t="s">
        <v>91</v>
      </c>
      <c r="P794">
        <f>Tableau1_2[[#This Row],[Quantité]]*Tableau1_2[[#This Row],[Prix_Unitaire]]</f>
        <v>720000</v>
      </c>
      <c r="Q794">
        <f>Tableau1_2[[#This Row],[Quantité]]*Tableau1_2[[#This Row],[Coût_Unitaire]]</f>
        <v>540000</v>
      </c>
      <c r="R794">
        <f>Tableau1_2[[#This Row],[CA]]-Tableau1_2[[#This Row],[Cout Total]]</f>
        <v>180000</v>
      </c>
      <c r="S794" s="4">
        <f>Tableau1_2[[#This Row],[Marge]]/Tableau1_2[[#This Row],[CA]]</f>
        <v>0.25</v>
      </c>
      <c r="T794" t="str">
        <f>TEXT(Tableau1_2[[#This Row],[Date]],"mmmm")</f>
        <v>juillet</v>
      </c>
    </row>
    <row r="795" spans="1:20" x14ac:dyDescent="0.35">
      <c r="A795" t="s">
        <v>1672</v>
      </c>
      <c r="B795" s="2">
        <v>46204</v>
      </c>
      <c r="C795" t="s">
        <v>1673</v>
      </c>
      <c r="D795" t="s">
        <v>504</v>
      </c>
      <c r="E795" t="s">
        <v>18</v>
      </c>
      <c r="F795" t="s">
        <v>18</v>
      </c>
      <c r="G795" t="s">
        <v>28</v>
      </c>
      <c r="H795" t="s">
        <v>72</v>
      </c>
      <c r="I795">
        <v>5</v>
      </c>
      <c r="J795">
        <v>10000</v>
      </c>
      <c r="K795">
        <v>6200</v>
      </c>
      <c r="L795" t="s">
        <v>66</v>
      </c>
      <c r="M795" t="s">
        <v>37</v>
      </c>
      <c r="N795" t="s">
        <v>52</v>
      </c>
      <c r="O795" t="s">
        <v>24</v>
      </c>
      <c r="P795">
        <f>Tableau1_2[[#This Row],[Quantité]]*Tableau1_2[[#This Row],[Prix_Unitaire]]</f>
        <v>50000</v>
      </c>
      <c r="Q795">
        <f>Tableau1_2[[#This Row],[Quantité]]*Tableau1_2[[#This Row],[Coût_Unitaire]]</f>
        <v>31000</v>
      </c>
      <c r="R795">
        <f>Tableau1_2[[#This Row],[CA]]-Tableau1_2[[#This Row],[Cout Total]]</f>
        <v>19000</v>
      </c>
      <c r="S795" s="4">
        <f>Tableau1_2[[#This Row],[Marge]]/Tableau1_2[[#This Row],[CA]]</f>
        <v>0.38</v>
      </c>
      <c r="T795" t="str">
        <f>TEXT(Tableau1_2[[#This Row],[Date]],"mmmm")</f>
        <v>juillet</v>
      </c>
    </row>
    <row r="796" spans="1:20" x14ac:dyDescent="0.35">
      <c r="A796" t="s">
        <v>1674</v>
      </c>
      <c r="B796" s="2">
        <v>46148</v>
      </c>
      <c r="C796" t="s">
        <v>358</v>
      </c>
      <c r="D796" t="s">
        <v>359</v>
      </c>
      <c r="E796" t="s">
        <v>70</v>
      </c>
      <c r="F796" t="s">
        <v>71</v>
      </c>
      <c r="G796" t="s">
        <v>28</v>
      </c>
      <c r="H796" t="s">
        <v>131</v>
      </c>
      <c r="I796">
        <v>7</v>
      </c>
      <c r="J796">
        <v>30000</v>
      </c>
      <c r="K796">
        <v>18400</v>
      </c>
      <c r="L796" t="s">
        <v>66</v>
      </c>
      <c r="M796" t="s">
        <v>31</v>
      </c>
      <c r="N796" t="s">
        <v>23</v>
      </c>
      <c r="O796" t="s">
        <v>24</v>
      </c>
      <c r="P796">
        <f>Tableau1_2[[#This Row],[Quantité]]*Tableau1_2[[#This Row],[Prix_Unitaire]]</f>
        <v>210000</v>
      </c>
      <c r="Q796">
        <f>Tableau1_2[[#This Row],[Quantité]]*Tableau1_2[[#This Row],[Coût_Unitaire]]</f>
        <v>128800</v>
      </c>
      <c r="R796">
        <f>Tableau1_2[[#This Row],[CA]]-Tableau1_2[[#This Row],[Cout Total]]</f>
        <v>81200</v>
      </c>
      <c r="S796" s="4">
        <f>Tableau1_2[[#This Row],[Marge]]/Tableau1_2[[#This Row],[CA]]</f>
        <v>0.38666666666666666</v>
      </c>
      <c r="T796" t="str">
        <f>TEXT(Tableau1_2[[#This Row],[Date]],"mmmm")</f>
        <v>mai</v>
      </c>
    </row>
    <row r="797" spans="1:20" x14ac:dyDescent="0.35">
      <c r="A797" t="s">
        <v>1675</v>
      </c>
      <c r="B797" s="2">
        <v>46361</v>
      </c>
      <c r="C797" t="s">
        <v>850</v>
      </c>
      <c r="D797" t="s">
        <v>1557</v>
      </c>
      <c r="E797" t="s">
        <v>56</v>
      </c>
      <c r="F797" t="s">
        <v>57</v>
      </c>
      <c r="G797" t="s">
        <v>43</v>
      </c>
      <c r="H797" t="s">
        <v>177</v>
      </c>
      <c r="I797">
        <v>8</v>
      </c>
      <c r="J797">
        <v>18000</v>
      </c>
      <c r="K797">
        <v>12100</v>
      </c>
      <c r="L797" t="s">
        <v>66</v>
      </c>
      <c r="M797" t="s">
        <v>31</v>
      </c>
      <c r="N797" t="s">
        <v>52</v>
      </c>
      <c r="O797" t="s">
        <v>45</v>
      </c>
      <c r="P797">
        <f>Tableau1_2[[#This Row],[Quantité]]*Tableau1_2[[#This Row],[Prix_Unitaire]]</f>
        <v>144000</v>
      </c>
      <c r="Q797">
        <f>Tableau1_2[[#This Row],[Quantité]]*Tableau1_2[[#This Row],[Coût_Unitaire]]</f>
        <v>96800</v>
      </c>
      <c r="R797">
        <f>Tableau1_2[[#This Row],[CA]]-Tableau1_2[[#This Row],[Cout Total]]</f>
        <v>47200</v>
      </c>
      <c r="S797" s="4">
        <f>Tableau1_2[[#This Row],[Marge]]/Tableau1_2[[#This Row],[CA]]</f>
        <v>0.32777777777777778</v>
      </c>
      <c r="T797" t="str">
        <f>TEXT(Tableau1_2[[#This Row],[Date]],"mmmm")</f>
        <v>décembre</v>
      </c>
    </row>
    <row r="798" spans="1:20" x14ac:dyDescent="0.35">
      <c r="A798" t="s">
        <v>1676</v>
      </c>
      <c r="B798" s="2">
        <v>46281</v>
      </c>
      <c r="C798" t="s">
        <v>671</v>
      </c>
      <c r="D798" t="s">
        <v>1219</v>
      </c>
      <c r="E798" t="s">
        <v>18</v>
      </c>
      <c r="F798" t="s">
        <v>18</v>
      </c>
      <c r="G798" t="s">
        <v>34</v>
      </c>
      <c r="H798" t="s">
        <v>86</v>
      </c>
      <c r="I798">
        <v>7</v>
      </c>
      <c r="J798">
        <v>180000</v>
      </c>
      <c r="K798">
        <v>131000</v>
      </c>
      <c r="L798" t="s">
        <v>36</v>
      </c>
      <c r="M798" t="s">
        <v>51</v>
      </c>
      <c r="N798" t="s">
        <v>52</v>
      </c>
      <c r="O798" t="s">
        <v>24</v>
      </c>
      <c r="P798">
        <f>Tableau1_2[[#This Row],[Quantité]]*Tableau1_2[[#This Row],[Prix_Unitaire]]</f>
        <v>1260000</v>
      </c>
      <c r="Q798">
        <f>Tableau1_2[[#This Row],[Quantité]]*Tableau1_2[[#This Row],[Coût_Unitaire]]</f>
        <v>917000</v>
      </c>
      <c r="R798">
        <f>Tableau1_2[[#This Row],[CA]]-Tableau1_2[[#This Row],[Cout Total]]</f>
        <v>343000</v>
      </c>
      <c r="S798" s="4">
        <f>Tableau1_2[[#This Row],[Marge]]/Tableau1_2[[#This Row],[CA]]</f>
        <v>0.2722222222222222</v>
      </c>
      <c r="T798" t="str">
        <f>TEXT(Tableau1_2[[#This Row],[Date]],"mmmm")</f>
        <v>septembre</v>
      </c>
    </row>
    <row r="799" spans="1:20" x14ac:dyDescent="0.35">
      <c r="A799" t="s">
        <v>1677</v>
      </c>
      <c r="B799" s="2">
        <v>46222</v>
      </c>
      <c r="C799" t="s">
        <v>305</v>
      </c>
      <c r="D799" t="s">
        <v>1315</v>
      </c>
      <c r="E799" t="s">
        <v>41</v>
      </c>
      <c r="F799" t="s">
        <v>42</v>
      </c>
      <c r="G799" t="s">
        <v>34</v>
      </c>
      <c r="H799" t="s">
        <v>35</v>
      </c>
      <c r="I799">
        <v>9</v>
      </c>
      <c r="J799">
        <v>55000</v>
      </c>
      <c r="K799">
        <v>40200</v>
      </c>
      <c r="L799" t="s">
        <v>66</v>
      </c>
      <c r="M799" t="s">
        <v>22</v>
      </c>
      <c r="N799" t="s">
        <v>23</v>
      </c>
      <c r="O799" t="s">
        <v>24</v>
      </c>
      <c r="P799">
        <f>Tableau1_2[[#This Row],[Quantité]]*Tableau1_2[[#This Row],[Prix_Unitaire]]</f>
        <v>495000</v>
      </c>
      <c r="Q799">
        <f>Tableau1_2[[#This Row],[Quantité]]*Tableau1_2[[#This Row],[Coût_Unitaire]]</f>
        <v>361800</v>
      </c>
      <c r="R799">
        <f>Tableau1_2[[#This Row],[CA]]-Tableau1_2[[#This Row],[Cout Total]]</f>
        <v>133200</v>
      </c>
      <c r="S799" s="4">
        <f>Tableau1_2[[#This Row],[Marge]]/Tableau1_2[[#This Row],[CA]]</f>
        <v>0.2690909090909091</v>
      </c>
      <c r="T799" t="str">
        <f>TEXT(Tableau1_2[[#This Row],[Date]],"mmmm")</f>
        <v>juillet</v>
      </c>
    </row>
    <row r="800" spans="1:20" x14ac:dyDescent="0.35">
      <c r="A800" t="s">
        <v>1678</v>
      </c>
      <c r="B800" s="2">
        <v>46182</v>
      </c>
      <c r="C800" t="s">
        <v>416</v>
      </c>
      <c r="D800" t="s">
        <v>988</v>
      </c>
      <c r="E800" t="s">
        <v>18</v>
      </c>
      <c r="F800" t="s">
        <v>18</v>
      </c>
      <c r="G800" t="s">
        <v>34</v>
      </c>
      <c r="H800" t="s">
        <v>158</v>
      </c>
      <c r="I800">
        <v>7</v>
      </c>
      <c r="J800">
        <v>99800</v>
      </c>
      <c r="K800">
        <v>67900</v>
      </c>
      <c r="L800" t="s">
        <v>66</v>
      </c>
      <c r="M800" t="s">
        <v>37</v>
      </c>
      <c r="N800" t="s">
        <v>23</v>
      </c>
      <c r="O800" t="s">
        <v>45</v>
      </c>
      <c r="P800">
        <f>Tableau1_2[[#This Row],[Quantité]]*Tableau1_2[[#This Row],[Prix_Unitaire]]</f>
        <v>698600</v>
      </c>
      <c r="Q800">
        <f>Tableau1_2[[#This Row],[Quantité]]*Tableau1_2[[#This Row],[Coût_Unitaire]]</f>
        <v>475300</v>
      </c>
      <c r="R800">
        <f>Tableau1_2[[#This Row],[CA]]-Tableau1_2[[#This Row],[Cout Total]]</f>
        <v>223300</v>
      </c>
      <c r="S800" s="4">
        <f>Tableau1_2[[#This Row],[Marge]]/Tableau1_2[[#This Row],[CA]]</f>
        <v>0.31963927855711421</v>
      </c>
      <c r="T800" t="str">
        <f>TEXT(Tableau1_2[[#This Row],[Date]],"mmmm")</f>
        <v>juin</v>
      </c>
    </row>
    <row r="801" spans="1:20" x14ac:dyDescent="0.35">
      <c r="A801" t="s">
        <v>1679</v>
      </c>
      <c r="B801" s="2">
        <v>46362</v>
      </c>
      <c r="C801" t="s">
        <v>1342</v>
      </c>
      <c r="D801" t="s">
        <v>1576</v>
      </c>
      <c r="E801" t="s">
        <v>190</v>
      </c>
      <c r="F801" t="s">
        <v>191</v>
      </c>
      <c r="G801" t="s">
        <v>34</v>
      </c>
      <c r="H801" t="s">
        <v>35</v>
      </c>
      <c r="I801">
        <v>7</v>
      </c>
      <c r="J801">
        <v>55000</v>
      </c>
      <c r="K801">
        <v>39000</v>
      </c>
      <c r="L801" t="s">
        <v>36</v>
      </c>
      <c r="M801" t="s">
        <v>37</v>
      </c>
      <c r="N801" t="s">
        <v>87</v>
      </c>
      <c r="O801" t="s">
        <v>24</v>
      </c>
      <c r="P801">
        <f>Tableau1_2[[#This Row],[Quantité]]*Tableau1_2[[#This Row],[Prix_Unitaire]]</f>
        <v>385000</v>
      </c>
      <c r="Q801">
        <f>Tableau1_2[[#This Row],[Quantité]]*Tableau1_2[[#This Row],[Coût_Unitaire]]</f>
        <v>273000</v>
      </c>
      <c r="R801">
        <f>Tableau1_2[[#This Row],[CA]]-Tableau1_2[[#This Row],[Cout Total]]</f>
        <v>112000</v>
      </c>
      <c r="S801" s="4">
        <f>Tableau1_2[[#This Row],[Marge]]/Tableau1_2[[#This Row],[CA]]</f>
        <v>0.29090909090909089</v>
      </c>
      <c r="T801" t="str">
        <f>TEXT(Tableau1_2[[#This Row],[Date]],"mmmm")</f>
        <v>décembre</v>
      </c>
    </row>
    <row r="802" spans="1:20" x14ac:dyDescent="0.35">
      <c r="A802" t="s">
        <v>1680</v>
      </c>
      <c r="B802" s="2">
        <v>46158</v>
      </c>
      <c r="C802" t="s">
        <v>179</v>
      </c>
      <c r="D802" t="s">
        <v>1157</v>
      </c>
      <c r="E802" t="s">
        <v>18</v>
      </c>
      <c r="F802" t="s">
        <v>18</v>
      </c>
      <c r="G802" t="s">
        <v>43</v>
      </c>
      <c r="H802" t="s">
        <v>44</v>
      </c>
      <c r="I802">
        <v>3</v>
      </c>
      <c r="J802">
        <v>15800</v>
      </c>
      <c r="K802">
        <v>9500</v>
      </c>
      <c r="L802" t="s">
        <v>73</v>
      </c>
      <c r="M802" t="s">
        <v>22</v>
      </c>
      <c r="N802" t="s">
        <v>23</v>
      </c>
      <c r="O802" t="s">
        <v>24</v>
      </c>
      <c r="P802">
        <f>Tableau1_2[[#This Row],[Quantité]]*Tableau1_2[[#This Row],[Prix_Unitaire]]</f>
        <v>47400</v>
      </c>
      <c r="Q802">
        <f>Tableau1_2[[#This Row],[Quantité]]*Tableau1_2[[#This Row],[Coût_Unitaire]]</f>
        <v>28500</v>
      </c>
      <c r="R802">
        <f>Tableau1_2[[#This Row],[CA]]-Tableau1_2[[#This Row],[Cout Total]]</f>
        <v>18900</v>
      </c>
      <c r="S802" s="4">
        <f>Tableau1_2[[#This Row],[Marge]]/Tableau1_2[[#This Row],[CA]]</f>
        <v>0.39873417721518989</v>
      </c>
      <c r="T802" t="str">
        <f>TEXT(Tableau1_2[[#This Row],[Date]],"mmmm")</f>
        <v>mai</v>
      </c>
    </row>
    <row r="803" spans="1:20" x14ac:dyDescent="0.35">
      <c r="A803" t="s">
        <v>1681</v>
      </c>
      <c r="B803" s="2">
        <v>46096</v>
      </c>
      <c r="C803" t="s">
        <v>1223</v>
      </c>
      <c r="D803" t="s">
        <v>622</v>
      </c>
      <c r="E803" t="s">
        <v>18</v>
      </c>
      <c r="F803" t="s">
        <v>18</v>
      </c>
      <c r="G803" t="s">
        <v>28</v>
      </c>
      <c r="H803" t="s">
        <v>248</v>
      </c>
      <c r="I803">
        <v>8</v>
      </c>
      <c r="J803">
        <v>25000</v>
      </c>
      <c r="K803">
        <v>15500</v>
      </c>
      <c r="L803" t="s">
        <v>80</v>
      </c>
      <c r="M803" t="s">
        <v>22</v>
      </c>
      <c r="N803" t="s">
        <v>23</v>
      </c>
      <c r="O803" t="s">
        <v>24</v>
      </c>
      <c r="P803">
        <f>Tableau1_2[[#This Row],[Quantité]]*Tableau1_2[[#This Row],[Prix_Unitaire]]</f>
        <v>200000</v>
      </c>
      <c r="Q803">
        <f>Tableau1_2[[#This Row],[Quantité]]*Tableau1_2[[#This Row],[Coût_Unitaire]]</f>
        <v>124000</v>
      </c>
      <c r="R803">
        <f>Tableau1_2[[#This Row],[CA]]-Tableau1_2[[#This Row],[Cout Total]]</f>
        <v>76000</v>
      </c>
      <c r="S803" s="4">
        <f>Tableau1_2[[#This Row],[Marge]]/Tableau1_2[[#This Row],[CA]]</f>
        <v>0.38</v>
      </c>
      <c r="T803" t="str">
        <f>TEXT(Tableau1_2[[#This Row],[Date]],"mmmm")</f>
        <v>mars</v>
      </c>
    </row>
    <row r="804" spans="1:20" x14ac:dyDescent="0.35">
      <c r="A804" t="s">
        <v>1682</v>
      </c>
      <c r="B804" s="2">
        <v>46036</v>
      </c>
      <c r="C804" t="s">
        <v>757</v>
      </c>
      <c r="D804" t="s">
        <v>226</v>
      </c>
      <c r="E804" t="s">
        <v>56</v>
      </c>
      <c r="F804" t="s">
        <v>57</v>
      </c>
      <c r="G804" t="s">
        <v>34</v>
      </c>
      <c r="H804" t="s">
        <v>141</v>
      </c>
      <c r="I804">
        <v>6</v>
      </c>
      <c r="J804">
        <v>160000</v>
      </c>
      <c r="K804">
        <v>123600</v>
      </c>
      <c r="L804" t="s">
        <v>96</v>
      </c>
      <c r="M804" t="s">
        <v>51</v>
      </c>
      <c r="N804" t="s">
        <v>23</v>
      </c>
      <c r="O804" t="s">
        <v>24</v>
      </c>
      <c r="P804">
        <f>Tableau1_2[[#This Row],[Quantité]]*Tableau1_2[[#This Row],[Prix_Unitaire]]</f>
        <v>960000</v>
      </c>
      <c r="Q804">
        <f>Tableau1_2[[#This Row],[Quantité]]*Tableau1_2[[#This Row],[Coût_Unitaire]]</f>
        <v>741600</v>
      </c>
      <c r="R804">
        <f>Tableau1_2[[#This Row],[CA]]-Tableau1_2[[#This Row],[Cout Total]]</f>
        <v>218400</v>
      </c>
      <c r="S804" s="4">
        <f>Tableau1_2[[#This Row],[Marge]]/Tableau1_2[[#This Row],[CA]]</f>
        <v>0.22750000000000001</v>
      </c>
      <c r="T804" t="str">
        <f>TEXT(Tableau1_2[[#This Row],[Date]],"mmmm")</f>
        <v>janvier</v>
      </c>
    </row>
    <row r="805" spans="1:20" x14ac:dyDescent="0.35">
      <c r="A805" t="s">
        <v>1683</v>
      </c>
      <c r="B805" s="2">
        <v>46203</v>
      </c>
      <c r="C805" t="s">
        <v>1532</v>
      </c>
      <c r="D805" t="s">
        <v>267</v>
      </c>
      <c r="E805" t="s">
        <v>56</v>
      </c>
      <c r="F805" t="s">
        <v>57</v>
      </c>
      <c r="G805" t="s">
        <v>28</v>
      </c>
      <c r="H805" t="s">
        <v>65</v>
      </c>
      <c r="I805">
        <v>7</v>
      </c>
      <c r="J805">
        <v>12600</v>
      </c>
      <c r="K805">
        <v>7300</v>
      </c>
      <c r="L805" t="s">
        <v>50</v>
      </c>
      <c r="M805" t="s">
        <v>37</v>
      </c>
      <c r="N805" t="s">
        <v>23</v>
      </c>
      <c r="O805" t="s">
        <v>24</v>
      </c>
      <c r="P805">
        <f>Tableau1_2[[#This Row],[Quantité]]*Tableau1_2[[#This Row],[Prix_Unitaire]]</f>
        <v>88200</v>
      </c>
      <c r="Q805">
        <f>Tableau1_2[[#This Row],[Quantité]]*Tableau1_2[[#This Row],[Coût_Unitaire]]</f>
        <v>51100</v>
      </c>
      <c r="R805">
        <f>Tableau1_2[[#This Row],[CA]]-Tableau1_2[[#This Row],[Cout Total]]</f>
        <v>37100</v>
      </c>
      <c r="S805" s="4">
        <f>Tableau1_2[[#This Row],[Marge]]/Tableau1_2[[#This Row],[CA]]</f>
        <v>0.42063492063492064</v>
      </c>
      <c r="T805" t="str">
        <f>TEXT(Tableau1_2[[#This Row],[Date]],"mmmm")</f>
        <v>juin</v>
      </c>
    </row>
    <row r="806" spans="1:20" x14ac:dyDescent="0.35">
      <c r="A806" t="s">
        <v>1684</v>
      </c>
      <c r="B806" s="2">
        <v>46242</v>
      </c>
      <c r="C806" t="s">
        <v>523</v>
      </c>
      <c r="D806" t="s">
        <v>1136</v>
      </c>
      <c r="E806" t="s">
        <v>18</v>
      </c>
      <c r="F806" t="s">
        <v>18</v>
      </c>
      <c r="G806" t="s">
        <v>28</v>
      </c>
      <c r="H806" t="s">
        <v>131</v>
      </c>
      <c r="I806">
        <v>4</v>
      </c>
      <c r="J806">
        <v>30000</v>
      </c>
      <c r="K806">
        <v>19000</v>
      </c>
      <c r="L806" t="s">
        <v>80</v>
      </c>
      <c r="M806" t="s">
        <v>37</v>
      </c>
      <c r="N806" t="s">
        <v>87</v>
      </c>
      <c r="O806" t="s">
        <v>24</v>
      </c>
      <c r="P806">
        <f>Tableau1_2[[#This Row],[Quantité]]*Tableau1_2[[#This Row],[Prix_Unitaire]]</f>
        <v>120000</v>
      </c>
      <c r="Q806">
        <f>Tableau1_2[[#This Row],[Quantité]]*Tableau1_2[[#This Row],[Coût_Unitaire]]</f>
        <v>76000</v>
      </c>
      <c r="R806">
        <f>Tableau1_2[[#This Row],[CA]]-Tableau1_2[[#This Row],[Cout Total]]</f>
        <v>44000</v>
      </c>
      <c r="S806" s="4">
        <f>Tableau1_2[[#This Row],[Marge]]/Tableau1_2[[#This Row],[CA]]</f>
        <v>0.36666666666666664</v>
      </c>
      <c r="T806" t="str">
        <f>TEXT(Tableau1_2[[#This Row],[Date]],"mmmm")</f>
        <v>août</v>
      </c>
    </row>
    <row r="807" spans="1:20" x14ac:dyDescent="0.35">
      <c r="A807" t="s">
        <v>1685</v>
      </c>
      <c r="B807" s="2">
        <v>46218</v>
      </c>
      <c r="C807" t="s">
        <v>596</v>
      </c>
      <c r="D807" t="s">
        <v>1686</v>
      </c>
      <c r="E807" t="s">
        <v>56</v>
      </c>
      <c r="F807" t="s">
        <v>57</v>
      </c>
      <c r="G807" t="s">
        <v>34</v>
      </c>
      <c r="H807" t="s">
        <v>86</v>
      </c>
      <c r="I807">
        <v>2</v>
      </c>
      <c r="J807">
        <v>180000</v>
      </c>
      <c r="K807">
        <v>131000</v>
      </c>
      <c r="L807" t="s">
        <v>21</v>
      </c>
      <c r="M807" t="s">
        <v>31</v>
      </c>
      <c r="N807" t="s">
        <v>87</v>
      </c>
      <c r="O807" t="s">
        <v>24</v>
      </c>
      <c r="P807">
        <f>Tableau1_2[[#This Row],[Quantité]]*Tableau1_2[[#This Row],[Prix_Unitaire]]</f>
        <v>360000</v>
      </c>
      <c r="Q807">
        <f>Tableau1_2[[#This Row],[Quantité]]*Tableau1_2[[#This Row],[Coût_Unitaire]]</f>
        <v>262000</v>
      </c>
      <c r="R807">
        <f>Tableau1_2[[#This Row],[CA]]-Tableau1_2[[#This Row],[Cout Total]]</f>
        <v>98000</v>
      </c>
      <c r="S807" s="4">
        <f>Tableau1_2[[#This Row],[Marge]]/Tableau1_2[[#This Row],[CA]]</f>
        <v>0.2722222222222222</v>
      </c>
      <c r="T807" t="str">
        <f>TEXT(Tableau1_2[[#This Row],[Date]],"mmmm")</f>
        <v>juillet</v>
      </c>
    </row>
    <row r="808" spans="1:20" x14ac:dyDescent="0.35">
      <c r="A808" t="s">
        <v>1687</v>
      </c>
      <c r="B808" s="2">
        <v>46112</v>
      </c>
      <c r="C808" t="s">
        <v>143</v>
      </c>
      <c r="D808" t="s">
        <v>1554</v>
      </c>
      <c r="E808" t="s">
        <v>56</v>
      </c>
      <c r="F808" t="s">
        <v>57</v>
      </c>
      <c r="G808" t="s">
        <v>34</v>
      </c>
      <c r="H808" t="s">
        <v>141</v>
      </c>
      <c r="I808">
        <v>10</v>
      </c>
      <c r="J808">
        <v>160000</v>
      </c>
      <c r="K808">
        <v>120000</v>
      </c>
      <c r="L808" t="s">
        <v>21</v>
      </c>
      <c r="M808" t="s">
        <v>31</v>
      </c>
      <c r="N808" t="s">
        <v>52</v>
      </c>
      <c r="O808" t="s">
        <v>24</v>
      </c>
      <c r="P808">
        <f>Tableau1_2[[#This Row],[Quantité]]*Tableau1_2[[#This Row],[Prix_Unitaire]]</f>
        <v>1600000</v>
      </c>
      <c r="Q808">
        <f>Tableau1_2[[#This Row],[Quantité]]*Tableau1_2[[#This Row],[Coût_Unitaire]]</f>
        <v>1200000</v>
      </c>
      <c r="R808">
        <f>Tableau1_2[[#This Row],[CA]]-Tableau1_2[[#This Row],[Cout Total]]</f>
        <v>400000</v>
      </c>
      <c r="S808" s="4">
        <f>Tableau1_2[[#This Row],[Marge]]/Tableau1_2[[#This Row],[CA]]</f>
        <v>0.25</v>
      </c>
      <c r="T808" t="str">
        <f>TEXT(Tableau1_2[[#This Row],[Date]],"mmmm")</f>
        <v>mars</v>
      </c>
    </row>
    <row r="809" spans="1:20" x14ac:dyDescent="0.35">
      <c r="A809" t="s">
        <v>1688</v>
      </c>
      <c r="B809" s="2">
        <v>46320</v>
      </c>
      <c r="C809" t="s">
        <v>913</v>
      </c>
      <c r="D809" t="s">
        <v>1689</v>
      </c>
      <c r="E809" t="s">
        <v>41</v>
      </c>
      <c r="F809" t="s">
        <v>42</v>
      </c>
      <c r="G809" t="s">
        <v>34</v>
      </c>
      <c r="H809" t="s">
        <v>95</v>
      </c>
      <c r="I809">
        <v>9</v>
      </c>
      <c r="J809">
        <v>450000</v>
      </c>
      <c r="K809">
        <v>358900</v>
      </c>
      <c r="L809" t="s">
        <v>96</v>
      </c>
      <c r="M809" t="s">
        <v>51</v>
      </c>
      <c r="N809" t="s">
        <v>87</v>
      </c>
      <c r="O809" t="s">
        <v>91</v>
      </c>
      <c r="P809">
        <f>Tableau1_2[[#This Row],[Quantité]]*Tableau1_2[[#This Row],[Prix_Unitaire]]</f>
        <v>4050000</v>
      </c>
      <c r="Q809">
        <f>Tableau1_2[[#This Row],[Quantité]]*Tableau1_2[[#This Row],[Coût_Unitaire]]</f>
        <v>3230100</v>
      </c>
      <c r="R809">
        <f>Tableau1_2[[#This Row],[CA]]-Tableau1_2[[#This Row],[Cout Total]]</f>
        <v>819900</v>
      </c>
      <c r="S809" s="4">
        <f>Tableau1_2[[#This Row],[Marge]]/Tableau1_2[[#This Row],[CA]]</f>
        <v>0.20244444444444445</v>
      </c>
      <c r="T809" t="str">
        <f>TEXT(Tableau1_2[[#This Row],[Date]],"mmmm")</f>
        <v>octobre</v>
      </c>
    </row>
    <row r="810" spans="1:20" x14ac:dyDescent="0.35">
      <c r="A810" t="s">
        <v>1690</v>
      </c>
      <c r="B810" s="2">
        <v>46108</v>
      </c>
      <c r="C810" t="s">
        <v>1245</v>
      </c>
      <c r="D810" t="s">
        <v>1691</v>
      </c>
      <c r="E810" t="s">
        <v>156</v>
      </c>
      <c r="F810" t="s">
        <v>170</v>
      </c>
      <c r="G810" t="s">
        <v>43</v>
      </c>
      <c r="H810" t="s">
        <v>44</v>
      </c>
      <c r="I810">
        <v>1</v>
      </c>
      <c r="J810">
        <v>15000</v>
      </c>
      <c r="K810">
        <v>9200</v>
      </c>
      <c r="L810" t="s">
        <v>80</v>
      </c>
      <c r="M810" t="s">
        <v>51</v>
      </c>
      <c r="N810" t="s">
        <v>87</v>
      </c>
      <c r="O810" t="s">
        <v>24</v>
      </c>
      <c r="P810">
        <f>Tableau1_2[[#This Row],[Quantité]]*Tableau1_2[[#This Row],[Prix_Unitaire]]</f>
        <v>15000</v>
      </c>
      <c r="Q810">
        <f>Tableau1_2[[#This Row],[Quantité]]*Tableau1_2[[#This Row],[Coût_Unitaire]]</f>
        <v>9200</v>
      </c>
      <c r="R810">
        <f>Tableau1_2[[#This Row],[CA]]-Tableau1_2[[#This Row],[Cout Total]]</f>
        <v>5800</v>
      </c>
      <c r="S810" s="4">
        <f>Tableau1_2[[#This Row],[Marge]]/Tableau1_2[[#This Row],[CA]]</f>
        <v>0.38666666666666666</v>
      </c>
      <c r="T810" t="str">
        <f>TEXT(Tableau1_2[[#This Row],[Date]],"mmmm")</f>
        <v>mars</v>
      </c>
    </row>
    <row r="811" spans="1:20" x14ac:dyDescent="0.35">
      <c r="A811" t="s">
        <v>1692</v>
      </c>
      <c r="B811" s="2">
        <v>46055</v>
      </c>
      <c r="C811" t="s">
        <v>1693</v>
      </c>
      <c r="D811" t="s">
        <v>629</v>
      </c>
      <c r="E811" t="s">
        <v>18</v>
      </c>
      <c r="F811" t="s">
        <v>18</v>
      </c>
      <c r="G811" t="s">
        <v>19</v>
      </c>
      <c r="H811" t="s">
        <v>112</v>
      </c>
      <c r="I811">
        <v>5</v>
      </c>
      <c r="J811">
        <v>80800</v>
      </c>
      <c r="K811">
        <v>60100</v>
      </c>
      <c r="L811" t="s">
        <v>66</v>
      </c>
      <c r="M811" t="s">
        <v>37</v>
      </c>
      <c r="N811" t="s">
        <v>52</v>
      </c>
      <c r="O811" t="s">
        <v>91</v>
      </c>
      <c r="P811">
        <f>Tableau1_2[[#This Row],[Quantité]]*Tableau1_2[[#This Row],[Prix_Unitaire]]</f>
        <v>404000</v>
      </c>
      <c r="Q811">
        <f>Tableau1_2[[#This Row],[Quantité]]*Tableau1_2[[#This Row],[Coût_Unitaire]]</f>
        <v>300500</v>
      </c>
      <c r="R811">
        <f>Tableau1_2[[#This Row],[CA]]-Tableau1_2[[#This Row],[Cout Total]]</f>
        <v>103500</v>
      </c>
      <c r="S811" s="4">
        <f>Tableau1_2[[#This Row],[Marge]]/Tableau1_2[[#This Row],[CA]]</f>
        <v>0.25618811881188119</v>
      </c>
      <c r="T811" t="str">
        <f>TEXT(Tableau1_2[[#This Row],[Date]],"mmmm")</f>
        <v>février</v>
      </c>
    </row>
    <row r="812" spans="1:20" x14ac:dyDescent="0.35">
      <c r="A812" t="s">
        <v>1694</v>
      </c>
      <c r="B812" s="2">
        <v>46034</v>
      </c>
      <c r="C812" t="s">
        <v>353</v>
      </c>
      <c r="D812" t="s">
        <v>1377</v>
      </c>
      <c r="E812" t="s">
        <v>41</v>
      </c>
      <c r="F812" t="s">
        <v>42</v>
      </c>
      <c r="G812" t="s">
        <v>28</v>
      </c>
      <c r="H812" t="s">
        <v>72</v>
      </c>
      <c r="I812">
        <v>3</v>
      </c>
      <c r="J812">
        <v>10000</v>
      </c>
      <c r="K812">
        <v>6200</v>
      </c>
      <c r="L812" t="s">
        <v>80</v>
      </c>
      <c r="M812" t="s">
        <v>31</v>
      </c>
      <c r="N812" t="s">
        <v>87</v>
      </c>
      <c r="O812" t="s">
        <v>24</v>
      </c>
      <c r="P812">
        <f>Tableau1_2[[#This Row],[Quantité]]*Tableau1_2[[#This Row],[Prix_Unitaire]]</f>
        <v>30000</v>
      </c>
      <c r="Q812">
        <f>Tableau1_2[[#This Row],[Quantité]]*Tableau1_2[[#This Row],[Coût_Unitaire]]</f>
        <v>18600</v>
      </c>
      <c r="R812">
        <f>Tableau1_2[[#This Row],[CA]]-Tableau1_2[[#This Row],[Cout Total]]</f>
        <v>11400</v>
      </c>
      <c r="S812" s="4">
        <f>Tableau1_2[[#This Row],[Marge]]/Tableau1_2[[#This Row],[CA]]</f>
        <v>0.38</v>
      </c>
      <c r="T812" t="str">
        <f>TEXT(Tableau1_2[[#This Row],[Date]],"mmmm")</f>
        <v>janvier</v>
      </c>
    </row>
    <row r="813" spans="1:20" x14ac:dyDescent="0.35">
      <c r="A813" t="s">
        <v>1695</v>
      </c>
      <c r="B813" s="2">
        <v>46113</v>
      </c>
      <c r="C813" t="s">
        <v>1696</v>
      </c>
      <c r="D813" t="s">
        <v>1099</v>
      </c>
      <c r="E813" t="s">
        <v>18</v>
      </c>
      <c r="F813" t="s">
        <v>18</v>
      </c>
      <c r="G813" t="s">
        <v>28</v>
      </c>
      <c r="H813" t="s">
        <v>72</v>
      </c>
      <c r="I813">
        <v>3</v>
      </c>
      <c r="J813">
        <v>10000</v>
      </c>
      <c r="K813">
        <v>6000</v>
      </c>
      <c r="L813" t="s">
        <v>36</v>
      </c>
      <c r="M813" t="s">
        <v>51</v>
      </c>
      <c r="N813" t="s">
        <v>23</v>
      </c>
      <c r="O813" t="s">
        <v>24</v>
      </c>
      <c r="P813">
        <f>Tableau1_2[[#This Row],[Quantité]]*Tableau1_2[[#This Row],[Prix_Unitaire]]</f>
        <v>30000</v>
      </c>
      <c r="Q813">
        <f>Tableau1_2[[#This Row],[Quantité]]*Tableau1_2[[#This Row],[Coût_Unitaire]]</f>
        <v>18000</v>
      </c>
      <c r="R813">
        <f>Tableau1_2[[#This Row],[CA]]-Tableau1_2[[#This Row],[Cout Total]]</f>
        <v>12000</v>
      </c>
      <c r="S813" s="4">
        <f>Tableau1_2[[#This Row],[Marge]]/Tableau1_2[[#This Row],[CA]]</f>
        <v>0.4</v>
      </c>
      <c r="T813" t="str">
        <f>TEXT(Tableau1_2[[#This Row],[Date]],"mmmm")</f>
        <v>avril</v>
      </c>
    </row>
    <row r="814" spans="1:20" x14ac:dyDescent="0.35">
      <c r="A814" t="s">
        <v>1697</v>
      </c>
      <c r="B814" s="2">
        <v>46196</v>
      </c>
      <c r="C814" t="s">
        <v>1214</v>
      </c>
      <c r="D814" t="s">
        <v>1403</v>
      </c>
      <c r="E814" t="s">
        <v>18</v>
      </c>
      <c r="F814" t="s">
        <v>18</v>
      </c>
      <c r="G814" t="s">
        <v>19</v>
      </c>
      <c r="H814" t="s">
        <v>61</v>
      </c>
      <c r="I814">
        <v>5</v>
      </c>
      <c r="J814">
        <v>209000</v>
      </c>
      <c r="K814">
        <v>164800</v>
      </c>
      <c r="L814" t="s">
        <v>73</v>
      </c>
      <c r="M814" t="s">
        <v>22</v>
      </c>
      <c r="N814" t="s">
        <v>23</v>
      </c>
      <c r="O814" t="s">
        <v>24</v>
      </c>
      <c r="P814">
        <f>Tableau1_2[[#This Row],[Quantité]]*Tableau1_2[[#This Row],[Prix_Unitaire]]</f>
        <v>1045000</v>
      </c>
      <c r="Q814">
        <f>Tableau1_2[[#This Row],[Quantité]]*Tableau1_2[[#This Row],[Coût_Unitaire]]</f>
        <v>824000</v>
      </c>
      <c r="R814">
        <f>Tableau1_2[[#This Row],[CA]]-Tableau1_2[[#This Row],[Cout Total]]</f>
        <v>221000</v>
      </c>
      <c r="S814" s="4">
        <f>Tableau1_2[[#This Row],[Marge]]/Tableau1_2[[#This Row],[CA]]</f>
        <v>0.21148325358851675</v>
      </c>
      <c r="T814" t="str">
        <f>TEXT(Tableau1_2[[#This Row],[Date]],"mmmm")</f>
        <v>juin</v>
      </c>
    </row>
    <row r="815" spans="1:20" x14ac:dyDescent="0.35">
      <c r="A815" t="s">
        <v>1698</v>
      </c>
      <c r="B815" s="2">
        <v>46256</v>
      </c>
      <c r="C815" t="s">
        <v>1051</v>
      </c>
      <c r="D815" t="s">
        <v>1699</v>
      </c>
      <c r="E815" t="s">
        <v>41</v>
      </c>
      <c r="F815" t="s">
        <v>42</v>
      </c>
      <c r="G815" t="s">
        <v>19</v>
      </c>
      <c r="H815" t="s">
        <v>112</v>
      </c>
      <c r="I815">
        <v>10</v>
      </c>
      <c r="J815">
        <v>85000</v>
      </c>
      <c r="K815">
        <v>62000</v>
      </c>
      <c r="L815" t="s">
        <v>66</v>
      </c>
      <c r="M815" t="s">
        <v>31</v>
      </c>
      <c r="N815" t="s">
        <v>23</v>
      </c>
      <c r="O815" t="s">
        <v>24</v>
      </c>
      <c r="P815">
        <f>Tableau1_2[[#This Row],[Quantité]]*Tableau1_2[[#This Row],[Prix_Unitaire]]</f>
        <v>850000</v>
      </c>
      <c r="Q815">
        <f>Tableau1_2[[#This Row],[Quantité]]*Tableau1_2[[#This Row],[Coût_Unitaire]]</f>
        <v>620000</v>
      </c>
      <c r="R815">
        <f>Tableau1_2[[#This Row],[CA]]-Tableau1_2[[#This Row],[Cout Total]]</f>
        <v>230000</v>
      </c>
      <c r="S815" s="4">
        <f>Tableau1_2[[#This Row],[Marge]]/Tableau1_2[[#This Row],[CA]]</f>
        <v>0.27058823529411763</v>
      </c>
      <c r="T815" t="str">
        <f>TEXT(Tableau1_2[[#This Row],[Date]],"mmmm")</f>
        <v>août</v>
      </c>
    </row>
    <row r="816" spans="1:20" x14ac:dyDescent="0.35">
      <c r="A816" t="s">
        <v>1700</v>
      </c>
      <c r="B816" s="2">
        <v>46118</v>
      </c>
      <c r="C816" t="s">
        <v>1701</v>
      </c>
      <c r="D816" t="s">
        <v>1412</v>
      </c>
      <c r="E816" t="s">
        <v>77</v>
      </c>
      <c r="F816" t="s">
        <v>78</v>
      </c>
      <c r="G816" t="s">
        <v>34</v>
      </c>
      <c r="H816" t="s">
        <v>35</v>
      </c>
      <c r="I816">
        <v>8</v>
      </c>
      <c r="J816">
        <v>52200</v>
      </c>
      <c r="K816">
        <v>39000</v>
      </c>
      <c r="L816" t="s">
        <v>21</v>
      </c>
      <c r="M816" t="s">
        <v>31</v>
      </c>
      <c r="N816" t="s">
        <v>23</v>
      </c>
      <c r="O816" t="s">
        <v>24</v>
      </c>
      <c r="P816">
        <f>Tableau1_2[[#This Row],[Quantité]]*Tableau1_2[[#This Row],[Prix_Unitaire]]</f>
        <v>417600</v>
      </c>
      <c r="Q816">
        <f>Tableau1_2[[#This Row],[Quantité]]*Tableau1_2[[#This Row],[Coût_Unitaire]]</f>
        <v>312000</v>
      </c>
      <c r="R816">
        <f>Tableau1_2[[#This Row],[CA]]-Tableau1_2[[#This Row],[Cout Total]]</f>
        <v>105600</v>
      </c>
      <c r="S816" s="4">
        <f>Tableau1_2[[#This Row],[Marge]]/Tableau1_2[[#This Row],[CA]]</f>
        <v>0.25287356321839083</v>
      </c>
      <c r="T816" t="str">
        <f>TEXT(Tableau1_2[[#This Row],[Date]],"mmmm")</f>
        <v>avril</v>
      </c>
    </row>
    <row r="817" spans="1:20" x14ac:dyDescent="0.35">
      <c r="A817" t="s">
        <v>1702</v>
      </c>
      <c r="B817" s="2">
        <v>46355</v>
      </c>
      <c r="C817" t="s">
        <v>649</v>
      </c>
      <c r="D817" t="s">
        <v>713</v>
      </c>
      <c r="E817" t="s">
        <v>156</v>
      </c>
      <c r="F817" t="s">
        <v>170</v>
      </c>
      <c r="G817" t="s">
        <v>34</v>
      </c>
      <c r="H817" t="s">
        <v>95</v>
      </c>
      <c r="I817">
        <v>1</v>
      </c>
      <c r="J817">
        <v>450000</v>
      </c>
      <c r="K817">
        <v>358900</v>
      </c>
      <c r="L817" t="s">
        <v>50</v>
      </c>
      <c r="M817" t="s">
        <v>51</v>
      </c>
      <c r="N817" t="s">
        <v>23</v>
      </c>
      <c r="O817" t="s">
        <v>24</v>
      </c>
      <c r="P817">
        <f>Tableau1_2[[#This Row],[Quantité]]*Tableau1_2[[#This Row],[Prix_Unitaire]]</f>
        <v>450000</v>
      </c>
      <c r="Q817">
        <f>Tableau1_2[[#This Row],[Quantité]]*Tableau1_2[[#This Row],[Coût_Unitaire]]</f>
        <v>358900</v>
      </c>
      <c r="R817">
        <f>Tableau1_2[[#This Row],[CA]]-Tableau1_2[[#This Row],[Cout Total]]</f>
        <v>91100</v>
      </c>
      <c r="S817" s="4">
        <f>Tableau1_2[[#This Row],[Marge]]/Tableau1_2[[#This Row],[CA]]</f>
        <v>0.20244444444444445</v>
      </c>
      <c r="T817" t="str">
        <f>TEXT(Tableau1_2[[#This Row],[Date]],"mmmm")</f>
        <v>novembre</v>
      </c>
    </row>
    <row r="818" spans="1:20" x14ac:dyDescent="0.35">
      <c r="A818" t="s">
        <v>1703</v>
      </c>
      <c r="B818" s="2">
        <v>46233</v>
      </c>
      <c r="C818" t="s">
        <v>350</v>
      </c>
      <c r="D818" t="s">
        <v>576</v>
      </c>
      <c r="E818" t="s">
        <v>41</v>
      </c>
      <c r="F818" t="s">
        <v>42</v>
      </c>
      <c r="G818" t="s">
        <v>43</v>
      </c>
      <c r="H818" t="s">
        <v>162</v>
      </c>
      <c r="I818">
        <v>5</v>
      </c>
      <c r="J818">
        <v>8000</v>
      </c>
      <c r="K818">
        <v>4800</v>
      </c>
      <c r="L818" t="s">
        <v>66</v>
      </c>
      <c r="M818" t="s">
        <v>31</v>
      </c>
      <c r="N818" t="s">
        <v>23</v>
      </c>
      <c r="O818" t="s">
        <v>45</v>
      </c>
      <c r="P818">
        <f>Tableau1_2[[#This Row],[Quantité]]*Tableau1_2[[#This Row],[Prix_Unitaire]]</f>
        <v>40000</v>
      </c>
      <c r="Q818">
        <f>Tableau1_2[[#This Row],[Quantité]]*Tableau1_2[[#This Row],[Coût_Unitaire]]</f>
        <v>24000</v>
      </c>
      <c r="R818">
        <f>Tableau1_2[[#This Row],[CA]]-Tableau1_2[[#This Row],[Cout Total]]</f>
        <v>16000</v>
      </c>
      <c r="S818" s="4">
        <f>Tableau1_2[[#This Row],[Marge]]/Tableau1_2[[#This Row],[CA]]</f>
        <v>0.4</v>
      </c>
      <c r="T818" t="str">
        <f>TEXT(Tableau1_2[[#This Row],[Date]],"mmmm")</f>
        <v>juillet</v>
      </c>
    </row>
    <row r="819" spans="1:20" x14ac:dyDescent="0.35">
      <c r="A819" t="s">
        <v>1704</v>
      </c>
      <c r="B819" s="2">
        <v>46294</v>
      </c>
      <c r="C819" t="s">
        <v>1134</v>
      </c>
      <c r="D819" t="s">
        <v>646</v>
      </c>
      <c r="E819" t="s">
        <v>84</v>
      </c>
      <c r="F819" t="s">
        <v>85</v>
      </c>
      <c r="G819" t="s">
        <v>34</v>
      </c>
      <c r="H819" t="s">
        <v>158</v>
      </c>
      <c r="I819">
        <v>5</v>
      </c>
      <c r="J819">
        <v>99800</v>
      </c>
      <c r="K819">
        <v>72100</v>
      </c>
      <c r="L819" t="s">
        <v>80</v>
      </c>
      <c r="M819" t="s">
        <v>51</v>
      </c>
      <c r="N819" t="s">
        <v>23</v>
      </c>
      <c r="O819" t="s">
        <v>24</v>
      </c>
      <c r="P819">
        <f>Tableau1_2[[#This Row],[Quantité]]*Tableau1_2[[#This Row],[Prix_Unitaire]]</f>
        <v>499000</v>
      </c>
      <c r="Q819">
        <f>Tableau1_2[[#This Row],[Quantité]]*Tableau1_2[[#This Row],[Coût_Unitaire]]</f>
        <v>360500</v>
      </c>
      <c r="R819">
        <f>Tableau1_2[[#This Row],[CA]]-Tableau1_2[[#This Row],[Cout Total]]</f>
        <v>138500</v>
      </c>
      <c r="S819" s="4">
        <f>Tableau1_2[[#This Row],[Marge]]/Tableau1_2[[#This Row],[CA]]</f>
        <v>0.27755511022044088</v>
      </c>
      <c r="T819" t="str">
        <f>TEXT(Tableau1_2[[#This Row],[Date]],"mmmm")</f>
        <v>septembre</v>
      </c>
    </row>
    <row r="820" spans="1:20" x14ac:dyDescent="0.35">
      <c r="A820" t="s">
        <v>1705</v>
      </c>
      <c r="B820" s="2">
        <v>46106</v>
      </c>
      <c r="C820" t="s">
        <v>749</v>
      </c>
      <c r="D820" t="s">
        <v>613</v>
      </c>
      <c r="E820" t="s">
        <v>156</v>
      </c>
      <c r="F820" t="s">
        <v>170</v>
      </c>
      <c r="G820" t="s">
        <v>43</v>
      </c>
      <c r="H820" t="s">
        <v>177</v>
      </c>
      <c r="I820">
        <v>3</v>
      </c>
      <c r="J820">
        <v>17100</v>
      </c>
      <c r="K820">
        <v>12100</v>
      </c>
      <c r="L820" t="s">
        <v>80</v>
      </c>
      <c r="M820" t="s">
        <v>51</v>
      </c>
      <c r="N820" t="s">
        <v>87</v>
      </c>
      <c r="O820" t="s">
        <v>24</v>
      </c>
      <c r="P820">
        <f>Tableau1_2[[#This Row],[Quantité]]*Tableau1_2[[#This Row],[Prix_Unitaire]]</f>
        <v>51300</v>
      </c>
      <c r="Q820">
        <f>Tableau1_2[[#This Row],[Quantité]]*Tableau1_2[[#This Row],[Coût_Unitaire]]</f>
        <v>36300</v>
      </c>
      <c r="R820">
        <f>Tableau1_2[[#This Row],[CA]]-Tableau1_2[[#This Row],[Cout Total]]</f>
        <v>15000</v>
      </c>
      <c r="S820" s="4">
        <f>Tableau1_2[[#This Row],[Marge]]/Tableau1_2[[#This Row],[CA]]</f>
        <v>0.29239766081871343</v>
      </c>
      <c r="T820" t="str">
        <f>TEXT(Tableau1_2[[#This Row],[Date]],"mmmm")</f>
        <v>mars</v>
      </c>
    </row>
    <row r="821" spans="1:20" x14ac:dyDescent="0.35">
      <c r="A821" t="s">
        <v>1706</v>
      </c>
      <c r="B821" s="2">
        <v>46360</v>
      </c>
      <c r="C821" t="s">
        <v>1192</v>
      </c>
      <c r="D821" t="s">
        <v>1707</v>
      </c>
      <c r="E821" t="s">
        <v>70</v>
      </c>
      <c r="F821" t="s">
        <v>71</v>
      </c>
      <c r="G821" t="s">
        <v>43</v>
      </c>
      <c r="H821" t="s">
        <v>49</v>
      </c>
      <c r="I821">
        <v>7</v>
      </c>
      <c r="J821">
        <v>9400</v>
      </c>
      <c r="K821">
        <v>6000</v>
      </c>
      <c r="L821" t="s">
        <v>73</v>
      </c>
      <c r="M821" t="s">
        <v>51</v>
      </c>
      <c r="N821" t="s">
        <v>23</v>
      </c>
      <c r="O821" t="s">
        <v>24</v>
      </c>
      <c r="P821">
        <f>Tableau1_2[[#This Row],[Quantité]]*Tableau1_2[[#This Row],[Prix_Unitaire]]</f>
        <v>65800</v>
      </c>
      <c r="Q821">
        <f>Tableau1_2[[#This Row],[Quantité]]*Tableau1_2[[#This Row],[Coût_Unitaire]]</f>
        <v>42000</v>
      </c>
      <c r="R821">
        <f>Tableau1_2[[#This Row],[CA]]-Tableau1_2[[#This Row],[Cout Total]]</f>
        <v>23800</v>
      </c>
      <c r="S821" s="4">
        <f>Tableau1_2[[#This Row],[Marge]]/Tableau1_2[[#This Row],[CA]]</f>
        <v>0.36170212765957449</v>
      </c>
      <c r="T821" t="str">
        <f>TEXT(Tableau1_2[[#This Row],[Date]],"mmmm")</f>
        <v>décembre</v>
      </c>
    </row>
    <row r="822" spans="1:20" x14ac:dyDescent="0.35">
      <c r="A822" t="s">
        <v>1708</v>
      </c>
      <c r="B822" s="2">
        <v>46051</v>
      </c>
      <c r="C822" t="s">
        <v>618</v>
      </c>
      <c r="D822" t="s">
        <v>546</v>
      </c>
      <c r="E822" t="s">
        <v>156</v>
      </c>
      <c r="F822" t="s">
        <v>157</v>
      </c>
      <c r="G822" t="s">
        <v>43</v>
      </c>
      <c r="H822" t="s">
        <v>44</v>
      </c>
      <c r="I822">
        <v>5</v>
      </c>
      <c r="J822">
        <v>15800</v>
      </c>
      <c r="K822">
        <v>9200</v>
      </c>
      <c r="L822" t="s">
        <v>36</v>
      </c>
      <c r="M822" t="s">
        <v>51</v>
      </c>
      <c r="N822" t="s">
        <v>52</v>
      </c>
      <c r="O822" t="s">
        <v>24</v>
      </c>
      <c r="P822">
        <f>Tableau1_2[[#This Row],[Quantité]]*Tableau1_2[[#This Row],[Prix_Unitaire]]</f>
        <v>79000</v>
      </c>
      <c r="Q822">
        <f>Tableau1_2[[#This Row],[Quantité]]*Tableau1_2[[#This Row],[Coût_Unitaire]]</f>
        <v>46000</v>
      </c>
      <c r="R822">
        <f>Tableau1_2[[#This Row],[CA]]-Tableau1_2[[#This Row],[Cout Total]]</f>
        <v>33000</v>
      </c>
      <c r="S822" s="4">
        <f>Tableau1_2[[#This Row],[Marge]]/Tableau1_2[[#This Row],[CA]]</f>
        <v>0.41772151898734178</v>
      </c>
      <c r="T822" t="str">
        <f>TEXT(Tableau1_2[[#This Row],[Date]],"mmmm")</f>
        <v>janvier</v>
      </c>
    </row>
    <row r="823" spans="1:20" x14ac:dyDescent="0.35">
      <c r="A823" t="s">
        <v>1709</v>
      </c>
      <c r="B823" s="2">
        <v>46073</v>
      </c>
      <c r="C823" t="s">
        <v>1085</v>
      </c>
      <c r="D823" t="s">
        <v>1028</v>
      </c>
      <c r="E823" t="s">
        <v>18</v>
      </c>
      <c r="F823" t="s">
        <v>18</v>
      </c>
      <c r="G823" t="s">
        <v>34</v>
      </c>
      <c r="H823" t="s">
        <v>141</v>
      </c>
      <c r="I823">
        <v>6</v>
      </c>
      <c r="J823">
        <v>168000</v>
      </c>
      <c r="K823">
        <v>120000</v>
      </c>
      <c r="L823" t="s">
        <v>50</v>
      </c>
      <c r="M823" t="s">
        <v>37</v>
      </c>
      <c r="N823" t="s">
        <v>52</v>
      </c>
      <c r="O823" t="s">
        <v>24</v>
      </c>
      <c r="P823">
        <f>Tableau1_2[[#This Row],[Quantité]]*Tableau1_2[[#This Row],[Prix_Unitaire]]</f>
        <v>1008000</v>
      </c>
      <c r="Q823">
        <f>Tableau1_2[[#This Row],[Quantité]]*Tableau1_2[[#This Row],[Coût_Unitaire]]</f>
        <v>720000</v>
      </c>
      <c r="R823">
        <f>Tableau1_2[[#This Row],[CA]]-Tableau1_2[[#This Row],[Cout Total]]</f>
        <v>288000</v>
      </c>
      <c r="S823" s="4">
        <f>Tableau1_2[[#This Row],[Marge]]/Tableau1_2[[#This Row],[CA]]</f>
        <v>0.2857142857142857</v>
      </c>
      <c r="T823" t="str">
        <f>TEXT(Tableau1_2[[#This Row],[Date]],"mmmm")</f>
        <v>février</v>
      </c>
    </row>
    <row r="824" spans="1:20" x14ac:dyDescent="0.35">
      <c r="A824" t="s">
        <v>1710</v>
      </c>
      <c r="B824" s="2">
        <v>46042</v>
      </c>
      <c r="C824" t="s">
        <v>104</v>
      </c>
      <c r="D824" t="s">
        <v>979</v>
      </c>
      <c r="E824" t="s">
        <v>156</v>
      </c>
      <c r="F824" t="s">
        <v>157</v>
      </c>
      <c r="G824" t="s">
        <v>28</v>
      </c>
      <c r="H824" t="s">
        <v>248</v>
      </c>
      <c r="I824">
        <v>1</v>
      </c>
      <c r="J824">
        <v>25000</v>
      </c>
      <c r="K824">
        <v>16000</v>
      </c>
      <c r="L824" t="s">
        <v>96</v>
      </c>
      <c r="M824" t="s">
        <v>22</v>
      </c>
      <c r="N824" t="s">
        <v>23</v>
      </c>
      <c r="O824" t="s">
        <v>24</v>
      </c>
      <c r="P824">
        <f>Tableau1_2[[#This Row],[Quantité]]*Tableau1_2[[#This Row],[Prix_Unitaire]]</f>
        <v>25000</v>
      </c>
      <c r="Q824">
        <f>Tableau1_2[[#This Row],[Quantité]]*Tableau1_2[[#This Row],[Coût_Unitaire]]</f>
        <v>16000</v>
      </c>
      <c r="R824">
        <f>Tableau1_2[[#This Row],[CA]]-Tableau1_2[[#This Row],[Cout Total]]</f>
        <v>9000</v>
      </c>
      <c r="S824" s="4">
        <f>Tableau1_2[[#This Row],[Marge]]/Tableau1_2[[#This Row],[CA]]</f>
        <v>0.36</v>
      </c>
      <c r="T824" t="str">
        <f>TEXT(Tableau1_2[[#This Row],[Date]],"mmmm")</f>
        <v>janvier</v>
      </c>
    </row>
    <row r="825" spans="1:20" x14ac:dyDescent="0.35">
      <c r="A825" t="s">
        <v>1711</v>
      </c>
      <c r="B825" s="2">
        <v>46370</v>
      </c>
      <c r="C825" t="s">
        <v>382</v>
      </c>
      <c r="D825" t="s">
        <v>306</v>
      </c>
      <c r="E825" t="s">
        <v>18</v>
      </c>
      <c r="F825" t="s">
        <v>18</v>
      </c>
      <c r="G825" t="s">
        <v>19</v>
      </c>
      <c r="H825" t="s">
        <v>112</v>
      </c>
      <c r="I825">
        <v>6</v>
      </c>
      <c r="J825">
        <v>89200</v>
      </c>
      <c r="K825">
        <v>60100</v>
      </c>
      <c r="L825" t="s">
        <v>30</v>
      </c>
      <c r="M825" t="s">
        <v>37</v>
      </c>
      <c r="N825" t="s">
        <v>23</v>
      </c>
      <c r="O825" t="s">
        <v>24</v>
      </c>
      <c r="P825">
        <f>Tableau1_2[[#This Row],[Quantité]]*Tableau1_2[[#This Row],[Prix_Unitaire]]</f>
        <v>535200</v>
      </c>
      <c r="Q825">
        <f>Tableau1_2[[#This Row],[Quantité]]*Tableau1_2[[#This Row],[Coût_Unitaire]]</f>
        <v>360600</v>
      </c>
      <c r="R825">
        <f>Tableau1_2[[#This Row],[CA]]-Tableau1_2[[#This Row],[Cout Total]]</f>
        <v>174600</v>
      </c>
      <c r="S825" s="4">
        <f>Tableau1_2[[#This Row],[Marge]]/Tableau1_2[[#This Row],[CA]]</f>
        <v>0.32623318385650224</v>
      </c>
      <c r="T825" t="str">
        <f>TEXT(Tableau1_2[[#This Row],[Date]],"mmmm")</f>
        <v>décembre</v>
      </c>
    </row>
    <row r="826" spans="1:20" x14ac:dyDescent="0.35">
      <c r="A826" t="s">
        <v>1712</v>
      </c>
      <c r="B826" s="2">
        <v>46112</v>
      </c>
      <c r="C826" t="s">
        <v>927</v>
      </c>
      <c r="D826" t="s">
        <v>465</v>
      </c>
      <c r="E826" t="s">
        <v>56</v>
      </c>
      <c r="F826" t="s">
        <v>57</v>
      </c>
      <c r="G826" t="s">
        <v>34</v>
      </c>
      <c r="H826" t="s">
        <v>86</v>
      </c>
      <c r="I826">
        <v>5</v>
      </c>
      <c r="J826">
        <v>189000</v>
      </c>
      <c r="K826">
        <v>135000</v>
      </c>
      <c r="L826" t="s">
        <v>36</v>
      </c>
      <c r="M826" t="s">
        <v>51</v>
      </c>
      <c r="N826" t="s">
        <v>52</v>
      </c>
      <c r="O826" t="s">
        <v>24</v>
      </c>
      <c r="P826">
        <f>Tableau1_2[[#This Row],[Quantité]]*Tableau1_2[[#This Row],[Prix_Unitaire]]</f>
        <v>945000</v>
      </c>
      <c r="Q826">
        <f>Tableau1_2[[#This Row],[Quantité]]*Tableau1_2[[#This Row],[Coût_Unitaire]]</f>
        <v>675000</v>
      </c>
      <c r="R826">
        <f>Tableau1_2[[#This Row],[CA]]-Tableau1_2[[#This Row],[Cout Total]]</f>
        <v>270000</v>
      </c>
      <c r="S826" s="4">
        <f>Tableau1_2[[#This Row],[Marge]]/Tableau1_2[[#This Row],[CA]]</f>
        <v>0.2857142857142857</v>
      </c>
      <c r="T826" t="str">
        <f>TEXT(Tableau1_2[[#This Row],[Date]],"mmmm")</f>
        <v>mars</v>
      </c>
    </row>
    <row r="827" spans="1:20" x14ac:dyDescent="0.35">
      <c r="A827" t="s">
        <v>1713</v>
      </c>
      <c r="B827" s="2">
        <v>46305</v>
      </c>
      <c r="C827" t="s">
        <v>293</v>
      </c>
      <c r="D827" t="s">
        <v>1202</v>
      </c>
      <c r="E827" t="s">
        <v>56</v>
      </c>
      <c r="F827" t="s">
        <v>57</v>
      </c>
      <c r="G827" t="s">
        <v>28</v>
      </c>
      <c r="H827" t="s">
        <v>248</v>
      </c>
      <c r="I827">
        <v>6</v>
      </c>
      <c r="J827">
        <v>25000</v>
      </c>
      <c r="K827">
        <v>15500</v>
      </c>
      <c r="L827" t="s">
        <v>96</v>
      </c>
      <c r="M827" t="s">
        <v>37</v>
      </c>
      <c r="N827" t="s">
        <v>52</v>
      </c>
      <c r="O827" t="s">
        <v>91</v>
      </c>
      <c r="P827">
        <f>Tableau1_2[[#This Row],[Quantité]]*Tableau1_2[[#This Row],[Prix_Unitaire]]</f>
        <v>150000</v>
      </c>
      <c r="Q827">
        <f>Tableau1_2[[#This Row],[Quantité]]*Tableau1_2[[#This Row],[Coût_Unitaire]]</f>
        <v>93000</v>
      </c>
      <c r="R827">
        <f>Tableau1_2[[#This Row],[CA]]-Tableau1_2[[#This Row],[Cout Total]]</f>
        <v>57000</v>
      </c>
      <c r="S827" s="4">
        <f>Tableau1_2[[#This Row],[Marge]]/Tableau1_2[[#This Row],[CA]]</f>
        <v>0.38</v>
      </c>
      <c r="T827" t="str">
        <f>TEXT(Tableau1_2[[#This Row],[Date]],"mmmm")</f>
        <v>octobre</v>
      </c>
    </row>
    <row r="828" spans="1:20" x14ac:dyDescent="0.35">
      <c r="A828" t="s">
        <v>1714</v>
      </c>
      <c r="B828" s="2">
        <v>46185</v>
      </c>
      <c r="C828" t="s">
        <v>1715</v>
      </c>
      <c r="D828" t="s">
        <v>1573</v>
      </c>
      <c r="E828" t="s">
        <v>41</v>
      </c>
      <c r="F828" t="s">
        <v>42</v>
      </c>
      <c r="G828" t="s">
        <v>34</v>
      </c>
      <c r="H828" t="s">
        <v>35</v>
      </c>
      <c r="I828">
        <v>3</v>
      </c>
      <c r="J828">
        <v>55000</v>
      </c>
      <c r="K828">
        <v>39000</v>
      </c>
      <c r="L828" t="s">
        <v>36</v>
      </c>
      <c r="M828" t="s">
        <v>22</v>
      </c>
      <c r="N828" t="s">
        <v>23</v>
      </c>
      <c r="O828" t="s">
        <v>24</v>
      </c>
      <c r="P828">
        <f>Tableau1_2[[#This Row],[Quantité]]*Tableau1_2[[#This Row],[Prix_Unitaire]]</f>
        <v>165000</v>
      </c>
      <c r="Q828">
        <f>Tableau1_2[[#This Row],[Quantité]]*Tableau1_2[[#This Row],[Coût_Unitaire]]</f>
        <v>117000</v>
      </c>
      <c r="R828">
        <f>Tableau1_2[[#This Row],[CA]]-Tableau1_2[[#This Row],[Cout Total]]</f>
        <v>48000</v>
      </c>
      <c r="S828" s="4">
        <f>Tableau1_2[[#This Row],[Marge]]/Tableau1_2[[#This Row],[CA]]</f>
        <v>0.29090909090909089</v>
      </c>
      <c r="T828" t="str">
        <f>TEXT(Tableau1_2[[#This Row],[Date]],"mmmm")</f>
        <v>juin</v>
      </c>
    </row>
    <row r="829" spans="1:20" x14ac:dyDescent="0.35">
      <c r="A829" t="s">
        <v>1716</v>
      </c>
      <c r="B829" s="2">
        <v>46321</v>
      </c>
      <c r="C829" t="s">
        <v>1266</v>
      </c>
      <c r="D829" t="s">
        <v>1717</v>
      </c>
      <c r="E829" t="s">
        <v>156</v>
      </c>
      <c r="F829" t="s">
        <v>157</v>
      </c>
      <c r="G829" t="s">
        <v>43</v>
      </c>
      <c r="H829" t="s">
        <v>79</v>
      </c>
      <c r="I829">
        <v>5</v>
      </c>
      <c r="J829">
        <v>6000</v>
      </c>
      <c r="K829">
        <v>4100</v>
      </c>
      <c r="L829" t="s">
        <v>73</v>
      </c>
      <c r="M829" t="s">
        <v>31</v>
      </c>
      <c r="N829" t="s">
        <v>23</v>
      </c>
      <c r="O829" t="s">
        <v>91</v>
      </c>
      <c r="P829">
        <f>Tableau1_2[[#This Row],[Quantité]]*Tableau1_2[[#This Row],[Prix_Unitaire]]</f>
        <v>30000</v>
      </c>
      <c r="Q829">
        <f>Tableau1_2[[#This Row],[Quantité]]*Tableau1_2[[#This Row],[Coût_Unitaire]]</f>
        <v>20500</v>
      </c>
      <c r="R829">
        <f>Tableau1_2[[#This Row],[CA]]-Tableau1_2[[#This Row],[Cout Total]]</f>
        <v>9500</v>
      </c>
      <c r="S829" s="4">
        <f>Tableau1_2[[#This Row],[Marge]]/Tableau1_2[[#This Row],[CA]]</f>
        <v>0.31666666666666665</v>
      </c>
      <c r="T829" t="str">
        <f>TEXT(Tableau1_2[[#This Row],[Date]],"mmmm")</f>
        <v>octobre</v>
      </c>
    </row>
    <row r="830" spans="1:20" x14ac:dyDescent="0.35">
      <c r="A830" t="s">
        <v>1718</v>
      </c>
      <c r="B830" s="2">
        <v>46379</v>
      </c>
      <c r="C830" t="s">
        <v>481</v>
      </c>
      <c r="D830" t="s">
        <v>144</v>
      </c>
      <c r="E830" t="s">
        <v>18</v>
      </c>
      <c r="F830" t="s">
        <v>18</v>
      </c>
      <c r="G830" t="s">
        <v>19</v>
      </c>
      <c r="H830" t="s">
        <v>20</v>
      </c>
      <c r="I830">
        <v>8</v>
      </c>
      <c r="J830">
        <v>65000</v>
      </c>
      <c r="K830">
        <v>45000</v>
      </c>
      <c r="L830" t="s">
        <v>66</v>
      </c>
      <c r="M830" t="s">
        <v>37</v>
      </c>
      <c r="N830" t="s">
        <v>52</v>
      </c>
      <c r="O830" t="s">
        <v>24</v>
      </c>
      <c r="P830">
        <f>Tableau1_2[[#This Row],[Quantité]]*Tableau1_2[[#This Row],[Prix_Unitaire]]</f>
        <v>520000</v>
      </c>
      <c r="Q830">
        <f>Tableau1_2[[#This Row],[Quantité]]*Tableau1_2[[#This Row],[Coût_Unitaire]]</f>
        <v>360000</v>
      </c>
      <c r="R830">
        <f>Tableau1_2[[#This Row],[CA]]-Tableau1_2[[#This Row],[Cout Total]]</f>
        <v>160000</v>
      </c>
      <c r="S830" s="4">
        <f>Tableau1_2[[#This Row],[Marge]]/Tableau1_2[[#This Row],[CA]]</f>
        <v>0.30769230769230771</v>
      </c>
      <c r="T830" t="str">
        <f>TEXT(Tableau1_2[[#This Row],[Date]],"mmmm")</f>
        <v>décembre</v>
      </c>
    </row>
    <row r="831" spans="1:20" x14ac:dyDescent="0.35">
      <c r="A831" t="s">
        <v>1719</v>
      </c>
      <c r="B831" s="2">
        <v>46158</v>
      </c>
      <c r="C831" t="s">
        <v>1056</v>
      </c>
      <c r="D831" t="s">
        <v>1141</v>
      </c>
      <c r="E831" t="s">
        <v>18</v>
      </c>
      <c r="F831" t="s">
        <v>18</v>
      </c>
      <c r="G831" t="s">
        <v>43</v>
      </c>
      <c r="H831" t="s">
        <v>44</v>
      </c>
      <c r="I831">
        <v>8</v>
      </c>
      <c r="J831">
        <v>15000</v>
      </c>
      <c r="K831">
        <v>9800</v>
      </c>
      <c r="L831" t="s">
        <v>30</v>
      </c>
      <c r="M831" t="s">
        <v>37</v>
      </c>
      <c r="N831" t="s">
        <v>23</v>
      </c>
      <c r="O831" t="s">
        <v>91</v>
      </c>
      <c r="P831">
        <f>Tableau1_2[[#This Row],[Quantité]]*Tableau1_2[[#This Row],[Prix_Unitaire]]</f>
        <v>120000</v>
      </c>
      <c r="Q831">
        <f>Tableau1_2[[#This Row],[Quantité]]*Tableau1_2[[#This Row],[Coût_Unitaire]]</f>
        <v>78400</v>
      </c>
      <c r="R831">
        <f>Tableau1_2[[#This Row],[CA]]-Tableau1_2[[#This Row],[Cout Total]]</f>
        <v>41600</v>
      </c>
      <c r="S831" s="4">
        <f>Tableau1_2[[#This Row],[Marge]]/Tableau1_2[[#This Row],[CA]]</f>
        <v>0.34666666666666668</v>
      </c>
      <c r="T831" t="str">
        <f>TEXT(Tableau1_2[[#This Row],[Date]],"mmmm")</f>
        <v>mai</v>
      </c>
    </row>
    <row r="832" spans="1:20" x14ac:dyDescent="0.35">
      <c r="A832" t="s">
        <v>1720</v>
      </c>
      <c r="B832" s="2">
        <v>46195</v>
      </c>
      <c r="C832" t="s">
        <v>1527</v>
      </c>
      <c r="D832" t="s">
        <v>1559</v>
      </c>
      <c r="E832" t="s">
        <v>41</v>
      </c>
      <c r="F832" t="s">
        <v>42</v>
      </c>
      <c r="G832" t="s">
        <v>19</v>
      </c>
      <c r="H832" t="s">
        <v>61</v>
      </c>
      <c r="I832">
        <v>7</v>
      </c>
      <c r="J832">
        <v>220000</v>
      </c>
      <c r="K832">
        <v>164800</v>
      </c>
      <c r="L832" t="s">
        <v>50</v>
      </c>
      <c r="M832" t="s">
        <v>31</v>
      </c>
      <c r="N832" t="s">
        <v>87</v>
      </c>
      <c r="O832" t="s">
        <v>24</v>
      </c>
      <c r="P832">
        <f>Tableau1_2[[#This Row],[Quantité]]*Tableau1_2[[#This Row],[Prix_Unitaire]]</f>
        <v>1540000</v>
      </c>
      <c r="Q832">
        <f>Tableau1_2[[#This Row],[Quantité]]*Tableau1_2[[#This Row],[Coût_Unitaire]]</f>
        <v>1153600</v>
      </c>
      <c r="R832">
        <f>Tableau1_2[[#This Row],[CA]]-Tableau1_2[[#This Row],[Cout Total]]</f>
        <v>386400</v>
      </c>
      <c r="S832" s="4">
        <f>Tableau1_2[[#This Row],[Marge]]/Tableau1_2[[#This Row],[CA]]</f>
        <v>0.25090909090909091</v>
      </c>
      <c r="T832" t="str">
        <f>TEXT(Tableau1_2[[#This Row],[Date]],"mmmm")</f>
        <v>juin</v>
      </c>
    </row>
    <row r="833" spans="1:20" x14ac:dyDescent="0.35">
      <c r="A833" t="s">
        <v>1721</v>
      </c>
      <c r="B833" s="2">
        <v>46284</v>
      </c>
      <c r="C833" t="s">
        <v>537</v>
      </c>
      <c r="D833" t="s">
        <v>1079</v>
      </c>
      <c r="E833" t="s">
        <v>70</v>
      </c>
      <c r="F833" t="s">
        <v>71</v>
      </c>
      <c r="G833" t="s">
        <v>28</v>
      </c>
      <c r="H833" t="s">
        <v>72</v>
      </c>
      <c r="I833">
        <v>5</v>
      </c>
      <c r="J833">
        <v>10000</v>
      </c>
      <c r="K833">
        <v>6000</v>
      </c>
      <c r="L833" t="s">
        <v>96</v>
      </c>
      <c r="M833" t="s">
        <v>51</v>
      </c>
      <c r="N833" t="s">
        <v>52</v>
      </c>
      <c r="O833" t="s">
        <v>24</v>
      </c>
      <c r="P833">
        <f>Tableau1_2[[#This Row],[Quantité]]*Tableau1_2[[#This Row],[Prix_Unitaire]]</f>
        <v>50000</v>
      </c>
      <c r="Q833">
        <f>Tableau1_2[[#This Row],[Quantité]]*Tableau1_2[[#This Row],[Coût_Unitaire]]</f>
        <v>30000</v>
      </c>
      <c r="R833">
        <f>Tableau1_2[[#This Row],[CA]]-Tableau1_2[[#This Row],[Cout Total]]</f>
        <v>20000</v>
      </c>
      <c r="S833" s="4">
        <f>Tableau1_2[[#This Row],[Marge]]/Tableau1_2[[#This Row],[CA]]</f>
        <v>0.4</v>
      </c>
      <c r="T833" t="str">
        <f>TEXT(Tableau1_2[[#This Row],[Date]],"mmmm")</f>
        <v>septembre</v>
      </c>
    </row>
    <row r="834" spans="1:20" x14ac:dyDescent="0.35">
      <c r="A834" t="s">
        <v>1722</v>
      </c>
      <c r="B834" s="2">
        <v>46236</v>
      </c>
      <c r="C834" t="s">
        <v>832</v>
      </c>
      <c r="D834" t="s">
        <v>1427</v>
      </c>
      <c r="E834" t="s">
        <v>18</v>
      </c>
      <c r="F834" t="s">
        <v>18</v>
      </c>
      <c r="G834" t="s">
        <v>43</v>
      </c>
      <c r="H834" t="s">
        <v>49</v>
      </c>
      <c r="I834">
        <v>4</v>
      </c>
      <c r="J834">
        <v>8600</v>
      </c>
      <c r="K834">
        <v>5600</v>
      </c>
      <c r="L834" t="s">
        <v>30</v>
      </c>
      <c r="M834" t="s">
        <v>51</v>
      </c>
      <c r="N834" t="s">
        <v>23</v>
      </c>
      <c r="O834" t="s">
        <v>24</v>
      </c>
      <c r="P834">
        <f>Tableau1_2[[#This Row],[Quantité]]*Tableau1_2[[#This Row],[Prix_Unitaire]]</f>
        <v>34400</v>
      </c>
      <c r="Q834">
        <f>Tableau1_2[[#This Row],[Quantité]]*Tableau1_2[[#This Row],[Coût_Unitaire]]</f>
        <v>22400</v>
      </c>
      <c r="R834">
        <f>Tableau1_2[[#This Row],[CA]]-Tableau1_2[[#This Row],[Cout Total]]</f>
        <v>12000</v>
      </c>
      <c r="S834" s="4">
        <f>Tableau1_2[[#This Row],[Marge]]/Tableau1_2[[#This Row],[CA]]</f>
        <v>0.34883720930232559</v>
      </c>
      <c r="T834" t="str">
        <f>TEXT(Tableau1_2[[#This Row],[Date]],"mmmm")</f>
        <v>août</v>
      </c>
    </row>
    <row r="835" spans="1:20" x14ac:dyDescent="0.35">
      <c r="A835" t="s">
        <v>1723</v>
      </c>
      <c r="B835" s="2">
        <v>46335</v>
      </c>
      <c r="C835" t="s">
        <v>373</v>
      </c>
      <c r="D835" t="s">
        <v>854</v>
      </c>
      <c r="E835" t="s">
        <v>70</v>
      </c>
      <c r="F835" t="s">
        <v>71</v>
      </c>
      <c r="G835" t="s">
        <v>34</v>
      </c>
      <c r="H835" t="s">
        <v>86</v>
      </c>
      <c r="I835">
        <v>8</v>
      </c>
      <c r="J835">
        <v>171000</v>
      </c>
      <c r="K835">
        <v>135000</v>
      </c>
      <c r="L835" t="s">
        <v>36</v>
      </c>
      <c r="M835" t="s">
        <v>31</v>
      </c>
      <c r="N835" t="s">
        <v>23</v>
      </c>
      <c r="O835" t="s">
        <v>24</v>
      </c>
      <c r="P835">
        <f>Tableau1_2[[#This Row],[Quantité]]*Tableau1_2[[#This Row],[Prix_Unitaire]]</f>
        <v>1368000</v>
      </c>
      <c r="Q835">
        <f>Tableau1_2[[#This Row],[Quantité]]*Tableau1_2[[#This Row],[Coût_Unitaire]]</f>
        <v>1080000</v>
      </c>
      <c r="R835">
        <f>Tableau1_2[[#This Row],[CA]]-Tableau1_2[[#This Row],[Cout Total]]</f>
        <v>288000</v>
      </c>
      <c r="S835" s="4">
        <f>Tableau1_2[[#This Row],[Marge]]/Tableau1_2[[#This Row],[CA]]</f>
        <v>0.21052631578947367</v>
      </c>
      <c r="T835" t="str">
        <f>TEXT(Tableau1_2[[#This Row],[Date]],"mmmm")</f>
        <v>novembre</v>
      </c>
    </row>
    <row r="836" spans="1:20" x14ac:dyDescent="0.35">
      <c r="A836" t="s">
        <v>1724</v>
      </c>
      <c r="B836" s="2">
        <v>46172</v>
      </c>
      <c r="C836" t="s">
        <v>1620</v>
      </c>
      <c r="D836" t="s">
        <v>124</v>
      </c>
      <c r="E836" t="s">
        <v>56</v>
      </c>
      <c r="F836" t="s">
        <v>57</v>
      </c>
      <c r="G836" t="s">
        <v>19</v>
      </c>
      <c r="H836" t="s">
        <v>166</v>
      </c>
      <c r="I836">
        <v>3</v>
      </c>
      <c r="J836">
        <v>133000</v>
      </c>
      <c r="K836">
        <v>97000</v>
      </c>
      <c r="L836" t="s">
        <v>96</v>
      </c>
      <c r="M836" t="s">
        <v>22</v>
      </c>
      <c r="N836" t="s">
        <v>52</v>
      </c>
      <c r="O836" t="s">
        <v>24</v>
      </c>
      <c r="P836">
        <f>Tableau1_2[[#This Row],[Quantité]]*Tableau1_2[[#This Row],[Prix_Unitaire]]</f>
        <v>399000</v>
      </c>
      <c r="Q836">
        <f>Tableau1_2[[#This Row],[Quantité]]*Tableau1_2[[#This Row],[Coût_Unitaire]]</f>
        <v>291000</v>
      </c>
      <c r="R836">
        <f>Tableau1_2[[#This Row],[CA]]-Tableau1_2[[#This Row],[Cout Total]]</f>
        <v>108000</v>
      </c>
      <c r="S836" s="4">
        <f>Tableau1_2[[#This Row],[Marge]]/Tableau1_2[[#This Row],[CA]]</f>
        <v>0.27067669172932329</v>
      </c>
      <c r="T836" t="str">
        <f>TEXT(Tableau1_2[[#This Row],[Date]],"mmmm")</f>
        <v>mai</v>
      </c>
    </row>
    <row r="837" spans="1:20" x14ac:dyDescent="0.35">
      <c r="A837" t="s">
        <v>1725</v>
      </c>
      <c r="B837" s="2">
        <v>46084</v>
      </c>
      <c r="C837" t="s">
        <v>603</v>
      </c>
      <c r="D837" t="s">
        <v>406</v>
      </c>
      <c r="E837" t="s">
        <v>18</v>
      </c>
      <c r="F837" t="s">
        <v>18</v>
      </c>
      <c r="G837" t="s">
        <v>34</v>
      </c>
      <c r="H837" t="s">
        <v>86</v>
      </c>
      <c r="I837">
        <v>10</v>
      </c>
      <c r="J837">
        <v>180000</v>
      </c>
      <c r="K837">
        <v>139000</v>
      </c>
      <c r="L837" t="s">
        <v>66</v>
      </c>
      <c r="M837" t="s">
        <v>31</v>
      </c>
      <c r="N837" t="s">
        <v>23</v>
      </c>
      <c r="O837" t="s">
        <v>24</v>
      </c>
      <c r="P837">
        <f>Tableau1_2[[#This Row],[Quantité]]*Tableau1_2[[#This Row],[Prix_Unitaire]]</f>
        <v>1800000</v>
      </c>
      <c r="Q837">
        <f>Tableau1_2[[#This Row],[Quantité]]*Tableau1_2[[#This Row],[Coût_Unitaire]]</f>
        <v>1390000</v>
      </c>
      <c r="R837">
        <f>Tableau1_2[[#This Row],[CA]]-Tableau1_2[[#This Row],[Cout Total]]</f>
        <v>410000</v>
      </c>
      <c r="S837" s="4">
        <f>Tableau1_2[[#This Row],[Marge]]/Tableau1_2[[#This Row],[CA]]</f>
        <v>0.22777777777777777</v>
      </c>
      <c r="T837" t="str">
        <f>TEXT(Tableau1_2[[#This Row],[Date]],"mmmm")</f>
        <v>mars</v>
      </c>
    </row>
    <row r="838" spans="1:20" x14ac:dyDescent="0.35">
      <c r="A838" t="s">
        <v>1726</v>
      </c>
      <c r="B838" s="2">
        <v>46181</v>
      </c>
      <c r="C838" t="s">
        <v>290</v>
      </c>
      <c r="D838" t="s">
        <v>180</v>
      </c>
      <c r="E838" t="s">
        <v>156</v>
      </c>
      <c r="F838" t="s">
        <v>157</v>
      </c>
      <c r="G838" t="s">
        <v>19</v>
      </c>
      <c r="H838" t="s">
        <v>20</v>
      </c>
      <c r="I838">
        <v>3</v>
      </c>
      <c r="J838">
        <v>65000</v>
      </c>
      <c r="K838">
        <v>46400</v>
      </c>
      <c r="L838" t="s">
        <v>36</v>
      </c>
      <c r="M838" t="s">
        <v>37</v>
      </c>
      <c r="N838" t="s">
        <v>23</v>
      </c>
      <c r="O838" t="s">
        <v>24</v>
      </c>
      <c r="P838">
        <f>Tableau1_2[[#This Row],[Quantité]]*Tableau1_2[[#This Row],[Prix_Unitaire]]</f>
        <v>195000</v>
      </c>
      <c r="Q838">
        <f>Tableau1_2[[#This Row],[Quantité]]*Tableau1_2[[#This Row],[Coût_Unitaire]]</f>
        <v>139200</v>
      </c>
      <c r="R838">
        <f>Tableau1_2[[#This Row],[CA]]-Tableau1_2[[#This Row],[Cout Total]]</f>
        <v>55800</v>
      </c>
      <c r="S838" s="4">
        <f>Tableau1_2[[#This Row],[Marge]]/Tableau1_2[[#This Row],[CA]]</f>
        <v>0.28615384615384615</v>
      </c>
      <c r="T838" t="str">
        <f>TEXT(Tableau1_2[[#This Row],[Date]],"mmmm")</f>
        <v>juin</v>
      </c>
    </row>
    <row r="839" spans="1:20" x14ac:dyDescent="0.35">
      <c r="A839" t="s">
        <v>1727</v>
      </c>
      <c r="B839" s="2">
        <v>46205</v>
      </c>
      <c r="C839" t="s">
        <v>603</v>
      </c>
      <c r="D839" t="s">
        <v>1728</v>
      </c>
      <c r="E839" t="s">
        <v>156</v>
      </c>
      <c r="F839" t="s">
        <v>170</v>
      </c>
      <c r="G839" t="s">
        <v>43</v>
      </c>
      <c r="H839" t="s">
        <v>162</v>
      </c>
      <c r="I839">
        <v>6</v>
      </c>
      <c r="J839">
        <v>8400</v>
      </c>
      <c r="K839">
        <v>5200</v>
      </c>
      <c r="L839" t="s">
        <v>36</v>
      </c>
      <c r="M839" t="s">
        <v>22</v>
      </c>
      <c r="N839" t="s">
        <v>23</v>
      </c>
      <c r="O839" t="s">
        <v>24</v>
      </c>
      <c r="P839">
        <f>Tableau1_2[[#This Row],[Quantité]]*Tableau1_2[[#This Row],[Prix_Unitaire]]</f>
        <v>50400</v>
      </c>
      <c r="Q839">
        <f>Tableau1_2[[#This Row],[Quantité]]*Tableau1_2[[#This Row],[Coût_Unitaire]]</f>
        <v>31200</v>
      </c>
      <c r="R839">
        <f>Tableau1_2[[#This Row],[CA]]-Tableau1_2[[#This Row],[Cout Total]]</f>
        <v>19200</v>
      </c>
      <c r="S839" s="4">
        <f>Tableau1_2[[#This Row],[Marge]]/Tableau1_2[[#This Row],[CA]]</f>
        <v>0.38095238095238093</v>
      </c>
      <c r="T839" t="str">
        <f>TEXT(Tableau1_2[[#This Row],[Date]],"mmmm")</f>
        <v>juillet</v>
      </c>
    </row>
    <row r="840" spans="1:20" x14ac:dyDescent="0.35">
      <c r="A840" t="s">
        <v>1729</v>
      </c>
      <c r="B840" s="2">
        <v>46240</v>
      </c>
      <c r="C840" t="s">
        <v>1321</v>
      </c>
      <c r="D840" t="s">
        <v>567</v>
      </c>
      <c r="E840" t="s">
        <v>18</v>
      </c>
      <c r="F840" t="s">
        <v>18</v>
      </c>
      <c r="G840" t="s">
        <v>34</v>
      </c>
      <c r="H840" t="s">
        <v>86</v>
      </c>
      <c r="I840">
        <v>2</v>
      </c>
      <c r="J840">
        <v>189000</v>
      </c>
      <c r="K840">
        <v>139000</v>
      </c>
      <c r="L840" t="s">
        <v>50</v>
      </c>
      <c r="M840" t="s">
        <v>51</v>
      </c>
      <c r="N840" t="s">
        <v>52</v>
      </c>
      <c r="O840" t="s">
        <v>24</v>
      </c>
      <c r="P840">
        <f>Tableau1_2[[#This Row],[Quantité]]*Tableau1_2[[#This Row],[Prix_Unitaire]]</f>
        <v>378000</v>
      </c>
      <c r="Q840">
        <f>Tableau1_2[[#This Row],[Quantité]]*Tableau1_2[[#This Row],[Coût_Unitaire]]</f>
        <v>278000</v>
      </c>
      <c r="R840">
        <f>Tableau1_2[[#This Row],[CA]]-Tableau1_2[[#This Row],[Cout Total]]</f>
        <v>100000</v>
      </c>
      <c r="S840" s="4">
        <f>Tableau1_2[[#This Row],[Marge]]/Tableau1_2[[#This Row],[CA]]</f>
        <v>0.26455026455026454</v>
      </c>
      <c r="T840" t="str">
        <f>TEXT(Tableau1_2[[#This Row],[Date]],"mmmm")</f>
        <v>août</v>
      </c>
    </row>
    <row r="841" spans="1:20" x14ac:dyDescent="0.35">
      <c r="A841" t="s">
        <v>1730</v>
      </c>
      <c r="B841" s="2">
        <v>46178</v>
      </c>
      <c r="C841" t="s">
        <v>1463</v>
      </c>
      <c r="D841" t="s">
        <v>1023</v>
      </c>
      <c r="E841" t="s">
        <v>18</v>
      </c>
      <c r="F841" t="s">
        <v>18</v>
      </c>
      <c r="G841" t="s">
        <v>19</v>
      </c>
      <c r="H841" t="s">
        <v>61</v>
      </c>
      <c r="I841">
        <v>9</v>
      </c>
      <c r="J841">
        <v>231000</v>
      </c>
      <c r="K841">
        <v>155200</v>
      </c>
      <c r="L841" t="s">
        <v>21</v>
      </c>
      <c r="M841" t="s">
        <v>37</v>
      </c>
      <c r="N841" t="s">
        <v>87</v>
      </c>
      <c r="O841" t="s">
        <v>24</v>
      </c>
      <c r="P841">
        <f>Tableau1_2[[#This Row],[Quantité]]*Tableau1_2[[#This Row],[Prix_Unitaire]]</f>
        <v>2079000</v>
      </c>
      <c r="Q841">
        <f>Tableau1_2[[#This Row],[Quantité]]*Tableau1_2[[#This Row],[Coût_Unitaire]]</f>
        <v>1396800</v>
      </c>
      <c r="R841">
        <f>Tableau1_2[[#This Row],[CA]]-Tableau1_2[[#This Row],[Cout Total]]</f>
        <v>682200</v>
      </c>
      <c r="S841" s="4">
        <f>Tableau1_2[[#This Row],[Marge]]/Tableau1_2[[#This Row],[CA]]</f>
        <v>0.32813852813852812</v>
      </c>
      <c r="T841" t="str">
        <f>TEXT(Tableau1_2[[#This Row],[Date]],"mmmm")</f>
        <v>juin</v>
      </c>
    </row>
    <row r="842" spans="1:20" x14ac:dyDescent="0.35">
      <c r="A842" t="s">
        <v>1731</v>
      </c>
      <c r="B842" s="2">
        <v>46244</v>
      </c>
      <c r="C842" t="s">
        <v>1732</v>
      </c>
      <c r="D842" t="s">
        <v>482</v>
      </c>
      <c r="E842" t="s">
        <v>56</v>
      </c>
      <c r="F842" t="s">
        <v>57</v>
      </c>
      <c r="G842" t="s">
        <v>43</v>
      </c>
      <c r="H842" t="s">
        <v>49</v>
      </c>
      <c r="I842">
        <v>9</v>
      </c>
      <c r="J842">
        <v>9000</v>
      </c>
      <c r="K842">
        <v>5800</v>
      </c>
      <c r="L842" t="s">
        <v>36</v>
      </c>
      <c r="M842" t="s">
        <v>22</v>
      </c>
      <c r="N842" t="s">
        <v>52</v>
      </c>
      <c r="O842" t="s">
        <v>24</v>
      </c>
      <c r="P842">
        <f>Tableau1_2[[#This Row],[Quantité]]*Tableau1_2[[#This Row],[Prix_Unitaire]]</f>
        <v>81000</v>
      </c>
      <c r="Q842">
        <f>Tableau1_2[[#This Row],[Quantité]]*Tableau1_2[[#This Row],[Coût_Unitaire]]</f>
        <v>52200</v>
      </c>
      <c r="R842">
        <f>Tableau1_2[[#This Row],[CA]]-Tableau1_2[[#This Row],[Cout Total]]</f>
        <v>28800</v>
      </c>
      <c r="S842" s="4">
        <f>Tableau1_2[[#This Row],[Marge]]/Tableau1_2[[#This Row],[CA]]</f>
        <v>0.35555555555555557</v>
      </c>
      <c r="T842" t="str">
        <f>TEXT(Tableau1_2[[#This Row],[Date]],"mmmm")</f>
        <v>août</v>
      </c>
    </row>
    <row r="843" spans="1:20" x14ac:dyDescent="0.35">
      <c r="A843" t="s">
        <v>1733</v>
      </c>
      <c r="B843" s="2">
        <v>46150</v>
      </c>
      <c r="C843" t="s">
        <v>1509</v>
      </c>
      <c r="D843" t="s">
        <v>1654</v>
      </c>
      <c r="E843" t="s">
        <v>84</v>
      </c>
      <c r="F843" t="s">
        <v>85</v>
      </c>
      <c r="G843" t="s">
        <v>19</v>
      </c>
      <c r="H843" t="s">
        <v>112</v>
      </c>
      <c r="I843">
        <v>7</v>
      </c>
      <c r="J843">
        <v>80800</v>
      </c>
      <c r="K843">
        <v>63900</v>
      </c>
      <c r="L843" t="s">
        <v>73</v>
      </c>
      <c r="M843" t="s">
        <v>22</v>
      </c>
      <c r="N843" t="s">
        <v>23</v>
      </c>
      <c r="O843" t="s">
        <v>24</v>
      </c>
      <c r="P843">
        <f>Tableau1_2[[#This Row],[Quantité]]*Tableau1_2[[#This Row],[Prix_Unitaire]]</f>
        <v>565600</v>
      </c>
      <c r="Q843">
        <f>Tableau1_2[[#This Row],[Quantité]]*Tableau1_2[[#This Row],[Coût_Unitaire]]</f>
        <v>447300</v>
      </c>
      <c r="R843">
        <f>Tableau1_2[[#This Row],[CA]]-Tableau1_2[[#This Row],[Cout Total]]</f>
        <v>118300</v>
      </c>
      <c r="S843" s="4">
        <f>Tableau1_2[[#This Row],[Marge]]/Tableau1_2[[#This Row],[CA]]</f>
        <v>0.20915841584158415</v>
      </c>
      <c r="T843" t="str">
        <f>TEXT(Tableau1_2[[#This Row],[Date]],"mmmm")</f>
        <v>mai</v>
      </c>
    </row>
    <row r="844" spans="1:20" x14ac:dyDescent="0.35">
      <c r="A844" t="s">
        <v>1734</v>
      </c>
      <c r="B844" s="2">
        <v>46336</v>
      </c>
      <c r="C844" t="s">
        <v>919</v>
      </c>
      <c r="D844" t="s">
        <v>161</v>
      </c>
      <c r="E844" t="s">
        <v>18</v>
      </c>
      <c r="F844" t="s">
        <v>18</v>
      </c>
      <c r="G844" t="s">
        <v>28</v>
      </c>
      <c r="H844" t="s">
        <v>248</v>
      </c>
      <c r="I844">
        <v>2</v>
      </c>
      <c r="J844">
        <v>25000</v>
      </c>
      <c r="K844">
        <v>15500</v>
      </c>
      <c r="L844" t="s">
        <v>30</v>
      </c>
      <c r="M844" t="s">
        <v>31</v>
      </c>
      <c r="N844" t="s">
        <v>52</v>
      </c>
      <c r="O844" t="s">
        <v>91</v>
      </c>
      <c r="P844">
        <f>Tableau1_2[[#This Row],[Quantité]]*Tableau1_2[[#This Row],[Prix_Unitaire]]</f>
        <v>50000</v>
      </c>
      <c r="Q844">
        <f>Tableau1_2[[#This Row],[Quantité]]*Tableau1_2[[#This Row],[Coût_Unitaire]]</f>
        <v>31000</v>
      </c>
      <c r="R844">
        <f>Tableau1_2[[#This Row],[CA]]-Tableau1_2[[#This Row],[Cout Total]]</f>
        <v>19000</v>
      </c>
      <c r="S844" s="4">
        <f>Tableau1_2[[#This Row],[Marge]]/Tableau1_2[[#This Row],[CA]]</f>
        <v>0.38</v>
      </c>
      <c r="T844" t="str">
        <f>TEXT(Tableau1_2[[#This Row],[Date]],"mmmm")</f>
        <v>novembre</v>
      </c>
    </row>
    <row r="845" spans="1:20" x14ac:dyDescent="0.35">
      <c r="A845" t="s">
        <v>1735</v>
      </c>
      <c r="B845" s="2">
        <v>46182</v>
      </c>
      <c r="C845" t="s">
        <v>1503</v>
      </c>
      <c r="D845" t="s">
        <v>462</v>
      </c>
      <c r="E845" t="s">
        <v>84</v>
      </c>
      <c r="F845" t="s">
        <v>85</v>
      </c>
      <c r="G845" t="s">
        <v>34</v>
      </c>
      <c r="H845" t="s">
        <v>141</v>
      </c>
      <c r="I845">
        <v>9</v>
      </c>
      <c r="J845">
        <v>160000</v>
      </c>
      <c r="K845">
        <v>120000</v>
      </c>
      <c r="L845" t="s">
        <v>66</v>
      </c>
      <c r="M845" t="s">
        <v>37</v>
      </c>
      <c r="N845" t="s">
        <v>87</v>
      </c>
      <c r="O845" t="s">
        <v>24</v>
      </c>
      <c r="P845">
        <f>Tableau1_2[[#This Row],[Quantité]]*Tableau1_2[[#This Row],[Prix_Unitaire]]</f>
        <v>1440000</v>
      </c>
      <c r="Q845">
        <f>Tableau1_2[[#This Row],[Quantité]]*Tableau1_2[[#This Row],[Coût_Unitaire]]</f>
        <v>1080000</v>
      </c>
      <c r="R845">
        <f>Tableau1_2[[#This Row],[CA]]-Tableau1_2[[#This Row],[Cout Total]]</f>
        <v>360000</v>
      </c>
      <c r="S845" s="4">
        <f>Tableau1_2[[#This Row],[Marge]]/Tableau1_2[[#This Row],[CA]]</f>
        <v>0.25</v>
      </c>
      <c r="T845" t="str">
        <f>TEXT(Tableau1_2[[#This Row],[Date]],"mmmm")</f>
        <v>juin</v>
      </c>
    </row>
    <row r="846" spans="1:20" x14ac:dyDescent="0.35">
      <c r="A846" t="s">
        <v>1736</v>
      </c>
      <c r="B846" s="2">
        <v>46275</v>
      </c>
      <c r="C846" t="s">
        <v>172</v>
      </c>
      <c r="D846" t="s">
        <v>833</v>
      </c>
      <c r="E846" t="s">
        <v>56</v>
      </c>
      <c r="F846" t="s">
        <v>57</v>
      </c>
      <c r="G846" t="s">
        <v>28</v>
      </c>
      <c r="H846" t="s">
        <v>248</v>
      </c>
      <c r="I846">
        <v>10</v>
      </c>
      <c r="J846">
        <v>23800</v>
      </c>
      <c r="K846">
        <v>15500</v>
      </c>
      <c r="L846" t="s">
        <v>73</v>
      </c>
      <c r="M846" t="s">
        <v>51</v>
      </c>
      <c r="N846" t="s">
        <v>23</v>
      </c>
      <c r="O846" t="s">
        <v>91</v>
      </c>
      <c r="P846">
        <f>Tableau1_2[[#This Row],[Quantité]]*Tableau1_2[[#This Row],[Prix_Unitaire]]</f>
        <v>238000</v>
      </c>
      <c r="Q846">
        <f>Tableau1_2[[#This Row],[Quantité]]*Tableau1_2[[#This Row],[Coût_Unitaire]]</f>
        <v>155000</v>
      </c>
      <c r="R846">
        <f>Tableau1_2[[#This Row],[CA]]-Tableau1_2[[#This Row],[Cout Total]]</f>
        <v>83000</v>
      </c>
      <c r="S846" s="4">
        <f>Tableau1_2[[#This Row],[Marge]]/Tableau1_2[[#This Row],[CA]]</f>
        <v>0.34873949579831931</v>
      </c>
      <c r="T846" t="str">
        <f>TEXT(Tableau1_2[[#This Row],[Date]],"mmmm")</f>
        <v>septembre</v>
      </c>
    </row>
    <row r="847" spans="1:20" x14ac:dyDescent="0.35">
      <c r="A847" t="s">
        <v>1737</v>
      </c>
      <c r="B847" s="2">
        <v>46184</v>
      </c>
      <c r="C847" t="s">
        <v>1651</v>
      </c>
      <c r="D847" t="s">
        <v>1738</v>
      </c>
      <c r="E847" t="s">
        <v>77</v>
      </c>
      <c r="F847" t="s">
        <v>78</v>
      </c>
      <c r="G847" t="s">
        <v>34</v>
      </c>
      <c r="H847" t="s">
        <v>95</v>
      </c>
      <c r="I847">
        <v>2</v>
      </c>
      <c r="J847">
        <v>450000</v>
      </c>
      <c r="K847">
        <v>358900</v>
      </c>
      <c r="L847" t="s">
        <v>80</v>
      </c>
      <c r="M847" t="s">
        <v>51</v>
      </c>
      <c r="N847" t="s">
        <v>87</v>
      </c>
      <c r="O847" t="s">
        <v>24</v>
      </c>
      <c r="P847">
        <f>Tableau1_2[[#This Row],[Quantité]]*Tableau1_2[[#This Row],[Prix_Unitaire]]</f>
        <v>900000</v>
      </c>
      <c r="Q847">
        <f>Tableau1_2[[#This Row],[Quantité]]*Tableau1_2[[#This Row],[Coût_Unitaire]]</f>
        <v>717800</v>
      </c>
      <c r="R847">
        <f>Tableau1_2[[#This Row],[CA]]-Tableau1_2[[#This Row],[Cout Total]]</f>
        <v>182200</v>
      </c>
      <c r="S847" s="4">
        <f>Tableau1_2[[#This Row],[Marge]]/Tableau1_2[[#This Row],[CA]]</f>
        <v>0.20244444444444445</v>
      </c>
      <c r="T847" t="str">
        <f>TEXT(Tableau1_2[[#This Row],[Date]],"mmmm")</f>
        <v>juin</v>
      </c>
    </row>
    <row r="848" spans="1:20" x14ac:dyDescent="0.35">
      <c r="A848" t="s">
        <v>1739</v>
      </c>
      <c r="B848" s="2">
        <v>46071</v>
      </c>
      <c r="C848" t="s">
        <v>1529</v>
      </c>
      <c r="D848" t="s">
        <v>672</v>
      </c>
      <c r="E848" t="s">
        <v>18</v>
      </c>
      <c r="F848" t="s">
        <v>18</v>
      </c>
      <c r="G848" t="s">
        <v>19</v>
      </c>
      <c r="H848" t="s">
        <v>20</v>
      </c>
      <c r="I848">
        <v>2</v>
      </c>
      <c r="J848">
        <v>61800</v>
      </c>
      <c r="K848">
        <v>43600</v>
      </c>
      <c r="L848" t="s">
        <v>21</v>
      </c>
      <c r="M848" t="s">
        <v>51</v>
      </c>
      <c r="N848" t="s">
        <v>52</v>
      </c>
      <c r="O848" t="s">
        <v>24</v>
      </c>
      <c r="P848">
        <f>Tableau1_2[[#This Row],[Quantité]]*Tableau1_2[[#This Row],[Prix_Unitaire]]</f>
        <v>123600</v>
      </c>
      <c r="Q848">
        <f>Tableau1_2[[#This Row],[Quantité]]*Tableau1_2[[#This Row],[Coût_Unitaire]]</f>
        <v>87200</v>
      </c>
      <c r="R848">
        <f>Tableau1_2[[#This Row],[CA]]-Tableau1_2[[#This Row],[Cout Total]]</f>
        <v>36400</v>
      </c>
      <c r="S848" s="4">
        <f>Tableau1_2[[#This Row],[Marge]]/Tableau1_2[[#This Row],[CA]]</f>
        <v>0.29449838187702265</v>
      </c>
      <c r="T848" t="str">
        <f>TEXT(Tableau1_2[[#This Row],[Date]],"mmmm")</f>
        <v>février</v>
      </c>
    </row>
    <row r="849" spans="1:20" x14ac:dyDescent="0.35">
      <c r="A849" t="s">
        <v>1740</v>
      </c>
      <c r="B849" s="2">
        <v>46185</v>
      </c>
      <c r="C849" t="s">
        <v>1321</v>
      </c>
      <c r="D849" t="s">
        <v>1741</v>
      </c>
      <c r="E849" t="s">
        <v>156</v>
      </c>
      <c r="F849" t="s">
        <v>170</v>
      </c>
      <c r="G849" t="s">
        <v>34</v>
      </c>
      <c r="H849" t="s">
        <v>35</v>
      </c>
      <c r="I849">
        <v>5</v>
      </c>
      <c r="J849">
        <v>55000</v>
      </c>
      <c r="K849">
        <v>39000</v>
      </c>
      <c r="L849" t="s">
        <v>36</v>
      </c>
      <c r="M849" t="s">
        <v>37</v>
      </c>
      <c r="N849" t="s">
        <v>52</v>
      </c>
      <c r="O849" t="s">
        <v>45</v>
      </c>
      <c r="P849">
        <f>Tableau1_2[[#This Row],[Quantité]]*Tableau1_2[[#This Row],[Prix_Unitaire]]</f>
        <v>275000</v>
      </c>
      <c r="Q849">
        <f>Tableau1_2[[#This Row],[Quantité]]*Tableau1_2[[#This Row],[Coût_Unitaire]]</f>
        <v>195000</v>
      </c>
      <c r="R849">
        <f>Tableau1_2[[#This Row],[CA]]-Tableau1_2[[#This Row],[Cout Total]]</f>
        <v>80000</v>
      </c>
      <c r="S849" s="4">
        <f>Tableau1_2[[#This Row],[Marge]]/Tableau1_2[[#This Row],[CA]]</f>
        <v>0.29090909090909089</v>
      </c>
      <c r="T849" t="str">
        <f>TEXT(Tableau1_2[[#This Row],[Date]],"mmmm")</f>
        <v>juin</v>
      </c>
    </row>
    <row r="850" spans="1:20" x14ac:dyDescent="0.35">
      <c r="A850" t="s">
        <v>1742</v>
      </c>
      <c r="B850" s="2">
        <v>46132</v>
      </c>
      <c r="C850" t="s">
        <v>1743</v>
      </c>
      <c r="D850" t="s">
        <v>709</v>
      </c>
      <c r="E850" t="s">
        <v>41</v>
      </c>
      <c r="F850" t="s">
        <v>42</v>
      </c>
      <c r="G850" t="s">
        <v>43</v>
      </c>
      <c r="H850" t="s">
        <v>79</v>
      </c>
      <c r="I850">
        <v>9</v>
      </c>
      <c r="J850">
        <v>6000</v>
      </c>
      <c r="K850">
        <v>4200</v>
      </c>
      <c r="L850" t="s">
        <v>96</v>
      </c>
      <c r="M850" t="s">
        <v>22</v>
      </c>
      <c r="N850" t="s">
        <v>52</v>
      </c>
      <c r="O850" t="s">
        <v>24</v>
      </c>
      <c r="P850">
        <f>Tableau1_2[[#This Row],[Quantité]]*Tableau1_2[[#This Row],[Prix_Unitaire]]</f>
        <v>54000</v>
      </c>
      <c r="Q850">
        <f>Tableau1_2[[#This Row],[Quantité]]*Tableau1_2[[#This Row],[Coût_Unitaire]]</f>
        <v>37800</v>
      </c>
      <c r="R850">
        <f>Tableau1_2[[#This Row],[CA]]-Tableau1_2[[#This Row],[Cout Total]]</f>
        <v>16200</v>
      </c>
      <c r="S850" s="4">
        <f>Tableau1_2[[#This Row],[Marge]]/Tableau1_2[[#This Row],[CA]]</f>
        <v>0.3</v>
      </c>
      <c r="T850" t="str">
        <f>TEXT(Tableau1_2[[#This Row],[Date]],"mmmm")</f>
        <v>avril</v>
      </c>
    </row>
    <row r="851" spans="1:20" x14ac:dyDescent="0.35">
      <c r="A851" t="s">
        <v>1744</v>
      </c>
      <c r="B851" s="2">
        <v>46053</v>
      </c>
      <c r="C851" t="s">
        <v>283</v>
      </c>
      <c r="D851" t="s">
        <v>560</v>
      </c>
      <c r="E851" t="s">
        <v>84</v>
      </c>
      <c r="F851" t="s">
        <v>85</v>
      </c>
      <c r="G851" t="s">
        <v>19</v>
      </c>
      <c r="H851" t="s">
        <v>112</v>
      </c>
      <c r="I851">
        <v>8</v>
      </c>
      <c r="J851">
        <v>85000</v>
      </c>
      <c r="K851">
        <v>60100</v>
      </c>
      <c r="L851" t="s">
        <v>73</v>
      </c>
      <c r="M851" t="s">
        <v>37</v>
      </c>
      <c r="N851" t="s">
        <v>87</v>
      </c>
      <c r="O851" t="s">
        <v>24</v>
      </c>
      <c r="P851">
        <f>Tableau1_2[[#This Row],[Quantité]]*Tableau1_2[[#This Row],[Prix_Unitaire]]</f>
        <v>680000</v>
      </c>
      <c r="Q851">
        <f>Tableau1_2[[#This Row],[Quantité]]*Tableau1_2[[#This Row],[Coût_Unitaire]]</f>
        <v>480800</v>
      </c>
      <c r="R851">
        <f>Tableau1_2[[#This Row],[CA]]-Tableau1_2[[#This Row],[Cout Total]]</f>
        <v>199200</v>
      </c>
      <c r="S851" s="4">
        <f>Tableau1_2[[#This Row],[Marge]]/Tableau1_2[[#This Row],[CA]]</f>
        <v>0.29294117647058826</v>
      </c>
      <c r="T851" t="str">
        <f>TEXT(Tableau1_2[[#This Row],[Date]],"mmmm")</f>
        <v>janvier</v>
      </c>
    </row>
    <row r="852" spans="1:20" x14ac:dyDescent="0.35">
      <c r="A852" t="s">
        <v>1745</v>
      </c>
      <c r="B852" s="2">
        <v>46068</v>
      </c>
      <c r="C852" t="s">
        <v>1010</v>
      </c>
      <c r="D852" t="s">
        <v>1181</v>
      </c>
      <c r="E852" t="s">
        <v>56</v>
      </c>
      <c r="F852" t="s">
        <v>57</v>
      </c>
      <c r="G852" t="s">
        <v>19</v>
      </c>
      <c r="H852" t="s">
        <v>112</v>
      </c>
      <c r="I852">
        <v>6</v>
      </c>
      <c r="J852">
        <v>89200</v>
      </c>
      <c r="K852">
        <v>62000</v>
      </c>
      <c r="L852" t="s">
        <v>80</v>
      </c>
      <c r="M852" t="s">
        <v>31</v>
      </c>
      <c r="N852" t="s">
        <v>52</v>
      </c>
      <c r="O852" t="s">
        <v>24</v>
      </c>
      <c r="P852">
        <f>Tableau1_2[[#This Row],[Quantité]]*Tableau1_2[[#This Row],[Prix_Unitaire]]</f>
        <v>535200</v>
      </c>
      <c r="Q852">
        <f>Tableau1_2[[#This Row],[Quantité]]*Tableau1_2[[#This Row],[Coût_Unitaire]]</f>
        <v>372000</v>
      </c>
      <c r="R852">
        <f>Tableau1_2[[#This Row],[CA]]-Tableau1_2[[#This Row],[Cout Total]]</f>
        <v>163200</v>
      </c>
      <c r="S852" s="4">
        <f>Tableau1_2[[#This Row],[Marge]]/Tableau1_2[[#This Row],[CA]]</f>
        <v>0.30493273542600896</v>
      </c>
      <c r="T852" t="str">
        <f>TEXT(Tableau1_2[[#This Row],[Date]],"mmmm")</f>
        <v>février</v>
      </c>
    </row>
    <row r="853" spans="1:20" x14ac:dyDescent="0.35">
      <c r="A853" t="s">
        <v>1746</v>
      </c>
      <c r="B853" s="2">
        <v>46067</v>
      </c>
      <c r="C853" t="s">
        <v>1747</v>
      </c>
      <c r="D853" t="s">
        <v>194</v>
      </c>
      <c r="E853" t="s">
        <v>84</v>
      </c>
      <c r="F853" t="s">
        <v>85</v>
      </c>
      <c r="G853" t="s">
        <v>43</v>
      </c>
      <c r="H853" t="s">
        <v>162</v>
      </c>
      <c r="I853">
        <v>5</v>
      </c>
      <c r="J853">
        <v>8000</v>
      </c>
      <c r="K853">
        <v>5200</v>
      </c>
      <c r="L853" t="s">
        <v>66</v>
      </c>
      <c r="M853" t="s">
        <v>51</v>
      </c>
      <c r="N853" t="s">
        <v>23</v>
      </c>
      <c r="O853" t="s">
        <v>24</v>
      </c>
      <c r="P853">
        <f>Tableau1_2[[#This Row],[Quantité]]*Tableau1_2[[#This Row],[Prix_Unitaire]]</f>
        <v>40000</v>
      </c>
      <c r="Q853">
        <f>Tableau1_2[[#This Row],[Quantité]]*Tableau1_2[[#This Row],[Coût_Unitaire]]</f>
        <v>26000</v>
      </c>
      <c r="R853">
        <f>Tableau1_2[[#This Row],[CA]]-Tableau1_2[[#This Row],[Cout Total]]</f>
        <v>14000</v>
      </c>
      <c r="S853" s="4">
        <f>Tableau1_2[[#This Row],[Marge]]/Tableau1_2[[#This Row],[CA]]</f>
        <v>0.35</v>
      </c>
      <c r="T853" t="str">
        <f>TEXT(Tableau1_2[[#This Row],[Date]],"mmmm")</f>
        <v>février</v>
      </c>
    </row>
    <row r="854" spans="1:20" x14ac:dyDescent="0.35">
      <c r="A854" t="s">
        <v>1748</v>
      </c>
      <c r="B854" s="2">
        <v>46315</v>
      </c>
      <c r="C854" t="s">
        <v>1673</v>
      </c>
      <c r="D854" t="s">
        <v>809</v>
      </c>
      <c r="E854" t="s">
        <v>156</v>
      </c>
      <c r="F854" t="s">
        <v>157</v>
      </c>
      <c r="G854" t="s">
        <v>28</v>
      </c>
      <c r="H854" t="s">
        <v>131</v>
      </c>
      <c r="I854">
        <v>3</v>
      </c>
      <c r="J854">
        <v>30000</v>
      </c>
      <c r="K854">
        <v>19000</v>
      </c>
      <c r="L854" t="s">
        <v>21</v>
      </c>
      <c r="M854" t="s">
        <v>22</v>
      </c>
      <c r="N854" t="s">
        <v>52</v>
      </c>
      <c r="O854" t="s">
        <v>24</v>
      </c>
      <c r="P854">
        <f>Tableau1_2[[#This Row],[Quantité]]*Tableau1_2[[#This Row],[Prix_Unitaire]]</f>
        <v>90000</v>
      </c>
      <c r="Q854">
        <f>Tableau1_2[[#This Row],[Quantité]]*Tableau1_2[[#This Row],[Coût_Unitaire]]</f>
        <v>57000</v>
      </c>
      <c r="R854">
        <f>Tableau1_2[[#This Row],[CA]]-Tableau1_2[[#This Row],[Cout Total]]</f>
        <v>33000</v>
      </c>
      <c r="S854" s="4">
        <f>Tableau1_2[[#This Row],[Marge]]/Tableau1_2[[#This Row],[CA]]</f>
        <v>0.36666666666666664</v>
      </c>
      <c r="T854" t="str">
        <f>TEXT(Tableau1_2[[#This Row],[Date]],"mmmm")</f>
        <v>octobre</v>
      </c>
    </row>
    <row r="855" spans="1:20" x14ac:dyDescent="0.35">
      <c r="A855" t="s">
        <v>1749</v>
      </c>
      <c r="B855" s="2">
        <v>46044</v>
      </c>
      <c r="C855" t="s">
        <v>1020</v>
      </c>
      <c r="D855" t="s">
        <v>459</v>
      </c>
      <c r="E855" t="s">
        <v>41</v>
      </c>
      <c r="F855" t="s">
        <v>42</v>
      </c>
      <c r="G855" t="s">
        <v>34</v>
      </c>
      <c r="H855" t="s">
        <v>141</v>
      </c>
      <c r="I855">
        <v>3</v>
      </c>
      <c r="J855">
        <v>152000</v>
      </c>
      <c r="K855">
        <v>116400</v>
      </c>
      <c r="L855" t="s">
        <v>30</v>
      </c>
      <c r="M855" t="s">
        <v>22</v>
      </c>
      <c r="N855" t="s">
        <v>23</v>
      </c>
      <c r="O855" t="s">
        <v>91</v>
      </c>
      <c r="P855">
        <f>Tableau1_2[[#This Row],[Quantité]]*Tableau1_2[[#This Row],[Prix_Unitaire]]</f>
        <v>456000</v>
      </c>
      <c r="Q855">
        <f>Tableau1_2[[#This Row],[Quantité]]*Tableau1_2[[#This Row],[Coût_Unitaire]]</f>
        <v>349200</v>
      </c>
      <c r="R855">
        <f>Tableau1_2[[#This Row],[CA]]-Tableau1_2[[#This Row],[Cout Total]]</f>
        <v>106800</v>
      </c>
      <c r="S855" s="4">
        <f>Tableau1_2[[#This Row],[Marge]]/Tableau1_2[[#This Row],[CA]]</f>
        <v>0.23421052631578948</v>
      </c>
      <c r="T855" t="str">
        <f>TEXT(Tableau1_2[[#This Row],[Date]],"mmmm")</f>
        <v>janvier</v>
      </c>
    </row>
    <row r="856" spans="1:20" x14ac:dyDescent="0.35">
      <c r="A856" t="s">
        <v>1750</v>
      </c>
      <c r="B856" s="2">
        <v>46251</v>
      </c>
      <c r="C856" t="s">
        <v>1751</v>
      </c>
      <c r="D856" t="s">
        <v>105</v>
      </c>
      <c r="E856" t="s">
        <v>156</v>
      </c>
      <c r="F856" t="s">
        <v>157</v>
      </c>
      <c r="G856" t="s">
        <v>43</v>
      </c>
      <c r="H856" t="s">
        <v>177</v>
      </c>
      <c r="I856">
        <v>5</v>
      </c>
      <c r="J856">
        <v>18000</v>
      </c>
      <c r="K856">
        <v>12900</v>
      </c>
      <c r="L856" t="s">
        <v>66</v>
      </c>
      <c r="M856" t="s">
        <v>51</v>
      </c>
      <c r="N856" t="s">
        <v>23</v>
      </c>
      <c r="O856" t="s">
        <v>91</v>
      </c>
      <c r="P856">
        <f>Tableau1_2[[#This Row],[Quantité]]*Tableau1_2[[#This Row],[Prix_Unitaire]]</f>
        <v>90000</v>
      </c>
      <c r="Q856">
        <f>Tableau1_2[[#This Row],[Quantité]]*Tableau1_2[[#This Row],[Coût_Unitaire]]</f>
        <v>64500</v>
      </c>
      <c r="R856">
        <f>Tableau1_2[[#This Row],[CA]]-Tableau1_2[[#This Row],[Cout Total]]</f>
        <v>25500</v>
      </c>
      <c r="S856" s="4">
        <f>Tableau1_2[[#This Row],[Marge]]/Tableau1_2[[#This Row],[CA]]</f>
        <v>0.28333333333333333</v>
      </c>
      <c r="T856" t="str">
        <f>TEXT(Tableau1_2[[#This Row],[Date]],"mmmm")</f>
        <v>août</v>
      </c>
    </row>
    <row r="857" spans="1:20" x14ac:dyDescent="0.35">
      <c r="A857" t="s">
        <v>1752</v>
      </c>
      <c r="B857" s="2">
        <v>46266</v>
      </c>
      <c r="C857" t="s">
        <v>1490</v>
      </c>
      <c r="D857" t="s">
        <v>259</v>
      </c>
      <c r="E857" t="s">
        <v>156</v>
      </c>
      <c r="F857" t="s">
        <v>170</v>
      </c>
      <c r="G857" t="s">
        <v>34</v>
      </c>
      <c r="H857" t="s">
        <v>35</v>
      </c>
      <c r="I857">
        <v>8</v>
      </c>
      <c r="J857">
        <v>52200</v>
      </c>
      <c r="K857">
        <v>39000</v>
      </c>
      <c r="L857" t="s">
        <v>30</v>
      </c>
      <c r="M857" t="s">
        <v>51</v>
      </c>
      <c r="N857" t="s">
        <v>23</v>
      </c>
      <c r="O857" t="s">
        <v>24</v>
      </c>
      <c r="P857">
        <f>Tableau1_2[[#This Row],[Quantité]]*Tableau1_2[[#This Row],[Prix_Unitaire]]</f>
        <v>417600</v>
      </c>
      <c r="Q857">
        <f>Tableau1_2[[#This Row],[Quantité]]*Tableau1_2[[#This Row],[Coût_Unitaire]]</f>
        <v>312000</v>
      </c>
      <c r="R857">
        <f>Tableau1_2[[#This Row],[CA]]-Tableau1_2[[#This Row],[Cout Total]]</f>
        <v>105600</v>
      </c>
      <c r="S857" s="4">
        <f>Tableau1_2[[#This Row],[Marge]]/Tableau1_2[[#This Row],[CA]]</f>
        <v>0.25287356321839083</v>
      </c>
      <c r="T857" t="str">
        <f>TEXT(Tableau1_2[[#This Row],[Date]],"mmmm")</f>
        <v>septembre</v>
      </c>
    </row>
    <row r="858" spans="1:20" x14ac:dyDescent="0.35">
      <c r="A858" t="s">
        <v>1753</v>
      </c>
      <c r="B858" s="2">
        <v>46090</v>
      </c>
      <c r="C858" t="s">
        <v>1754</v>
      </c>
      <c r="D858" t="s">
        <v>348</v>
      </c>
      <c r="E858" t="s">
        <v>18</v>
      </c>
      <c r="F858" t="s">
        <v>18</v>
      </c>
      <c r="G858" t="s">
        <v>43</v>
      </c>
      <c r="H858" t="s">
        <v>162</v>
      </c>
      <c r="I858">
        <v>6</v>
      </c>
      <c r="J858">
        <v>8000</v>
      </c>
      <c r="K858">
        <v>5000</v>
      </c>
      <c r="L858" t="s">
        <v>80</v>
      </c>
      <c r="M858" t="s">
        <v>37</v>
      </c>
      <c r="N858" t="s">
        <v>87</v>
      </c>
      <c r="O858" t="s">
        <v>45</v>
      </c>
      <c r="P858">
        <f>Tableau1_2[[#This Row],[Quantité]]*Tableau1_2[[#This Row],[Prix_Unitaire]]</f>
        <v>48000</v>
      </c>
      <c r="Q858">
        <f>Tableau1_2[[#This Row],[Quantité]]*Tableau1_2[[#This Row],[Coût_Unitaire]]</f>
        <v>30000</v>
      </c>
      <c r="R858">
        <f>Tableau1_2[[#This Row],[CA]]-Tableau1_2[[#This Row],[Cout Total]]</f>
        <v>18000</v>
      </c>
      <c r="S858" s="4">
        <f>Tableau1_2[[#This Row],[Marge]]/Tableau1_2[[#This Row],[CA]]</f>
        <v>0.375</v>
      </c>
      <c r="T858" t="str">
        <f>TEXT(Tableau1_2[[#This Row],[Date]],"mmmm")</f>
        <v>mars</v>
      </c>
    </row>
    <row r="859" spans="1:20" x14ac:dyDescent="0.35">
      <c r="A859" t="s">
        <v>1755</v>
      </c>
      <c r="B859" s="2">
        <v>46223</v>
      </c>
      <c r="C859" t="s">
        <v>311</v>
      </c>
      <c r="D859" t="s">
        <v>1043</v>
      </c>
      <c r="E859" t="s">
        <v>156</v>
      </c>
      <c r="F859" t="s">
        <v>157</v>
      </c>
      <c r="G859" t="s">
        <v>43</v>
      </c>
      <c r="H859" t="s">
        <v>44</v>
      </c>
      <c r="I859">
        <v>7</v>
      </c>
      <c r="J859">
        <v>15000</v>
      </c>
      <c r="K859">
        <v>9800</v>
      </c>
      <c r="L859" t="s">
        <v>50</v>
      </c>
      <c r="M859" t="s">
        <v>37</v>
      </c>
      <c r="N859" t="s">
        <v>52</v>
      </c>
      <c r="O859" t="s">
        <v>24</v>
      </c>
      <c r="P859">
        <f>Tableau1_2[[#This Row],[Quantité]]*Tableau1_2[[#This Row],[Prix_Unitaire]]</f>
        <v>105000</v>
      </c>
      <c r="Q859">
        <f>Tableau1_2[[#This Row],[Quantité]]*Tableau1_2[[#This Row],[Coût_Unitaire]]</f>
        <v>68600</v>
      </c>
      <c r="R859">
        <f>Tableau1_2[[#This Row],[CA]]-Tableau1_2[[#This Row],[Cout Total]]</f>
        <v>36400</v>
      </c>
      <c r="S859" s="4">
        <f>Tableau1_2[[#This Row],[Marge]]/Tableau1_2[[#This Row],[CA]]</f>
        <v>0.34666666666666668</v>
      </c>
      <c r="T859" t="str">
        <f>TEXT(Tableau1_2[[#This Row],[Date]],"mmmm")</f>
        <v>juillet</v>
      </c>
    </row>
    <row r="860" spans="1:20" x14ac:dyDescent="0.35">
      <c r="A860" t="s">
        <v>1756</v>
      </c>
      <c r="B860" s="2">
        <v>46241</v>
      </c>
      <c r="C860" t="s">
        <v>1757</v>
      </c>
      <c r="D860" t="s">
        <v>535</v>
      </c>
      <c r="E860" t="s">
        <v>18</v>
      </c>
      <c r="F860" t="s">
        <v>18</v>
      </c>
      <c r="G860" t="s">
        <v>34</v>
      </c>
      <c r="H860" t="s">
        <v>141</v>
      </c>
      <c r="I860">
        <v>7</v>
      </c>
      <c r="J860">
        <v>160000</v>
      </c>
      <c r="K860">
        <v>120000</v>
      </c>
      <c r="L860" t="s">
        <v>73</v>
      </c>
      <c r="M860" t="s">
        <v>37</v>
      </c>
      <c r="N860" t="s">
        <v>52</v>
      </c>
      <c r="O860" t="s">
        <v>24</v>
      </c>
      <c r="P860">
        <f>Tableau1_2[[#This Row],[Quantité]]*Tableau1_2[[#This Row],[Prix_Unitaire]]</f>
        <v>1120000</v>
      </c>
      <c r="Q860">
        <f>Tableau1_2[[#This Row],[Quantité]]*Tableau1_2[[#This Row],[Coût_Unitaire]]</f>
        <v>840000</v>
      </c>
      <c r="R860">
        <f>Tableau1_2[[#This Row],[CA]]-Tableau1_2[[#This Row],[Cout Total]]</f>
        <v>280000</v>
      </c>
      <c r="S860" s="4">
        <f>Tableau1_2[[#This Row],[Marge]]/Tableau1_2[[#This Row],[CA]]</f>
        <v>0.25</v>
      </c>
      <c r="T860" t="str">
        <f>TEXT(Tableau1_2[[#This Row],[Date]],"mmmm")</f>
        <v>août</v>
      </c>
    </row>
    <row r="861" spans="1:20" x14ac:dyDescent="0.35">
      <c r="A861" t="s">
        <v>1758</v>
      </c>
      <c r="B861" s="2">
        <v>46102</v>
      </c>
      <c r="C861" t="s">
        <v>1759</v>
      </c>
      <c r="D861" t="s">
        <v>1760</v>
      </c>
      <c r="E861" t="s">
        <v>70</v>
      </c>
      <c r="F861" t="s">
        <v>71</v>
      </c>
      <c r="G861" t="s">
        <v>19</v>
      </c>
      <c r="H861" t="s">
        <v>112</v>
      </c>
      <c r="I861">
        <v>3</v>
      </c>
      <c r="J861">
        <v>89200</v>
      </c>
      <c r="K861">
        <v>60100</v>
      </c>
      <c r="L861" t="s">
        <v>21</v>
      </c>
      <c r="M861" t="s">
        <v>37</v>
      </c>
      <c r="N861" t="s">
        <v>23</v>
      </c>
      <c r="O861" t="s">
        <v>24</v>
      </c>
      <c r="P861">
        <f>Tableau1_2[[#This Row],[Quantité]]*Tableau1_2[[#This Row],[Prix_Unitaire]]</f>
        <v>267600</v>
      </c>
      <c r="Q861">
        <f>Tableau1_2[[#This Row],[Quantité]]*Tableau1_2[[#This Row],[Coût_Unitaire]]</f>
        <v>180300</v>
      </c>
      <c r="R861">
        <f>Tableau1_2[[#This Row],[CA]]-Tableau1_2[[#This Row],[Cout Total]]</f>
        <v>87300</v>
      </c>
      <c r="S861" s="4">
        <f>Tableau1_2[[#This Row],[Marge]]/Tableau1_2[[#This Row],[CA]]</f>
        <v>0.32623318385650224</v>
      </c>
      <c r="T861" t="str">
        <f>TEXT(Tableau1_2[[#This Row],[Date]],"mmmm")</f>
        <v>mars</v>
      </c>
    </row>
    <row r="862" spans="1:20" x14ac:dyDescent="0.35">
      <c r="A862" t="s">
        <v>1761</v>
      </c>
      <c r="B862" s="2">
        <v>46129</v>
      </c>
      <c r="C862" t="s">
        <v>1156</v>
      </c>
      <c r="D862" t="s">
        <v>1303</v>
      </c>
      <c r="E862" t="s">
        <v>41</v>
      </c>
      <c r="F862" t="s">
        <v>42</v>
      </c>
      <c r="G862" t="s">
        <v>34</v>
      </c>
      <c r="H862" t="s">
        <v>141</v>
      </c>
      <c r="I862">
        <v>10</v>
      </c>
      <c r="J862">
        <v>152000</v>
      </c>
      <c r="K862">
        <v>116400</v>
      </c>
      <c r="L862" t="s">
        <v>50</v>
      </c>
      <c r="M862" t="s">
        <v>51</v>
      </c>
      <c r="N862" t="s">
        <v>23</v>
      </c>
      <c r="O862" t="s">
        <v>24</v>
      </c>
      <c r="P862">
        <f>Tableau1_2[[#This Row],[Quantité]]*Tableau1_2[[#This Row],[Prix_Unitaire]]</f>
        <v>1520000</v>
      </c>
      <c r="Q862">
        <f>Tableau1_2[[#This Row],[Quantité]]*Tableau1_2[[#This Row],[Coût_Unitaire]]</f>
        <v>1164000</v>
      </c>
      <c r="R862">
        <f>Tableau1_2[[#This Row],[CA]]-Tableau1_2[[#This Row],[Cout Total]]</f>
        <v>356000</v>
      </c>
      <c r="S862" s="4">
        <f>Tableau1_2[[#This Row],[Marge]]/Tableau1_2[[#This Row],[CA]]</f>
        <v>0.23421052631578948</v>
      </c>
      <c r="T862" t="str">
        <f>TEXT(Tableau1_2[[#This Row],[Date]],"mmmm")</f>
        <v>avril</v>
      </c>
    </row>
    <row r="863" spans="1:20" x14ac:dyDescent="0.35">
      <c r="A863" t="s">
        <v>1762</v>
      </c>
      <c r="B863" s="2">
        <v>46369</v>
      </c>
      <c r="C863" t="s">
        <v>1696</v>
      </c>
      <c r="D863" t="s">
        <v>490</v>
      </c>
      <c r="E863" t="s">
        <v>18</v>
      </c>
      <c r="F863" t="s">
        <v>18</v>
      </c>
      <c r="G863" t="s">
        <v>28</v>
      </c>
      <c r="H863" t="s">
        <v>131</v>
      </c>
      <c r="I863">
        <v>5</v>
      </c>
      <c r="J863">
        <v>30000</v>
      </c>
      <c r="K863">
        <v>19600</v>
      </c>
      <c r="L863" t="s">
        <v>66</v>
      </c>
      <c r="M863" t="s">
        <v>31</v>
      </c>
      <c r="N863" t="s">
        <v>52</v>
      </c>
      <c r="O863" t="s">
        <v>24</v>
      </c>
      <c r="P863">
        <f>Tableau1_2[[#This Row],[Quantité]]*Tableau1_2[[#This Row],[Prix_Unitaire]]</f>
        <v>150000</v>
      </c>
      <c r="Q863">
        <f>Tableau1_2[[#This Row],[Quantité]]*Tableau1_2[[#This Row],[Coût_Unitaire]]</f>
        <v>98000</v>
      </c>
      <c r="R863">
        <f>Tableau1_2[[#This Row],[CA]]-Tableau1_2[[#This Row],[Cout Total]]</f>
        <v>52000</v>
      </c>
      <c r="S863" s="4">
        <f>Tableau1_2[[#This Row],[Marge]]/Tableau1_2[[#This Row],[CA]]</f>
        <v>0.34666666666666668</v>
      </c>
      <c r="T863" t="str">
        <f>TEXT(Tableau1_2[[#This Row],[Date]],"mmmm")</f>
        <v>décembre</v>
      </c>
    </row>
    <row r="864" spans="1:20" x14ac:dyDescent="0.35">
      <c r="A864" t="s">
        <v>1763</v>
      </c>
      <c r="B864" s="2">
        <v>46209</v>
      </c>
      <c r="C864" t="s">
        <v>492</v>
      </c>
      <c r="D864" t="s">
        <v>374</v>
      </c>
      <c r="E864" t="s">
        <v>156</v>
      </c>
      <c r="F864" t="s">
        <v>170</v>
      </c>
      <c r="G864" t="s">
        <v>43</v>
      </c>
      <c r="H864" t="s">
        <v>44</v>
      </c>
      <c r="I864">
        <v>5</v>
      </c>
      <c r="J864">
        <v>15000</v>
      </c>
      <c r="K864">
        <v>9500</v>
      </c>
      <c r="L864" t="s">
        <v>96</v>
      </c>
      <c r="M864" t="s">
        <v>31</v>
      </c>
      <c r="N864" t="s">
        <v>52</v>
      </c>
      <c r="O864" t="s">
        <v>24</v>
      </c>
      <c r="P864">
        <f>Tableau1_2[[#This Row],[Quantité]]*Tableau1_2[[#This Row],[Prix_Unitaire]]</f>
        <v>75000</v>
      </c>
      <c r="Q864">
        <f>Tableau1_2[[#This Row],[Quantité]]*Tableau1_2[[#This Row],[Coût_Unitaire]]</f>
        <v>47500</v>
      </c>
      <c r="R864">
        <f>Tableau1_2[[#This Row],[CA]]-Tableau1_2[[#This Row],[Cout Total]]</f>
        <v>27500</v>
      </c>
      <c r="S864" s="4">
        <f>Tableau1_2[[#This Row],[Marge]]/Tableau1_2[[#This Row],[CA]]</f>
        <v>0.36666666666666664</v>
      </c>
      <c r="T864" t="str">
        <f>TEXT(Tableau1_2[[#This Row],[Date]],"mmmm")</f>
        <v>juillet</v>
      </c>
    </row>
    <row r="865" spans="1:20" x14ac:dyDescent="0.35">
      <c r="A865" t="s">
        <v>1764</v>
      </c>
      <c r="B865" s="2">
        <v>46376</v>
      </c>
      <c r="C865" t="s">
        <v>1490</v>
      </c>
      <c r="D865" t="s">
        <v>695</v>
      </c>
      <c r="E865" t="s">
        <v>18</v>
      </c>
      <c r="F865" t="s">
        <v>18</v>
      </c>
      <c r="G865" t="s">
        <v>28</v>
      </c>
      <c r="H865" t="s">
        <v>72</v>
      </c>
      <c r="I865">
        <v>5</v>
      </c>
      <c r="J865">
        <v>10500</v>
      </c>
      <c r="K865">
        <v>6000</v>
      </c>
      <c r="L865" t="s">
        <v>80</v>
      </c>
      <c r="M865" t="s">
        <v>51</v>
      </c>
      <c r="N865" t="s">
        <v>23</v>
      </c>
      <c r="O865" t="s">
        <v>91</v>
      </c>
      <c r="P865">
        <f>Tableau1_2[[#This Row],[Quantité]]*Tableau1_2[[#This Row],[Prix_Unitaire]]</f>
        <v>52500</v>
      </c>
      <c r="Q865">
        <f>Tableau1_2[[#This Row],[Quantité]]*Tableau1_2[[#This Row],[Coût_Unitaire]]</f>
        <v>30000</v>
      </c>
      <c r="R865">
        <f>Tableau1_2[[#This Row],[CA]]-Tableau1_2[[#This Row],[Cout Total]]</f>
        <v>22500</v>
      </c>
      <c r="S865" s="4">
        <f>Tableau1_2[[#This Row],[Marge]]/Tableau1_2[[#This Row],[CA]]</f>
        <v>0.42857142857142855</v>
      </c>
      <c r="T865" t="str">
        <f>TEXT(Tableau1_2[[#This Row],[Date]],"mmmm")</f>
        <v>décembre</v>
      </c>
    </row>
    <row r="866" spans="1:20" x14ac:dyDescent="0.35">
      <c r="A866" t="s">
        <v>1765</v>
      </c>
      <c r="B866" s="2">
        <v>46243</v>
      </c>
      <c r="C866" t="s">
        <v>858</v>
      </c>
      <c r="D866" t="s">
        <v>898</v>
      </c>
      <c r="E866" t="s">
        <v>77</v>
      </c>
      <c r="F866" t="s">
        <v>78</v>
      </c>
      <c r="G866" t="s">
        <v>28</v>
      </c>
      <c r="H866" t="s">
        <v>65</v>
      </c>
      <c r="I866">
        <v>6</v>
      </c>
      <c r="J866">
        <v>12000</v>
      </c>
      <c r="K866">
        <v>7500</v>
      </c>
      <c r="L866" t="s">
        <v>66</v>
      </c>
      <c r="M866" t="s">
        <v>37</v>
      </c>
      <c r="N866" t="s">
        <v>87</v>
      </c>
      <c r="O866" t="s">
        <v>24</v>
      </c>
      <c r="P866">
        <f>Tableau1_2[[#This Row],[Quantité]]*Tableau1_2[[#This Row],[Prix_Unitaire]]</f>
        <v>72000</v>
      </c>
      <c r="Q866">
        <f>Tableau1_2[[#This Row],[Quantité]]*Tableau1_2[[#This Row],[Coût_Unitaire]]</f>
        <v>45000</v>
      </c>
      <c r="R866">
        <f>Tableau1_2[[#This Row],[CA]]-Tableau1_2[[#This Row],[Cout Total]]</f>
        <v>27000</v>
      </c>
      <c r="S866" s="4">
        <f>Tableau1_2[[#This Row],[Marge]]/Tableau1_2[[#This Row],[CA]]</f>
        <v>0.375</v>
      </c>
      <c r="T866" t="str">
        <f>TEXT(Tableau1_2[[#This Row],[Date]],"mmmm")</f>
        <v>août</v>
      </c>
    </row>
    <row r="867" spans="1:20" x14ac:dyDescent="0.35">
      <c r="A867" t="s">
        <v>1766</v>
      </c>
      <c r="B867" s="2">
        <v>46285</v>
      </c>
      <c r="C867" t="s">
        <v>877</v>
      </c>
      <c r="D867" t="s">
        <v>572</v>
      </c>
      <c r="E867" t="s">
        <v>18</v>
      </c>
      <c r="F867" t="s">
        <v>18</v>
      </c>
      <c r="G867" t="s">
        <v>34</v>
      </c>
      <c r="H867" t="s">
        <v>158</v>
      </c>
      <c r="I867">
        <v>4</v>
      </c>
      <c r="J867">
        <v>90200</v>
      </c>
      <c r="K867">
        <v>70000</v>
      </c>
      <c r="L867" t="s">
        <v>30</v>
      </c>
      <c r="M867" t="s">
        <v>22</v>
      </c>
      <c r="N867" t="s">
        <v>23</v>
      </c>
      <c r="O867" t="s">
        <v>24</v>
      </c>
      <c r="P867">
        <f>Tableau1_2[[#This Row],[Quantité]]*Tableau1_2[[#This Row],[Prix_Unitaire]]</f>
        <v>360800</v>
      </c>
      <c r="Q867">
        <f>Tableau1_2[[#This Row],[Quantité]]*Tableau1_2[[#This Row],[Coût_Unitaire]]</f>
        <v>280000</v>
      </c>
      <c r="R867">
        <f>Tableau1_2[[#This Row],[CA]]-Tableau1_2[[#This Row],[Cout Total]]</f>
        <v>80800</v>
      </c>
      <c r="S867" s="4">
        <f>Tableau1_2[[#This Row],[Marge]]/Tableau1_2[[#This Row],[CA]]</f>
        <v>0.22394678492239467</v>
      </c>
      <c r="T867" t="str">
        <f>TEXT(Tableau1_2[[#This Row],[Date]],"mmmm")</f>
        <v>septembre</v>
      </c>
    </row>
    <row r="868" spans="1:20" x14ac:dyDescent="0.35">
      <c r="A868" t="s">
        <v>1767</v>
      </c>
      <c r="B868" s="2">
        <v>46050</v>
      </c>
      <c r="C868" t="s">
        <v>455</v>
      </c>
      <c r="D868" t="s">
        <v>1202</v>
      </c>
      <c r="E868" t="s">
        <v>18</v>
      </c>
      <c r="F868" t="s">
        <v>18</v>
      </c>
      <c r="G868" t="s">
        <v>34</v>
      </c>
      <c r="H868" t="s">
        <v>86</v>
      </c>
      <c r="I868">
        <v>4</v>
      </c>
      <c r="J868">
        <v>189000</v>
      </c>
      <c r="K868">
        <v>131000</v>
      </c>
      <c r="L868" t="s">
        <v>96</v>
      </c>
      <c r="M868" t="s">
        <v>22</v>
      </c>
      <c r="N868" t="s">
        <v>52</v>
      </c>
      <c r="O868" t="s">
        <v>24</v>
      </c>
      <c r="P868">
        <f>Tableau1_2[[#This Row],[Quantité]]*Tableau1_2[[#This Row],[Prix_Unitaire]]</f>
        <v>756000</v>
      </c>
      <c r="Q868">
        <f>Tableau1_2[[#This Row],[Quantité]]*Tableau1_2[[#This Row],[Coût_Unitaire]]</f>
        <v>524000</v>
      </c>
      <c r="R868">
        <f>Tableau1_2[[#This Row],[CA]]-Tableau1_2[[#This Row],[Cout Total]]</f>
        <v>232000</v>
      </c>
      <c r="S868" s="4">
        <f>Tableau1_2[[#This Row],[Marge]]/Tableau1_2[[#This Row],[CA]]</f>
        <v>0.30687830687830686</v>
      </c>
      <c r="T868" t="str">
        <f>TEXT(Tableau1_2[[#This Row],[Date]],"mmmm")</f>
        <v>janvier</v>
      </c>
    </row>
    <row r="869" spans="1:20" x14ac:dyDescent="0.35">
      <c r="A869" t="s">
        <v>1768</v>
      </c>
      <c r="B869" s="2">
        <v>46341</v>
      </c>
      <c r="C869" t="s">
        <v>370</v>
      </c>
      <c r="D869" t="s">
        <v>1670</v>
      </c>
      <c r="E869" t="s">
        <v>56</v>
      </c>
      <c r="F869" t="s">
        <v>57</v>
      </c>
      <c r="G869" t="s">
        <v>43</v>
      </c>
      <c r="H869" t="s">
        <v>49</v>
      </c>
      <c r="I869">
        <v>10</v>
      </c>
      <c r="J869">
        <v>9000</v>
      </c>
      <c r="K869">
        <v>5800</v>
      </c>
      <c r="L869" t="s">
        <v>80</v>
      </c>
      <c r="M869" t="s">
        <v>37</v>
      </c>
      <c r="N869" t="s">
        <v>23</v>
      </c>
      <c r="O869" t="s">
        <v>24</v>
      </c>
      <c r="P869">
        <f>Tableau1_2[[#This Row],[Quantité]]*Tableau1_2[[#This Row],[Prix_Unitaire]]</f>
        <v>90000</v>
      </c>
      <c r="Q869">
        <f>Tableau1_2[[#This Row],[Quantité]]*Tableau1_2[[#This Row],[Coût_Unitaire]]</f>
        <v>58000</v>
      </c>
      <c r="R869">
        <f>Tableau1_2[[#This Row],[CA]]-Tableau1_2[[#This Row],[Cout Total]]</f>
        <v>32000</v>
      </c>
      <c r="S869" s="4">
        <f>Tableau1_2[[#This Row],[Marge]]/Tableau1_2[[#This Row],[CA]]</f>
        <v>0.35555555555555557</v>
      </c>
      <c r="T869" t="str">
        <f>TEXT(Tableau1_2[[#This Row],[Date]],"mmmm")</f>
        <v>novembre</v>
      </c>
    </row>
    <row r="870" spans="1:20" x14ac:dyDescent="0.35">
      <c r="A870" t="s">
        <v>1769</v>
      </c>
      <c r="B870" s="2">
        <v>46091</v>
      </c>
      <c r="C870" t="s">
        <v>1770</v>
      </c>
      <c r="D870" t="s">
        <v>1405</v>
      </c>
      <c r="E870" t="s">
        <v>18</v>
      </c>
      <c r="F870" t="s">
        <v>18</v>
      </c>
      <c r="G870" t="s">
        <v>43</v>
      </c>
      <c r="H870" t="s">
        <v>177</v>
      </c>
      <c r="I870">
        <v>4</v>
      </c>
      <c r="J870">
        <v>18900</v>
      </c>
      <c r="K870">
        <v>12500</v>
      </c>
      <c r="L870" t="s">
        <v>21</v>
      </c>
      <c r="M870" t="s">
        <v>37</v>
      </c>
      <c r="N870" t="s">
        <v>52</v>
      </c>
      <c r="O870" t="s">
        <v>24</v>
      </c>
      <c r="P870">
        <f>Tableau1_2[[#This Row],[Quantité]]*Tableau1_2[[#This Row],[Prix_Unitaire]]</f>
        <v>75600</v>
      </c>
      <c r="Q870">
        <f>Tableau1_2[[#This Row],[Quantité]]*Tableau1_2[[#This Row],[Coût_Unitaire]]</f>
        <v>50000</v>
      </c>
      <c r="R870">
        <f>Tableau1_2[[#This Row],[CA]]-Tableau1_2[[#This Row],[Cout Total]]</f>
        <v>25600</v>
      </c>
      <c r="S870" s="4">
        <f>Tableau1_2[[#This Row],[Marge]]/Tableau1_2[[#This Row],[CA]]</f>
        <v>0.33862433862433861</v>
      </c>
      <c r="T870" t="str">
        <f>TEXT(Tableau1_2[[#This Row],[Date]],"mmmm")</f>
        <v>mars</v>
      </c>
    </row>
    <row r="871" spans="1:20" x14ac:dyDescent="0.35">
      <c r="A871" t="s">
        <v>1771</v>
      </c>
      <c r="B871" s="2">
        <v>46033</v>
      </c>
      <c r="C871" t="s">
        <v>1386</v>
      </c>
      <c r="D871" t="s">
        <v>1772</v>
      </c>
      <c r="E871" t="s">
        <v>77</v>
      </c>
      <c r="F871" t="s">
        <v>78</v>
      </c>
      <c r="G871" t="s">
        <v>28</v>
      </c>
      <c r="H871" t="s">
        <v>65</v>
      </c>
      <c r="I871">
        <v>2</v>
      </c>
      <c r="J871">
        <v>11400</v>
      </c>
      <c r="K871">
        <v>7700</v>
      </c>
      <c r="L871" t="s">
        <v>50</v>
      </c>
      <c r="M871" t="s">
        <v>37</v>
      </c>
      <c r="N871" t="s">
        <v>23</v>
      </c>
      <c r="O871" t="s">
        <v>24</v>
      </c>
      <c r="P871">
        <f>Tableau1_2[[#This Row],[Quantité]]*Tableau1_2[[#This Row],[Prix_Unitaire]]</f>
        <v>22800</v>
      </c>
      <c r="Q871">
        <f>Tableau1_2[[#This Row],[Quantité]]*Tableau1_2[[#This Row],[Coût_Unitaire]]</f>
        <v>15400</v>
      </c>
      <c r="R871">
        <f>Tableau1_2[[#This Row],[CA]]-Tableau1_2[[#This Row],[Cout Total]]</f>
        <v>7400</v>
      </c>
      <c r="S871" s="4">
        <f>Tableau1_2[[#This Row],[Marge]]/Tableau1_2[[#This Row],[CA]]</f>
        <v>0.32456140350877194</v>
      </c>
      <c r="T871" t="str">
        <f>TEXT(Tableau1_2[[#This Row],[Date]],"mmmm")</f>
        <v>janvier</v>
      </c>
    </row>
    <row r="872" spans="1:20" x14ac:dyDescent="0.35">
      <c r="A872" t="s">
        <v>1773</v>
      </c>
      <c r="B872" s="2">
        <v>46179</v>
      </c>
      <c r="C872" t="s">
        <v>1527</v>
      </c>
      <c r="D872" t="s">
        <v>1774</v>
      </c>
      <c r="E872" t="s">
        <v>18</v>
      </c>
      <c r="F872" t="s">
        <v>18</v>
      </c>
      <c r="G872" t="s">
        <v>34</v>
      </c>
      <c r="H872" t="s">
        <v>158</v>
      </c>
      <c r="I872">
        <v>1</v>
      </c>
      <c r="J872">
        <v>95000</v>
      </c>
      <c r="K872">
        <v>67900</v>
      </c>
      <c r="L872" t="s">
        <v>50</v>
      </c>
      <c r="M872" t="s">
        <v>37</v>
      </c>
      <c r="N872" t="s">
        <v>23</v>
      </c>
      <c r="O872" t="s">
        <v>24</v>
      </c>
      <c r="P872">
        <f>Tableau1_2[[#This Row],[Quantité]]*Tableau1_2[[#This Row],[Prix_Unitaire]]</f>
        <v>95000</v>
      </c>
      <c r="Q872">
        <f>Tableau1_2[[#This Row],[Quantité]]*Tableau1_2[[#This Row],[Coût_Unitaire]]</f>
        <v>67900</v>
      </c>
      <c r="R872">
        <f>Tableau1_2[[#This Row],[CA]]-Tableau1_2[[#This Row],[Cout Total]]</f>
        <v>27100</v>
      </c>
      <c r="S872" s="4">
        <f>Tableau1_2[[#This Row],[Marge]]/Tableau1_2[[#This Row],[CA]]</f>
        <v>0.28526315789473683</v>
      </c>
      <c r="T872" t="str">
        <f>TEXT(Tableau1_2[[#This Row],[Date]],"mmmm")</f>
        <v>juin</v>
      </c>
    </row>
    <row r="873" spans="1:20" x14ac:dyDescent="0.35">
      <c r="A873" t="s">
        <v>1775</v>
      </c>
      <c r="B873" s="2">
        <v>46162</v>
      </c>
      <c r="C873" t="s">
        <v>1539</v>
      </c>
      <c r="D873" t="s">
        <v>893</v>
      </c>
      <c r="E873" t="s">
        <v>56</v>
      </c>
      <c r="F873" t="s">
        <v>57</v>
      </c>
      <c r="G873" t="s">
        <v>43</v>
      </c>
      <c r="H873" t="s">
        <v>79</v>
      </c>
      <c r="I873">
        <v>3</v>
      </c>
      <c r="J873">
        <v>6300</v>
      </c>
      <c r="K873">
        <v>4100</v>
      </c>
      <c r="L873" t="s">
        <v>36</v>
      </c>
      <c r="M873" t="s">
        <v>37</v>
      </c>
      <c r="N873" t="s">
        <v>23</v>
      </c>
      <c r="O873" t="s">
        <v>24</v>
      </c>
      <c r="P873">
        <f>Tableau1_2[[#This Row],[Quantité]]*Tableau1_2[[#This Row],[Prix_Unitaire]]</f>
        <v>18900</v>
      </c>
      <c r="Q873">
        <f>Tableau1_2[[#This Row],[Quantité]]*Tableau1_2[[#This Row],[Coût_Unitaire]]</f>
        <v>12300</v>
      </c>
      <c r="R873">
        <f>Tableau1_2[[#This Row],[CA]]-Tableau1_2[[#This Row],[Cout Total]]</f>
        <v>6600</v>
      </c>
      <c r="S873" s="4">
        <f>Tableau1_2[[#This Row],[Marge]]/Tableau1_2[[#This Row],[CA]]</f>
        <v>0.34920634920634919</v>
      </c>
      <c r="T873" t="str">
        <f>TEXT(Tableau1_2[[#This Row],[Date]],"mmmm")</f>
        <v>mai</v>
      </c>
    </row>
    <row r="874" spans="1:20" x14ac:dyDescent="0.35">
      <c r="A874" t="s">
        <v>1776</v>
      </c>
      <c r="B874" s="2">
        <v>46242</v>
      </c>
      <c r="C874" t="s">
        <v>68</v>
      </c>
      <c r="D874" t="s">
        <v>1267</v>
      </c>
      <c r="E874" t="s">
        <v>18</v>
      </c>
      <c r="F874" t="s">
        <v>18</v>
      </c>
      <c r="G874" t="s">
        <v>28</v>
      </c>
      <c r="H874" t="s">
        <v>131</v>
      </c>
      <c r="I874">
        <v>9</v>
      </c>
      <c r="J874">
        <v>28500</v>
      </c>
      <c r="K874">
        <v>18400</v>
      </c>
      <c r="L874" t="s">
        <v>80</v>
      </c>
      <c r="M874" t="s">
        <v>37</v>
      </c>
      <c r="N874" t="s">
        <v>23</v>
      </c>
      <c r="O874" t="s">
        <v>24</v>
      </c>
      <c r="P874">
        <f>Tableau1_2[[#This Row],[Quantité]]*Tableau1_2[[#This Row],[Prix_Unitaire]]</f>
        <v>256500</v>
      </c>
      <c r="Q874">
        <f>Tableau1_2[[#This Row],[Quantité]]*Tableau1_2[[#This Row],[Coût_Unitaire]]</f>
        <v>165600</v>
      </c>
      <c r="R874">
        <f>Tableau1_2[[#This Row],[CA]]-Tableau1_2[[#This Row],[Cout Total]]</f>
        <v>90900</v>
      </c>
      <c r="S874" s="4">
        <f>Tableau1_2[[#This Row],[Marge]]/Tableau1_2[[#This Row],[CA]]</f>
        <v>0.35438596491228069</v>
      </c>
      <c r="T874" t="str">
        <f>TEXT(Tableau1_2[[#This Row],[Date]],"mmmm")</f>
        <v>août</v>
      </c>
    </row>
    <row r="875" spans="1:20" x14ac:dyDescent="0.35">
      <c r="A875" t="s">
        <v>1777</v>
      </c>
      <c r="B875" s="2">
        <v>46244</v>
      </c>
      <c r="C875" t="s">
        <v>1778</v>
      </c>
      <c r="D875" t="s">
        <v>570</v>
      </c>
      <c r="E875" t="s">
        <v>18</v>
      </c>
      <c r="F875" t="s">
        <v>18</v>
      </c>
      <c r="G875" t="s">
        <v>34</v>
      </c>
      <c r="H875" t="s">
        <v>95</v>
      </c>
      <c r="I875">
        <v>6</v>
      </c>
      <c r="J875">
        <v>472500</v>
      </c>
      <c r="K875">
        <v>370000</v>
      </c>
      <c r="L875" t="s">
        <v>21</v>
      </c>
      <c r="M875" t="s">
        <v>51</v>
      </c>
      <c r="N875" t="s">
        <v>23</v>
      </c>
      <c r="O875" t="s">
        <v>24</v>
      </c>
      <c r="P875">
        <f>Tableau1_2[[#This Row],[Quantité]]*Tableau1_2[[#This Row],[Prix_Unitaire]]</f>
        <v>2835000</v>
      </c>
      <c r="Q875">
        <f>Tableau1_2[[#This Row],[Quantité]]*Tableau1_2[[#This Row],[Coût_Unitaire]]</f>
        <v>2220000</v>
      </c>
      <c r="R875">
        <f>Tableau1_2[[#This Row],[CA]]-Tableau1_2[[#This Row],[Cout Total]]</f>
        <v>615000</v>
      </c>
      <c r="S875" s="4">
        <f>Tableau1_2[[#This Row],[Marge]]/Tableau1_2[[#This Row],[CA]]</f>
        <v>0.21693121693121692</v>
      </c>
      <c r="T875" t="str">
        <f>TEXT(Tableau1_2[[#This Row],[Date]],"mmmm")</f>
        <v>août</v>
      </c>
    </row>
    <row r="876" spans="1:20" x14ac:dyDescent="0.35">
      <c r="A876" t="s">
        <v>1779</v>
      </c>
      <c r="B876" s="2">
        <v>46146</v>
      </c>
      <c r="C876" t="s">
        <v>1780</v>
      </c>
      <c r="D876" t="s">
        <v>504</v>
      </c>
      <c r="E876" t="s">
        <v>18</v>
      </c>
      <c r="F876" t="s">
        <v>18</v>
      </c>
      <c r="G876" t="s">
        <v>43</v>
      </c>
      <c r="H876" t="s">
        <v>162</v>
      </c>
      <c r="I876">
        <v>1</v>
      </c>
      <c r="J876">
        <v>7600</v>
      </c>
      <c r="K876">
        <v>5200</v>
      </c>
      <c r="L876" t="s">
        <v>21</v>
      </c>
      <c r="M876" t="s">
        <v>51</v>
      </c>
      <c r="N876" t="s">
        <v>52</v>
      </c>
      <c r="O876" t="s">
        <v>91</v>
      </c>
      <c r="P876">
        <f>Tableau1_2[[#This Row],[Quantité]]*Tableau1_2[[#This Row],[Prix_Unitaire]]</f>
        <v>7600</v>
      </c>
      <c r="Q876">
        <f>Tableau1_2[[#This Row],[Quantité]]*Tableau1_2[[#This Row],[Coût_Unitaire]]</f>
        <v>5200</v>
      </c>
      <c r="R876">
        <f>Tableau1_2[[#This Row],[CA]]-Tableau1_2[[#This Row],[Cout Total]]</f>
        <v>2400</v>
      </c>
      <c r="S876" s="4">
        <f>Tableau1_2[[#This Row],[Marge]]/Tableau1_2[[#This Row],[CA]]</f>
        <v>0.31578947368421051</v>
      </c>
      <c r="T876" t="str">
        <f>TEXT(Tableau1_2[[#This Row],[Date]],"mmmm")</f>
        <v>mai</v>
      </c>
    </row>
    <row r="877" spans="1:20" x14ac:dyDescent="0.35">
      <c r="A877" t="s">
        <v>1781</v>
      </c>
      <c r="B877" s="2">
        <v>46355</v>
      </c>
      <c r="C877" t="s">
        <v>1541</v>
      </c>
      <c r="D877" t="s">
        <v>1563</v>
      </c>
      <c r="E877" t="s">
        <v>41</v>
      </c>
      <c r="F877" t="s">
        <v>42</v>
      </c>
      <c r="G877" t="s">
        <v>34</v>
      </c>
      <c r="H877" t="s">
        <v>86</v>
      </c>
      <c r="I877">
        <v>1</v>
      </c>
      <c r="J877">
        <v>180000</v>
      </c>
      <c r="K877">
        <v>131000</v>
      </c>
      <c r="L877" t="s">
        <v>30</v>
      </c>
      <c r="M877" t="s">
        <v>31</v>
      </c>
      <c r="N877" t="s">
        <v>52</v>
      </c>
      <c r="O877" t="s">
        <v>24</v>
      </c>
      <c r="P877">
        <f>Tableau1_2[[#This Row],[Quantité]]*Tableau1_2[[#This Row],[Prix_Unitaire]]</f>
        <v>180000</v>
      </c>
      <c r="Q877">
        <f>Tableau1_2[[#This Row],[Quantité]]*Tableau1_2[[#This Row],[Coût_Unitaire]]</f>
        <v>131000</v>
      </c>
      <c r="R877">
        <f>Tableau1_2[[#This Row],[CA]]-Tableau1_2[[#This Row],[Cout Total]]</f>
        <v>49000</v>
      </c>
      <c r="S877" s="4">
        <f>Tableau1_2[[#This Row],[Marge]]/Tableau1_2[[#This Row],[CA]]</f>
        <v>0.2722222222222222</v>
      </c>
      <c r="T877" t="str">
        <f>TEXT(Tableau1_2[[#This Row],[Date]],"mmmm")</f>
        <v>novembre</v>
      </c>
    </row>
    <row r="878" spans="1:20" x14ac:dyDescent="0.35">
      <c r="A878" t="s">
        <v>1782</v>
      </c>
      <c r="B878" s="2">
        <v>46023</v>
      </c>
      <c r="C878" t="s">
        <v>293</v>
      </c>
      <c r="D878" t="s">
        <v>1783</v>
      </c>
      <c r="E878" t="s">
        <v>18</v>
      </c>
      <c r="F878" t="s">
        <v>18</v>
      </c>
      <c r="G878" t="s">
        <v>43</v>
      </c>
      <c r="H878" t="s">
        <v>79</v>
      </c>
      <c r="I878">
        <v>10</v>
      </c>
      <c r="J878">
        <v>6300</v>
      </c>
      <c r="K878">
        <v>4300</v>
      </c>
      <c r="L878" t="s">
        <v>30</v>
      </c>
      <c r="M878" t="s">
        <v>31</v>
      </c>
      <c r="N878" t="s">
        <v>52</v>
      </c>
      <c r="O878" t="s">
        <v>24</v>
      </c>
      <c r="P878">
        <f>Tableau1_2[[#This Row],[Quantité]]*Tableau1_2[[#This Row],[Prix_Unitaire]]</f>
        <v>63000</v>
      </c>
      <c r="Q878">
        <f>Tableau1_2[[#This Row],[Quantité]]*Tableau1_2[[#This Row],[Coût_Unitaire]]</f>
        <v>43000</v>
      </c>
      <c r="R878">
        <f>Tableau1_2[[#This Row],[CA]]-Tableau1_2[[#This Row],[Cout Total]]</f>
        <v>20000</v>
      </c>
      <c r="S878" s="4">
        <f>Tableau1_2[[#This Row],[Marge]]/Tableau1_2[[#This Row],[CA]]</f>
        <v>0.31746031746031744</v>
      </c>
      <c r="T878" t="str">
        <f>TEXT(Tableau1_2[[#This Row],[Date]],"mmmm")</f>
        <v>janvier</v>
      </c>
    </row>
    <row r="879" spans="1:20" x14ac:dyDescent="0.35">
      <c r="A879" t="s">
        <v>1784</v>
      </c>
      <c r="B879" s="2">
        <v>46104</v>
      </c>
      <c r="C879" t="s">
        <v>316</v>
      </c>
      <c r="D879" t="s">
        <v>140</v>
      </c>
      <c r="E879" t="s">
        <v>84</v>
      </c>
      <c r="F879" t="s">
        <v>85</v>
      </c>
      <c r="G879" t="s">
        <v>34</v>
      </c>
      <c r="H879" t="s">
        <v>158</v>
      </c>
      <c r="I879">
        <v>10</v>
      </c>
      <c r="J879">
        <v>95000</v>
      </c>
      <c r="K879">
        <v>70000</v>
      </c>
      <c r="L879" t="s">
        <v>96</v>
      </c>
      <c r="M879" t="s">
        <v>37</v>
      </c>
      <c r="N879" t="s">
        <v>87</v>
      </c>
      <c r="O879" t="s">
        <v>45</v>
      </c>
      <c r="P879">
        <f>Tableau1_2[[#This Row],[Quantité]]*Tableau1_2[[#This Row],[Prix_Unitaire]]</f>
        <v>950000</v>
      </c>
      <c r="Q879">
        <f>Tableau1_2[[#This Row],[Quantité]]*Tableau1_2[[#This Row],[Coût_Unitaire]]</f>
        <v>700000</v>
      </c>
      <c r="R879">
        <f>Tableau1_2[[#This Row],[CA]]-Tableau1_2[[#This Row],[Cout Total]]</f>
        <v>250000</v>
      </c>
      <c r="S879" s="4">
        <f>Tableau1_2[[#This Row],[Marge]]/Tableau1_2[[#This Row],[CA]]</f>
        <v>0.26315789473684209</v>
      </c>
      <c r="T879" t="str">
        <f>TEXT(Tableau1_2[[#This Row],[Date]],"mmmm")</f>
        <v>mars</v>
      </c>
    </row>
    <row r="880" spans="1:20" x14ac:dyDescent="0.35">
      <c r="A880" t="s">
        <v>1785</v>
      </c>
      <c r="B880" s="2">
        <v>46357</v>
      </c>
      <c r="C880" t="s">
        <v>1442</v>
      </c>
      <c r="D880" t="s">
        <v>1581</v>
      </c>
      <c r="E880" t="s">
        <v>18</v>
      </c>
      <c r="F880" t="s">
        <v>18</v>
      </c>
      <c r="G880" t="s">
        <v>34</v>
      </c>
      <c r="H880" t="s">
        <v>158</v>
      </c>
      <c r="I880">
        <v>9</v>
      </c>
      <c r="J880">
        <v>99800</v>
      </c>
      <c r="K880">
        <v>67900</v>
      </c>
      <c r="L880" t="s">
        <v>96</v>
      </c>
      <c r="M880" t="s">
        <v>22</v>
      </c>
      <c r="N880" t="s">
        <v>23</v>
      </c>
      <c r="O880" t="s">
        <v>91</v>
      </c>
      <c r="P880">
        <f>Tableau1_2[[#This Row],[Quantité]]*Tableau1_2[[#This Row],[Prix_Unitaire]]</f>
        <v>898200</v>
      </c>
      <c r="Q880">
        <f>Tableau1_2[[#This Row],[Quantité]]*Tableau1_2[[#This Row],[Coût_Unitaire]]</f>
        <v>611100</v>
      </c>
      <c r="R880">
        <f>Tableau1_2[[#This Row],[CA]]-Tableau1_2[[#This Row],[Cout Total]]</f>
        <v>287100</v>
      </c>
      <c r="S880" s="4">
        <f>Tableau1_2[[#This Row],[Marge]]/Tableau1_2[[#This Row],[CA]]</f>
        <v>0.31963927855711421</v>
      </c>
      <c r="T880" t="str">
        <f>TEXT(Tableau1_2[[#This Row],[Date]],"mmmm")</f>
        <v>décembre</v>
      </c>
    </row>
    <row r="881" spans="1:20" x14ac:dyDescent="0.35">
      <c r="A881" t="s">
        <v>1786</v>
      </c>
      <c r="B881" s="2">
        <v>46319</v>
      </c>
      <c r="C881" t="s">
        <v>1119</v>
      </c>
      <c r="D881" t="s">
        <v>291</v>
      </c>
      <c r="E881" t="s">
        <v>56</v>
      </c>
      <c r="F881" t="s">
        <v>57</v>
      </c>
      <c r="G881" t="s">
        <v>19</v>
      </c>
      <c r="H881" t="s">
        <v>61</v>
      </c>
      <c r="I881">
        <v>2</v>
      </c>
      <c r="J881">
        <v>231000</v>
      </c>
      <c r="K881">
        <v>155200</v>
      </c>
      <c r="L881" t="s">
        <v>30</v>
      </c>
      <c r="M881" t="s">
        <v>51</v>
      </c>
      <c r="N881" t="s">
        <v>52</v>
      </c>
      <c r="O881" t="s">
        <v>45</v>
      </c>
      <c r="P881">
        <f>Tableau1_2[[#This Row],[Quantité]]*Tableau1_2[[#This Row],[Prix_Unitaire]]</f>
        <v>462000</v>
      </c>
      <c r="Q881">
        <f>Tableau1_2[[#This Row],[Quantité]]*Tableau1_2[[#This Row],[Coût_Unitaire]]</f>
        <v>310400</v>
      </c>
      <c r="R881">
        <f>Tableau1_2[[#This Row],[CA]]-Tableau1_2[[#This Row],[Cout Total]]</f>
        <v>151600</v>
      </c>
      <c r="S881" s="4">
        <f>Tableau1_2[[#This Row],[Marge]]/Tableau1_2[[#This Row],[CA]]</f>
        <v>0.32813852813852812</v>
      </c>
      <c r="T881" t="str">
        <f>TEXT(Tableau1_2[[#This Row],[Date]],"mmmm")</f>
        <v>octobre</v>
      </c>
    </row>
    <row r="882" spans="1:20" x14ac:dyDescent="0.35">
      <c r="A882" t="s">
        <v>1787</v>
      </c>
      <c r="B882" s="2">
        <v>46333</v>
      </c>
      <c r="C882" t="s">
        <v>1788</v>
      </c>
      <c r="D882" t="s">
        <v>1643</v>
      </c>
      <c r="E882" t="s">
        <v>70</v>
      </c>
      <c r="F882" t="s">
        <v>71</v>
      </c>
      <c r="G882" t="s">
        <v>34</v>
      </c>
      <c r="H882" t="s">
        <v>141</v>
      </c>
      <c r="I882">
        <v>6</v>
      </c>
      <c r="J882">
        <v>168000</v>
      </c>
      <c r="K882">
        <v>123600</v>
      </c>
      <c r="L882" t="s">
        <v>50</v>
      </c>
      <c r="M882" t="s">
        <v>51</v>
      </c>
      <c r="N882" t="s">
        <v>52</v>
      </c>
      <c r="O882" t="s">
        <v>24</v>
      </c>
      <c r="P882">
        <f>Tableau1_2[[#This Row],[Quantité]]*Tableau1_2[[#This Row],[Prix_Unitaire]]</f>
        <v>1008000</v>
      </c>
      <c r="Q882">
        <f>Tableau1_2[[#This Row],[Quantité]]*Tableau1_2[[#This Row],[Coût_Unitaire]]</f>
        <v>741600</v>
      </c>
      <c r="R882">
        <f>Tableau1_2[[#This Row],[CA]]-Tableau1_2[[#This Row],[Cout Total]]</f>
        <v>266400</v>
      </c>
      <c r="S882" s="4">
        <f>Tableau1_2[[#This Row],[Marge]]/Tableau1_2[[#This Row],[CA]]</f>
        <v>0.26428571428571429</v>
      </c>
      <c r="T882" t="str">
        <f>TEXT(Tableau1_2[[#This Row],[Date]],"mmmm")</f>
        <v>novembre</v>
      </c>
    </row>
    <row r="883" spans="1:20" x14ac:dyDescent="0.35">
      <c r="A883" t="s">
        <v>1789</v>
      </c>
      <c r="B883" s="2">
        <v>46354</v>
      </c>
      <c r="C883" t="s">
        <v>654</v>
      </c>
      <c r="D883" t="s">
        <v>743</v>
      </c>
      <c r="E883" t="s">
        <v>84</v>
      </c>
      <c r="F883" t="s">
        <v>85</v>
      </c>
      <c r="G883" t="s">
        <v>43</v>
      </c>
      <c r="H883" t="s">
        <v>162</v>
      </c>
      <c r="I883">
        <v>9</v>
      </c>
      <c r="J883">
        <v>8400</v>
      </c>
      <c r="K883">
        <v>4800</v>
      </c>
      <c r="L883" t="s">
        <v>50</v>
      </c>
      <c r="M883" t="s">
        <v>37</v>
      </c>
      <c r="N883" t="s">
        <v>23</v>
      </c>
      <c r="O883" t="s">
        <v>24</v>
      </c>
      <c r="P883">
        <f>Tableau1_2[[#This Row],[Quantité]]*Tableau1_2[[#This Row],[Prix_Unitaire]]</f>
        <v>75600</v>
      </c>
      <c r="Q883">
        <f>Tableau1_2[[#This Row],[Quantité]]*Tableau1_2[[#This Row],[Coût_Unitaire]]</f>
        <v>43200</v>
      </c>
      <c r="R883">
        <f>Tableau1_2[[#This Row],[CA]]-Tableau1_2[[#This Row],[Cout Total]]</f>
        <v>32400</v>
      </c>
      <c r="S883" s="4">
        <f>Tableau1_2[[#This Row],[Marge]]/Tableau1_2[[#This Row],[CA]]</f>
        <v>0.42857142857142855</v>
      </c>
      <c r="T883" t="str">
        <f>TEXT(Tableau1_2[[#This Row],[Date]],"mmmm")</f>
        <v>novembre</v>
      </c>
    </row>
    <row r="884" spans="1:20" x14ac:dyDescent="0.35">
      <c r="A884" t="s">
        <v>1790</v>
      </c>
      <c r="B884" s="2">
        <v>46220</v>
      </c>
      <c r="C884" t="s">
        <v>1463</v>
      </c>
      <c r="D884" t="s">
        <v>1484</v>
      </c>
      <c r="E884" t="s">
        <v>56</v>
      </c>
      <c r="F884" t="s">
        <v>57</v>
      </c>
      <c r="G884" t="s">
        <v>43</v>
      </c>
      <c r="H884" t="s">
        <v>177</v>
      </c>
      <c r="I884">
        <v>8</v>
      </c>
      <c r="J884">
        <v>18000</v>
      </c>
      <c r="K884">
        <v>12900</v>
      </c>
      <c r="L884" t="s">
        <v>21</v>
      </c>
      <c r="M884" t="s">
        <v>22</v>
      </c>
      <c r="N884" t="s">
        <v>52</v>
      </c>
      <c r="O884" t="s">
        <v>45</v>
      </c>
      <c r="P884">
        <f>Tableau1_2[[#This Row],[Quantité]]*Tableau1_2[[#This Row],[Prix_Unitaire]]</f>
        <v>144000</v>
      </c>
      <c r="Q884">
        <f>Tableau1_2[[#This Row],[Quantité]]*Tableau1_2[[#This Row],[Coût_Unitaire]]</f>
        <v>103200</v>
      </c>
      <c r="R884">
        <f>Tableau1_2[[#This Row],[CA]]-Tableau1_2[[#This Row],[Cout Total]]</f>
        <v>40800</v>
      </c>
      <c r="S884" s="4">
        <f>Tableau1_2[[#This Row],[Marge]]/Tableau1_2[[#This Row],[CA]]</f>
        <v>0.28333333333333333</v>
      </c>
      <c r="T884" t="str">
        <f>TEXT(Tableau1_2[[#This Row],[Date]],"mmmm")</f>
        <v>juillet</v>
      </c>
    </row>
    <row r="885" spans="1:20" x14ac:dyDescent="0.35">
      <c r="A885" t="s">
        <v>1791</v>
      </c>
      <c r="B885" s="2">
        <v>46058</v>
      </c>
      <c r="C885" t="s">
        <v>1524</v>
      </c>
      <c r="D885" t="s">
        <v>1338</v>
      </c>
      <c r="E885" t="s">
        <v>18</v>
      </c>
      <c r="F885" t="s">
        <v>18</v>
      </c>
      <c r="G885" t="s">
        <v>28</v>
      </c>
      <c r="H885" t="s">
        <v>72</v>
      </c>
      <c r="I885">
        <v>5</v>
      </c>
      <c r="J885">
        <v>10500</v>
      </c>
      <c r="K885">
        <v>6000</v>
      </c>
      <c r="L885" t="s">
        <v>36</v>
      </c>
      <c r="M885" t="s">
        <v>37</v>
      </c>
      <c r="N885" t="s">
        <v>87</v>
      </c>
      <c r="O885" t="s">
        <v>24</v>
      </c>
      <c r="P885">
        <f>Tableau1_2[[#This Row],[Quantité]]*Tableau1_2[[#This Row],[Prix_Unitaire]]</f>
        <v>52500</v>
      </c>
      <c r="Q885">
        <f>Tableau1_2[[#This Row],[Quantité]]*Tableau1_2[[#This Row],[Coût_Unitaire]]</f>
        <v>30000</v>
      </c>
      <c r="R885">
        <f>Tableau1_2[[#This Row],[CA]]-Tableau1_2[[#This Row],[Cout Total]]</f>
        <v>22500</v>
      </c>
      <c r="S885" s="4">
        <f>Tableau1_2[[#This Row],[Marge]]/Tableau1_2[[#This Row],[CA]]</f>
        <v>0.42857142857142855</v>
      </c>
      <c r="T885" t="str">
        <f>TEXT(Tableau1_2[[#This Row],[Date]],"mmmm")</f>
        <v>février</v>
      </c>
    </row>
    <row r="886" spans="1:20" x14ac:dyDescent="0.35">
      <c r="A886" t="s">
        <v>1792</v>
      </c>
      <c r="B886" s="2">
        <v>46345</v>
      </c>
      <c r="C886" t="s">
        <v>1793</v>
      </c>
      <c r="D886" t="s">
        <v>1794</v>
      </c>
      <c r="E886" t="s">
        <v>77</v>
      </c>
      <c r="F886" t="s">
        <v>78</v>
      </c>
      <c r="G886" t="s">
        <v>19</v>
      </c>
      <c r="H886" t="s">
        <v>61</v>
      </c>
      <c r="I886">
        <v>7</v>
      </c>
      <c r="J886">
        <v>231000</v>
      </c>
      <c r="K886">
        <v>155200</v>
      </c>
      <c r="L886" t="s">
        <v>66</v>
      </c>
      <c r="M886" t="s">
        <v>37</v>
      </c>
      <c r="N886" t="s">
        <v>23</v>
      </c>
      <c r="O886" t="s">
        <v>24</v>
      </c>
      <c r="P886">
        <f>Tableau1_2[[#This Row],[Quantité]]*Tableau1_2[[#This Row],[Prix_Unitaire]]</f>
        <v>1617000</v>
      </c>
      <c r="Q886">
        <f>Tableau1_2[[#This Row],[Quantité]]*Tableau1_2[[#This Row],[Coût_Unitaire]]</f>
        <v>1086400</v>
      </c>
      <c r="R886">
        <f>Tableau1_2[[#This Row],[CA]]-Tableau1_2[[#This Row],[Cout Total]]</f>
        <v>530600</v>
      </c>
      <c r="S886" s="4">
        <f>Tableau1_2[[#This Row],[Marge]]/Tableau1_2[[#This Row],[CA]]</f>
        <v>0.32813852813852812</v>
      </c>
      <c r="T886" t="str">
        <f>TEXT(Tableau1_2[[#This Row],[Date]],"mmmm")</f>
        <v>novembre</v>
      </c>
    </row>
    <row r="887" spans="1:20" x14ac:dyDescent="0.35">
      <c r="A887" t="s">
        <v>1795</v>
      </c>
      <c r="B887" s="2">
        <v>46043</v>
      </c>
      <c r="C887" t="s">
        <v>305</v>
      </c>
      <c r="D887" t="s">
        <v>823</v>
      </c>
      <c r="E887" t="s">
        <v>18</v>
      </c>
      <c r="F887" t="s">
        <v>18</v>
      </c>
      <c r="G887" t="s">
        <v>34</v>
      </c>
      <c r="H887" t="s">
        <v>35</v>
      </c>
      <c r="I887">
        <v>1</v>
      </c>
      <c r="J887">
        <v>52200</v>
      </c>
      <c r="K887">
        <v>39000</v>
      </c>
      <c r="L887" t="s">
        <v>80</v>
      </c>
      <c r="M887" t="s">
        <v>31</v>
      </c>
      <c r="N887" t="s">
        <v>52</v>
      </c>
      <c r="O887" t="s">
        <v>24</v>
      </c>
      <c r="P887">
        <f>Tableau1_2[[#This Row],[Quantité]]*Tableau1_2[[#This Row],[Prix_Unitaire]]</f>
        <v>52200</v>
      </c>
      <c r="Q887">
        <f>Tableau1_2[[#This Row],[Quantité]]*Tableau1_2[[#This Row],[Coût_Unitaire]]</f>
        <v>39000</v>
      </c>
      <c r="R887">
        <f>Tableau1_2[[#This Row],[CA]]-Tableau1_2[[#This Row],[Cout Total]]</f>
        <v>13200</v>
      </c>
      <c r="S887" s="4">
        <f>Tableau1_2[[#This Row],[Marge]]/Tableau1_2[[#This Row],[CA]]</f>
        <v>0.25287356321839083</v>
      </c>
      <c r="T887" t="str">
        <f>TEXT(Tableau1_2[[#This Row],[Date]],"mmmm")</f>
        <v>janvier</v>
      </c>
    </row>
    <row r="888" spans="1:20" x14ac:dyDescent="0.35">
      <c r="A888" t="s">
        <v>1796</v>
      </c>
      <c r="B888" s="2">
        <v>46228</v>
      </c>
      <c r="C888" t="s">
        <v>1020</v>
      </c>
      <c r="D888" t="s">
        <v>1797</v>
      </c>
      <c r="E888" t="s">
        <v>77</v>
      </c>
      <c r="F888" t="s">
        <v>78</v>
      </c>
      <c r="G888" t="s">
        <v>34</v>
      </c>
      <c r="H888" t="s">
        <v>86</v>
      </c>
      <c r="I888">
        <v>4</v>
      </c>
      <c r="J888">
        <v>171000</v>
      </c>
      <c r="K888">
        <v>139000</v>
      </c>
      <c r="L888" t="s">
        <v>30</v>
      </c>
      <c r="M888" t="s">
        <v>37</v>
      </c>
      <c r="N888" t="s">
        <v>87</v>
      </c>
      <c r="O888" t="s">
        <v>24</v>
      </c>
      <c r="P888">
        <f>Tableau1_2[[#This Row],[Quantité]]*Tableau1_2[[#This Row],[Prix_Unitaire]]</f>
        <v>684000</v>
      </c>
      <c r="Q888">
        <f>Tableau1_2[[#This Row],[Quantité]]*Tableau1_2[[#This Row],[Coût_Unitaire]]</f>
        <v>556000</v>
      </c>
      <c r="R888">
        <f>Tableau1_2[[#This Row],[CA]]-Tableau1_2[[#This Row],[Cout Total]]</f>
        <v>128000</v>
      </c>
      <c r="S888" s="4">
        <f>Tableau1_2[[#This Row],[Marge]]/Tableau1_2[[#This Row],[CA]]</f>
        <v>0.1871345029239766</v>
      </c>
      <c r="T888" t="str">
        <f>TEXT(Tableau1_2[[#This Row],[Date]],"mmmm")</f>
        <v>juillet</v>
      </c>
    </row>
    <row r="889" spans="1:20" x14ac:dyDescent="0.35">
      <c r="A889" t="s">
        <v>1798</v>
      </c>
      <c r="B889" s="2">
        <v>46106</v>
      </c>
      <c r="C889" t="s">
        <v>1651</v>
      </c>
      <c r="D889" t="s">
        <v>213</v>
      </c>
      <c r="E889" t="s">
        <v>77</v>
      </c>
      <c r="F889" t="s">
        <v>78</v>
      </c>
      <c r="G889" t="s">
        <v>19</v>
      </c>
      <c r="H889" t="s">
        <v>20</v>
      </c>
      <c r="I889">
        <v>8</v>
      </c>
      <c r="J889">
        <v>68200</v>
      </c>
      <c r="K889">
        <v>46400</v>
      </c>
      <c r="L889" t="s">
        <v>21</v>
      </c>
      <c r="M889" t="s">
        <v>31</v>
      </c>
      <c r="N889" t="s">
        <v>23</v>
      </c>
      <c r="O889" t="s">
        <v>91</v>
      </c>
      <c r="P889">
        <f>Tableau1_2[[#This Row],[Quantité]]*Tableau1_2[[#This Row],[Prix_Unitaire]]</f>
        <v>545600</v>
      </c>
      <c r="Q889">
        <f>Tableau1_2[[#This Row],[Quantité]]*Tableau1_2[[#This Row],[Coût_Unitaire]]</f>
        <v>371200</v>
      </c>
      <c r="R889">
        <f>Tableau1_2[[#This Row],[CA]]-Tableau1_2[[#This Row],[Cout Total]]</f>
        <v>174400</v>
      </c>
      <c r="S889" s="4">
        <f>Tableau1_2[[#This Row],[Marge]]/Tableau1_2[[#This Row],[CA]]</f>
        <v>0.31964809384164222</v>
      </c>
      <c r="T889" t="str">
        <f>TEXT(Tableau1_2[[#This Row],[Date]],"mmmm")</f>
        <v>mars</v>
      </c>
    </row>
    <row r="890" spans="1:20" x14ac:dyDescent="0.35">
      <c r="A890" t="s">
        <v>1799</v>
      </c>
      <c r="B890" s="2">
        <v>46055</v>
      </c>
      <c r="C890" t="s">
        <v>600</v>
      </c>
      <c r="D890" t="s">
        <v>1359</v>
      </c>
      <c r="E890" t="s">
        <v>18</v>
      </c>
      <c r="F890" t="s">
        <v>18</v>
      </c>
      <c r="G890" t="s">
        <v>43</v>
      </c>
      <c r="H890" t="s">
        <v>177</v>
      </c>
      <c r="I890">
        <v>2</v>
      </c>
      <c r="J890">
        <v>18000</v>
      </c>
      <c r="K890">
        <v>12900</v>
      </c>
      <c r="L890" t="s">
        <v>21</v>
      </c>
      <c r="M890" t="s">
        <v>51</v>
      </c>
      <c r="N890" t="s">
        <v>52</v>
      </c>
      <c r="O890" t="s">
        <v>24</v>
      </c>
      <c r="P890">
        <f>Tableau1_2[[#This Row],[Quantité]]*Tableau1_2[[#This Row],[Prix_Unitaire]]</f>
        <v>36000</v>
      </c>
      <c r="Q890">
        <f>Tableau1_2[[#This Row],[Quantité]]*Tableau1_2[[#This Row],[Coût_Unitaire]]</f>
        <v>25800</v>
      </c>
      <c r="R890">
        <f>Tableau1_2[[#This Row],[CA]]-Tableau1_2[[#This Row],[Cout Total]]</f>
        <v>10200</v>
      </c>
      <c r="S890" s="4">
        <f>Tableau1_2[[#This Row],[Marge]]/Tableau1_2[[#This Row],[CA]]</f>
        <v>0.28333333333333333</v>
      </c>
      <c r="T890" t="str">
        <f>TEXT(Tableau1_2[[#This Row],[Date]],"mmmm")</f>
        <v>février</v>
      </c>
    </row>
    <row r="891" spans="1:20" x14ac:dyDescent="0.35">
      <c r="A891" t="s">
        <v>1800</v>
      </c>
      <c r="B891" s="2">
        <v>46373</v>
      </c>
      <c r="C891" t="s">
        <v>1156</v>
      </c>
      <c r="D891" t="s">
        <v>1104</v>
      </c>
      <c r="E891" t="s">
        <v>156</v>
      </c>
      <c r="F891" t="s">
        <v>170</v>
      </c>
      <c r="G891" t="s">
        <v>43</v>
      </c>
      <c r="H891" t="s">
        <v>44</v>
      </c>
      <c r="I891">
        <v>2</v>
      </c>
      <c r="J891">
        <v>14200</v>
      </c>
      <c r="K891">
        <v>9800</v>
      </c>
      <c r="L891" t="s">
        <v>96</v>
      </c>
      <c r="M891" t="s">
        <v>37</v>
      </c>
      <c r="N891" t="s">
        <v>23</v>
      </c>
      <c r="O891" t="s">
        <v>24</v>
      </c>
      <c r="P891">
        <f>Tableau1_2[[#This Row],[Quantité]]*Tableau1_2[[#This Row],[Prix_Unitaire]]</f>
        <v>28400</v>
      </c>
      <c r="Q891">
        <f>Tableau1_2[[#This Row],[Quantité]]*Tableau1_2[[#This Row],[Coût_Unitaire]]</f>
        <v>19600</v>
      </c>
      <c r="R891">
        <f>Tableau1_2[[#This Row],[CA]]-Tableau1_2[[#This Row],[Cout Total]]</f>
        <v>8800</v>
      </c>
      <c r="S891" s="4">
        <f>Tableau1_2[[#This Row],[Marge]]/Tableau1_2[[#This Row],[CA]]</f>
        <v>0.30985915492957744</v>
      </c>
      <c r="T891" t="str">
        <f>TEXT(Tableau1_2[[#This Row],[Date]],"mmmm")</f>
        <v>décembre</v>
      </c>
    </row>
    <row r="892" spans="1:20" x14ac:dyDescent="0.35">
      <c r="A892" t="s">
        <v>1801</v>
      </c>
      <c r="B892" s="2">
        <v>46032</v>
      </c>
      <c r="C892" t="s">
        <v>1658</v>
      </c>
      <c r="D892" t="s">
        <v>391</v>
      </c>
      <c r="E892" t="s">
        <v>84</v>
      </c>
      <c r="F892" t="s">
        <v>85</v>
      </c>
      <c r="G892" t="s">
        <v>34</v>
      </c>
      <c r="H892" t="s">
        <v>141</v>
      </c>
      <c r="I892">
        <v>6</v>
      </c>
      <c r="J892">
        <v>160000</v>
      </c>
      <c r="K892">
        <v>120000</v>
      </c>
      <c r="L892" t="s">
        <v>80</v>
      </c>
      <c r="M892" t="s">
        <v>22</v>
      </c>
      <c r="N892" t="s">
        <v>52</v>
      </c>
      <c r="O892" t="s">
        <v>24</v>
      </c>
      <c r="P892">
        <f>Tableau1_2[[#This Row],[Quantité]]*Tableau1_2[[#This Row],[Prix_Unitaire]]</f>
        <v>960000</v>
      </c>
      <c r="Q892">
        <f>Tableau1_2[[#This Row],[Quantité]]*Tableau1_2[[#This Row],[Coût_Unitaire]]</f>
        <v>720000</v>
      </c>
      <c r="R892">
        <f>Tableau1_2[[#This Row],[CA]]-Tableau1_2[[#This Row],[Cout Total]]</f>
        <v>240000</v>
      </c>
      <c r="S892" s="4">
        <f>Tableau1_2[[#This Row],[Marge]]/Tableau1_2[[#This Row],[CA]]</f>
        <v>0.25</v>
      </c>
      <c r="T892" t="str">
        <f>TEXT(Tableau1_2[[#This Row],[Date]],"mmmm")</f>
        <v>janvier</v>
      </c>
    </row>
    <row r="893" spans="1:20" x14ac:dyDescent="0.35">
      <c r="A893" t="s">
        <v>1802</v>
      </c>
      <c r="B893" s="2">
        <v>46035</v>
      </c>
      <c r="C893" t="s">
        <v>1207</v>
      </c>
      <c r="D893" t="s">
        <v>140</v>
      </c>
      <c r="E893" t="s">
        <v>70</v>
      </c>
      <c r="F893" t="s">
        <v>71</v>
      </c>
      <c r="G893" t="s">
        <v>34</v>
      </c>
      <c r="H893" t="s">
        <v>95</v>
      </c>
      <c r="I893">
        <v>3</v>
      </c>
      <c r="J893">
        <v>450000</v>
      </c>
      <c r="K893">
        <v>358900</v>
      </c>
      <c r="L893" t="s">
        <v>36</v>
      </c>
      <c r="M893" t="s">
        <v>51</v>
      </c>
      <c r="N893" t="s">
        <v>23</v>
      </c>
      <c r="O893" t="s">
        <v>24</v>
      </c>
      <c r="P893">
        <f>Tableau1_2[[#This Row],[Quantité]]*Tableau1_2[[#This Row],[Prix_Unitaire]]</f>
        <v>1350000</v>
      </c>
      <c r="Q893">
        <f>Tableau1_2[[#This Row],[Quantité]]*Tableau1_2[[#This Row],[Coût_Unitaire]]</f>
        <v>1076700</v>
      </c>
      <c r="R893">
        <f>Tableau1_2[[#This Row],[CA]]-Tableau1_2[[#This Row],[Cout Total]]</f>
        <v>273300</v>
      </c>
      <c r="S893" s="4">
        <f>Tableau1_2[[#This Row],[Marge]]/Tableau1_2[[#This Row],[CA]]</f>
        <v>0.20244444444444445</v>
      </c>
      <c r="T893" t="str">
        <f>TEXT(Tableau1_2[[#This Row],[Date]],"mmmm")</f>
        <v>janvier</v>
      </c>
    </row>
    <row r="894" spans="1:20" x14ac:dyDescent="0.35">
      <c r="A894" t="s">
        <v>1803</v>
      </c>
      <c r="B894" s="2">
        <v>46354</v>
      </c>
      <c r="C894" t="s">
        <v>1804</v>
      </c>
      <c r="D894" t="s">
        <v>572</v>
      </c>
      <c r="E894" t="s">
        <v>56</v>
      </c>
      <c r="F894" t="s">
        <v>57</v>
      </c>
      <c r="G894" t="s">
        <v>19</v>
      </c>
      <c r="H894" t="s">
        <v>112</v>
      </c>
      <c r="I894">
        <v>3</v>
      </c>
      <c r="J894">
        <v>80800</v>
      </c>
      <c r="K894">
        <v>63900</v>
      </c>
      <c r="L894" t="s">
        <v>80</v>
      </c>
      <c r="M894" t="s">
        <v>22</v>
      </c>
      <c r="N894" t="s">
        <v>23</v>
      </c>
      <c r="O894" t="s">
        <v>24</v>
      </c>
      <c r="P894">
        <f>Tableau1_2[[#This Row],[Quantité]]*Tableau1_2[[#This Row],[Prix_Unitaire]]</f>
        <v>242400</v>
      </c>
      <c r="Q894">
        <f>Tableau1_2[[#This Row],[Quantité]]*Tableau1_2[[#This Row],[Coût_Unitaire]]</f>
        <v>191700</v>
      </c>
      <c r="R894">
        <f>Tableau1_2[[#This Row],[CA]]-Tableau1_2[[#This Row],[Cout Total]]</f>
        <v>50700</v>
      </c>
      <c r="S894" s="4">
        <f>Tableau1_2[[#This Row],[Marge]]/Tableau1_2[[#This Row],[CA]]</f>
        <v>0.20915841584158415</v>
      </c>
      <c r="T894" t="str">
        <f>TEXT(Tableau1_2[[#This Row],[Date]],"mmmm")</f>
        <v>novembre</v>
      </c>
    </row>
    <row r="895" spans="1:20" x14ac:dyDescent="0.35">
      <c r="A895" t="s">
        <v>1805</v>
      </c>
      <c r="B895" s="2">
        <v>46262</v>
      </c>
      <c r="C895" t="s">
        <v>175</v>
      </c>
      <c r="D895" t="s">
        <v>64</v>
      </c>
      <c r="E895" t="s">
        <v>18</v>
      </c>
      <c r="F895" t="s">
        <v>18</v>
      </c>
      <c r="G895" t="s">
        <v>28</v>
      </c>
      <c r="H895" t="s">
        <v>65</v>
      </c>
      <c r="I895">
        <v>9</v>
      </c>
      <c r="J895">
        <v>12000</v>
      </c>
      <c r="K895">
        <v>7500</v>
      </c>
      <c r="L895" t="s">
        <v>73</v>
      </c>
      <c r="M895" t="s">
        <v>22</v>
      </c>
      <c r="N895" t="s">
        <v>52</v>
      </c>
      <c r="O895" t="s">
        <v>24</v>
      </c>
      <c r="P895">
        <f>Tableau1_2[[#This Row],[Quantité]]*Tableau1_2[[#This Row],[Prix_Unitaire]]</f>
        <v>108000</v>
      </c>
      <c r="Q895">
        <f>Tableau1_2[[#This Row],[Quantité]]*Tableau1_2[[#This Row],[Coût_Unitaire]]</f>
        <v>67500</v>
      </c>
      <c r="R895">
        <f>Tableau1_2[[#This Row],[CA]]-Tableau1_2[[#This Row],[Cout Total]]</f>
        <v>40500</v>
      </c>
      <c r="S895" s="4">
        <f>Tableau1_2[[#This Row],[Marge]]/Tableau1_2[[#This Row],[CA]]</f>
        <v>0.375</v>
      </c>
      <c r="T895" t="str">
        <f>TEXT(Tableau1_2[[#This Row],[Date]],"mmmm")</f>
        <v>août</v>
      </c>
    </row>
    <row r="896" spans="1:20" x14ac:dyDescent="0.35">
      <c r="A896" t="s">
        <v>1806</v>
      </c>
      <c r="B896" s="2">
        <v>46068</v>
      </c>
      <c r="C896" t="s">
        <v>886</v>
      </c>
      <c r="D896" t="s">
        <v>1094</v>
      </c>
      <c r="E896" t="s">
        <v>84</v>
      </c>
      <c r="F896" t="s">
        <v>85</v>
      </c>
      <c r="G896" t="s">
        <v>28</v>
      </c>
      <c r="H896" t="s">
        <v>248</v>
      </c>
      <c r="I896">
        <v>1</v>
      </c>
      <c r="J896">
        <v>26200</v>
      </c>
      <c r="K896">
        <v>15500</v>
      </c>
      <c r="L896" t="s">
        <v>21</v>
      </c>
      <c r="M896" t="s">
        <v>37</v>
      </c>
      <c r="N896" t="s">
        <v>87</v>
      </c>
      <c r="O896" t="s">
        <v>24</v>
      </c>
      <c r="P896">
        <f>Tableau1_2[[#This Row],[Quantité]]*Tableau1_2[[#This Row],[Prix_Unitaire]]</f>
        <v>26200</v>
      </c>
      <c r="Q896">
        <f>Tableau1_2[[#This Row],[Quantité]]*Tableau1_2[[#This Row],[Coût_Unitaire]]</f>
        <v>15500</v>
      </c>
      <c r="R896">
        <f>Tableau1_2[[#This Row],[CA]]-Tableau1_2[[#This Row],[Cout Total]]</f>
        <v>10700</v>
      </c>
      <c r="S896" s="4">
        <f>Tableau1_2[[#This Row],[Marge]]/Tableau1_2[[#This Row],[CA]]</f>
        <v>0.40839694656488551</v>
      </c>
      <c r="T896" t="str">
        <f>TEXT(Tableau1_2[[#This Row],[Date]],"mmmm")</f>
        <v>février</v>
      </c>
    </row>
    <row r="897" spans="1:20" x14ac:dyDescent="0.35">
      <c r="A897" t="s">
        <v>1807</v>
      </c>
      <c r="B897" s="2">
        <v>46042</v>
      </c>
      <c r="C897" t="s">
        <v>1201</v>
      </c>
      <c r="D897" t="s">
        <v>184</v>
      </c>
      <c r="E897" t="s">
        <v>56</v>
      </c>
      <c r="F897" t="s">
        <v>57</v>
      </c>
      <c r="G897" t="s">
        <v>19</v>
      </c>
      <c r="H897" t="s">
        <v>166</v>
      </c>
      <c r="I897">
        <v>2</v>
      </c>
      <c r="J897">
        <v>140000</v>
      </c>
      <c r="K897">
        <v>100000</v>
      </c>
      <c r="L897" t="s">
        <v>36</v>
      </c>
      <c r="M897" t="s">
        <v>51</v>
      </c>
      <c r="N897" t="s">
        <v>52</v>
      </c>
      <c r="O897" t="s">
        <v>91</v>
      </c>
      <c r="P897">
        <f>Tableau1_2[[#This Row],[Quantité]]*Tableau1_2[[#This Row],[Prix_Unitaire]]</f>
        <v>280000</v>
      </c>
      <c r="Q897">
        <f>Tableau1_2[[#This Row],[Quantité]]*Tableau1_2[[#This Row],[Coût_Unitaire]]</f>
        <v>200000</v>
      </c>
      <c r="R897">
        <f>Tableau1_2[[#This Row],[CA]]-Tableau1_2[[#This Row],[Cout Total]]</f>
        <v>80000</v>
      </c>
      <c r="S897" s="4">
        <f>Tableau1_2[[#This Row],[Marge]]/Tableau1_2[[#This Row],[CA]]</f>
        <v>0.2857142857142857</v>
      </c>
      <c r="T897" t="str">
        <f>TEXT(Tableau1_2[[#This Row],[Date]],"mmmm")</f>
        <v>janvier</v>
      </c>
    </row>
    <row r="898" spans="1:20" x14ac:dyDescent="0.35">
      <c r="A898" t="s">
        <v>1808</v>
      </c>
      <c r="B898" s="2">
        <v>46382</v>
      </c>
      <c r="C898" t="s">
        <v>269</v>
      </c>
      <c r="D898" t="s">
        <v>429</v>
      </c>
      <c r="E898" t="s">
        <v>77</v>
      </c>
      <c r="F898" t="s">
        <v>78</v>
      </c>
      <c r="G898" t="s">
        <v>19</v>
      </c>
      <c r="H898" t="s">
        <v>20</v>
      </c>
      <c r="I898">
        <v>1</v>
      </c>
      <c r="J898">
        <v>65000</v>
      </c>
      <c r="K898">
        <v>45000</v>
      </c>
      <c r="L898" t="s">
        <v>50</v>
      </c>
      <c r="M898" t="s">
        <v>22</v>
      </c>
      <c r="N898" t="s">
        <v>23</v>
      </c>
      <c r="O898" t="s">
        <v>24</v>
      </c>
      <c r="P898">
        <f>Tableau1_2[[#This Row],[Quantité]]*Tableau1_2[[#This Row],[Prix_Unitaire]]</f>
        <v>65000</v>
      </c>
      <c r="Q898">
        <f>Tableau1_2[[#This Row],[Quantité]]*Tableau1_2[[#This Row],[Coût_Unitaire]]</f>
        <v>45000</v>
      </c>
      <c r="R898">
        <f>Tableau1_2[[#This Row],[CA]]-Tableau1_2[[#This Row],[Cout Total]]</f>
        <v>20000</v>
      </c>
      <c r="S898" s="4">
        <f>Tableau1_2[[#This Row],[Marge]]/Tableau1_2[[#This Row],[CA]]</f>
        <v>0.30769230769230771</v>
      </c>
      <c r="T898" t="str">
        <f>TEXT(Tableau1_2[[#This Row],[Date]],"mmmm")</f>
        <v>décembre</v>
      </c>
    </row>
    <row r="899" spans="1:20" x14ac:dyDescent="0.35">
      <c r="A899" t="s">
        <v>1809</v>
      </c>
      <c r="B899" s="2">
        <v>46320</v>
      </c>
      <c r="C899" t="s">
        <v>583</v>
      </c>
      <c r="D899" t="s">
        <v>1338</v>
      </c>
      <c r="E899" t="s">
        <v>18</v>
      </c>
      <c r="F899" t="s">
        <v>18</v>
      </c>
      <c r="G899" t="s">
        <v>43</v>
      </c>
      <c r="H899" t="s">
        <v>44</v>
      </c>
      <c r="I899">
        <v>5</v>
      </c>
      <c r="J899">
        <v>15800</v>
      </c>
      <c r="K899">
        <v>9500</v>
      </c>
      <c r="L899" t="s">
        <v>21</v>
      </c>
      <c r="M899" t="s">
        <v>51</v>
      </c>
      <c r="N899" t="s">
        <v>87</v>
      </c>
      <c r="O899" t="s">
        <v>45</v>
      </c>
      <c r="P899">
        <f>Tableau1_2[[#This Row],[Quantité]]*Tableau1_2[[#This Row],[Prix_Unitaire]]</f>
        <v>79000</v>
      </c>
      <c r="Q899">
        <f>Tableau1_2[[#This Row],[Quantité]]*Tableau1_2[[#This Row],[Coût_Unitaire]]</f>
        <v>47500</v>
      </c>
      <c r="R899">
        <f>Tableau1_2[[#This Row],[CA]]-Tableau1_2[[#This Row],[Cout Total]]</f>
        <v>31500</v>
      </c>
      <c r="S899" s="4">
        <f>Tableau1_2[[#This Row],[Marge]]/Tableau1_2[[#This Row],[CA]]</f>
        <v>0.39873417721518989</v>
      </c>
      <c r="T899" t="str">
        <f>TEXT(Tableau1_2[[#This Row],[Date]],"mmmm")</f>
        <v>octobre</v>
      </c>
    </row>
    <row r="900" spans="1:20" x14ac:dyDescent="0.35">
      <c r="A900" t="s">
        <v>1810</v>
      </c>
      <c r="B900" s="2">
        <v>46213</v>
      </c>
      <c r="C900" t="s">
        <v>557</v>
      </c>
      <c r="D900" t="s">
        <v>1104</v>
      </c>
      <c r="E900" t="s">
        <v>190</v>
      </c>
      <c r="F900" t="s">
        <v>191</v>
      </c>
      <c r="G900" t="s">
        <v>19</v>
      </c>
      <c r="H900" t="s">
        <v>112</v>
      </c>
      <c r="I900">
        <v>8</v>
      </c>
      <c r="J900">
        <v>85000</v>
      </c>
      <c r="K900">
        <v>62000</v>
      </c>
      <c r="L900" t="s">
        <v>96</v>
      </c>
      <c r="M900" t="s">
        <v>51</v>
      </c>
      <c r="N900" t="s">
        <v>52</v>
      </c>
      <c r="O900" t="s">
        <v>91</v>
      </c>
      <c r="P900">
        <f>Tableau1_2[[#This Row],[Quantité]]*Tableau1_2[[#This Row],[Prix_Unitaire]]</f>
        <v>680000</v>
      </c>
      <c r="Q900">
        <f>Tableau1_2[[#This Row],[Quantité]]*Tableau1_2[[#This Row],[Coût_Unitaire]]</f>
        <v>496000</v>
      </c>
      <c r="R900">
        <f>Tableau1_2[[#This Row],[CA]]-Tableau1_2[[#This Row],[Cout Total]]</f>
        <v>184000</v>
      </c>
      <c r="S900" s="4">
        <f>Tableau1_2[[#This Row],[Marge]]/Tableau1_2[[#This Row],[CA]]</f>
        <v>0.27058823529411763</v>
      </c>
      <c r="T900" t="str">
        <f>TEXT(Tableau1_2[[#This Row],[Date]],"mmmm")</f>
        <v>juillet</v>
      </c>
    </row>
    <row r="901" spans="1:20" x14ac:dyDescent="0.35">
      <c r="A901" t="s">
        <v>1811</v>
      </c>
      <c r="B901" s="2">
        <v>46269</v>
      </c>
      <c r="C901" t="s">
        <v>1045</v>
      </c>
      <c r="D901" t="s">
        <v>1598</v>
      </c>
      <c r="E901" t="s">
        <v>77</v>
      </c>
      <c r="F901" t="s">
        <v>78</v>
      </c>
      <c r="G901" t="s">
        <v>19</v>
      </c>
      <c r="H901" t="s">
        <v>112</v>
      </c>
      <c r="I901">
        <v>10</v>
      </c>
      <c r="J901">
        <v>89200</v>
      </c>
      <c r="K901">
        <v>60100</v>
      </c>
      <c r="L901" t="s">
        <v>50</v>
      </c>
      <c r="M901" t="s">
        <v>31</v>
      </c>
      <c r="N901" t="s">
        <v>87</v>
      </c>
      <c r="O901" t="s">
        <v>91</v>
      </c>
      <c r="P901">
        <f>Tableau1_2[[#This Row],[Quantité]]*Tableau1_2[[#This Row],[Prix_Unitaire]]</f>
        <v>892000</v>
      </c>
      <c r="Q901">
        <f>Tableau1_2[[#This Row],[Quantité]]*Tableau1_2[[#This Row],[Coût_Unitaire]]</f>
        <v>601000</v>
      </c>
      <c r="R901">
        <f>Tableau1_2[[#This Row],[CA]]-Tableau1_2[[#This Row],[Cout Total]]</f>
        <v>291000</v>
      </c>
      <c r="S901" s="4">
        <f>Tableau1_2[[#This Row],[Marge]]/Tableau1_2[[#This Row],[CA]]</f>
        <v>0.32623318385650224</v>
      </c>
      <c r="T901" t="str">
        <f>TEXT(Tableau1_2[[#This Row],[Date]],"mmmm")</f>
        <v>septembre</v>
      </c>
    </row>
    <row r="902" spans="1:20" x14ac:dyDescent="0.35">
      <c r="A902" t="s">
        <v>1812</v>
      </c>
      <c r="B902" s="2">
        <v>46108</v>
      </c>
      <c r="C902" t="s">
        <v>1632</v>
      </c>
      <c r="D902" t="s">
        <v>487</v>
      </c>
      <c r="E902" t="s">
        <v>18</v>
      </c>
      <c r="F902" t="s">
        <v>18</v>
      </c>
      <c r="G902" t="s">
        <v>19</v>
      </c>
      <c r="H902" t="s">
        <v>61</v>
      </c>
      <c r="I902">
        <v>5</v>
      </c>
      <c r="J902">
        <v>220000</v>
      </c>
      <c r="K902">
        <v>160000</v>
      </c>
      <c r="L902" t="s">
        <v>73</v>
      </c>
      <c r="M902" t="s">
        <v>22</v>
      </c>
      <c r="N902" t="s">
        <v>23</v>
      </c>
      <c r="O902" t="s">
        <v>45</v>
      </c>
      <c r="P902">
        <f>Tableau1_2[[#This Row],[Quantité]]*Tableau1_2[[#This Row],[Prix_Unitaire]]</f>
        <v>1100000</v>
      </c>
      <c r="Q902">
        <f>Tableau1_2[[#This Row],[Quantité]]*Tableau1_2[[#This Row],[Coût_Unitaire]]</f>
        <v>800000</v>
      </c>
      <c r="R902">
        <f>Tableau1_2[[#This Row],[CA]]-Tableau1_2[[#This Row],[Cout Total]]</f>
        <v>300000</v>
      </c>
      <c r="S902" s="4">
        <f>Tableau1_2[[#This Row],[Marge]]/Tableau1_2[[#This Row],[CA]]</f>
        <v>0.27272727272727271</v>
      </c>
      <c r="T902" t="str">
        <f>TEXT(Tableau1_2[[#This Row],[Date]],"mmmm")</f>
        <v>mars</v>
      </c>
    </row>
    <row r="903" spans="1:20" x14ac:dyDescent="0.35">
      <c r="A903" t="s">
        <v>1813</v>
      </c>
      <c r="B903" s="2">
        <v>46122</v>
      </c>
      <c r="C903" t="s">
        <v>930</v>
      </c>
      <c r="D903" t="s">
        <v>619</v>
      </c>
      <c r="E903" t="s">
        <v>84</v>
      </c>
      <c r="F903" t="s">
        <v>85</v>
      </c>
      <c r="G903" t="s">
        <v>19</v>
      </c>
      <c r="H903" t="s">
        <v>166</v>
      </c>
      <c r="I903">
        <v>7</v>
      </c>
      <c r="J903">
        <v>140000</v>
      </c>
      <c r="K903">
        <v>97000</v>
      </c>
      <c r="L903" t="s">
        <v>30</v>
      </c>
      <c r="M903" t="s">
        <v>51</v>
      </c>
      <c r="N903" t="s">
        <v>23</v>
      </c>
      <c r="O903" t="s">
        <v>91</v>
      </c>
      <c r="P903">
        <f>Tableau1_2[[#This Row],[Quantité]]*Tableau1_2[[#This Row],[Prix_Unitaire]]</f>
        <v>980000</v>
      </c>
      <c r="Q903">
        <f>Tableau1_2[[#This Row],[Quantité]]*Tableau1_2[[#This Row],[Coût_Unitaire]]</f>
        <v>679000</v>
      </c>
      <c r="R903">
        <f>Tableau1_2[[#This Row],[CA]]-Tableau1_2[[#This Row],[Cout Total]]</f>
        <v>301000</v>
      </c>
      <c r="S903" s="4">
        <f>Tableau1_2[[#This Row],[Marge]]/Tableau1_2[[#This Row],[CA]]</f>
        <v>0.30714285714285716</v>
      </c>
      <c r="T903" t="str">
        <f>TEXT(Tableau1_2[[#This Row],[Date]],"mmmm")</f>
        <v>avril</v>
      </c>
    </row>
    <row r="904" spans="1:20" x14ac:dyDescent="0.35">
      <c r="A904" t="s">
        <v>1814</v>
      </c>
      <c r="B904" s="2">
        <v>46096</v>
      </c>
      <c r="C904" t="s">
        <v>1815</v>
      </c>
      <c r="D904" t="s">
        <v>1246</v>
      </c>
      <c r="E904" t="s">
        <v>18</v>
      </c>
      <c r="F904" t="s">
        <v>18</v>
      </c>
      <c r="G904" t="s">
        <v>34</v>
      </c>
      <c r="H904" t="s">
        <v>158</v>
      </c>
      <c r="I904">
        <v>2</v>
      </c>
      <c r="J904">
        <v>95000</v>
      </c>
      <c r="K904">
        <v>72100</v>
      </c>
      <c r="L904" t="s">
        <v>96</v>
      </c>
      <c r="M904" t="s">
        <v>37</v>
      </c>
      <c r="N904" t="s">
        <v>23</v>
      </c>
      <c r="O904" t="s">
        <v>24</v>
      </c>
      <c r="P904">
        <f>Tableau1_2[[#This Row],[Quantité]]*Tableau1_2[[#This Row],[Prix_Unitaire]]</f>
        <v>190000</v>
      </c>
      <c r="Q904">
        <f>Tableau1_2[[#This Row],[Quantité]]*Tableau1_2[[#This Row],[Coût_Unitaire]]</f>
        <v>144200</v>
      </c>
      <c r="R904">
        <f>Tableau1_2[[#This Row],[CA]]-Tableau1_2[[#This Row],[Cout Total]]</f>
        <v>45800</v>
      </c>
      <c r="S904" s="4">
        <f>Tableau1_2[[#This Row],[Marge]]/Tableau1_2[[#This Row],[CA]]</f>
        <v>0.24105263157894738</v>
      </c>
      <c r="T904" t="str">
        <f>TEXT(Tableau1_2[[#This Row],[Date]],"mmmm")</f>
        <v>mars</v>
      </c>
    </row>
    <row r="905" spans="1:20" x14ac:dyDescent="0.35">
      <c r="A905" t="s">
        <v>1816</v>
      </c>
      <c r="B905" s="2">
        <v>46132</v>
      </c>
      <c r="C905" t="s">
        <v>1817</v>
      </c>
      <c r="D905" t="s">
        <v>866</v>
      </c>
      <c r="E905" t="s">
        <v>18</v>
      </c>
      <c r="F905" t="s">
        <v>18</v>
      </c>
      <c r="G905" t="s">
        <v>28</v>
      </c>
      <c r="H905" t="s">
        <v>131</v>
      </c>
      <c r="I905">
        <v>5</v>
      </c>
      <c r="J905">
        <v>30000</v>
      </c>
      <c r="K905">
        <v>18400</v>
      </c>
      <c r="L905" t="s">
        <v>80</v>
      </c>
      <c r="M905" t="s">
        <v>51</v>
      </c>
      <c r="N905" t="s">
        <v>87</v>
      </c>
      <c r="O905" t="s">
        <v>45</v>
      </c>
      <c r="P905">
        <f>Tableau1_2[[#This Row],[Quantité]]*Tableau1_2[[#This Row],[Prix_Unitaire]]</f>
        <v>150000</v>
      </c>
      <c r="Q905">
        <f>Tableau1_2[[#This Row],[Quantité]]*Tableau1_2[[#This Row],[Coût_Unitaire]]</f>
        <v>92000</v>
      </c>
      <c r="R905">
        <f>Tableau1_2[[#This Row],[CA]]-Tableau1_2[[#This Row],[Cout Total]]</f>
        <v>58000</v>
      </c>
      <c r="S905" s="4">
        <f>Tableau1_2[[#This Row],[Marge]]/Tableau1_2[[#This Row],[CA]]</f>
        <v>0.38666666666666666</v>
      </c>
      <c r="T905" t="str">
        <f>TEXT(Tableau1_2[[#This Row],[Date]],"mmmm")</f>
        <v>avril</v>
      </c>
    </row>
    <row r="906" spans="1:20" x14ac:dyDescent="0.35">
      <c r="A906" t="s">
        <v>1818</v>
      </c>
      <c r="B906" s="2">
        <v>46323</v>
      </c>
      <c r="C906" t="s">
        <v>1732</v>
      </c>
      <c r="D906" t="s">
        <v>1581</v>
      </c>
      <c r="E906" t="s">
        <v>18</v>
      </c>
      <c r="F906" t="s">
        <v>18</v>
      </c>
      <c r="G906" t="s">
        <v>34</v>
      </c>
      <c r="H906" t="s">
        <v>158</v>
      </c>
      <c r="I906">
        <v>6</v>
      </c>
      <c r="J906">
        <v>90200</v>
      </c>
      <c r="K906">
        <v>72100</v>
      </c>
      <c r="L906" t="s">
        <v>30</v>
      </c>
      <c r="M906" t="s">
        <v>37</v>
      </c>
      <c r="N906" t="s">
        <v>87</v>
      </c>
      <c r="O906" t="s">
        <v>24</v>
      </c>
      <c r="P906">
        <f>Tableau1_2[[#This Row],[Quantité]]*Tableau1_2[[#This Row],[Prix_Unitaire]]</f>
        <v>541200</v>
      </c>
      <c r="Q906">
        <f>Tableau1_2[[#This Row],[Quantité]]*Tableau1_2[[#This Row],[Coût_Unitaire]]</f>
        <v>432600</v>
      </c>
      <c r="R906">
        <f>Tableau1_2[[#This Row],[CA]]-Tableau1_2[[#This Row],[Cout Total]]</f>
        <v>108600</v>
      </c>
      <c r="S906" s="4">
        <f>Tableau1_2[[#This Row],[Marge]]/Tableau1_2[[#This Row],[CA]]</f>
        <v>0.20066518847006651</v>
      </c>
      <c r="T906" t="str">
        <f>TEXT(Tableau1_2[[#This Row],[Date]],"mmmm")</f>
        <v>octobre</v>
      </c>
    </row>
    <row r="907" spans="1:20" x14ac:dyDescent="0.35">
      <c r="A907" t="s">
        <v>1819</v>
      </c>
      <c r="B907" s="2">
        <v>46175</v>
      </c>
      <c r="C907" t="s">
        <v>269</v>
      </c>
      <c r="D907" t="s">
        <v>176</v>
      </c>
      <c r="E907" t="s">
        <v>190</v>
      </c>
      <c r="F907" t="s">
        <v>191</v>
      </c>
      <c r="G907" t="s">
        <v>19</v>
      </c>
      <c r="H907" t="s">
        <v>61</v>
      </c>
      <c r="I907">
        <v>5</v>
      </c>
      <c r="J907">
        <v>209000</v>
      </c>
      <c r="K907">
        <v>155200</v>
      </c>
      <c r="L907" t="s">
        <v>50</v>
      </c>
      <c r="M907" t="s">
        <v>37</v>
      </c>
      <c r="N907" t="s">
        <v>23</v>
      </c>
      <c r="O907" t="s">
        <v>91</v>
      </c>
      <c r="P907">
        <f>Tableau1_2[[#This Row],[Quantité]]*Tableau1_2[[#This Row],[Prix_Unitaire]]</f>
        <v>1045000</v>
      </c>
      <c r="Q907">
        <f>Tableau1_2[[#This Row],[Quantité]]*Tableau1_2[[#This Row],[Coût_Unitaire]]</f>
        <v>776000</v>
      </c>
      <c r="R907">
        <f>Tableau1_2[[#This Row],[CA]]-Tableau1_2[[#This Row],[Cout Total]]</f>
        <v>269000</v>
      </c>
      <c r="S907" s="4">
        <f>Tableau1_2[[#This Row],[Marge]]/Tableau1_2[[#This Row],[CA]]</f>
        <v>0.25741626794258371</v>
      </c>
      <c r="T907" t="str">
        <f>TEXT(Tableau1_2[[#This Row],[Date]],"mmmm")</f>
        <v>juin</v>
      </c>
    </row>
    <row r="908" spans="1:20" x14ac:dyDescent="0.35">
      <c r="A908" t="s">
        <v>1820</v>
      </c>
      <c r="B908" s="2">
        <v>46244</v>
      </c>
      <c r="C908" t="s">
        <v>925</v>
      </c>
      <c r="D908" t="s">
        <v>731</v>
      </c>
      <c r="E908" t="s">
        <v>190</v>
      </c>
      <c r="F908" t="s">
        <v>191</v>
      </c>
      <c r="G908" t="s">
        <v>28</v>
      </c>
      <c r="H908" t="s">
        <v>131</v>
      </c>
      <c r="I908">
        <v>2</v>
      </c>
      <c r="J908">
        <v>28500</v>
      </c>
      <c r="K908">
        <v>18400</v>
      </c>
      <c r="L908" t="s">
        <v>36</v>
      </c>
      <c r="M908" t="s">
        <v>37</v>
      </c>
      <c r="N908" t="s">
        <v>23</v>
      </c>
      <c r="O908" t="s">
        <v>24</v>
      </c>
      <c r="P908">
        <f>Tableau1_2[[#This Row],[Quantité]]*Tableau1_2[[#This Row],[Prix_Unitaire]]</f>
        <v>57000</v>
      </c>
      <c r="Q908">
        <f>Tableau1_2[[#This Row],[Quantité]]*Tableau1_2[[#This Row],[Coût_Unitaire]]</f>
        <v>36800</v>
      </c>
      <c r="R908">
        <f>Tableau1_2[[#This Row],[CA]]-Tableau1_2[[#This Row],[Cout Total]]</f>
        <v>20200</v>
      </c>
      <c r="S908" s="4">
        <f>Tableau1_2[[#This Row],[Marge]]/Tableau1_2[[#This Row],[CA]]</f>
        <v>0.35438596491228069</v>
      </c>
      <c r="T908" t="str">
        <f>TEXT(Tableau1_2[[#This Row],[Date]],"mmmm")</f>
        <v>août</v>
      </c>
    </row>
    <row r="909" spans="1:20" x14ac:dyDescent="0.35">
      <c r="A909" t="s">
        <v>1823</v>
      </c>
      <c r="B909" s="2">
        <v>46207</v>
      </c>
      <c r="C909" t="s">
        <v>1033</v>
      </c>
      <c r="D909" t="s">
        <v>1824</v>
      </c>
      <c r="E909" t="s">
        <v>56</v>
      </c>
      <c r="F909" t="s">
        <v>57</v>
      </c>
      <c r="G909" t="s">
        <v>43</v>
      </c>
      <c r="H909" t="s">
        <v>79</v>
      </c>
      <c r="I909">
        <v>2</v>
      </c>
      <c r="J909">
        <v>5700</v>
      </c>
      <c r="K909">
        <v>4100</v>
      </c>
      <c r="L909" t="s">
        <v>30</v>
      </c>
      <c r="M909" t="s">
        <v>22</v>
      </c>
      <c r="N909" t="s">
        <v>52</v>
      </c>
      <c r="O909" t="s">
        <v>24</v>
      </c>
      <c r="P909">
        <f>Tableau1_2[[#This Row],[Quantité]]*Tableau1_2[[#This Row],[Prix_Unitaire]]</f>
        <v>11400</v>
      </c>
      <c r="Q909">
        <f>Tableau1_2[[#This Row],[Quantité]]*Tableau1_2[[#This Row],[Coût_Unitaire]]</f>
        <v>8200</v>
      </c>
      <c r="R909">
        <f>Tableau1_2[[#This Row],[CA]]-Tableau1_2[[#This Row],[Cout Total]]</f>
        <v>3200</v>
      </c>
      <c r="S909" s="4">
        <f>Tableau1_2[[#This Row],[Marge]]/Tableau1_2[[#This Row],[CA]]</f>
        <v>0.2807017543859649</v>
      </c>
      <c r="T909" t="str">
        <f>TEXT(Tableau1_2[[#This Row],[Date]],"mmmm")</f>
        <v>juillet</v>
      </c>
    </row>
    <row r="910" spans="1:20" x14ac:dyDescent="0.35">
      <c r="A910" t="s">
        <v>1825</v>
      </c>
      <c r="B910" s="2">
        <v>46230</v>
      </c>
      <c r="C910" t="s">
        <v>523</v>
      </c>
      <c r="D910" t="s">
        <v>388</v>
      </c>
      <c r="E910" t="s">
        <v>18</v>
      </c>
      <c r="F910" t="s">
        <v>18</v>
      </c>
      <c r="G910" t="s">
        <v>19</v>
      </c>
      <c r="H910" t="s">
        <v>112</v>
      </c>
      <c r="I910">
        <v>7</v>
      </c>
      <c r="J910">
        <v>85000</v>
      </c>
      <c r="K910">
        <v>62000</v>
      </c>
      <c r="L910" t="s">
        <v>96</v>
      </c>
      <c r="M910" t="s">
        <v>22</v>
      </c>
      <c r="N910" t="s">
        <v>52</v>
      </c>
      <c r="O910" t="s">
        <v>91</v>
      </c>
      <c r="P910">
        <f>Tableau1_2[[#This Row],[Quantité]]*Tableau1_2[[#This Row],[Prix_Unitaire]]</f>
        <v>595000</v>
      </c>
      <c r="Q910">
        <f>Tableau1_2[[#This Row],[Quantité]]*Tableau1_2[[#This Row],[Coût_Unitaire]]</f>
        <v>434000</v>
      </c>
      <c r="R910">
        <f>Tableau1_2[[#This Row],[CA]]-Tableau1_2[[#This Row],[Cout Total]]</f>
        <v>161000</v>
      </c>
      <c r="S910" s="4">
        <f>Tableau1_2[[#This Row],[Marge]]/Tableau1_2[[#This Row],[CA]]</f>
        <v>0.27058823529411763</v>
      </c>
      <c r="T910" t="str">
        <f>TEXT(Tableau1_2[[#This Row],[Date]],"mmmm")</f>
        <v>juillet</v>
      </c>
    </row>
    <row r="911" spans="1:20" x14ac:dyDescent="0.35">
      <c r="A911" t="s">
        <v>1826</v>
      </c>
      <c r="B911" s="2">
        <v>46215</v>
      </c>
      <c r="C911" t="s">
        <v>1827</v>
      </c>
      <c r="D911" t="s">
        <v>1048</v>
      </c>
      <c r="E911" t="s">
        <v>18</v>
      </c>
      <c r="F911" t="s">
        <v>18</v>
      </c>
      <c r="G911" t="s">
        <v>34</v>
      </c>
      <c r="H911" t="s">
        <v>95</v>
      </c>
      <c r="I911">
        <v>9</v>
      </c>
      <c r="J911">
        <v>450000</v>
      </c>
      <c r="K911">
        <v>381100</v>
      </c>
      <c r="L911" t="s">
        <v>96</v>
      </c>
      <c r="M911" t="s">
        <v>31</v>
      </c>
      <c r="N911" t="s">
        <v>52</v>
      </c>
      <c r="O911" t="s">
        <v>24</v>
      </c>
      <c r="P911">
        <f>Tableau1_2[[#This Row],[Quantité]]*Tableau1_2[[#This Row],[Prix_Unitaire]]</f>
        <v>4050000</v>
      </c>
      <c r="Q911">
        <f>Tableau1_2[[#This Row],[Quantité]]*Tableau1_2[[#This Row],[Coût_Unitaire]]</f>
        <v>3429900</v>
      </c>
      <c r="R911">
        <f>Tableau1_2[[#This Row],[CA]]-Tableau1_2[[#This Row],[Cout Total]]</f>
        <v>620100</v>
      </c>
      <c r="S911" s="4">
        <f>Tableau1_2[[#This Row],[Marge]]/Tableau1_2[[#This Row],[CA]]</f>
        <v>0.15311111111111111</v>
      </c>
      <c r="T911" t="str">
        <f>TEXT(Tableau1_2[[#This Row],[Date]],"mmmm")</f>
        <v>juillet</v>
      </c>
    </row>
    <row r="912" spans="1:20" x14ac:dyDescent="0.35">
      <c r="A912" t="s">
        <v>1828</v>
      </c>
      <c r="B912" s="2">
        <v>46189</v>
      </c>
      <c r="C912" t="s">
        <v>1010</v>
      </c>
      <c r="D912" t="s">
        <v>939</v>
      </c>
      <c r="E912" t="s">
        <v>84</v>
      </c>
      <c r="F912" t="s">
        <v>85</v>
      </c>
      <c r="G912" t="s">
        <v>28</v>
      </c>
      <c r="H912" t="s">
        <v>65</v>
      </c>
      <c r="I912">
        <v>6</v>
      </c>
      <c r="J912">
        <v>11400</v>
      </c>
      <c r="K912">
        <v>7700</v>
      </c>
      <c r="L912" t="s">
        <v>30</v>
      </c>
      <c r="M912" t="s">
        <v>51</v>
      </c>
      <c r="N912" t="s">
        <v>52</v>
      </c>
      <c r="O912" t="s">
        <v>24</v>
      </c>
      <c r="P912">
        <f>Tableau1_2[[#This Row],[Quantité]]*Tableau1_2[[#This Row],[Prix_Unitaire]]</f>
        <v>68400</v>
      </c>
      <c r="Q912">
        <f>Tableau1_2[[#This Row],[Quantité]]*Tableau1_2[[#This Row],[Coût_Unitaire]]</f>
        <v>46200</v>
      </c>
      <c r="R912">
        <f>Tableau1_2[[#This Row],[CA]]-Tableau1_2[[#This Row],[Cout Total]]</f>
        <v>22200</v>
      </c>
      <c r="S912" s="4">
        <f>Tableau1_2[[#This Row],[Marge]]/Tableau1_2[[#This Row],[CA]]</f>
        <v>0.32456140350877194</v>
      </c>
      <c r="T912" t="str">
        <f>TEXT(Tableau1_2[[#This Row],[Date]],"mmmm")</f>
        <v>juin</v>
      </c>
    </row>
    <row r="913" spans="1:20" x14ac:dyDescent="0.35">
      <c r="A913" t="s">
        <v>1829</v>
      </c>
      <c r="B913" s="2">
        <v>46323</v>
      </c>
      <c r="C913" t="s">
        <v>965</v>
      </c>
      <c r="D913" t="s">
        <v>639</v>
      </c>
      <c r="E913" t="s">
        <v>18</v>
      </c>
      <c r="F913" t="s">
        <v>18</v>
      </c>
      <c r="G913" t="s">
        <v>19</v>
      </c>
      <c r="H913" t="s">
        <v>166</v>
      </c>
      <c r="I913">
        <v>8</v>
      </c>
      <c r="J913">
        <v>140000</v>
      </c>
      <c r="K913">
        <v>103000</v>
      </c>
      <c r="L913" t="s">
        <v>66</v>
      </c>
      <c r="M913" t="s">
        <v>51</v>
      </c>
      <c r="N913" t="s">
        <v>87</v>
      </c>
      <c r="O913" t="s">
        <v>24</v>
      </c>
      <c r="P913">
        <f>Tableau1_2[[#This Row],[Quantité]]*Tableau1_2[[#This Row],[Prix_Unitaire]]</f>
        <v>1120000</v>
      </c>
      <c r="Q913">
        <f>Tableau1_2[[#This Row],[Quantité]]*Tableau1_2[[#This Row],[Coût_Unitaire]]</f>
        <v>824000</v>
      </c>
      <c r="R913">
        <f>Tableau1_2[[#This Row],[CA]]-Tableau1_2[[#This Row],[Cout Total]]</f>
        <v>296000</v>
      </c>
      <c r="S913" s="4">
        <f>Tableau1_2[[#This Row],[Marge]]/Tableau1_2[[#This Row],[CA]]</f>
        <v>0.26428571428571429</v>
      </c>
      <c r="T913" t="str">
        <f>TEXT(Tableau1_2[[#This Row],[Date]],"mmmm")</f>
        <v>octobre</v>
      </c>
    </row>
    <row r="914" spans="1:20" x14ac:dyDescent="0.35">
      <c r="A914" t="s">
        <v>1830</v>
      </c>
      <c r="B914" s="2">
        <v>46135</v>
      </c>
      <c r="C914" t="s">
        <v>1069</v>
      </c>
      <c r="D914" t="s">
        <v>789</v>
      </c>
      <c r="E914" t="s">
        <v>156</v>
      </c>
      <c r="F914" t="s">
        <v>170</v>
      </c>
      <c r="G914" t="s">
        <v>34</v>
      </c>
      <c r="H914" t="s">
        <v>35</v>
      </c>
      <c r="I914">
        <v>2</v>
      </c>
      <c r="J914">
        <v>52200</v>
      </c>
      <c r="K914">
        <v>39000</v>
      </c>
      <c r="L914" t="s">
        <v>80</v>
      </c>
      <c r="M914" t="s">
        <v>37</v>
      </c>
      <c r="N914" t="s">
        <v>52</v>
      </c>
      <c r="O914" t="s">
        <v>24</v>
      </c>
      <c r="P914">
        <f>Tableau1_2[[#This Row],[Quantité]]*Tableau1_2[[#This Row],[Prix_Unitaire]]</f>
        <v>104400</v>
      </c>
      <c r="Q914">
        <f>Tableau1_2[[#This Row],[Quantité]]*Tableau1_2[[#This Row],[Coût_Unitaire]]</f>
        <v>78000</v>
      </c>
      <c r="R914">
        <f>Tableau1_2[[#This Row],[CA]]-Tableau1_2[[#This Row],[Cout Total]]</f>
        <v>26400</v>
      </c>
      <c r="S914" s="4">
        <f>Tableau1_2[[#This Row],[Marge]]/Tableau1_2[[#This Row],[CA]]</f>
        <v>0.25287356321839083</v>
      </c>
      <c r="T914" t="str">
        <f>TEXT(Tableau1_2[[#This Row],[Date]],"mmmm")</f>
        <v>avril</v>
      </c>
    </row>
    <row r="915" spans="1:20" x14ac:dyDescent="0.35">
      <c r="A915" t="s">
        <v>1831</v>
      </c>
      <c r="B915" s="2">
        <v>46225</v>
      </c>
      <c r="C915" t="s">
        <v>120</v>
      </c>
      <c r="D915" t="s">
        <v>306</v>
      </c>
      <c r="E915" t="s">
        <v>84</v>
      </c>
      <c r="F915" t="s">
        <v>85</v>
      </c>
      <c r="G915" t="s">
        <v>34</v>
      </c>
      <c r="H915" t="s">
        <v>141</v>
      </c>
      <c r="I915">
        <v>9</v>
      </c>
      <c r="J915">
        <v>168000</v>
      </c>
      <c r="K915">
        <v>123600</v>
      </c>
      <c r="L915" t="s">
        <v>21</v>
      </c>
      <c r="M915" t="s">
        <v>22</v>
      </c>
      <c r="N915" t="s">
        <v>52</v>
      </c>
      <c r="O915" t="s">
        <v>45</v>
      </c>
      <c r="P915">
        <f>Tableau1_2[[#This Row],[Quantité]]*Tableau1_2[[#This Row],[Prix_Unitaire]]</f>
        <v>1512000</v>
      </c>
      <c r="Q915">
        <f>Tableau1_2[[#This Row],[Quantité]]*Tableau1_2[[#This Row],[Coût_Unitaire]]</f>
        <v>1112400</v>
      </c>
      <c r="R915">
        <f>Tableau1_2[[#This Row],[CA]]-Tableau1_2[[#This Row],[Cout Total]]</f>
        <v>399600</v>
      </c>
      <c r="S915" s="4">
        <f>Tableau1_2[[#This Row],[Marge]]/Tableau1_2[[#This Row],[CA]]</f>
        <v>0.26428571428571429</v>
      </c>
      <c r="T915" t="str">
        <f>TEXT(Tableau1_2[[#This Row],[Date]],"mmmm")</f>
        <v>juillet</v>
      </c>
    </row>
    <row r="916" spans="1:20" x14ac:dyDescent="0.35">
      <c r="A916" t="s">
        <v>1832</v>
      </c>
      <c r="B916" s="2">
        <v>46326</v>
      </c>
      <c r="C916" t="s">
        <v>1356</v>
      </c>
      <c r="D916" t="s">
        <v>121</v>
      </c>
      <c r="E916" t="s">
        <v>84</v>
      </c>
      <c r="F916" t="s">
        <v>85</v>
      </c>
      <c r="G916" t="s">
        <v>34</v>
      </c>
      <c r="H916" t="s">
        <v>158</v>
      </c>
      <c r="I916">
        <v>8</v>
      </c>
      <c r="J916">
        <v>90200</v>
      </c>
      <c r="K916">
        <v>72100</v>
      </c>
      <c r="L916" t="s">
        <v>36</v>
      </c>
      <c r="M916" t="s">
        <v>31</v>
      </c>
      <c r="N916" t="s">
        <v>23</v>
      </c>
      <c r="O916" t="s">
        <v>24</v>
      </c>
      <c r="P916">
        <f>Tableau1_2[[#This Row],[Quantité]]*Tableau1_2[[#This Row],[Prix_Unitaire]]</f>
        <v>721600</v>
      </c>
      <c r="Q916">
        <f>Tableau1_2[[#This Row],[Quantité]]*Tableau1_2[[#This Row],[Coût_Unitaire]]</f>
        <v>576800</v>
      </c>
      <c r="R916">
        <f>Tableau1_2[[#This Row],[CA]]-Tableau1_2[[#This Row],[Cout Total]]</f>
        <v>144800</v>
      </c>
      <c r="S916" s="4">
        <f>Tableau1_2[[#This Row],[Marge]]/Tableau1_2[[#This Row],[CA]]</f>
        <v>0.20066518847006651</v>
      </c>
      <c r="T916" t="str">
        <f>TEXT(Tableau1_2[[#This Row],[Date]],"mmmm")</f>
        <v>octobre</v>
      </c>
    </row>
    <row r="917" spans="1:20" x14ac:dyDescent="0.35">
      <c r="A917" t="s">
        <v>1833</v>
      </c>
      <c r="B917" s="2">
        <v>46240</v>
      </c>
      <c r="C917" t="s">
        <v>1770</v>
      </c>
      <c r="D917" t="s">
        <v>627</v>
      </c>
      <c r="E917" t="s">
        <v>18</v>
      </c>
      <c r="F917" t="s">
        <v>18</v>
      </c>
      <c r="G917" t="s">
        <v>19</v>
      </c>
      <c r="H917" t="s">
        <v>166</v>
      </c>
      <c r="I917">
        <v>10</v>
      </c>
      <c r="J917">
        <v>140000</v>
      </c>
      <c r="K917">
        <v>97000</v>
      </c>
      <c r="L917" t="s">
        <v>36</v>
      </c>
      <c r="M917" t="s">
        <v>37</v>
      </c>
      <c r="N917" t="s">
        <v>52</v>
      </c>
      <c r="O917" t="s">
        <v>91</v>
      </c>
      <c r="P917">
        <f>Tableau1_2[[#This Row],[Quantité]]*Tableau1_2[[#This Row],[Prix_Unitaire]]</f>
        <v>1400000</v>
      </c>
      <c r="Q917">
        <f>Tableau1_2[[#This Row],[Quantité]]*Tableau1_2[[#This Row],[Coût_Unitaire]]</f>
        <v>970000</v>
      </c>
      <c r="R917">
        <f>Tableau1_2[[#This Row],[CA]]-Tableau1_2[[#This Row],[Cout Total]]</f>
        <v>430000</v>
      </c>
      <c r="S917" s="4">
        <f>Tableau1_2[[#This Row],[Marge]]/Tableau1_2[[#This Row],[CA]]</f>
        <v>0.30714285714285716</v>
      </c>
      <c r="T917" t="str">
        <f>TEXT(Tableau1_2[[#This Row],[Date]],"mmmm")</f>
        <v>août</v>
      </c>
    </row>
    <row r="918" spans="1:20" x14ac:dyDescent="0.35">
      <c r="A918" t="s">
        <v>1834</v>
      </c>
      <c r="B918" s="2">
        <v>46258</v>
      </c>
      <c r="C918" t="s">
        <v>877</v>
      </c>
      <c r="D918" t="s">
        <v>779</v>
      </c>
      <c r="E918" t="s">
        <v>77</v>
      </c>
      <c r="F918" t="s">
        <v>78</v>
      </c>
      <c r="G918" t="s">
        <v>28</v>
      </c>
      <c r="H918" t="s">
        <v>131</v>
      </c>
      <c r="I918">
        <v>7</v>
      </c>
      <c r="J918">
        <v>31500</v>
      </c>
      <c r="K918">
        <v>19000</v>
      </c>
      <c r="L918" t="s">
        <v>30</v>
      </c>
      <c r="M918" t="s">
        <v>51</v>
      </c>
      <c r="N918" t="s">
        <v>52</v>
      </c>
      <c r="O918" t="s">
        <v>24</v>
      </c>
      <c r="P918">
        <f>Tableau1_2[[#This Row],[Quantité]]*Tableau1_2[[#This Row],[Prix_Unitaire]]</f>
        <v>220500</v>
      </c>
      <c r="Q918">
        <f>Tableau1_2[[#This Row],[Quantité]]*Tableau1_2[[#This Row],[Coût_Unitaire]]</f>
        <v>133000</v>
      </c>
      <c r="R918">
        <f>Tableau1_2[[#This Row],[CA]]-Tableau1_2[[#This Row],[Cout Total]]</f>
        <v>87500</v>
      </c>
      <c r="S918" s="4">
        <f>Tableau1_2[[#This Row],[Marge]]/Tableau1_2[[#This Row],[CA]]</f>
        <v>0.3968253968253968</v>
      </c>
      <c r="T918" t="str">
        <f>TEXT(Tableau1_2[[#This Row],[Date]],"mmmm")</f>
        <v>août</v>
      </c>
    </row>
    <row r="919" spans="1:20" x14ac:dyDescent="0.35">
      <c r="A919" t="s">
        <v>1835</v>
      </c>
      <c r="B919" s="2">
        <v>46026</v>
      </c>
      <c r="C919" t="s">
        <v>605</v>
      </c>
      <c r="D919" t="s">
        <v>1836</v>
      </c>
      <c r="E919" t="s">
        <v>56</v>
      </c>
      <c r="F919" t="s">
        <v>57</v>
      </c>
      <c r="G919" t="s">
        <v>34</v>
      </c>
      <c r="H919" t="s">
        <v>158</v>
      </c>
      <c r="I919">
        <v>3</v>
      </c>
      <c r="J919">
        <v>95000</v>
      </c>
      <c r="K919">
        <v>72100</v>
      </c>
      <c r="L919" t="s">
        <v>73</v>
      </c>
      <c r="M919" t="s">
        <v>22</v>
      </c>
      <c r="N919" t="s">
        <v>52</v>
      </c>
      <c r="O919" t="s">
        <v>24</v>
      </c>
      <c r="P919">
        <f>Tableau1_2[[#This Row],[Quantité]]*Tableau1_2[[#This Row],[Prix_Unitaire]]</f>
        <v>285000</v>
      </c>
      <c r="Q919">
        <f>Tableau1_2[[#This Row],[Quantité]]*Tableau1_2[[#This Row],[Coût_Unitaire]]</f>
        <v>216300</v>
      </c>
      <c r="R919">
        <f>Tableau1_2[[#This Row],[CA]]-Tableau1_2[[#This Row],[Cout Total]]</f>
        <v>68700</v>
      </c>
      <c r="S919" s="4">
        <f>Tableau1_2[[#This Row],[Marge]]/Tableau1_2[[#This Row],[CA]]</f>
        <v>0.24105263157894738</v>
      </c>
      <c r="T919" t="str">
        <f>TEXT(Tableau1_2[[#This Row],[Date]],"mmmm")</f>
        <v>janvier</v>
      </c>
    </row>
    <row r="920" spans="1:20" x14ac:dyDescent="0.35">
      <c r="A920" t="s">
        <v>1837</v>
      </c>
      <c r="B920" s="2">
        <v>46024</v>
      </c>
      <c r="C920" t="s">
        <v>1018</v>
      </c>
      <c r="D920" t="s">
        <v>184</v>
      </c>
      <c r="E920" t="s">
        <v>190</v>
      </c>
      <c r="F920" t="s">
        <v>191</v>
      </c>
      <c r="G920" t="s">
        <v>19</v>
      </c>
      <c r="H920" t="s">
        <v>112</v>
      </c>
      <c r="I920">
        <v>7</v>
      </c>
      <c r="J920">
        <v>85000</v>
      </c>
      <c r="K920">
        <v>60100</v>
      </c>
      <c r="L920" t="s">
        <v>80</v>
      </c>
      <c r="M920" t="s">
        <v>37</v>
      </c>
      <c r="N920" t="s">
        <v>87</v>
      </c>
      <c r="O920" t="s">
        <v>24</v>
      </c>
      <c r="P920">
        <f>Tableau1_2[[#This Row],[Quantité]]*Tableau1_2[[#This Row],[Prix_Unitaire]]</f>
        <v>595000</v>
      </c>
      <c r="Q920">
        <f>Tableau1_2[[#This Row],[Quantité]]*Tableau1_2[[#This Row],[Coût_Unitaire]]</f>
        <v>420700</v>
      </c>
      <c r="R920">
        <f>Tableau1_2[[#This Row],[CA]]-Tableau1_2[[#This Row],[Cout Total]]</f>
        <v>174300</v>
      </c>
      <c r="S920" s="4">
        <f>Tableau1_2[[#This Row],[Marge]]/Tableau1_2[[#This Row],[CA]]</f>
        <v>0.29294117647058826</v>
      </c>
      <c r="T920" t="str">
        <f>TEXT(Tableau1_2[[#This Row],[Date]],"mmmm")</f>
        <v>janvier</v>
      </c>
    </row>
    <row r="921" spans="1:20" x14ac:dyDescent="0.35">
      <c r="A921" t="s">
        <v>1838</v>
      </c>
      <c r="B921" s="2">
        <v>46068</v>
      </c>
      <c r="C921" t="s">
        <v>220</v>
      </c>
      <c r="D921" t="s">
        <v>1839</v>
      </c>
      <c r="E921" t="s">
        <v>18</v>
      </c>
      <c r="F921" t="s">
        <v>18</v>
      </c>
      <c r="G921" t="s">
        <v>34</v>
      </c>
      <c r="H921" t="s">
        <v>86</v>
      </c>
      <c r="I921">
        <v>1</v>
      </c>
      <c r="J921">
        <v>171000</v>
      </c>
      <c r="K921">
        <v>131000</v>
      </c>
      <c r="L921" t="s">
        <v>66</v>
      </c>
      <c r="M921" t="s">
        <v>37</v>
      </c>
      <c r="N921" t="s">
        <v>52</v>
      </c>
      <c r="O921" t="s">
        <v>45</v>
      </c>
      <c r="P921">
        <f>Tableau1_2[[#This Row],[Quantité]]*Tableau1_2[[#This Row],[Prix_Unitaire]]</f>
        <v>171000</v>
      </c>
      <c r="Q921">
        <f>Tableau1_2[[#This Row],[Quantité]]*Tableau1_2[[#This Row],[Coût_Unitaire]]</f>
        <v>131000</v>
      </c>
      <c r="R921">
        <f>Tableau1_2[[#This Row],[CA]]-Tableau1_2[[#This Row],[Cout Total]]</f>
        <v>40000</v>
      </c>
      <c r="S921" s="4">
        <f>Tableau1_2[[#This Row],[Marge]]/Tableau1_2[[#This Row],[CA]]</f>
        <v>0.23391812865497075</v>
      </c>
      <c r="T921" t="str">
        <f>TEXT(Tableau1_2[[#This Row],[Date]],"mmmm")</f>
        <v>février</v>
      </c>
    </row>
    <row r="922" spans="1:20" x14ac:dyDescent="0.35">
      <c r="A922" t="s">
        <v>1840</v>
      </c>
      <c r="B922" s="2">
        <v>46187</v>
      </c>
      <c r="C922" t="s">
        <v>1522</v>
      </c>
      <c r="D922" t="s">
        <v>1313</v>
      </c>
      <c r="E922" t="s">
        <v>84</v>
      </c>
      <c r="F922" t="s">
        <v>85</v>
      </c>
      <c r="G922" t="s">
        <v>43</v>
      </c>
      <c r="H922" t="s">
        <v>177</v>
      </c>
      <c r="I922">
        <v>8</v>
      </c>
      <c r="J922">
        <v>18000</v>
      </c>
      <c r="K922">
        <v>12100</v>
      </c>
      <c r="L922" t="s">
        <v>50</v>
      </c>
      <c r="M922" t="s">
        <v>31</v>
      </c>
      <c r="N922" t="s">
        <v>52</v>
      </c>
      <c r="O922" t="s">
        <v>24</v>
      </c>
      <c r="P922">
        <f>Tableau1_2[[#This Row],[Quantité]]*Tableau1_2[[#This Row],[Prix_Unitaire]]</f>
        <v>144000</v>
      </c>
      <c r="Q922">
        <f>Tableau1_2[[#This Row],[Quantité]]*Tableau1_2[[#This Row],[Coût_Unitaire]]</f>
        <v>96800</v>
      </c>
      <c r="R922">
        <f>Tableau1_2[[#This Row],[CA]]-Tableau1_2[[#This Row],[Cout Total]]</f>
        <v>47200</v>
      </c>
      <c r="S922" s="4">
        <f>Tableau1_2[[#This Row],[Marge]]/Tableau1_2[[#This Row],[CA]]</f>
        <v>0.32777777777777778</v>
      </c>
      <c r="T922" t="str">
        <f>TEXT(Tableau1_2[[#This Row],[Date]],"mmmm")</f>
        <v>juin</v>
      </c>
    </row>
    <row r="923" spans="1:20" x14ac:dyDescent="0.35">
      <c r="A923" t="s">
        <v>1841</v>
      </c>
      <c r="B923" s="2">
        <v>46067</v>
      </c>
      <c r="C923" t="s">
        <v>1842</v>
      </c>
      <c r="D923" t="s">
        <v>1384</v>
      </c>
      <c r="E923" t="s">
        <v>41</v>
      </c>
      <c r="F923" t="s">
        <v>42</v>
      </c>
      <c r="G923" t="s">
        <v>28</v>
      </c>
      <c r="H923" t="s">
        <v>72</v>
      </c>
      <c r="I923">
        <v>4</v>
      </c>
      <c r="J923">
        <v>9500</v>
      </c>
      <c r="K923">
        <v>6200</v>
      </c>
      <c r="L923" t="s">
        <v>66</v>
      </c>
      <c r="M923" t="s">
        <v>22</v>
      </c>
      <c r="N923" t="s">
        <v>52</v>
      </c>
      <c r="O923" t="s">
        <v>24</v>
      </c>
      <c r="P923">
        <f>Tableau1_2[[#This Row],[Quantité]]*Tableau1_2[[#This Row],[Prix_Unitaire]]</f>
        <v>38000</v>
      </c>
      <c r="Q923">
        <f>Tableau1_2[[#This Row],[Quantité]]*Tableau1_2[[#This Row],[Coût_Unitaire]]</f>
        <v>24800</v>
      </c>
      <c r="R923">
        <f>Tableau1_2[[#This Row],[CA]]-Tableau1_2[[#This Row],[Cout Total]]</f>
        <v>13200</v>
      </c>
      <c r="S923" s="4">
        <f>Tableau1_2[[#This Row],[Marge]]/Tableau1_2[[#This Row],[CA]]</f>
        <v>0.3473684210526316</v>
      </c>
      <c r="T923" t="str">
        <f>TEXT(Tableau1_2[[#This Row],[Date]],"mmmm")</f>
        <v>février</v>
      </c>
    </row>
    <row r="924" spans="1:20" x14ac:dyDescent="0.35">
      <c r="A924" t="s">
        <v>1843</v>
      </c>
      <c r="B924" s="2">
        <v>46139</v>
      </c>
      <c r="C924" t="s">
        <v>379</v>
      </c>
      <c r="D924" t="s">
        <v>1405</v>
      </c>
      <c r="E924" t="s">
        <v>18</v>
      </c>
      <c r="F924" t="s">
        <v>18</v>
      </c>
      <c r="G924" t="s">
        <v>34</v>
      </c>
      <c r="H924" t="s">
        <v>35</v>
      </c>
      <c r="I924">
        <v>2</v>
      </c>
      <c r="J924">
        <v>57800</v>
      </c>
      <c r="K924">
        <v>40200</v>
      </c>
      <c r="L924" t="s">
        <v>66</v>
      </c>
      <c r="M924" t="s">
        <v>22</v>
      </c>
      <c r="N924" t="s">
        <v>87</v>
      </c>
      <c r="O924" t="s">
        <v>91</v>
      </c>
      <c r="P924">
        <f>Tableau1_2[[#This Row],[Quantité]]*Tableau1_2[[#This Row],[Prix_Unitaire]]</f>
        <v>115600</v>
      </c>
      <c r="Q924">
        <f>Tableau1_2[[#This Row],[Quantité]]*Tableau1_2[[#This Row],[Coût_Unitaire]]</f>
        <v>80400</v>
      </c>
      <c r="R924">
        <f>Tableau1_2[[#This Row],[CA]]-Tableau1_2[[#This Row],[Cout Total]]</f>
        <v>35200</v>
      </c>
      <c r="S924" s="4">
        <f>Tableau1_2[[#This Row],[Marge]]/Tableau1_2[[#This Row],[CA]]</f>
        <v>0.30449826989619377</v>
      </c>
      <c r="T924" t="str">
        <f>TEXT(Tableau1_2[[#This Row],[Date]],"mmmm")</f>
        <v>avril</v>
      </c>
    </row>
    <row r="925" spans="1:20" x14ac:dyDescent="0.35">
      <c r="A925" t="s">
        <v>1844</v>
      </c>
      <c r="B925" s="2">
        <v>46217</v>
      </c>
      <c r="C925" t="s">
        <v>1732</v>
      </c>
      <c r="D925" t="s">
        <v>1845</v>
      </c>
      <c r="E925" t="s">
        <v>56</v>
      </c>
      <c r="F925" t="s">
        <v>57</v>
      </c>
      <c r="G925" t="s">
        <v>28</v>
      </c>
      <c r="H925" t="s">
        <v>65</v>
      </c>
      <c r="I925">
        <v>3</v>
      </c>
      <c r="J925">
        <v>11400</v>
      </c>
      <c r="K925">
        <v>7500</v>
      </c>
      <c r="L925" t="s">
        <v>21</v>
      </c>
      <c r="M925" t="s">
        <v>37</v>
      </c>
      <c r="N925" t="s">
        <v>52</v>
      </c>
      <c r="O925" t="s">
        <v>45</v>
      </c>
      <c r="P925">
        <f>Tableau1_2[[#This Row],[Quantité]]*Tableau1_2[[#This Row],[Prix_Unitaire]]</f>
        <v>34200</v>
      </c>
      <c r="Q925">
        <f>Tableau1_2[[#This Row],[Quantité]]*Tableau1_2[[#This Row],[Coût_Unitaire]]</f>
        <v>22500</v>
      </c>
      <c r="R925">
        <f>Tableau1_2[[#This Row],[CA]]-Tableau1_2[[#This Row],[Cout Total]]</f>
        <v>11700</v>
      </c>
      <c r="S925" s="4">
        <f>Tableau1_2[[#This Row],[Marge]]/Tableau1_2[[#This Row],[CA]]</f>
        <v>0.34210526315789475</v>
      </c>
      <c r="T925" t="str">
        <f>TEXT(Tableau1_2[[#This Row],[Date]],"mmmm")</f>
        <v>juillet</v>
      </c>
    </row>
    <row r="926" spans="1:20" x14ac:dyDescent="0.35">
      <c r="A926" t="s">
        <v>1846</v>
      </c>
      <c r="B926" s="2">
        <v>46230</v>
      </c>
      <c r="C926" t="s">
        <v>735</v>
      </c>
      <c r="D926" t="s">
        <v>720</v>
      </c>
      <c r="E926" t="s">
        <v>18</v>
      </c>
      <c r="F926" t="s">
        <v>18</v>
      </c>
      <c r="G926" t="s">
        <v>34</v>
      </c>
      <c r="H926" t="s">
        <v>158</v>
      </c>
      <c r="I926">
        <v>4</v>
      </c>
      <c r="J926">
        <v>95000</v>
      </c>
      <c r="K926">
        <v>70000</v>
      </c>
      <c r="L926" t="s">
        <v>50</v>
      </c>
      <c r="M926" t="s">
        <v>22</v>
      </c>
      <c r="N926" t="s">
        <v>87</v>
      </c>
      <c r="O926" t="s">
        <v>24</v>
      </c>
      <c r="P926">
        <f>Tableau1_2[[#This Row],[Quantité]]*Tableau1_2[[#This Row],[Prix_Unitaire]]</f>
        <v>380000</v>
      </c>
      <c r="Q926">
        <f>Tableau1_2[[#This Row],[Quantité]]*Tableau1_2[[#This Row],[Coût_Unitaire]]</f>
        <v>280000</v>
      </c>
      <c r="R926">
        <f>Tableau1_2[[#This Row],[CA]]-Tableau1_2[[#This Row],[Cout Total]]</f>
        <v>100000</v>
      </c>
      <c r="S926" s="4">
        <f>Tableau1_2[[#This Row],[Marge]]/Tableau1_2[[#This Row],[CA]]</f>
        <v>0.26315789473684209</v>
      </c>
      <c r="T926" t="str">
        <f>TEXT(Tableau1_2[[#This Row],[Date]],"mmmm")</f>
        <v>juillet</v>
      </c>
    </row>
    <row r="927" spans="1:20" x14ac:dyDescent="0.35">
      <c r="A927" t="s">
        <v>1847</v>
      </c>
      <c r="B927" s="2">
        <v>46068</v>
      </c>
      <c r="C927" t="s">
        <v>1371</v>
      </c>
      <c r="D927" t="s">
        <v>329</v>
      </c>
      <c r="E927" t="s">
        <v>56</v>
      </c>
      <c r="F927" t="s">
        <v>57</v>
      </c>
      <c r="G927" t="s">
        <v>34</v>
      </c>
      <c r="H927" t="s">
        <v>35</v>
      </c>
      <c r="I927">
        <v>6</v>
      </c>
      <c r="J927">
        <v>55000</v>
      </c>
      <c r="K927">
        <v>37800</v>
      </c>
      <c r="L927" t="s">
        <v>21</v>
      </c>
      <c r="M927" t="s">
        <v>51</v>
      </c>
      <c r="N927" t="s">
        <v>52</v>
      </c>
      <c r="O927" t="s">
        <v>24</v>
      </c>
      <c r="P927">
        <f>Tableau1_2[[#This Row],[Quantité]]*Tableau1_2[[#This Row],[Prix_Unitaire]]</f>
        <v>330000</v>
      </c>
      <c r="Q927">
        <f>Tableau1_2[[#This Row],[Quantité]]*Tableau1_2[[#This Row],[Coût_Unitaire]]</f>
        <v>226800</v>
      </c>
      <c r="R927">
        <f>Tableau1_2[[#This Row],[CA]]-Tableau1_2[[#This Row],[Cout Total]]</f>
        <v>103200</v>
      </c>
      <c r="S927" s="4">
        <f>Tableau1_2[[#This Row],[Marge]]/Tableau1_2[[#This Row],[CA]]</f>
        <v>0.31272727272727274</v>
      </c>
      <c r="T927" t="str">
        <f>TEXT(Tableau1_2[[#This Row],[Date]],"mmmm")</f>
        <v>février</v>
      </c>
    </row>
    <row r="928" spans="1:20" x14ac:dyDescent="0.35">
      <c r="A928" t="s">
        <v>1848</v>
      </c>
      <c r="B928" s="2">
        <v>46122</v>
      </c>
      <c r="C928" t="s">
        <v>323</v>
      </c>
      <c r="D928" t="s">
        <v>1408</v>
      </c>
      <c r="E928" t="s">
        <v>41</v>
      </c>
      <c r="F928" t="s">
        <v>42</v>
      </c>
      <c r="G928" t="s">
        <v>19</v>
      </c>
      <c r="H928" t="s">
        <v>166</v>
      </c>
      <c r="I928">
        <v>2</v>
      </c>
      <c r="J928">
        <v>133000</v>
      </c>
      <c r="K928">
        <v>103000</v>
      </c>
      <c r="L928" t="s">
        <v>50</v>
      </c>
      <c r="M928" t="s">
        <v>22</v>
      </c>
      <c r="N928" t="s">
        <v>23</v>
      </c>
      <c r="O928" t="s">
        <v>24</v>
      </c>
      <c r="P928">
        <f>Tableau1_2[[#This Row],[Quantité]]*Tableau1_2[[#This Row],[Prix_Unitaire]]</f>
        <v>266000</v>
      </c>
      <c r="Q928">
        <f>Tableau1_2[[#This Row],[Quantité]]*Tableau1_2[[#This Row],[Coût_Unitaire]]</f>
        <v>206000</v>
      </c>
      <c r="R928">
        <f>Tableau1_2[[#This Row],[CA]]-Tableau1_2[[#This Row],[Cout Total]]</f>
        <v>60000</v>
      </c>
      <c r="S928" s="4">
        <f>Tableau1_2[[#This Row],[Marge]]/Tableau1_2[[#This Row],[CA]]</f>
        <v>0.22556390977443608</v>
      </c>
      <c r="T928" t="str">
        <f>TEXT(Tableau1_2[[#This Row],[Date]],"mmmm")</f>
        <v>avril</v>
      </c>
    </row>
    <row r="929" spans="1:20" x14ac:dyDescent="0.35">
      <c r="A929" t="s">
        <v>1849</v>
      </c>
      <c r="B929" s="2">
        <v>46308</v>
      </c>
      <c r="C929" t="s">
        <v>495</v>
      </c>
      <c r="D929" t="s">
        <v>144</v>
      </c>
      <c r="E929" t="s">
        <v>84</v>
      </c>
      <c r="F929" t="s">
        <v>85</v>
      </c>
      <c r="G929" t="s">
        <v>19</v>
      </c>
      <c r="H929" t="s">
        <v>166</v>
      </c>
      <c r="I929">
        <v>9</v>
      </c>
      <c r="J929">
        <v>133000</v>
      </c>
      <c r="K929">
        <v>103000</v>
      </c>
      <c r="L929" t="s">
        <v>36</v>
      </c>
      <c r="M929" t="s">
        <v>37</v>
      </c>
      <c r="N929" t="s">
        <v>87</v>
      </c>
      <c r="O929" t="s">
        <v>24</v>
      </c>
      <c r="P929">
        <f>Tableau1_2[[#This Row],[Quantité]]*Tableau1_2[[#This Row],[Prix_Unitaire]]</f>
        <v>1197000</v>
      </c>
      <c r="Q929">
        <f>Tableau1_2[[#This Row],[Quantité]]*Tableau1_2[[#This Row],[Coût_Unitaire]]</f>
        <v>927000</v>
      </c>
      <c r="R929">
        <f>Tableau1_2[[#This Row],[CA]]-Tableau1_2[[#This Row],[Cout Total]]</f>
        <v>270000</v>
      </c>
      <c r="S929" s="4">
        <f>Tableau1_2[[#This Row],[Marge]]/Tableau1_2[[#This Row],[CA]]</f>
        <v>0.22556390977443608</v>
      </c>
      <c r="T929" t="str">
        <f>TEXT(Tableau1_2[[#This Row],[Date]],"mmmm")</f>
        <v>octobre</v>
      </c>
    </row>
    <row r="930" spans="1:20" x14ac:dyDescent="0.35">
      <c r="A930" t="s">
        <v>1850</v>
      </c>
      <c r="B930" s="2">
        <v>46087</v>
      </c>
      <c r="C930" t="s">
        <v>1851</v>
      </c>
      <c r="D930" t="s">
        <v>90</v>
      </c>
      <c r="E930" t="s">
        <v>77</v>
      </c>
      <c r="F930" t="s">
        <v>78</v>
      </c>
      <c r="G930" t="s">
        <v>43</v>
      </c>
      <c r="H930" t="s">
        <v>79</v>
      </c>
      <c r="I930">
        <v>7</v>
      </c>
      <c r="J930">
        <v>6300</v>
      </c>
      <c r="K930">
        <v>4100</v>
      </c>
      <c r="L930" t="s">
        <v>96</v>
      </c>
      <c r="M930" t="s">
        <v>37</v>
      </c>
      <c r="N930" t="s">
        <v>52</v>
      </c>
      <c r="O930" t="s">
        <v>45</v>
      </c>
      <c r="P930">
        <f>Tableau1_2[[#This Row],[Quantité]]*Tableau1_2[[#This Row],[Prix_Unitaire]]</f>
        <v>44100</v>
      </c>
      <c r="Q930">
        <f>Tableau1_2[[#This Row],[Quantité]]*Tableau1_2[[#This Row],[Coût_Unitaire]]</f>
        <v>28700</v>
      </c>
      <c r="R930">
        <f>Tableau1_2[[#This Row],[CA]]-Tableau1_2[[#This Row],[Cout Total]]</f>
        <v>15400</v>
      </c>
      <c r="S930" s="4">
        <f>Tableau1_2[[#This Row],[Marge]]/Tableau1_2[[#This Row],[CA]]</f>
        <v>0.34920634920634919</v>
      </c>
      <c r="T930" t="str">
        <f>TEXT(Tableau1_2[[#This Row],[Date]],"mmmm")</f>
        <v>mars</v>
      </c>
    </row>
    <row r="931" spans="1:20" x14ac:dyDescent="0.35">
      <c r="A931" t="s">
        <v>1852</v>
      </c>
      <c r="B931" s="2">
        <v>46025</v>
      </c>
      <c r="C931" t="s">
        <v>1793</v>
      </c>
      <c r="D931" t="s">
        <v>988</v>
      </c>
      <c r="E931" t="s">
        <v>41</v>
      </c>
      <c r="F931" t="s">
        <v>42</v>
      </c>
      <c r="G931" t="s">
        <v>34</v>
      </c>
      <c r="H931" t="s">
        <v>35</v>
      </c>
      <c r="I931">
        <v>10</v>
      </c>
      <c r="J931">
        <v>57800</v>
      </c>
      <c r="K931">
        <v>39000</v>
      </c>
      <c r="L931" t="s">
        <v>21</v>
      </c>
      <c r="M931" t="s">
        <v>37</v>
      </c>
      <c r="N931" t="s">
        <v>23</v>
      </c>
      <c r="O931" t="s">
        <v>24</v>
      </c>
      <c r="P931">
        <f>Tableau1_2[[#This Row],[Quantité]]*Tableau1_2[[#This Row],[Prix_Unitaire]]</f>
        <v>578000</v>
      </c>
      <c r="Q931">
        <f>Tableau1_2[[#This Row],[Quantité]]*Tableau1_2[[#This Row],[Coût_Unitaire]]</f>
        <v>390000</v>
      </c>
      <c r="R931">
        <f>Tableau1_2[[#This Row],[CA]]-Tableau1_2[[#This Row],[Cout Total]]</f>
        <v>188000</v>
      </c>
      <c r="S931" s="4">
        <f>Tableau1_2[[#This Row],[Marge]]/Tableau1_2[[#This Row],[CA]]</f>
        <v>0.32525951557093424</v>
      </c>
      <c r="T931" t="str">
        <f>TEXT(Tableau1_2[[#This Row],[Date]],"mmmm")</f>
        <v>janvier</v>
      </c>
    </row>
    <row r="932" spans="1:20" x14ac:dyDescent="0.35">
      <c r="A932" t="s">
        <v>1853</v>
      </c>
      <c r="B932" s="2">
        <v>46023</v>
      </c>
      <c r="C932" t="s">
        <v>1609</v>
      </c>
      <c r="D932" t="s">
        <v>631</v>
      </c>
      <c r="E932" t="s">
        <v>156</v>
      </c>
      <c r="F932" t="s">
        <v>157</v>
      </c>
      <c r="G932" t="s">
        <v>34</v>
      </c>
      <c r="H932" t="s">
        <v>158</v>
      </c>
      <c r="I932">
        <v>6</v>
      </c>
      <c r="J932">
        <v>95000</v>
      </c>
      <c r="K932">
        <v>67900</v>
      </c>
      <c r="L932" t="s">
        <v>36</v>
      </c>
      <c r="M932" t="s">
        <v>37</v>
      </c>
      <c r="N932" t="s">
        <v>52</v>
      </c>
      <c r="O932" t="s">
        <v>24</v>
      </c>
      <c r="P932">
        <f>Tableau1_2[[#This Row],[Quantité]]*Tableau1_2[[#This Row],[Prix_Unitaire]]</f>
        <v>570000</v>
      </c>
      <c r="Q932">
        <f>Tableau1_2[[#This Row],[Quantité]]*Tableau1_2[[#This Row],[Coût_Unitaire]]</f>
        <v>407400</v>
      </c>
      <c r="R932">
        <f>Tableau1_2[[#This Row],[CA]]-Tableau1_2[[#This Row],[Cout Total]]</f>
        <v>162600</v>
      </c>
      <c r="S932" s="4">
        <f>Tableau1_2[[#This Row],[Marge]]/Tableau1_2[[#This Row],[CA]]</f>
        <v>0.28526315789473683</v>
      </c>
      <c r="T932" t="str">
        <f>TEXT(Tableau1_2[[#This Row],[Date]],"mmmm")</f>
        <v>janvier</v>
      </c>
    </row>
    <row r="933" spans="1:20" x14ac:dyDescent="0.35">
      <c r="A933" t="s">
        <v>1854</v>
      </c>
      <c r="B933" s="2">
        <v>46060</v>
      </c>
      <c r="C933" t="s">
        <v>168</v>
      </c>
      <c r="D933" t="s">
        <v>1471</v>
      </c>
      <c r="E933" t="s">
        <v>190</v>
      </c>
      <c r="F933" t="s">
        <v>191</v>
      </c>
      <c r="G933" t="s">
        <v>19</v>
      </c>
      <c r="H933" t="s">
        <v>112</v>
      </c>
      <c r="I933">
        <v>2</v>
      </c>
      <c r="J933">
        <v>89200</v>
      </c>
      <c r="K933">
        <v>60100</v>
      </c>
      <c r="L933" t="s">
        <v>50</v>
      </c>
      <c r="M933" t="s">
        <v>51</v>
      </c>
      <c r="N933" t="s">
        <v>23</v>
      </c>
      <c r="O933" t="s">
        <v>24</v>
      </c>
      <c r="P933">
        <f>Tableau1_2[[#This Row],[Quantité]]*Tableau1_2[[#This Row],[Prix_Unitaire]]</f>
        <v>178400</v>
      </c>
      <c r="Q933">
        <f>Tableau1_2[[#This Row],[Quantité]]*Tableau1_2[[#This Row],[Coût_Unitaire]]</f>
        <v>120200</v>
      </c>
      <c r="R933">
        <f>Tableau1_2[[#This Row],[CA]]-Tableau1_2[[#This Row],[Cout Total]]</f>
        <v>58200</v>
      </c>
      <c r="S933" s="4">
        <f>Tableau1_2[[#This Row],[Marge]]/Tableau1_2[[#This Row],[CA]]</f>
        <v>0.32623318385650224</v>
      </c>
      <c r="T933" t="str">
        <f>TEXT(Tableau1_2[[#This Row],[Date]],"mmmm")</f>
        <v>février</v>
      </c>
    </row>
    <row r="934" spans="1:20" x14ac:dyDescent="0.35">
      <c r="A934" t="s">
        <v>1855</v>
      </c>
      <c r="B934" s="2">
        <v>46152</v>
      </c>
      <c r="C934" t="s">
        <v>39</v>
      </c>
      <c r="D934" t="s">
        <v>1573</v>
      </c>
      <c r="E934" t="s">
        <v>41</v>
      </c>
      <c r="F934" t="s">
        <v>42</v>
      </c>
      <c r="G934" t="s">
        <v>34</v>
      </c>
      <c r="H934" t="s">
        <v>95</v>
      </c>
      <c r="I934">
        <v>6</v>
      </c>
      <c r="J934">
        <v>450000</v>
      </c>
      <c r="K934">
        <v>381100</v>
      </c>
      <c r="L934" t="s">
        <v>66</v>
      </c>
      <c r="M934" t="s">
        <v>22</v>
      </c>
      <c r="N934" t="s">
        <v>52</v>
      </c>
      <c r="O934" t="s">
        <v>24</v>
      </c>
      <c r="P934">
        <f>Tableau1_2[[#This Row],[Quantité]]*Tableau1_2[[#This Row],[Prix_Unitaire]]</f>
        <v>2700000</v>
      </c>
      <c r="Q934">
        <f>Tableau1_2[[#This Row],[Quantité]]*Tableau1_2[[#This Row],[Coût_Unitaire]]</f>
        <v>2286600</v>
      </c>
      <c r="R934">
        <f>Tableau1_2[[#This Row],[CA]]-Tableau1_2[[#This Row],[Cout Total]]</f>
        <v>413400</v>
      </c>
      <c r="S934" s="4">
        <f>Tableau1_2[[#This Row],[Marge]]/Tableau1_2[[#This Row],[CA]]</f>
        <v>0.15311111111111111</v>
      </c>
      <c r="T934" t="str">
        <f>TEXT(Tableau1_2[[#This Row],[Date]],"mmmm")</f>
        <v>mai</v>
      </c>
    </row>
    <row r="935" spans="1:20" x14ac:dyDescent="0.35">
      <c r="A935" t="s">
        <v>1856</v>
      </c>
      <c r="B935" s="2">
        <v>46296</v>
      </c>
      <c r="C935" t="s">
        <v>1857</v>
      </c>
      <c r="D935" t="s">
        <v>741</v>
      </c>
      <c r="E935" t="s">
        <v>18</v>
      </c>
      <c r="F935" t="s">
        <v>18</v>
      </c>
      <c r="G935" t="s">
        <v>19</v>
      </c>
      <c r="H935" t="s">
        <v>61</v>
      </c>
      <c r="I935">
        <v>10</v>
      </c>
      <c r="J935">
        <v>220000</v>
      </c>
      <c r="K935">
        <v>160000</v>
      </c>
      <c r="L935" t="s">
        <v>50</v>
      </c>
      <c r="M935" t="s">
        <v>37</v>
      </c>
      <c r="N935" t="s">
        <v>23</v>
      </c>
      <c r="O935" t="s">
        <v>24</v>
      </c>
      <c r="P935">
        <f>Tableau1_2[[#This Row],[Quantité]]*Tableau1_2[[#This Row],[Prix_Unitaire]]</f>
        <v>2200000</v>
      </c>
      <c r="Q935">
        <f>Tableau1_2[[#This Row],[Quantité]]*Tableau1_2[[#This Row],[Coût_Unitaire]]</f>
        <v>1600000</v>
      </c>
      <c r="R935">
        <f>Tableau1_2[[#This Row],[CA]]-Tableau1_2[[#This Row],[Cout Total]]</f>
        <v>600000</v>
      </c>
      <c r="S935" s="4">
        <f>Tableau1_2[[#This Row],[Marge]]/Tableau1_2[[#This Row],[CA]]</f>
        <v>0.27272727272727271</v>
      </c>
      <c r="T935" t="str">
        <f>TEXT(Tableau1_2[[#This Row],[Date]],"mmmm")</f>
        <v>octobre</v>
      </c>
    </row>
    <row r="936" spans="1:20" x14ac:dyDescent="0.35">
      <c r="A936" t="s">
        <v>1858</v>
      </c>
      <c r="B936" s="2">
        <v>46307</v>
      </c>
      <c r="C936" t="s">
        <v>26</v>
      </c>
      <c r="D936" t="s">
        <v>1859</v>
      </c>
      <c r="E936" t="s">
        <v>18</v>
      </c>
      <c r="F936" t="s">
        <v>18</v>
      </c>
      <c r="G936" t="s">
        <v>28</v>
      </c>
      <c r="H936" t="s">
        <v>248</v>
      </c>
      <c r="I936">
        <v>8</v>
      </c>
      <c r="J936">
        <v>23800</v>
      </c>
      <c r="K936">
        <v>16500</v>
      </c>
      <c r="L936" t="s">
        <v>96</v>
      </c>
      <c r="M936" t="s">
        <v>37</v>
      </c>
      <c r="N936" t="s">
        <v>23</v>
      </c>
      <c r="O936" t="s">
        <v>24</v>
      </c>
      <c r="P936">
        <f>Tableau1_2[[#This Row],[Quantité]]*Tableau1_2[[#This Row],[Prix_Unitaire]]</f>
        <v>190400</v>
      </c>
      <c r="Q936">
        <f>Tableau1_2[[#This Row],[Quantité]]*Tableau1_2[[#This Row],[Coût_Unitaire]]</f>
        <v>132000</v>
      </c>
      <c r="R936">
        <f>Tableau1_2[[#This Row],[CA]]-Tableau1_2[[#This Row],[Cout Total]]</f>
        <v>58400</v>
      </c>
      <c r="S936" s="4">
        <f>Tableau1_2[[#This Row],[Marge]]/Tableau1_2[[#This Row],[CA]]</f>
        <v>0.30672268907563027</v>
      </c>
      <c r="T936" t="str">
        <f>TEXT(Tableau1_2[[#This Row],[Date]],"mmmm")</f>
        <v>octobre</v>
      </c>
    </row>
    <row r="937" spans="1:20" x14ac:dyDescent="0.35">
      <c r="A937" t="s">
        <v>1860</v>
      </c>
      <c r="B937" s="2">
        <v>46196</v>
      </c>
      <c r="C937" t="s">
        <v>1861</v>
      </c>
      <c r="D937" t="s">
        <v>1272</v>
      </c>
      <c r="E937" t="s">
        <v>41</v>
      </c>
      <c r="F937" t="s">
        <v>42</v>
      </c>
      <c r="G937" t="s">
        <v>43</v>
      </c>
      <c r="H937" t="s">
        <v>44</v>
      </c>
      <c r="I937">
        <v>5</v>
      </c>
      <c r="J937">
        <v>15000</v>
      </c>
      <c r="K937">
        <v>9800</v>
      </c>
      <c r="L937" t="s">
        <v>73</v>
      </c>
      <c r="M937" t="s">
        <v>37</v>
      </c>
      <c r="N937" t="s">
        <v>52</v>
      </c>
      <c r="O937" t="s">
        <v>24</v>
      </c>
      <c r="P937">
        <f>Tableau1_2[[#This Row],[Quantité]]*Tableau1_2[[#This Row],[Prix_Unitaire]]</f>
        <v>75000</v>
      </c>
      <c r="Q937">
        <f>Tableau1_2[[#This Row],[Quantité]]*Tableau1_2[[#This Row],[Coût_Unitaire]]</f>
        <v>49000</v>
      </c>
      <c r="R937">
        <f>Tableau1_2[[#This Row],[CA]]-Tableau1_2[[#This Row],[Cout Total]]</f>
        <v>26000</v>
      </c>
      <c r="S937" s="4">
        <f>Tableau1_2[[#This Row],[Marge]]/Tableau1_2[[#This Row],[CA]]</f>
        <v>0.34666666666666668</v>
      </c>
      <c r="T937" t="str">
        <f>TEXT(Tableau1_2[[#This Row],[Date]],"mmmm")</f>
        <v>juin</v>
      </c>
    </row>
    <row r="938" spans="1:20" x14ac:dyDescent="0.35">
      <c r="A938" t="s">
        <v>1862</v>
      </c>
      <c r="B938" s="2">
        <v>46028</v>
      </c>
      <c r="C938" t="s">
        <v>981</v>
      </c>
      <c r="D938" t="s">
        <v>278</v>
      </c>
      <c r="E938" t="s">
        <v>156</v>
      </c>
      <c r="F938" t="s">
        <v>157</v>
      </c>
      <c r="G938" t="s">
        <v>34</v>
      </c>
      <c r="H938" t="s">
        <v>95</v>
      </c>
      <c r="I938">
        <v>7</v>
      </c>
      <c r="J938">
        <v>450000</v>
      </c>
      <c r="K938">
        <v>370000</v>
      </c>
      <c r="L938" t="s">
        <v>80</v>
      </c>
      <c r="M938" t="s">
        <v>37</v>
      </c>
      <c r="N938" t="s">
        <v>23</v>
      </c>
      <c r="O938" t="s">
        <v>45</v>
      </c>
      <c r="P938">
        <f>Tableau1_2[[#This Row],[Quantité]]*Tableau1_2[[#This Row],[Prix_Unitaire]]</f>
        <v>3150000</v>
      </c>
      <c r="Q938">
        <f>Tableau1_2[[#This Row],[Quantité]]*Tableau1_2[[#This Row],[Coût_Unitaire]]</f>
        <v>2590000</v>
      </c>
      <c r="R938">
        <f>Tableau1_2[[#This Row],[CA]]-Tableau1_2[[#This Row],[Cout Total]]</f>
        <v>560000</v>
      </c>
      <c r="S938" s="4">
        <f>Tableau1_2[[#This Row],[Marge]]/Tableau1_2[[#This Row],[CA]]</f>
        <v>0.17777777777777778</v>
      </c>
      <c r="T938" t="str">
        <f>TEXT(Tableau1_2[[#This Row],[Date]],"mmmm")</f>
        <v>janvier</v>
      </c>
    </row>
    <row r="939" spans="1:20" x14ac:dyDescent="0.35">
      <c r="A939" t="s">
        <v>1863</v>
      </c>
      <c r="B939" s="2">
        <v>46076</v>
      </c>
      <c r="C939" t="s">
        <v>649</v>
      </c>
      <c r="D939" t="s">
        <v>662</v>
      </c>
      <c r="E939" t="s">
        <v>18</v>
      </c>
      <c r="F939" t="s">
        <v>18</v>
      </c>
      <c r="G939" t="s">
        <v>43</v>
      </c>
      <c r="H939" t="s">
        <v>162</v>
      </c>
      <c r="I939">
        <v>2</v>
      </c>
      <c r="J939">
        <v>8400</v>
      </c>
      <c r="K939">
        <v>5200</v>
      </c>
      <c r="L939" t="s">
        <v>50</v>
      </c>
      <c r="M939" t="s">
        <v>51</v>
      </c>
      <c r="N939" t="s">
        <v>87</v>
      </c>
      <c r="O939" t="s">
        <v>45</v>
      </c>
      <c r="P939">
        <f>Tableau1_2[[#This Row],[Quantité]]*Tableau1_2[[#This Row],[Prix_Unitaire]]</f>
        <v>16800</v>
      </c>
      <c r="Q939">
        <f>Tableau1_2[[#This Row],[Quantité]]*Tableau1_2[[#This Row],[Coût_Unitaire]]</f>
        <v>10400</v>
      </c>
      <c r="R939">
        <f>Tableau1_2[[#This Row],[CA]]-Tableau1_2[[#This Row],[Cout Total]]</f>
        <v>6400</v>
      </c>
      <c r="S939" s="4">
        <f>Tableau1_2[[#This Row],[Marge]]/Tableau1_2[[#This Row],[CA]]</f>
        <v>0.38095238095238093</v>
      </c>
      <c r="T939" t="str">
        <f>TEXT(Tableau1_2[[#This Row],[Date]],"mmmm")</f>
        <v>février</v>
      </c>
    </row>
    <row r="940" spans="1:20" x14ac:dyDescent="0.35">
      <c r="A940" t="s">
        <v>1864</v>
      </c>
      <c r="B940" s="2">
        <v>46099</v>
      </c>
      <c r="C940" t="s">
        <v>1865</v>
      </c>
      <c r="D940" t="s">
        <v>165</v>
      </c>
      <c r="E940" t="s">
        <v>70</v>
      </c>
      <c r="F940" t="s">
        <v>71</v>
      </c>
      <c r="G940" t="s">
        <v>34</v>
      </c>
      <c r="H940" t="s">
        <v>141</v>
      </c>
      <c r="I940">
        <v>8</v>
      </c>
      <c r="J940">
        <v>160000</v>
      </c>
      <c r="K940">
        <v>116400</v>
      </c>
      <c r="L940" t="s">
        <v>36</v>
      </c>
      <c r="M940" t="s">
        <v>37</v>
      </c>
      <c r="N940" t="s">
        <v>52</v>
      </c>
      <c r="O940" t="s">
        <v>24</v>
      </c>
      <c r="P940">
        <f>Tableau1_2[[#This Row],[Quantité]]*Tableau1_2[[#This Row],[Prix_Unitaire]]</f>
        <v>1280000</v>
      </c>
      <c r="Q940">
        <f>Tableau1_2[[#This Row],[Quantité]]*Tableau1_2[[#This Row],[Coût_Unitaire]]</f>
        <v>931200</v>
      </c>
      <c r="R940">
        <f>Tableau1_2[[#This Row],[CA]]-Tableau1_2[[#This Row],[Cout Total]]</f>
        <v>348800</v>
      </c>
      <c r="S940" s="4">
        <f>Tableau1_2[[#This Row],[Marge]]/Tableau1_2[[#This Row],[CA]]</f>
        <v>0.27250000000000002</v>
      </c>
      <c r="T940" t="str">
        <f>TEXT(Tableau1_2[[#This Row],[Date]],"mmmm")</f>
        <v>mars</v>
      </c>
    </row>
    <row r="941" spans="1:20" x14ac:dyDescent="0.35">
      <c r="A941" t="s">
        <v>1866</v>
      </c>
      <c r="B941" s="2">
        <v>46226</v>
      </c>
      <c r="C941" t="s">
        <v>671</v>
      </c>
      <c r="D941" t="s">
        <v>1023</v>
      </c>
      <c r="E941" t="s">
        <v>41</v>
      </c>
      <c r="F941" t="s">
        <v>42</v>
      </c>
      <c r="G941" t="s">
        <v>43</v>
      </c>
      <c r="H941" t="s">
        <v>49</v>
      </c>
      <c r="I941">
        <v>2</v>
      </c>
      <c r="J941">
        <v>9000</v>
      </c>
      <c r="K941">
        <v>5800</v>
      </c>
      <c r="L941" t="s">
        <v>80</v>
      </c>
      <c r="M941" t="s">
        <v>37</v>
      </c>
      <c r="N941" t="s">
        <v>52</v>
      </c>
      <c r="O941" t="s">
        <v>91</v>
      </c>
      <c r="P941">
        <f>Tableau1_2[[#This Row],[Quantité]]*Tableau1_2[[#This Row],[Prix_Unitaire]]</f>
        <v>18000</v>
      </c>
      <c r="Q941">
        <f>Tableau1_2[[#This Row],[Quantité]]*Tableau1_2[[#This Row],[Coût_Unitaire]]</f>
        <v>11600</v>
      </c>
      <c r="R941">
        <f>Tableau1_2[[#This Row],[CA]]-Tableau1_2[[#This Row],[Cout Total]]</f>
        <v>6400</v>
      </c>
      <c r="S941" s="4">
        <f>Tableau1_2[[#This Row],[Marge]]/Tableau1_2[[#This Row],[CA]]</f>
        <v>0.35555555555555557</v>
      </c>
      <c r="T941" t="str">
        <f>TEXT(Tableau1_2[[#This Row],[Date]],"mmmm")</f>
        <v>juillet</v>
      </c>
    </row>
    <row r="942" spans="1:20" x14ac:dyDescent="0.35">
      <c r="A942" t="s">
        <v>1867</v>
      </c>
      <c r="B942" s="2">
        <v>46071</v>
      </c>
      <c r="C942" t="s">
        <v>874</v>
      </c>
      <c r="D942" t="s">
        <v>406</v>
      </c>
      <c r="E942" t="s">
        <v>156</v>
      </c>
      <c r="F942" t="s">
        <v>157</v>
      </c>
      <c r="G942" t="s">
        <v>34</v>
      </c>
      <c r="H942" t="s">
        <v>141</v>
      </c>
      <c r="I942">
        <v>4</v>
      </c>
      <c r="J942">
        <v>168000</v>
      </c>
      <c r="K942">
        <v>120000</v>
      </c>
      <c r="L942" t="s">
        <v>30</v>
      </c>
      <c r="M942" t="s">
        <v>37</v>
      </c>
      <c r="N942" t="s">
        <v>23</v>
      </c>
      <c r="O942" t="s">
        <v>24</v>
      </c>
      <c r="P942">
        <f>Tableau1_2[[#This Row],[Quantité]]*Tableau1_2[[#This Row],[Prix_Unitaire]]</f>
        <v>672000</v>
      </c>
      <c r="Q942">
        <f>Tableau1_2[[#This Row],[Quantité]]*Tableau1_2[[#This Row],[Coût_Unitaire]]</f>
        <v>480000</v>
      </c>
      <c r="R942">
        <f>Tableau1_2[[#This Row],[CA]]-Tableau1_2[[#This Row],[Cout Total]]</f>
        <v>192000</v>
      </c>
      <c r="S942" s="4">
        <f>Tableau1_2[[#This Row],[Marge]]/Tableau1_2[[#This Row],[CA]]</f>
        <v>0.2857142857142857</v>
      </c>
      <c r="T942" t="str">
        <f>TEXT(Tableau1_2[[#This Row],[Date]],"mmmm")</f>
        <v>février</v>
      </c>
    </row>
    <row r="943" spans="1:20" x14ac:dyDescent="0.35">
      <c r="A943" t="s">
        <v>1868</v>
      </c>
      <c r="B943" s="2">
        <v>46302</v>
      </c>
      <c r="C943" t="s">
        <v>1869</v>
      </c>
      <c r="D943" t="s">
        <v>1484</v>
      </c>
      <c r="E943" t="s">
        <v>18</v>
      </c>
      <c r="F943" t="s">
        <v>18</v>
      </c>
      <c r="G943" t="s">
        <v>34</v>
      </c>
      <c r="H943" t="s">
        <v>86</v>
      </c>
      <c r="I943">
        <v>1</v>
      </c>
      <c r="J943">
        <v>171000</v>
      </c>
      <c r="K943">
        <v>135000</v>
      </c>
      <c r="L943" t="s">
        <v>96</v>
      </c>
      <c r="M943" t="s">
        <v>51</v>
      </c>
      <c r="N943" t="s">
        <v>52</v>
      </c>
      <c r="O943" t="s">
        <v>24</v>
      </c>
      <c r="P943">
        <f>Tableau1_2[[#This Row],[Quantité]]*Tableau1_2[[#This Row],[Prix_Unitaire]]</f>
        <v>171000</v>
      </c>
      <c r="Q943">
        <f>Tableau1_2[[#This Row],[Quantité]]*Tableau1_2[[#This Row],[Coût_Unitaire]]</f>
        <v>135000</v>
      </c>
      <c r="R943">
        <f>Tableau1_2[[#This Row],[CA]]-Tableau1_2[[#This Row],[Cout Total]]</f>
        <v>36000</v>
      </c>
      <c r="S943" s="4">
        <f>Tableau1_2[[#This Row],[Marge]]/Tableau1_2[[#This Row],[CA]]</f>
        <v>0.21052631578947367</v>
      </c>
      <c r="T943" t="str">
        <f>TEXT(Tableau1_2[[#This Row],[Date]],"mmmm")</f>
        <v>octobre</v>
      </c>
    </row>
    <row r="944" spans="1:20" x14ac:dyDescent="0.35">
      <c r="A944" t="s">
        <v>1870</v>
      </c>
      <c r="B944" s="2">
        <v>46241</v>
      </c>
      <c r="C944" t="s">
        <v>746</v>
      </c>
      <c r="D944" t="s">
        <v>1871</v>
      </c>
      <c r="E944" t="s">
        <v>190</v>
      </c>
      <c r="F944" t="s">
        <v>191</v>
      </c>
      <c r="G944" t="s">
        <v>34</v>
      </c>
      <c r="H944" t="s">
        <v>95</v>
      </c>
      <c r="I944">
        <v>1</v>
      </c>
      <c r="J944">
        <v>427500</v>
      </c>
      <c r="K944">
        <v>370000</v>
      </c>
      <c r="L944" t="s">
        <v>96</v>
      </c>
      <c r="M944" t="s">
        <v>37</v>
      </c>
      <c r="N944" t="s">
        <v>52</v>
      </c>
      <c r="O944" t="s">
        <v>24</v>
      </c>
      <c r="P944">
        <f>Tableau1_2[[#This Row],[Quantité]]*Tableau1_2[[#This Row],[Prix_Unitaire]]</f>
        <v>427500</v>
      </c>
      <c r="Q944">
        <f>Tableau1_2[[#This Row],[Quantité]]*Tableau1_2[[#This Row],[Coût_Unitaire]]</f>
        <v>370000</v>
      </c>
      <c r="R944">
        <f>Tableau1_2[[#This Row],[CA]]-Tableau1_2[[#This Row],[Cout Total]]</f>
        <v>57500</v>
      </c>
      <c r="S944" s="4">
        <f>Tableau1_2[[#This Row],[Marge]]/Tableau1_2[[#This Row],[CA]]</f>
        <v>0.13450292397660818</v>
      </c>
      <c r="T944" t="str">
        <f>TEXT(Tableau1_2[[#This Row],[Date]],"mmmm")</f>
        <v>août</v>
      </c>
    </row>
    <row r="945" spans="1:20" x14ac:dyDescent="0.35">
      <c r="A945" t="s">
        <v>1872</v>
      </c>
      <c r="B945" s="2">
        <v>46344</v>
      </c>
      <c r="C945" t="s">
        <v>26</v>
      </c>
      <c r="D945" t="s">
        <v>374</v>
      </c>
      <c r="E945" t="s">
        <v>41</v>
      </c>
      <c r="F945" t="s">
        <v>42</v>
      </c>
      <c r="G945" t="s">
        <v>28</v>
      </c>
      <c r="H945" t="s">
        <v>131</v>
      </c>
      <c r="I945">
        <v>7</v>
      </c>
      <c r="J945">
        <v>28500</v>
      </c>
      <c r="K945">
        <v>19000</v>
      </c>
      <c r="L945" t="s">
        <v>21</v>
      </c>
      <c r="M945" t="s">
        <v>37</v>
      </c>
      <c r="N945" t="s">
        <v>23</v>
      </c>
      <c r="O945" t="s">
        <v>24</v>
      </c>
      <c r="P945">
        <f>Tableau1_2[[#This Row],[Quantité]]*Tableau1_2[[#This Row],[Prix_Unitaire]]</f>
        <v>199500</v>
      </c>
      <c r="Q945">
        <f>Tableau1_2[[#This Row],[Quantité]]*Tableau1_2[[#This Row],[Coût_Unitaire]]</f>
        <v>133000</v>
      </c>
      <c r="R945">
        <f>Tableau1_2[[#This Row],[CA]]-Tableau1_2[[#This Row],[Cout Total]]</f>
        <v>66500</v>
      </c>
      <c r="S945" s="4">
        <f>Tableau1_2[[#This Row],[Marge]]/Tableau1_2[[#This Row],[CA]]</f>
        <v>0.33333333333333331</v>
      </c>
      <c r="T945" t="str">
        <f>TEXT(Tableau1_2[[#This Row],[Date]],"mmmm")</f>
        <v>novembre</v>
      </c>
    </row>
    <row r="946" spans="1:20" x14ac:dyDescent="0.35">
      <c r="A946" t="s">
        <v>1873</v>
      </c>
      <c r="B946" s="2">
        <v>46170</v>
      </c>
      <c r="C946" t="s">
        <v>1642</v>
      </c>
      <c r="D946" t="s">
        <v>1126</v>
      </c>
      <c r="E946" t="s">
        <v>18</v>
      </c>
      <c r="F946" t="s">
        <v>18</v>
      </c>
      <c r="G946" t="s">
        <v>34</v>
      </c>
      <c r="H946" t="s">
        <v>141</v>
      </c>
      <c r="I946">
        <v>9</v>
      </c>
      <c r="J946">
        <v>160000</v>
      </c>
      <c r="K946">
        <v>116400</v>
      </c>
      <c r="L946" t="s">
        <v>21</v>
      </c>
      <c r="M946" t="s">
        <v>22</v>
      </c>
      <c r="N946" t="s">
        <v>52</v>
      </c>
      <c r="O946" t="s">
        <v>24</v>
      </c>
      <c r="P946">
        <f>Tableau1_2[[#This Row],[Quantité]]*Tableau1_2[[#This Row],[Prix_Unitaire]]</f>
        <v>1440000</v>
      </c>
      <c r="Q946">
        <f>Tableau1_2[[#This Row],[Quantité]]*Tableau1_2[[#This Row],[Coût_Unitaire]]</f>
        <v>1047600</v>
      </c>
      <c r="R946">
        <f>Tableau1_2[[#This Row],[CA]]-Tableau1_2[[#This Row],[Cout Total]]</f>
        <v>392400</v>
      </c>
      <c r="S946" s="4">
        <f>Tableau1_2[[#This Row],[Marge]]/Tableau1_2[[#This Row],[CA]]</f>
        <v>0.27250000000000002</v>
      </c>
      <c r="T946" t="str">
        <f>TEXT(Tableau1_2[[#This Row],[Date]],"mmmm")</f>
        <v>mai</v>
      </c>
    </row>
    <row r="947" spans="1:20" x14ac:dyDescent="0.35">
      <c r="A947" t="s">
        <v>1874</v>
      </c>
      <c r="B947" s="2">
        <v>46092</v>
      </c>
      <c r="C947" t="s">
        <v>981</v>
      </c>
      <c r="D947" t="s">
        <v>1875</v>
      </c>
      <c r="E947" t="s">
        <v>18</v>
      </c>
      <c r="F947" t="s">
        <v>18</v>
      </c>
      <c r="G947" t="s">
        <v>43</v>
      </c>
      <c r="H947" t="s">
        <v>177</v>
      </c>
      <c r="I947">
        <v>7</v>
      </c>
      <c r="J947">
        <v>17100</v>
      </c>
      <c r="K947">
        <v>12900</v>
      </c>
      <c r="L947" t="s">
        <v>30</v>
      </c>
      <c r="M947" t="s">
        <v>31</v>
      </c>
      <c r="N947" t="s">
        <v>23</v>
      </c>
      <c r="O947" t="s">
        <v>24</v>
      </c>
      <c r="P947">
        <f>Tableau1_2[[#This Row],[Quantité]]*Tableau1_2[[#This Row],[Prix_Unitaire]]</f>
        <v>119700</v>
      </c>
      <c r="Q947">
        <f>Tableau1_2[[#This Row],[Quantité]]*Tableau1_2[[#This Row],[Coût_Unitaire]]</f>
        <v>90300</v>
      </c>
      <c r="R947">
        <f>Tableau1_2[[#This Row],[CA]]-Tableau1_2[[#This Row],[Cout Total]]</f>
        <v>29400</v>
      </c>
      <c r="S947" s="4">
        <f>Tableau1_2[[#This Row],[Marge]]/Tableau1_2[[#This Row],[CA]]</f>
        <v>0.24561403508771928</v>
      </c>
      <c r="T947" t="str">
        <f>TEXT(Tableau1_2[[#This Row],[Date]],"mmmm")</f>
        <v>mars</v>
      </c>
    </row>
    <row r="948" spans="1:20" x14ac:dyDescent="0.35">
      <c r="A948" t="s">
        <v>1876</v>
      </c>
      <c r="B948" s="2">
        <v>46288</v>
      </c>
      <c r="C948" t="s">
        <v>818</v>
      </c>
      <c r="D948" t="s">
        <v>764</v>
      </c>
      <c r="E948" t="s">
        <v>84</v>
      </c>
      <c r="F948" t="s">
        <v>85</v>
      </c>
      <c r="G948" t="s">
        <v>19</v>
      </c>
      <c r="H948" t="s">
        <v>166</v>
      </c>
      <c r="I948">
        <v>2</v>
      </c>
      <c r="J948">
        <v>140000</v>
      </c>
      <c r="K948">
        <v>103000</v>
      </c>
      <c r="L948" t="s">
        <v>36</v>
      </c>
      <c r="M948" t="s">
        <v>37</v>
      </c>
      <c r="N948" t="s">
        <v>23</v>
      </c>
      <c r="O948" t="s">
        <v>45</v>
      </c>
      <c r="P948">
        <f>Tableau1_2[[#This Row],[Quantité]]*Tableau1_2[[#This Row],[Prix_Unitaire]]</f>
        <v>280000</v>
      </c>
      <c r="Q948">
        <f>Tableau1_2[[#This Row],[Quantité]]*Tableau1_2[[#This Row],[Coût_Unitaire]]</f>
        <v>206000</v>
      </c>
      <c r="R948">
        <f>Tableau1_2[[#This Row],[CA]]-Tableau1_2[[#This Row],[Cout Total]]</f>
        <v>74000</v>
      </c>
      <c r="S948" s="4">
        <f>Tableau1_2[[#This Row],[Marge]]/Tableau1_2[[#This Row],[CA]]</f>
        <v>0.26428571428571429</v>
      </c>
      <c r="T948" t="str">
        <f>TEXT(Tableau1_2[[#This Row],[Date]],"mmmm")</f>
        <v>septembre</v>
      </c>
    </row>
    <row r="949" spans="1:20" x14ac:dyDescent="0.35">
      <c r="A949" t="s">
        <v>1877</v>
      </c>
      <c r="B949" s="2">
        <v>46112</v>
      </c>
      <c r="C949" t="s">
        <v>585</v>
      </c>
      <c r="D949" t="s">
        <v>796</v>
      </c>
      <c r="E949" t="s">
        <v>18</v>
      </c>
      <c r="F949" t="s">
        <v>18</v>
      </c>
      <c r="G949" t="s">
        <v>43</v>
      </c>
      <c r="H949" t="s">
        <v>79</v>
      </c>
      <c r="I949">
        <v>1</v>
      </c>
      <c r="J949">
        <v>6000</v>
      </c>
      <c r="K949">
        <v>4100</v>
      </c>
      <c r="L949" t="s">
        <v>50</v>
      </c>
      <c r="M949" t="s">
        <v>22</v>
      </c>
      <c r="N949" t="s">
        <v>23</v>
      </c>
      <c r="O949" t="s">
        <v>45</v>
      </c>
      <c r="P949">
        <f>Tableau1_2[[#This Row],[Quantité]]*Tableau1_2[[#This Row],[Prix_Unitaire]]</f>
        <v>6000</v>
      </c>
      <c r="Q949">
        <f>Tableau1_2[[#This Row],[Quantité]]*Tableau1_2[[#This Row],[Coût_Unitaire]]</f>
        <v>4100</v>
      </c>
      <c r="R949">
        <f>Tableau1_2[[#This Row],[CA]]-Tableau1_2[[#This Row],[Cout Total]]</f>
        <v>1900</v>
      </c>
      <c r="S949" s="4">
        <f>Tableau1_2[[#This Row],[Marge]]/Tableau1_2[[#This Row],[CA]]</f>
        <v>0.31666666666666665</v>
      </c>
      <c r="T949" t="str">
        <f>TEXT(Tableau1_2[[#This Row],[Date]],"mmmm")</f>
        <v>mars</v>
      </c>
    </row>
    <row r="950" spans="1:20" x14ac:dyDescent="0.35">
      <c r="A950" t="s">
        <v>1878</v>
      </c>
      <c r="B950" s="2">
        <v>46026</v>
      </c>
      <c r="C950" t="s">
        <v>1879</v>
      </c>
      <c r="D950" t="s">
        <v>1322</v>
      </c>
      <c r="E950" t="s">
        <v>18</v>
      </c>
      <c r="F950" t="s">
        <v>18</v>
      </c>
      <c r="G950" t="s">
        <v>43</v>
      </c>
      <c r="H950" t="s">
        <v>79</v>
      </c>
      <c r="I950">
        <v>3</v>
      </c>
      <c r="J950">
        <v>6000</v>
      </c>
      <c r="K950">
        <v>4300</v>
      </c>
      <c r="L950" t="s">
        <v>73</v>
      </c>
      <c r="M950" t="s">
        <v>22</v>
      </c>
      <c r="N950" t="s">
        <v>23</v>
      </c>
      <c r="O950" t="s">
        <v>24</v>
      </c>
      <c r="P950">
        <f>Tableau1_2[[#This Row],[Quantité]]*Tableau1_2[[#This Row],[Prix_Unitaire]]</f>
        <v>18000</v>
      </c>
      <c r="Q950">
        <f>Tableau1_2[[#This Row],[Quantité]]*Tableau1_2[[#This Row],[Coût_Unitaire]]</f>
        <v>12900</v>
      </c>
      <c r="R950">
        <f>Tableau1_2[[#This Row],[CA]]-Tableau1_2[[#This Row],[Cout Total]]</f>
        <v>5100</v>
      </c>
      <c r="S950" s="4">
        <f>Tableau1_2[[#This Row],[Marge]]/Tableau1_2[[#This Row],[CA]]</f>
        <v>0.28333333333333333</v>
      </c>
      <c r="T950" t="str">
        <f>TEXT(Tableau1_2[[#This Row],[Date]],"mmmm")</f>
        <v>janvier</v>
      </c>
    </row>
    <row r="951" spans="1:20" x14ac:dyDescent="0.35">
      <c r="A951" t="s">
        <v>1880</v>
      </c>
      <c r="B951" s="2">
        <v>46253</v>
      </c>
      <c r="C951" t="s">
        <v>1632</v>
      </c>
      <c r="D951" t="s">
        <v>27</v>
      </c>
      <c r="E951" t="s">
        <v>56</v>
      </c>
      <c r="F951" t="s">
        <v>57</v>
      </c>
      <c r="G951" t="s">
        <v>34</v>
      </c>
      <c r="H951" t="s">
        <v>95</v>
      </c>
      <c r="I951">
        <v>2</v>
      </c>
      <c r="J951">
        <v>472500</v>
      </c>
      <c r="K951">
        <v>358900</v>
      </c>
      <c r="L951" t="s">
        <v>30</v>
      </c>
      <c r="M951" t="s">
        <v>31</v>
      </c>
      <c r="N951" t="s">
        <v>23</v>
      </c>
      <c r="O951" t="s">
        <v>24</v>
      </c>
      <c r="P951">
        <f>Tableau1_2[[#This Row],[Quantité]]*Tableau1_2[[#This Row],[Prix_Unitaire]]</f>
        <v>945000</v>
      </c>
      <c r="Q951">
        <f>Tableau1_2[[#This Row],[Quantité]]*Tableau1_2[[#This Row],[Coût_Unitaire]]</f>
        <v>717800</v>
      </c>
      <c r="R951">
        <f>Tableau1_2[[#This Row],[CA]]-Tableau1_2[[#This Row],[Cout Total]]</f>
        <v>227200</v>
      </c>
      <c r="S951" s="4">
        <f>Tableau1_2[[#This Row],[Marge]]/Tableau1_2[[#This Row],[CA]]</f>
        <v>0.24042328042328043</v>
      </c>
      <c r="T951" t="str">
        <f>TEXT(Tableau1_2[[#This Row],[Date]],"mmmm")</f>
        <v>août</v>
      </c>
    </row>
    <row r="952" spans="1:20" x14ac:dyDescent="0.35">
      <c r="A952" t="s">
        <v>1881</v>
      </c>
      <c r="B952" s="2">
        <v>46317</v>
      </c>
      <c r="C952" t="s">
        <v>1882</v>
      </c>
      <c r="D952" t="s">
        <v>1132</v>
      </c>
      <c r="E952" t="s">
        <v>18</v>
      </c>
      <c r="F952" t="s">
        <v>18</v>
      </c>
      <c r="G952" t="s">
        <v>34</v>
      </c>
      <c r="H952" t="s">
        <v>95</v>
      </c>
      <c r="I952">
        <v>5</v>
      </c>
      <c r="J952">
        <v>450000</v>
      </c>
      <c r="K952">
        <v>381100</v>
      </c>
      <c r="L952" t="s">
        <v>36</v>
      </c>
      <c r="M952" t="s">
        <v>31</v>
      </c>
      <c r="N952" t="s">
        <v>52</v>
      </c>
      <c r="O952" t="s">
        <v>24</v>
      </c>
      <c r="P952">
        <f>Tableau1_2[[#This Row],[Quantité]]*Tableau1_2[[#This Row],[Prix_Unitaire]]</f>
        <v>2250000</v>
      </c>
      <c r="Q952">
        <f>Tableau1_2[[#This Row],[Quantité]]*Tableau1_2[[#This Row],[Coût_Unitaire]]</f>
        <v>1905500</v>
      </c>
      <c r="R952">
        <f>Tableau1_2[[#This Row],[CA]]-Tableau1_2[[#This Row],[Cout Total]]</f>
        <v>344500</v>
      </c>
      <c r="S952" s="4">
        <f>Tableau1_2[[#This Row],[Marge]]/Tableau1_2[[#This Row],[CA]]</f>
        <v>0.15311111111111111</v>
      </c>
      <c r="T952" t="str">
        <f>TEXT(Tableau1_2[[#This Row],[Date]],"mmmm")</f>
        <v>octobre</v>
      </c>
    </row>
    <row r="953" spans="1:20" x14ac:dyDescent="0.35">
      <c r="A953" t="s">
        <v>1883</v>
      </c>
      <c r="B953" s="2">
        <v>46360</v>
      </c>
      <c r="C953" t="s">
        <v>323</v>
      </c>
      <c r="D953" t="s">
        <v>674</v>
      </c>
      <c r="E953" t="s">
        <v>18</v>
      </c>
      <c r="F953" t="s">
        <v>18</v>
      </c>
      <c r="G953" t="s">
        <v>34</v>
      </c>
      <c r="H953" t="s">
        <v>35</v>
      </c>
      <c r="I953">
        <v>1</v>
      </c>
      <c r="J953">
        <v>55000</v>
      </c>
      <c r="K953">
        <v>37800</v>
      </c>
      <c r="L953" t="s">
        <v>96</v>
      </c>
      <c r="M953" t="s">
        <v>51</v>
      </c>
      <c r="N953" t="s">
        <v>52</v>
      </c>
      <c r="O953" t="s">
        <v>24</v>
      </c>
      <c r="P953">
        <f>Tableau1_2[[#This Row],[Quantité]]*Tableau1_2[[#This Row],[Prix_Unitaire]]</f>
        <v>55000</v>
      </c>
      <c r="Q953">
        <f>Tableau1_2[[#This Row],[Quantité]]*Tableau1_2[[#This Row],[Coût_Unitaire]]</f>
        <v>37800</v>
      </c>
      <c r="R953">
        <f>Tableau1_2[[#This Row],[CA]]-Tableau1_2[[#This Row],[Cout Total]]</f>
        <v>17200</v>
      </c>
      <c r="S953" s="4">
        <f>Tableau1_2[[#This Row],[Marge]]/Tableau1_2[[#This Row],[CA]]</f>
        <v>0.31272727272727274</v>
      </c>
      <c r="T953" t="str">
        <f>TEXT(Tableau1_2[[#This Row],[Date]],"mmmm")</f>
        <v>décembre</v>
      </c>
    </row>
    <row r="954" spans="1:20" x14ac:dyDescent="0.35">
      <c r="A954" t="s">
        <v>1884</v>
      </c>
      <c r="B954" s="2">
        <v>46221</v>
      </c>
      <c r="C954" t="s">
        <v>117</v>
      </c>
      <c r="D954" t="s">
        <v>134</v>
      </c>
      <c r="E954" t="s">
        <v>56</v>
      </c>
      <c r="F954" t="s">
        <v>57</v>
      </c>
      <c r="G954" t="s">
        <v>43</v>
      </c>
      <c r="H954" t="s">
        <v>162</v>
      </c>
      <c r="I954">
        <v>7</v>
      </c>
      <c r="J954">
        <v>8400</v>
      </c>
      <c r="K954">
        <v>5000</v>
      </c>
      <c r="L954" t="s">
        <v>30</v>
      </c>
      <c r="M954" t="s">
        <v>31</v>
      </c>
      <c r="N954" t="s">
        <v>52</v>
      </c>
      <c r="O954" t="s">
        <v>24</v>
      </c>
      <c r="P954">
        <f>Tableau1_2[[#This Row],[Quantité]]*Tableau1_2[[#This Row],[Prix_Unitaire]]</f>
        <v>58800</v>
      </c>
      <c r="Q954">
        <f>Tableau1_2[[#This Row],[Quantité]]*Tableau1_2[[#This Row],[Coût_Unitaire]]</f>
        <v>35000</v>
      </c>
      <c r="R954">
        <f>Tableau1_2[[#This Row],[CA]]-Tableau1_2[[#This Row],[Cout Total]]</f>
        <v>23800</v>
      </c>
      <c r="S954" s="4">
        <f>Tableau1_2[[#This Row],[Marge]]/Tableau1_2[[#This Row],[CA]]</f>
        <v>0.40476190476190477</v>
      </c>
      <c r="T954" t="str">
        <f>TEXT(Tableau1_2[[#This Row],[Date]],"mmmm")</f>
        <v>juillet</v>
      </c>
    </row>
    <row r="955" spans="1:20" x14ac:dyDescent="0.35">
      <c r="A955" t="s">
        <v>1885</v>
      </c>
      <c r="B955" s="2">
        <v>46080</v>
      </c>
      <c r="C955" t="s">
        <v>1216</v>
      </c>
      <c r="D955" t="s">
        <v>507</v>
      </c>
      <c r="E955" t="s">
        <v>56</v>
      </c>
      <c r="F955" t="s">
        <v>57</v>
      </c>
      <c r="G955" t="s">
        <v>28</v>
      </c>
      <c r="H955" t="s">
        <v>131</v>
      </c>
      <c r="I955">
        <v>4</v>
      </c>
      <c r="J955">
        <v>31500</v>
      </c>
      <c r="K955">
        <v>19000</v>
      </c>
      <c r="L955" t="s">
        <v>36</v>
      </c>
      <c r="M955" t="s">
        <v>51</v>
      </c>
      <c r="N955" t="s">
        <v>23</v>
      </c>
      <c r="O955" t="s">
        <v>24</v>
      </c>
      <c r="P955">
        <f>Tableau1_2[[#This Row],[Quantité]]*Tableau1_2[[#This Row],[Prix_Unitaire]]</f>
        <v>126000</v>
      </c>
      <c r="Q955">
        <f>Tableau1_2[[#This Row],[Quantité]]*Tableau1_2[[#This Row],[Coût_Unitaire]]</f>
        <v>76000</v>
      </c>
      <c r="R955">
        <f>Tableau1_2[[#This Row],[CA]]-Tableau1_2[[#This Row],[Cout Total]]</f>
        <v>50000</v>
      </c>
      <c r="S955" s="4">
        <f>Tableau1_2[[#This Row],[Marge]]/Tableau1_2[[#This Row],[CA]]</f>
        <v>0.3968253968253968</v>
      </c>
      <c r="T955" t="str">
        <f>TEXT(Tableau1_2[[#This Row],[Date]],"mmmm")</f>
        <v>février</v>
      </c>
    </row>
    <row r="956" spans="1:20" x14ac:dyDescent="0.35">
      <c r="A956" t="s">
        <v>1886</v>
      </c>
      <c r="B956" s="2">
        <v>46234</v>
      </c>
      <c r="C956" t="s">
        <v>1887</v>
      </c>
      <c r="D956" t="s">
        <v>960</v>
      </c>
      <c r="E956" t="s">
        <v>18</v>
      </c>
      <c r="F956" t="s">
        <v>18</v>
      </c>
      <c r="G956" t="s">
        <v>43</v>
      </c>
      <c r="H956" t="s">
        <v>79</v>
      </c>
      <c r="I956">
        <v>9</v>
      </c>
      <c r="J956">
        <v>5700</v>
      </c>
      <c r="K956">
        <v>4200</v>
      </c>
      <c r="L956" t="s">
        <v>30</v>
      </c>
      <c r="M956" t="s">
        <v>37</v>
      </c>
      <c r="N956" t="s">
        <v>23</v>
      </c>
      <c r="O956" t="s">
        <v>91</v>
      </c>
      <c r="P956">
        <f>Tableau1_2[[#This Row],[Quantité]]*Tableau1_2[[#This Row],[Prix_Unitaire]]</f>
        <v>51300</v>
      </c>
      <c r="Q956">
        <f>Tableau1_2[[#This Row],[Quantité]]*Tableau1_2[[#This Row],[Coût_Unitaire]]</f>
        <v>37800</v>
      </c>
      <c r="R956">
        <f>Tableau1_2[[#This Row],[CA]]-Tableau1_2[[#This Row],[Cout Total]]</f>
        <v>13500</v>
      </c>
      <c r="S956" s="4">
        <f>Tableau1_2[[#This Row],[Marge]]/Tableau1_2[[#This Row],[CA]]</f>
        <v>0.26315789473684209</v>
      </c>
      <c r="T956" t="str">
        <f>TEXT(Tableau1_2[[#This Row],[Date]],"mmmm")</f>
        <v>juillet</v>
      </c>
    </row>
    <row r="957" spans="1:20" x14ac:dyDescent="0.35">
      <c r="A957" t="s">
        <v>1888</v>
      </c>
      <c r="B957" s="2">
        <v>46054</v>
      </c>
      <c r="C957" t="s">
        <v>472</v>
      </c>
      <c r="D957" t="s">
        <v>1760</v>
      </c>
      <c r="E957" t="s">
        <v>156</v>
      </c>
      <c r="F957" t="s">
        <v>157</v>
      </c>
      <c r="G957" t="s">
        <v>19</v>
      </c>
      <c r="H957" t="s">
        <v>112</v>
      </c>
      <c r="I957">
        <v>5</v>
      </c>
      <c r="J957">
        <v>80800</v>
      </c>
      <c r="K957">
        <v>60100</v>
      </c>
      <c r="L957" t="s">
        <v>73</v>
      </c>
      <c r="M957" t="s">
        <v>37</v>
      </c>
      <c r="N957" t="s">
        <v>87</v>
      </c>
      <c r="O957" t="s">
        <v>24</v>
      </c>
      <c r="P957">
        <f>Tableau1_2[[#This Row],[Quantité]]*Tableau1_2[[#This Row],[Prix_Unitaire]]</f>
        <v>404000</v>
      </c>
      <c r="Q957">
        <f>Tableau1_2[[#This Row],[Quantité]]*Tableau1_2[[#This Row],[Coût_Unitaire]]</f>
        <v>300500</v>
      </c>
      <c r="R957">
        <f>Tableau1_2[[#This Row],[CA]]-Tableau1_2[[#This Row],[Cout Total]]</f>
        <v>103500</v>
      </c>
      <c r="S957" s="4">
        <f>Tableau1_2[[#This Row],[Marge]]/Tableau1_2[[#This Row],[CA]]</f>
        <v>0.25618811881188119</v>
      </c>
      <c r="T957" t="str">
        <f>TEXT(Tableau1_2[[#This Row],[Date]],"mmmm")</f>
        <v>février</v>
      </c>
    </row>
    <row r="958" spans="1:20" x14ac:dyDescent="0.35">
      <c r="A958" t="s">
        <v>1889</v>
      </c>
      <c r="B958" s="2">
        <v>46379</v>
      </c>
      <c r="C958" t="s">
        <v>1890</v>
      </c>
      <c r="D958" t="s">
        <v>750</v>
      </c>
      <c r="E958" t="s">
        <v>84</v>
      </c>
      <c r="F958" t="s">
        <v>85</v>
      </c>
      <c r="G958" t="s">
        <v>19</v>
      </c>
      <c r="H958" t="s">
        <v>166</v>
      </c>
      <c r="I958">
        <v>5</v>
      </c>
      <c r="J958">
        <v>140000</v>
      </c>
      <c r="K958">
        <v>97000</v>
      </c>
      <c r="L958" t="s">
        <v>50</v>
      </c>
      <c r="M958" t="s">
        <v>31</v>
      </c>
      <c r="N958" t="s">
        <v>52</v>
      </c>
      <c r="O958" t="s">
        <v>91</v>
      </c>
      <c r="P958">
        <f>Tableau1_2[[#This Row],[Quantité]]*Tableau1_2[[#This Row],[Prix_Unitaire]]</f>
        <v>700000</v>
      </c>
      <c r="Q958">
        <f>Tableau1_2[[#This Row],[Quantité]]*Tableau1_2[[#This Row],[Coût_Unitaire]]</f>
        <v>485000</v>
      </c>
      <c r="R958">
        <f>Tableau1_2[[#This Row],[CA]]-Tableau1_2[[#This Row],[Cout Total]]</f>
        <v>215000</v>
      </c>
      <c r="S958" s="4">
        <f>Tableau1_2[[#This Row],[Marge]]/Tableau1_2[[#This Row],[CA]]</f>
        <v>0.30714285714285716</v>
      </c>
      <c r="T958" t="str">
        <f>TEXT(Tableau1_2[[#This Row],[Date]],"mmmm")</f>
        <v>décembre</v>
      </c>
    </row>
    <row r="959" spans="1:20" x14ac:dyDescent="0.35">
      <c r="A959" t="s">
        <v>1891</v>
      </c>
      <c r="B959" s="2">
        <v>46291</v>
      </c>
      <c r="C959" t="s">
        <v>59</v>
      </c>
      <c r="D959" t="s">
        <v>1380</v>
      </c>
      <c r="E959" t="s">
        <v>77</v>
      </c>
      <c r="F959" t="s">
        <v>78</v>
      </c>
      <c r="G959" t="s">
        <v>34</v>
      </c>
      <c r="H959" t="s">
        <v>141</v>
      </c>
      <c r="I959">
        <v>6</v>
      </c>
      <c r="J959">
        <v>160000</v>
      </c>
      <c r="K959">
        <v>116400</v>
      </c>
      <c r="L959" t="s">
        <v>73</v>
      </c>
      <c r="M959" t="s">
        <v>22</v>
      </c>
      <c r="N959" t="s">
        <v>23</v>
      </c>
      <c r="O959" t="s">
        <v>24</v>
      </c>
      <c r="P959">
        <f>Tableau1_2[[#This Row],[Quantité]]*Tableau1_2[[#This Row],[Prix_Unitaire]]</f>
        <v>960000</v>
      </c>
      <c r="Q959">
        <f>Tableau1_2[[#This Row],[Quantité]]*Tableau1_2[[#This Row],[Coût_Unitaire]]</f>
        <v>698400</v>
      </c>
      <c r="R959">
        <f>Tableau1_2[[#This Row],[CA]]-Tableau1_2[[#This Row],[Cout Total]]</f>
        <v>261600</v>
      </c>
      <c r="S959" s="4">
        <f>Tableau1_2[[#This Row],[Marge]]/Tableau1_2[[#This Row],[CA]]</f>
        <v>0.27250000000000002</v>
      </c>
      <c r="T959" t="str">
        <f>TEXT(Tableau1_2[[#This Row],[Date]],"mmmm")</f>
        <v>septembre</v>
      </c>
    </row>
    <row r="960" spans="1:20" x14ac:dyDescent="0.35">
      <c r="A960" t="s">
        <v>1892</v>
      </c>
      <c r="B960" s="2">
        <v>46151</v>
      </c>
      <c r="C960" t="s">
        <v>671</v>
      </c>
      <c r="D960" t="s">
        <v>287</v>
      </c>
      <c r="E960" t="s">
        <v>18</v>
      </c>
      <c r="F960" t="s">
        <v>18</v>
      </c>
      <c r="G960" t="s">
        <v>19</v>
      </c>
      <c r="H960" t="s">
        <v>166</v>
      </c>
      <c r="I960">
        <v>7</v>
      </c>
      <c r="J960">
        <v>140000</v>
      </c>
      <c r="K960">
        <v>103000</v>
      </c>
      <c r="L960" t="s">
        <v>50</v>
      </c>
      <c r="M960" t="s">
        <v>22</v>
      </c>
      <c r="N960" t="s">
        <v>23</v>
      </c>
      <c r="O960" t="s">
        <v>91</v>
      </c>
      <c r="P960">
        <f>Tableau1_2[[#This Row],[Quantité]]*Tableau1_2[[#This Row],[Prix_Unitaire]]</f>
        <v>980000</v>
      </c>
      <c r="Q960">
        <f>Tableau1_2[[#This Row],[Quantité]]*Tableau1_2[[#This Row],[Coût_Unitaire]]</f>
        <v>721000</v>
      </c>
      <c r="R960">
        <f>Tableau1_2[[#This Row],[CA]]-Tableau1_2[[#This Row],[Cout Total]]</f>
        <v>259000</v>
      </c>
      <c r="S960" s="4">
        <f>Tableau1_2[[#This Row],[Marge]]/Tableau1_2[[#This Row],[CA]]</f>
        <v>0.26428571428571429</v>
      </c>
      <c r="T960" t="str">
        <f>TEXT(Tableau1_2[[#This Row],[Date]],"mmmm")</f>
        <v>mai</v>
      </c>
    </row>
    <row r="961" spans="1:20" x14ac:dyDescent="0.35">
      <c r="A961" t="s">
        <v>1893</v>
      </c>
      <c r="B961" s="2">
        <v>46059</v>
      </c>
      <c r="C961" t="s">
        <v>1894</v>
      </c>
      <c r="D961" t="s">
        <v>380</v>
      </c>
      <c r="E961" t="s">
        <v>41</v>
      </c>
      <c r="F961" t="s">
        <v>42</v>
      </c>
      <c r="G961" t="s">
        <v>28</v>
      </c>
      <c r="H961" t="s">
        <v>248</v>
      </c>
      <c r="I961">
        <v>2</v>
      </c>
      <c r="J961">
        <v>23800</v>
      </c>
      <c r="K961">
        <v>16000</v>
      </c>
      <c r="L961" t="s">
        <v>96</v>
      </c>
      <c r="M961" t="s">
        <v>51</v>
      </c>
      <c r="N961" t="s">
        <v>52</v>
      </c>
      <c r="O961" t="s">
        <v>24</v>
      </c>
      <c r="P961">
        <f>Tableau1_2[[#This Row],[Quantité]]*Tableau1_2[[#This Row],[Prix_Unitaire]]</f>
        <v>47600</v>
      </c>
      <c r="Q961">
        <f>Tableau1_2[[#This Row],[Quantité]]*Tableau1_2[[#This Row],[Coût_Unitaire]]</f>
        <v>32000</v>
      </c>
      <c r="R961">
        <f>Tableau1_2[[#This Row],[CA]]-Tableau1_2[[#This Row],[Cout Total]]</f>
        <v>15600</v>
      </c>
      <c r="S961" s="4">
        <f>Tableau1_2[[#This Row],[Marge]]/Tableau1_2[[#This Row],[CA]]</f>
        <v>0.32773109243697479</v>
      </c>
      <c r="T961" t="str">
        <f>TEXT(Tableau1_2[[#This Row],[Date]],"mmmm")</f>
        <v>février</v>
      </c>
    </row>
    <row r="962" spans="1:20" x14ac:dyDescent="0.35">
      <c r="A962" t="s">
        <v>1895</v>
      </c>
      <c r="B962" s="2">
        <v>46312</v>
      </c>
      <c r="C962" t="s">
        <v>1743</v>
      </c>
      <c r="D962" t="s">
        <v>348</v>
      </c>
      <c r="E962" t="s">
        <v>18</v>
      </c>
      <c r="F962" t="s">
        <v>18</v>
      </c>
      <c r="G962" t="s">
        <v>19</v>
      </c>
      <c r="H962" t="s">
        <v>61</v>
      </c>
      <c r="I962">
        <v>4</v>
      </c>
      <c r="J962">
        <v>209000</v>
      </c>
      <c r="K962">
        <v>164800</v>
      </c>
      <c r="L962" t="s">
        <v>21</v>
      </c>
      <c r="M962" t="s">
        <v>37</v>
      </c>
      <c r="N962" t="s">
        <v>52</v>
      </c>
      <c r="O962" t="s">
        <v>24</v>
      </c>
      <c r="P962">
        <f>Tableau1_2[[#This Row],[Quantité]]*Tableau1_2[[#This Row],[Prix_Unitaire]]</f>
        <v>836000</v>
      </c>
      <c r="Q962">
        <f>Tableau1_2[[#This Row],[Quantité]]*Tableau1_2[[#This Row],[Coût_Unitaire]]</f>
        <v>659200</v>
      </c>
      <c r="R962">
        <f>Tableau1_2[[#This Row],[CA]]-Tableau1_2[[#This Row],[Cout Total]]</f>
        <v>176800</v>
      </c>
      <c r="S962" s="4">
        <f>Tableau1_2[[#This Row],[Marge]]/Tableau1_2[[#This Row],[CA]]</f>
        <v>0.21148325358851675</v>
      </c>
      <c r="T962" t="str">
        <f>TEXT(Tableau1_2[[#This Row],[Date]],"mmmm")</f>
        <v>octobre</v>
      </c>
    </row>
    <row r="963" spans="1:20" x14ac:dyDescent="0.35">
      <c r="A963" t="s">
        <v>1896</v>
      </c>
      <c r="B963" s="2">
        <v>46173</v>
      </c>
      <c r="C963" t="s">
        <v>1894</v>
      </c>
      <c r="D963" t="s">
        <v>276</v>
      </c>
      <c r="E963" t="s">
        <v>84</v>
      </c>
      <c r="F963" t="s">
        <v>85</v>
      </c>
      <c r="G963" t="s">
        <v>28</v>
      </c>
      <c r="H963" t="s">
        <v>72</v>
      </c>
      <c r="I963">
        <v>1</v>
      </c>
      <c r="J963">
        <v>10000</v>
      </c>
      <c r="K963">
        <v>6000</v>
      </c>
      <c r="L963" t="s">
        <v>21</v>
      </c>
      <c r="M963" t="s">
        <v>37</v>
      </c>
      <c r="N963" t="s">
        <v>23</v>
      </c>
      <c r="O963" t="s">
        <v>24</v>
      </c>
      <c r="P963">
        <f>Tableau1_2[[#This Row],[Quantité]]*Tableau1_2[[#This Row],[Prix_Unitaire]]</f>
        <v>10000</v>
      </c>
      <c r="Q963">
        <f>Tableau1_2[[#This Row],[Quantité]]*Tableau1_2[[#This Row],[Coût_Unitaire]]</f>
        <v>6000</v>
      </c>
      <c r="R963">
        <f>Tableau1_2[[#This Row],[CA]]-Tableau1_2[[#This Row],[Cout Total]]</f>
        <v>4000</v>
      </c>
      <c r="S963" s="4">
        <f>Tableau1_2[[#This Row],[Marge]]/Tableau1_2[[#This Row],[CA]]</f>
        <v>0.4</v>
      </c>
      <c r="T963" t="str">
        <f>TEXT(Tableau1_2[[#This Row],[Date]],"mmmm")</f>
        <v>mai</v>
      </c>
    </row>
    <row r="964" spans="1:20" x14ac:dyDescent="0.35">
      <c r="A964" t="s">
        <v>1897</v>
      </c>
      <c r="B964" s="2">
        <v>46106</v>
      </c>
      <c r="C964" t="s">
        <v>702</v>
      </c>
      <c r="D964" t="s">
        <v>812</v>
      </c>
      <c r="E964" t="s">
        <v>190</v>
      </c>
      <c r="F964" t="s">
        <v>191</v>
      </c>
      <c r="G964" t="s">
        <v>34</v>
      </c>
      <c r="H964" t="s">
        <v>95</v>
      </c>
      <c r="I964">
        <v>6</v>
      </c>
      <c r="J964">
        <v>450000</v>
      </c>
      <c r="K964">
        <v>370000</v>
      </c>
      <c r="L964" t="s">
        <v>21</v>
      </c>
      <c r="M964" t="s">
        <v>51</v>
      </c>
      <c r="N964" t="s">
        <v>87</v>
      </c>
      <c r="O964" t="s">
        <v>91</v>
      </c>
      <c r="P964">
        <f>Tableau1_2[[#This Row],[Quantité]]*Tableau1_2[[#This Row],[Prix_Unitaire]]</f>
        <v>2700000</v>
      </c>
      <c r="Q964">
        <f>Tableau1_2[[#This Row],[Quantité]]*Tableau1_2[[#This Row],[Coût_Unitaire]]</f>
        <v>2220000</v>
      </c>
      <c r="R964">
        <f>Tableau1_2[[#This Row],[CA]]-Tableau1_2[[#This Row],[Cout Total]]</f>
        <v>480000</v>
      </c>
      <c r="S964" s="4">
        <f>Tableau1_2[[#This Row],[Marge]]/Tableau1_2[[#This Row],[CA]]</f>
        <v>0.17777777777777778</v>
      </c>
      <c r="T964" t="str">
        <f>TEXT(Tableau1_2[[#This Row],[Date]],"mmmm")</f>
        <v>mars</v>
      </c>
    </row>
    <row r="965" spans="1:20" x14ac:dyDescent="0.35">
      <c r="A965" t="s">
        <v>1898</v>
      </c>
      <c r="B965" s="2">
        <v>46348</v>
      </c>
      <c r="C965" t="s">
        <v>231</v>
      </c>
      <c r="D965" t="s">
        <v>276</v>
      </c>
      <c r="E965" t="s">
        <v>18</v>
      </c>
      <c r="F965" t="s">
        <v>18</v>
      </c>
      <c r="G965" t="s">
        <v>43</v>
      </c>
      <c r="H965" t="s">
        <v>162</v>
      </c>
      <c r="I965">
        <v>1</v>
      </c>
      <c r="J965">
        <v>8000</v>
      </c>
      <c r="K965">
        <v>5000</v>
      </c>
      <c r="L965" t="s">
        <v>80</v>
      </c>
      <c r="M965" t="s">
        <v>31</v>
      </c>
      <c r="N965" t="s">
        <v>23</v>
      </c>
      <c r="O965" t="s">
        <v>24</v>
      </c>
      <c r="P965">
        <f>Tableau1_2[[#This Row],[Quantité]]*Tableau1_2[[#This Row],[Prix_Unitaire]]</f>
        <v>8000</v>
      </c>
      <c r="Q965">
        <f>Tableau1_2[[#This Row],[Quantité]]*Tableau1_2[[#This Row],[Coût_Unitaire]]</f>
        <v>5000</v>
      </c>
      <c r="R965">
        <f>Tableau1_2[[#This Row],[CA]]-Tableau1_2[[#This Row],[Cout Total]]</f>
        <v>3000</v>
      </c>
      <c r="S965" s="4">
        <f>Tableau1_2[[#This Row],[Marge]]/Tableau1_2[[#This Row],[CA]]</f>
        <v>0.375</v>
      </c>
      <c r="T965" t="str">
        <f>TEXT(Tableau1_2[[#This Row],[Date]],"mmmm")</f>
        <v>novembre</v>
      </c>
    </row>
    <row r="966" spans="1:20" x14ac:dyDescent="0.35">
      <c r="A966" t="s">
        <v>1899</v>
      </c>
      <c r="B966" s="2">
        <v>46029</v>
      </c>
      <c r="C966" t="s">
        <v>1327</v>
      </c>
      <c r="D966" t="s">
        <v>747</v>
      </c>
      <c r="E966" t="s">
        <v>70</v>
      </c>
      <c r="F966" t="s">
        <v>71</v>
      </c>
      <c r="G966" t="s">
        <v>19</v>
      </c>
      <c r="H966" t="s">
        <v>166</v>
      </c>
      <c r="I966">
        <v>2</v>
      </c>
      <c r="J966">
        <v>133000</v>
      </c>
      <c r="K966">
        <v>97000</v>
      </c>
      <c r="L966" t="s">
        <v>30</v>
      </c>
      <c r="M966" t="s">
        <v>51</v>
      </c>
      <c r="N966" t="s">
        <v>52</v>
      </c>
      <c r="O966" t="s">
        <v>24</v>
      </c>
      <c r="P966">
        <f>Tableau1_2[[#This Row],[Quantité]]*Tableau1_2[[#This Row],[Prix_Unitaire]]</f>
        <v>266000</v>
      </c>
      <c r="Q966">
        <f>Tableau1_2[[#This Row],[Quantité]]*Tableau1_2[[#This Row],[Coût_Unitaire]]</f>
        <v>194000</v>
      </c>
      <c r="R966">
        <f>Tableau1_2[[#This Row],[CA]]-Tableau1_2[[#This Row],[Cout Total]]</f>
        <v>72000</v>
      </c>
      <c r="S966" s="4">
        <f>Tableau1_2[[#This Row],[Marge]]/Tableau1_2[[#This Row],[CA]]</f>
        <v>0.27067669172932329</v>
      </c>
      <c r="T966" t="str">
        <f>TEXT(Tableau1_2[[#This Row],[Date]],"mmmm")</f>
        <v>janvier</v>
      </c>
    </row>
    <row r="967" spans="1:20" x14ac:dyDescent="0.35">
      <c r="A967" t="s">
        <v>1900</v>
      </c>
      <c r="B967" s="2">
        <v>46242</v>
      </c>
      <c r="C967" t="s">
        <v>901</v>
      </c>
      <c r="D967" t="s">
        <v>155</v>
      </c>
      <c r="E967" t="s">
        <v>18</v>
      </c>
      <c r="F967" t="s">
        <v>18</v>
      </c>
      <c r="G967" t="s">
        <v>34</v>
      </c>
      <c r="H967" t="s">
        <v>158</v>
      </c>
      <c r="I967">
        <v>6</v>
      </c>
      <c r="J967">
        <v>90200</v>
      </c>
      <c r="K967">
        <v>72100</v>
      </c>
      <c r="L967" t="s">
        <v>36</v>
      </c>
      <c r="M967" t="s">
        <v>51</v>
      </c>
      <c r="N967" t="s">
        <v>87</v>
      </c>
      <c r="O967" t="s">
        <v>24</v>
      </c>
      <c r="P967">
        <f>Tableau1_2[[#This Row],[Quantité]]*Tableau1_2[[#This Row],[Prix_Unitaire]]</f>
        <v>541200</v>
      </c>
      <c r="Q967">
        <f>Tableau1_2[[#This Row],[Quantité]]*Tableau1_2[[#This Row],[Coût_Unitaire]]</f>
        <v>432600</v>
      </c>
      <c r="R967">
        <f>Tableau1_2[[#This Row],[CA]]-Tableau1_2[[#This Row],[Cout Total]]</f>
        <v>108600</v>
      </c>
      <c r="S967" s="4">
        <f>Tableau1_2[[#This Row],[Marge]]/Tableau1_2[[#This Row],[CA]]</f>
        <v>0.20066518847006651</v>
      </c>
      <c r="T967" t="str">
        <f>TEXT(Tableau1_2[[#This Row],[Date]],"mmmm")</f>
        <v>août</v>
      </c>
    </row>
    <row r="968" spans="1:20" x14ac:dyDescent="0.35">
      <c r="A968" t="s">
        <v>1901</v>
      </c>
      <c r="B968" s="2">
        <v>46136</v>
      </c>
      <c r="C968" t="s">
        <v>1665</v>
      </c>
      <c r="D968" t="s">
        <v>1551</v>
      </c>
      <c r="E968" t="s">
        <v>56</v>
      </c>
      <c r="F968" t="s">
        <v>57</v>
      </c>
      <c r="G968" t="s">
        <v>43</v>
      </c>
      <c r="H968" t="s">
        <v>44</v>
      </c>
      <c r="I968">
        <v>1</v>
      </c>
      <c r="J968">
        <v>15000</v>
      </c>
      <c r="K968">
        <v>9200</v>
      </c>
      <c r="L968" t="s">
        <v>50</v>
      </c>
      <c r="M968" t="s">
        <v>37</v>
      </c>
      <c r="N968" t="s">
        <v>52</v>
      </c>
      <c r="O968" t="s">
        <v>24</v>
      </c>
      <c r="P968">
        <f>Tableau1_2[[#This Row],[Quantité]]*Tableau1_2[[#This Row],[Prix_Unitaire]]</f>
        <v>15000</v>
      </c>
      <c r="Q968">
        <f>Tableau1_2[[#This Row],[Quantité]]*Tableau1_2[[#This Row],[Coût_Unitaire]]</f>
        <v>9200</v>
      </c>
      <c r="R968">
        <f>Tableau1_2[[#This Row],[CA]]-Tableau1_2[[#This Row],[Cout Total]]</f>
        <v>5800</v>
      </c>
      <c r="S968" s="4">
        <f>Tableau1_2[[#This Row],[Marge]]/Tableau1_2[[#This Row],[CA]]</f>
        <v>0.38666666666666666</v>
      </c>
      <c r="T968" t="str">
        <f>TEXT(Tableau1_2[[#This Row],[Date]],"mmmm")</f>
        <v>avril</v>
      </c>
    </row>
    <row r="969" spans="1:20" x14ac:dyDescent="0.35">
      <c r="A969" t="s">
        <v>1902</v>
      </c>
      <c r="B969" s="2">
        <v>46026</v>
      </c>
      <c r="C969" t="s">
        <v>396</v>
      </c>
      <c r="D969" t="s">
        <v>102</v>
      </c>
      <c r="E969" t="s">
        <v>41</v>
      </c>
      <c r="F969" t="s">
        <v>42</v>
      </c>
      <c r="G969" t="s">
        <v>34</v>
      </c>
      <c r="H969" t="s">
        <v>141</v>
      </c>
      <c r="I969">
        <v>9</v>
      </c>
      <c r="J969">
        <v>152000</v>
      </c>
      <c r="K969">
        <v>116400</v>
      </c>
      <c r="L969" t="s">
        <v>50</v>
      </c>
      <c r="M969" t="s">
        <v>37</v>
      </c>
      <c r="N969" t="s">
        <v>87</v>
      </c>
      <c r="O969" t="s">
        <v>91</v>
      </c>
      <c r="P969">
        <f>Tableau1_2[[#This Row],[Quantité]]*Tableau1_2[[#This Row],[Prix_Unitaire]]</f>
        <v>1368000</v>
      </c>
      <c r="Q969">
        <f>Tableau1_2[[#This Row],[Quantité]]*Tableau1_2[[#This Row],[Coût_Unitaire]]</f>
        <v>1047600</v>
      </c>
      <c r="R969">
        <f>Tableau1_2[[#This Row],[CA]]-Tableau1_2[[#This Row],[Cout Total]]</f>
        <v>320400</v>
      </c>
      <c r="S969" s="4">
        <f>Tableau1_2[[#This Row],[Marge]]/Tableau1_2[[#This Row],[CA]]</f>
        <v>0.23421052631578948</v>
      </c>
      <c r="T969" t="str">
        <f>TEXT(Tableau1_2[[#This Row],[Date]],"mmmm")</f>
        <v>janvier</v>
      </c>
    </row>
    <row r="970" spans="1:20" x14ac:dyDescent="0.35">
      <c r="A970" t="s">
        <v>1903</v>
      </c>
      <c r="B970" s="2">
        <v>46250</v>
      </c>
      <c r="C970" t="s">
        <v>1148</v>
      </c>
      <c r="D970" t="s">
        <v>1904</v>
      </c>
      <c r="E970" t="s">
        <v>70</v>
      </c>
      <c r="F970" t="s">
        <v>71</v>
      </c>
      <c r="G970" t="s">
        <v>34</v>
      </c>
      <c r="H970" t="s">
        <v>141</v>
      </c>
      <c r="I970">
        <v>1</v>
      </c>
      <c r="J970">
        <v>168000</v>
      </c>
      <c r="K970">
        <v>120000</v>
      </c>
      <c r="L970" t="s">
        <v>80</v>
      </c>
      <c r="M970" t="s">
        <v>37</v>
      </c>
      <c r="N970" t="s">
        <v>23</v>
      </c>
      <c r="O970" t="s">
        <v>24</v>
      </c>
      <c r="P970">
        <f>Tableau1_2[[#This Row],[Quantité]]*Tableau1_2[[#This Row],[Prix_Unitaire]]</f>
        <v>168000</v>
      </c>
      <c r="Q970">
        <f>Tableau1_2[[#This Row],[Quantité]]*Tableau1_2[[#This Row],[Coût_Unitaire]]</f>
        <v>120000</v>
      </c>
      <c r="R970">
        <f>Tableau1_2[[#This Row],[CA]]-Tableau1_2[[#This Row],[Cout Total]]</f>
        <v>48000</v>
      </c>
      <c r="S970" s="4">
        <f>Tableau1_2[[#This Row],[Marge]]/Tableau1_2[[#This Row],[CA]]</f>
        <v>0.2857142857142857</v>
      </c>
      <c r="T970" t="str">
        <f>TEXT(Tableau1_2[[#This Row],[Date]],"mmmm")</f>
        <v>août</v>
      </c>
    </row>
    <row r="971" spans="1:20" x14ac:dyDescent="0.35">
      <c r="A971" t="s">
        <v>1905</v>
      </c>
      <c r="B971" s="2">
        <v>46310</v>
      </c>
      <c r="C971" t="s">
        <v>500</v>
      </c>
      <c r="D971" t="s">
        <v>1906</v>
      </c>
      <c r="E971" t="s">
        <v>77</v>
      </c>
      <c r="F971" t="s">
        <v>78</v>
      </c>
      <c r="G971" t="s">
        <v>43</v>
      </c>
      <c r="H971" t="s">
        <v>44</v>
      </c>
      <c r="I971">
        <v>5</v>
      </c>
      <c r="J971">
        <v>15000</v>
      </c>
      <c r="K971">
        <v>9500</v>
      </c>
      <c r="L971" t="s">
        <v>80</v>
      </c>
      <c r="M971" t="s">
        <v>22</v>
      </c>
      <c r="N971" t="s">
        <v>23</v>
      </c>
      <c r="O971" t="s">
        <v>24</v>
      </c>
      <c r="P971">
        <f>Tableau1_2[[#This Row],[Quantité]]*Tableau1_2[[#This Row],[Prix_Unitaire]]</f>
        <v>75000</v>
      </c>
      <c r="Q971">
        <f>Tableau1_2[[#This Row],[Quantité]]*Tableau1_2[[#This Row],[Coût_Unitaire]]</f>
        <v>47500</v>
      </c>
      <c r="R971">
        <f>Tableau1_2[[#This Row],[CA]]-Tableau1_2[[#This Row],[Cout Total]]</f>
        <v>27500</v>
      </c>
      <c r="S971" s="4">
        <f>Tableau1_2[[#This Row],[Marge]]/Tableau1_2[[#This Row],[CA]]</f>
        <v>0.36666666666666664</v>
      </c>
      <c r="T971" t="str">
        <f>TEXT(Tableau1_2[[#This Row],[Date]],"mmmm")</f>
        <v>octobre</v>
      </c>
    </row>
    <row r="972" spans="1:20" x14ac:dyDescent="0.35">
      <c r="A972" t="s">
        <v>1907</v>
      </c>
      <c r="B972" s="2">
        <v>46322</v>
      </c>
      <c r="C972" t="s">
        <v>554</v>
      </c>
      <c r="D972" t="s">
        <v>1908</v>
      </c>
      <c r="E972" t="s">
        <v>77</v>
      </c>
      <c r="F972" t="s">
        <v>78</v>
      </c>
      <c r="G972" t="s">
        <v>19</v>
      </c>
      <c r="H972" t="s">
        <v>166</v>
      </c>
      <c r="I972">
        <v>9</v>
      </c>
      <c r="J972">
        <v>133000</v>
      </c>
      <c r="K972">
        <v>97000</v>
      </c>
      <c r="L972" t="s">
        <v>36</v>
      </c>
      <c r="M972" t="s">
        <v>31</v>
      </c>
      <c r="N972" t="s">
        <v>52</v>
      </c>
      <c r="O972" t="s">
        <v>91</v>
      </c>
      <c r="P972">
        <f>Tableau1_2[[#This Row],[Quantité]]*Tableau1_2[[#This Row],[Prix_Unitaire]]</f>
        <v>1197000</v>
      </c>
      <c r="Q972">
        <f>Tableau1_2[[#This Row],[Quantité]]*Tableau1_2[[#This Row],[Coût_Unitaire]]</f>
        <v>873000</v>
      </c>
      <c r="R972">
        <f>Tableau1_2[[#This Row],[CA]]-Tableau1_2[[#This Row],[Cout Total]]</f>
        <v>324000</v>
      </c>
      <c r="S972" s="4">
        <f>Tableau1_2[[#This Row],[Marge]]/Tableau1_2[[#This Row],[CA]]</f>
        <v>0.27067669172932329</v>
      </c>
      <c r="T972" t="str">
        <f>TEXT(Tableau1_2[[#This Row],[Date]],"mmmm")</f>
        <v>octobre</v>
      </c>
    </row>
    <row r="973" spans="1:20" x14ac:dyDescent="0.35">
      <c r="A973" t="s">
        <v>1909</v>
      </c>
      <c r="B973" s="2">
        <v>46302</v>
      </c>
      <c r="C973" t="s">
        <v>1894</v>
      </c>
      <c r="D973" t="s">
        <v>342</v>
      </c>
      <c r="E973" t="s">
        <v>18</v>
      </c>
      <c r="F973" t="s">
        <v>18</v>
      </c>
      <c r="G973" t="s">
        <v>34</v>
      </c>
      <c r="H973" t="s">
        <v>35</v>
      </c>
      <c r="I973">
        <v>3</v>
      </c>
      <c r="J973">
        <v>52200</v>
      </c>
      <c r="K973">
        <v>39000</v>
      </c>
      <c r="L973" t="s">
        <v>50</v>
      </c>
      <c r="M973" t="s">
        <v>22</v>
      </c>
      <c r="N973" t="s">
        <v>87</v>
      </c>
      <c r="O973" t="s">
        <v>91</v>
      </c>
      <c r="P973">
        <f>Tableau1_2[[#This Row],[Quantité]]*Tableau1_2[[#This Row],[Prix_Unitaire]]</f>
        <v>156600</v>
      </c>
      <c r="Q973">
        <f>Tableau1_2[[#This Row],[Quantité]]*Tableau1_2[[#This Row],[Coût_Unitaire]]</f>
        <v>117000</v>
      </c>
      <c r="R973">
        <f>Tableau1_2[[#This Row],[CA]]-Tableau1_2[[#This Row],[Cout Total]]</f>
        <v>39600</v>
      </c>
      <c r="S973" s="4">
        <f>Tableau1_2[[#This Row],[Marge]]/Tableau1_2[[#This Row],[CA]]</f>
        <v>0.25287356321839083</v>
      </c>
      <c r="T973" t="str">
        <f>TEXT(Tableau1_2[[#This Row],[Date]],"mmmm")</f>
        <v>octobre</v>
      </c>
    </row>
    <row r="974" spans="1:20" x14ac:dyDescent="0.35">
      <c r="A974" t="s">
        <v>1910</v>
      </c>
      <c r="B974" s="2">
        <v>46282</v>
      </c>
      <c r="C974" t="s">
        <v>446</v>
      </c>
      <c r="D974" t="s">
        <v>127</v>
      </c>
      <c r="E974" t="s">
        <v>18</v>
      </c>
      <c r="F974" t="s">
        <v>18</v>
      </c>
      <c r="G974" t="s">
        <v>34</v>
      </c>
      <c r="H974" t="s">
        <v>95</v>
      </c>
      <c r="I974">
        <v>8</v>
      </c>
      <c r="J974">
        <v>427500</v>
      </c>
      <c r="K974">
        <v>370000</v>
      </c>
      <c r="L974" t="s">
        <v>73</v>
      </c>
      <c r="M974" t="s">
        <v>51</v>
      </c>
      <c r="N974" t="s">
        <v>52</v>
      </c>
      <c r="O974" t="s">
        <v>45</v>
      </c>
      <c r="P974">
        <f>Tableau1_2[[#This Row],[Quantité]]*Tableau1_2[[#This Row],[Prix_Unitaire]]</f>
        <v>3420000</v>
      </c>
      <c r="Q974">
        <f>Tableau1_2[[#This Row],[Quantité]]*Tableau1_2[[#This Row],[Coût_Unitaire]]</f>
        <v>2960000</v>
      </c>
      <c r="R974">
        <f>Tableau1_2[[#This Row],[CA]]-Tableau1_2[[#This Row],[Cout Total]]</f>
        <v>460000</v>
      </c>
      <c r="S974" s="4">
        <f>Tableau1_2[[#This Row],[Marge]]/Tableau1_2[[#This Row],[CA]]</f>
        <v>0.13450292397660818</v>
      </c>
      <c r="T974" t="str">
        <f>TEXT(Tableau1_2[[#This Row],[Date]],"mmmm")</f>
        <v>septembre</v>
      </c>
    </row>
    <row r="975" spans="1:20" x14ac:dyDescent="0.35">
      <c r="A975" t="s">
        <v>1911</v>
      </c>
      <c r="B975" s="2">
        <v>46258</v>
      </c>
      <c r="C975" t="s">
        <v>945</v>
      </c>
      <c r="D975" t="s">
        <v>1691</v>
      </c>
      <c r="E975" t="s">
        <v>18</v>
      </c>
      <c r="F975" t="s">
        <v>18</v>
      </c>
      <c r="G975" t="s">
        <v>34</v>
      </c>
      <c r="H975" t="s">
        <v>95</v>
      </c>
      <c r="I975">
        <v>4</v>
      </c>
      <c r="J975">
        <v>450000</v>
      </c>
      <c r="K975">
        <v>370000</v>
      </c>
      <c r="L975" t="s">
        <v>80</v>
      </c>
      <c r="M975" t="s">
        <v>51</v>
      </c>
      <c r="N975" t="s">
        <v>87</v>
      </c>
      <c r="O975" t="s">
        <v>24</v>
      </c>
      <c r="P975">
        <f>Tableau1_2[[#This Row],[Quantité]]*Tableau1_2[[#This Row],[Prix_Unitaire]]</f>
        <v>1800000</v>
      </c>
      <c r="Q975">
        <f>Tableau1_2[[#This Row],[Quantité]]*Tableau1_2[[#This Row],[Coût_Unitaire]]</f>
        <v>1480000</v>
      </c>
      <c r="R975">
        <f>Tableau1_2[[#This Row],[CA]]-Tableau1_2[[#This Row],[Cout Total]]</f>
        <v>320000</v>
      </c>
      <c r="S975" s="4">
        <f>Tableau1_2[[#This Row],[Marge]]/Tableau1_2[[#This Row],[CA]]</f>
        <v>0.17777777777777778</v>
      </c>
      <c r="T975" t="str">
        <f>TEXT(Tableau1_2[[#This Row],[Date]],"mmmm")</f>
        <v>août</v>
      </c>
    </row>
    <row r="976" spans="1:20" x14ac:dyDescent="0.35">
      <c r="A976" t="s">
        <v>1912</v>
      </c>
      <c r="B976" s="2">
        <v>46265</v>
      </c>
      <c r="C976" t="s">
        <v>1693</v>
      </c>
      <c r="D976" t="s">
        <v>1913</v>
      </c>
      <c r="E976" t="s">
        <v>56</v>
      </c>
      <c r="F976" t="s">
        <v>57</v>
      </c>
      <c r="G976" t="s">
        <v>43</v>
      </c>
      <c r="H976" t="s">
        <v>44</v>
      </c>
      <c r="I976">
        <v>10</v>
      </c>
      <c r="J976">
        <v>15800</v>
      </c>
      <c r="K976">
        <v>9800</v>
      </c>
      <c r="L976" t="s">
        <v>73</v>
      </c>
      <c r="M976" t="s">
        <v>37</v>
      </c>
      <c r="N976" t="s">
        <v>23</v>
      </c>
      <c r="O976" t="s">
        <v>24</v>
      </c>
      <c r="P976">
        <f>Tableau1_2[[#This Row],[Quantité]]*Tableau1_2[[#This Row],[Prix_Unitaire]]</f>
        <v>158000</v>
      </c>
      <c r="Q976">
        <f>Tableau1_2[[#This Row],[Quantité]]*Tableau1_2[[#This Row],[Coût_Unitaire]]</f>
        <v>98000</v>
      </c>
      <c r="R976">
        <f>Tableau1_2[[#This Row],[CA]]-Tableau1_2[[#This Row],[Cout Total]]</f>
        <v>60000</v>
      </c>
      <c r="S976" s="4">
        <f>Tableau1_2[[#This Row],[Marge]]/Tableau1_2[[#This Row],[CA]]</f>
        <v>0.379746835443038</v>
      </c>
      <c r="T976" t="str">
        <f>TEXT(Tableau1_2[[#This Row],[Date]],"mmmm")</f>
        <v>août</v>
      </c>
    </row>
    <row r="977" spans="1:20" x14ac:dyDescent="0.35">
      <c r="A977" t="s">
        <v>1914</v>
      </c>
      <c r="B977" s="2">
        <v>46100</v>
      </c>
      <c r="C977" t="s">
        <v>1565</v>
      </c>
      <c r="D977" t="s">
        <v>200</v>
      </c>
      <c r="E977" t="s">
        <v>84</v>
      </c>
      <c r="F977" t="s">
        <v>85</v>
      </c>
      <c r="G977" t="s">
        <v>19</v>
      </c>
      <c r="H977" t="s">
        <v>61</v>
      </c>
      <c r="I977">
        <v>5</v>
      </c>
      <c r="J977">
        <v>220000</v>
      </c>
      <c r="K977">
        <v>155200</v>
      </c>
      <c r="L977" t="s">
        <v>30</v>
      </c>
      <c r="M977" t="s">
        <v>51</v>
      </c>
      <c r="N977" t="s">
        <v>52</v>
      </c>
      <c r="O977" t="s">
        <v>24</v>
      </c>
      <c r="P977">
        <f>Tableau1_2[[#This Row],[Quantité]]*Tableau1_2[[#This Row],[Prix_Unitaire]]</f>
        <v>1100000</v>
      </c>
      <c r="Q977">
        <f>Tableau1_2[[#This Row],[Quantité]]*Tableau1_2[[#This Row],[Coût_Unitaire]]</f>
        <v>776000</v>
      </c>
      <c r="R977">
        <f>Tableau1_2[[#This Row],[CA]]-Tableau1_2[[#This Row],[Cout Total]]</f>
        <v>324000</v>
      </c>
      <c r="S977" s="4">
        <f>Tableau1_2[[#This Row],[Marge]]/Tableau1_2[[#This Row],[CA]]</f>
        <v>0.29454545454545455</v>
      </c>
      <c r="T977" t="str">
        <f>TEXT(Tableau1_2[[#This Row],[Date]],"mmmm")</f>
        <v>mars</v>
      </c>
    </row>
    <row r="978" spans="1:20" x14ac:dyDescent="0.35">
      <c r="A978" t="s">
        <v>1915</v>
      </c>
      <c r="B978" s="2">
        <v>46124</v>
      </c>
      <c r="C978" t="s">
        <v>308</v>
      </c>
      <c r="D978" t="s">
        <v>1288</v>
      </c>
      <c r="E978" t="s">
        <v>156</v>
      </c>
      <c r="F978" t="s">
        <v>157</v>
      </c>
      <c r="G978" t="s">
        <v>34</v>
      </c>
      <c r="H978" t="s">
        <v>95</v>
      </c>
      <c r="I978">
        <v>8</v>
      </c>
      <c r="J978">
        <v>450000</v>
      </c>
      <c r="K978">
        <v>381100</v>
      </c>
      <c r="L978" t="s">
        <v>30</v>
      </c>
      <c r="M978" t="s">
        <v>37</v>
      </c>
      <c r="N978" t="s">
        <v>23</v>
      </c>
      <c r="O978" t="s">
        <v>24</v>
      </c>
      <c r="P978">
        <f>Tableau1_2[[#This Row],[Quantité]]*Tableau1_2[[#This Row],[Prix_Unitaire]]</f>
        <v>3600000</v>
      </c>
      <c r="Q978">
        <f>Tableau1_2[[#This Row],[Quantité]]*Tableau1_2[[#This Row],[Coût_Unitaire]]</f>
        <v>3048800</v>
      </c>
      <c r="R978">
        <f>Tableau1_2[[#This Row],[CA]]-Tableau1_2[[#This Row],[Cout Total]]</f>
        <v>551200</v>
      </c>
      <c r="S978" s="4">
        <f>Tableau1_2[[#This Row],[Marge]]/Tableau1_2[[#This Row],[CA]]</f>
        <v>0.15311111111111111</v>
      </c>
      <c r="T978" t="str">
        <f>TEXT(Tableau1_2[[#This Row],[Date]],"mmmm")</f>
        <v>avril</v>
      </c>
    </row>
    <row r="979" spans="1:20" x14ac:dyDescent="0.35">
      <c r="A979" t="s">
        <v>1916</v>
      </c>
      <c r="B979" s="2">
        <v>46058</v>
      </c>
      <c r="C979" t="s">
        <v>175</v>
      </c>
      <c r="D979" t="s">
        <v>1635</v>
      </c>
      <c r="E979" t="s">
        <v>156</v>
      </c>
      <c r="F979" t="s">
        <v>157</v>
      </c>
      <c r="G979" t="s">
        <v>34</v>
      </c>
      <c r="H979" t="s">
        <v>86</v>
      </c>
      <c r="I979">
        <v>9</v>
      </c>
      <c r="J979">
        <v>180000</v>
      </c>
      <c r="K979">
        <v>131000</v>
      </c>
      <c r="L979" t="s">
        <v>66</v>
      </c>
      <c r="M979" t="s">
        <v>37</v>
      </c>
      <c r="N979" t="s">
        <v>23</v>
      </c>
      <c r="O979" t="s">
        <v>24</v>
      </c>
      <c r="P979">
        <f>Tableau1_2[[#This Row],[Quantité]]*Tableau1_2[[#This Row],[Prix_Unitaire]]</f>
        <v>1620000</v>
      </c>
      <c r="Q979">
        <f>Tableau1_2[[#This Row],[Quantité]]*Tableau1_2[[#This Row],[Coût_Unitaire]]</f>
        <v>1179000</v>
      </c>
      <c r="R979">
        <f>Tableau1_2[[#This Row],[CA]]-Tableau1_2[[#This Row],[Cout Total]]</f>
        <v>441000</v>
      </c>
      <c r="S979" s="4">
        <f>Tableau1_2[[#This Row],[Marge]]/Tableau1_2[[#This Row],[CA]]</f>
        <v>0.2722222222222222</v>
      </c>
      <c r="T979" t="str">
        <f>TEXT(Tableau1_2[[#This Row],[Date]],"mmmm")</f>
        <v>février</v>
      </c>
    </row>
    <row r="980" spans="1:20" x14ac:dyDescent="0.35">
      <c r="A980" t="s">
        <v>1917</v>
      </c>
      <c r="B980" s="2">
        <v>46382</v>
      </c>
      <c r="C980" t="s">
        <v>1097</v>
      </c>
      <c r="D980" t="s">
        <v>1717</v>
      </c>
      <c r="E980" t="s">
        <v>190</v>
      </c>
      <c r="F980" t="s">
        <v>191</v>
      </c>
      <c r="G980" t="s">
        <v>19</v>
      </c>
      <c r="H980" t="s">
        <v>166</v>
      </c>
      <c r="I980">
        <v>4</v>
      </c>
      <c r="J980">
        <v>147000</v>
      </c>
      <c r="K980">
        <v>97000</v>
      </c>
      <c r="L980" t="s">
        <v>80</v>
      </c>
      <c r="M980" t="s">
        <v>37</v>
      </c>
      <c r="N980" t="s">
        <v>23</v>
      </c>
      <c r="O980" t="s">
        <v>24</v>
      </c>
      <c r="P980">
        <f>Tableau1_2[[#This Row],[Quantité]]*Tableau1_2[[#This Row],[Prix_Unitaire]]</f>
        <v>588000</v>
      </c>
      <c r="Q980">
        <f>Tableau1_2[[#This Row],[Quantité]]*Tableau1_2[[#This Row],[Coût_Unitaire]]</f>
        <v>388000</v>
      </c>
      <c r="R980">
        <f>Tableau1_2[[#This Row],[CA]]-Tableau1_2[[#This Row],[Cout Total]]</f>
        <v>200000</v>
      </c>
      <c r="S980" s="4">
        <f>Tableau1_2[[#This Row],[Marge]]/Tableau1_2[[#This Row],[CA]]</f>
        <v>0.3401360544217687</v>
      </c>
      <c r="T980" t="str">
        <f>TEXT(Tableau1_2[[#This Row],[Date]],"mmmm")</f>
        <v>décembre</v>
      </c>
    </row>
    <row r="981" spans="1:20" x14ac:dyDescent="0.35">
      <c r="A981" t="s">
        <v>1918</v>
      </c>
      <c r="B981" s="2">
        <v>46188</v>
      </c>
      <c r="C981" t="s">
        <v>478</v>
      </c>
      <c r="D981" t="s">
        <v>878</v>
      </c>
      <c r="E981" t="s">
        <v>41</v>
      </c>
      <c r="F981" t="s">
        <v>42</v>
      </c>
      <c r="G981" t="s">
        <v>34</v>
      </c>
      <c r="H981" t="s">
        <v>35</v>
      </c>
      <c r="I981">
        <v>3</v>
      </c>
      <c r="J981">
        <v>52200</v>
      </c>
      <c r="K981">
        <v>39000</v>
      </c>
      <c r="L981" t="s">
        <v>36</v>
      </c>
      <c r="M981" t="s">
        <v>31</v>
      </c>
      <c r="N981" t="s">
        <v>23</v>
      </c>
      <c r="O981" t="s">
        <v>91</v>
      </c>
      <c r="P981">
        <f>Tableau1_2[[#This Row],[Quantité]]*Tableau1_2[[#This Row],[Prix_Unitaire]]</f>
        <v>156600</v>
      </c>
      <c r="Q981">
        <f>Tableau1_2[[#This Row],[Quantité]]*Tableau1_2[[#This Row],[Coût_Unitaire]]</f>
        <v>117000</v>
      </c>
      <c r="R981">
        <f>Tableau1_2[[#This Row],[CA]]-Tableau1_2[[#This Row],[Cout Total]]</f>
        <v>39600</v>
      </c>
      <c r="S981" s="4">
        <f>Tableau1_2[[#This Row],[Marge]]/Tableau1_2[[#This Row],[CA]]</f>
        <v>0.25287356321839083</v>
      </c>
      <c r="T981" t="str">
        <f>TEXT(Tableau1_2[[#This Row],[Date]],"mmmm")</f>
        <v>juin</v>
      </c>
    </row>
    <row r="982" spans="1:20" x14ac:dyDescent="0.35">
      <c r="A982" t="s">
        <v>1919</v>
      </c>
      <c r="B982" s="2">
        <v>46176</v>
      </c>
      <c r="C982" t="s">
        <v>600</v>
      </c>
      <c r="D982" t="s">
        <v>672</v>
      </c>
      <c r="E982" t="s">
        <v>190</v>
      </c>
      <c r="F982" t="s">
        <v>191</v>
      </c>
      <c r="G982" t="s">
        <v>34</v>
      </c>
      <c r="H982" t="s">
        <v>158</v>
      </c>
      <c r="I982">
        <v>2</v>
      </c>
      <c r="J982">
        <v>95000</v>
      </c>
      <c r="K982">
        <v>67900</v>
      </c>
      <c r="L982" t="s">
        <v>30</v>
      </c>
      <c r="M982" t="s">
        <v>22</v>
      </c>
      <c r="N982" t="s">
        <v>23</v>
      </c>
      <c r="O982" t="s">
        <v>45</v>
      </c>
      <c r="P982">
        <f>Tableau1_2[[#This Row],[Quantité]]*Tableau1_2[[#This Row],[Prix_Unitaire]]</f>
        <v>190000</v>
      </c>
      <c r="Q982">
        <f>Tableau1_2[[#This Row],[Quantité]]*Tableau1_2[[#This Row],[Coût_Unitaire]]</f>
        <v>135800</v>
      </c>
      <c r="R982">
        <f>Tableau1_2[[#This Row],[CA]]-Tableau1_2[[#This Row],[Cout Total]]</f>
        <v>54200</v>
      </c>
      <c r="S982" s="4">
        <f>Tableau1_2[[#This Row],[Marge]]/Tableau1_2[[#This Row],[CA]]</f>
        <v>0.28526315789473683</v>
      </c>
      <c r="T982" t="str">
        <f>TEXT(Tableau1_2[[#This Row],[Date]],"mmmm")</f>
        <v>juin</v>
      </c>
    </row>
    <row r="983" spans="1:20" x14ac:dyDescent="0.35">
      <c r="A983" t="s">
        <v>1920</v>
      </c>
      <c r="B983" s="2">
        <v>46298</v>
      </c>
      <c r="C983" t="s">
        <v>240</v>
      </c>
      <c r="D983" t="s">
        <v>1921</v>
      </c>
      <c r="E983" t="s">
        <v>18</v>
      </c>
      <c r="F983" t="s">
        <v>18</v>
      </c>
      <c r="G983" t="s">
        <v>28</v>
      </c>
      <c r="H983" t="s">
        <v>65</v>
      </c>
      <c r="I983">
        <v>1</v>
      </c>
      <c r="J983">
        <v>12600</v>
      </c>
      <c r="K983">
        <v>7300</v>
      </c>
      <c r="L983" t="s">
        <v>80</v>
      </c>
      <c r="M983" t="s">
        <v>37</v>
      </c>
      <c r="N983" t="s">
        <v>87</v>
      </c>
      <c r="O983" t="s">
        <v>91</v>
      </c>
      <c r="P983">
        <f>Tableau1_2[[#This Row],[Quantité]]*Tableau1_2[[#This Row],[Prix_Unitaire]]</f>
        <v>12600</v>
      </c>
      <c r="Q983">
        <f>Tableau1_2[[#This Row],[Quantité]]*Tableau1_2[[#This Row],[Coût_Unitaire]]</f>
        <v>7300</v>
      </c>
      <c r="R983">
        <f>Tableau1_2[[#This Row],[CA]]-Tableau1_2[[#This Row],[Cout Total]]</f>
        <v>5300</v>
      </c>
      <c r="S983" s="4">
        <f>Tableau1_2[[#This Row],[Marge]]/Tableau1_2[[#This Row],[CA]]</f>
        <v>0.42063492063492064</v>
      </c>
      <c r="T983" t="str">
        <f>TEXT(Tableau1_2[[#This Row],[Date]],"mmmm")</f>
        <v>octobre</v>
      </c>
    </row>
    <row r="984" spans="1:20" x14ac:dyDescent="0.35">
      <c r="A984" t="s">
        <v>1922</v>
      </c>
      <c r="B984" s="2">
        <v>46306</v>
      </c>
      <c r="C984" t="s">
        <v>222</v>
      </c>
      <c r="D984" t="s">
        <v>1923</v>
      </c>
      <c r="E984" t="s">
        <v>41</v>
      </c>
      <c r="F984" t="s">
        <v>42</v>
      </c>
      <c r="G984" t="s">
        <v>28</v>
      </c>
      <c r="H984" t="s">
        <v>248</v>
      </c>
      <c r="I984">
        <v>4</v>
      </c>
      <c r="J984">
        <v>23800</v>
      </c>
      <c r="K984">
        <v>16500</v>
      </c>
      <c r="L984" t="s">
        <v>96</v>
      </c>
      <c r="M984" t="s">
        <v>37</v>
      </c>
      <c r="N984" t="s">
        <v>52</v>
      </c>
      <c r="O984" t="s">
        <v>24</v>
      </c>
      <c r="P984">
        <f>Tableau1_2[[#This Row],[Quantité]]*Tableau1_2[[#This Row],[Prix_Unitaire]]</f>
        <v>95200</v>
      </c>
      <c r="Q984">
        <f>Tableau1_2[[#This Row],[Quantité]]*Tableau1_2[[#This Row],[Coût_Unitaire]]</f>
        <v>66000</v>
      </c>
      <c r="R984">
        <f>Tableau1_2[[#This Row],[CA]]-Tableau1_2[[#This Row],[Cout Total]]</f>
        <v>29200</v>
      </c>
      <c r="S984" s="4">
        <f>Tableau1_2[[#This Row],[Marge]]/Tableau1_2[[#This Row],[CA]]</f>
        <v>0.30672268907563027</v>
      </c>
      <c r="T984" t="str">
        <f>TEXT(Tableau1_2[[#This Row],[Date]],"mmmm")</f>
        <v>octobre</v>
      </c>
    </row>
    <row r="985" spans="1:20" x14ac:dyDescent="0.35">
      <c r="A985" t="s">
        <v>1924</v>
      </c>
      <c r="B985" s="2">
        <v>46355</v>
      </c>
      <c r="C985" t="s">
        <v>1170</v>
      </c>
      <c r="D985" t="s">
        <v>238</v>
      </c>
      <c r="E985" t="s">
        <v>70</v>
      </c>
      <c r="F985" t="s">
        <v>71</v>
      </c>
      <c r="G985" t="s">
        <v>19</v>
      </c>
      <c r="H985" t="s">
        <v>20</v>
      </c>
      <c r="I985">
        <v>3</v>
      </c>
      <c r="J985">
        <v>65000</v>
      </c>
      <c r="K985">
        <v>46400</v>
      </c>
      <c r="L985" t="s">
        <v>73</v>
      </c>
      <c r="M985" t="s">
        <v>37</v>
      </c>
      <c r="N985" t="s">
        <v>23</v>
      </c>
      <c r="O985" t="s">
        <v>24</v>
      </c>
      <c r="P985">
        <f>Tableau1_2[[#This Row],[Quantité]]*Tableau1_2[[#This Row],[Prix_Unitaire]]</f>
        <v>195000</v>
      </c>
      <c r="Q985">
        <f>Tableau1_2[[#This Row],[Quantité]]*Tableau1_2[[#This Row],[Coût_Unitaire]]</f>
        <v>139200</v>
      </c>
      <c r="R985">
        <f>Tableau1_2[[#This Row],[CA]]-Tableau1_2[[#This Row],[Cout Total]]</f>
        <v>55800</v>
      </c>
      <c r="S985" s="4">
        <f>Tableau1_2[[#This Row],[Marge]]/Tableau1_2[[#This Row],[CA]]</f>
        <v>0.28615384615384615</v>
      </c>
      <c r="T985" t="str">
        <f>TEXT(Tableau1_2[[#This Row],[Date]],"mmmm")</f>
        <v>novembre</v>
      </c>
    </row>
    <row r="986" spans="1:20" x14ac:dyDescent="0.35">
      <c r="A986" t="s">
        <v>1925</v>
      </c>
      <c r="B986" s="2">
        <v>46299</v>
      </c>
      <c r="C986" t="s">
        <v>1926</v>
      </c>
      <c r="D986" t="s">
        <v>1927</v>
      </c>
      <c r="E986" t="s">
        <v>77</v>
      </c>
      <c r="F986" t="s">
        <v>78</v>
      </c>
      <c r="G986" t="s">
        <v>34</v>
      </c>
      <c r="H986" t="s">
        <v>95</v>
      </c>
      <c r="I986">
        <v>8</v>
      </c>
      <c r="J986">
        <v>450000</v>
      </c>
      <c r="K986">
        <v>381100</v>
      </c>
      <c r="L986" t="s">
        <v>80</v>
      </c>
      <c r="M986" t="s">
        <v>51</v>
      </c>
      <c r="N986" t="s">
        <v>23</v>
      </c>
      <c r="O986" t="s">
        <v>24</v>
      </c>
      <c r="P986">
        <f>Tableau1_2[[#This Row],[Quantité]]*Tableau1_2[[#This Row],[Prix_Unitaire]]</f>
        <v>3600000</v>
      </c>
      <c r="Q986">
        <f>Tableau1_2[[#This Row],[Quantité]]*Tableau1_2[[#This Row],[Coût_Unitaire]]</f>
        <v>3048800</v>
      </c>
      <c r="R986">
        <f>Tableau1_2[[#This Row],[CA]]-Tableau1_2[[#This Row],[Cout Total]]</f>
        <v>551200</v>
      </c>
      <c r="S986" s="4">
        <f>Tableau1_2[[#This Row],[Marge]]/Tableau1_2[[#This Row],[CA]]</f>
        <v>0.15311111111111111</v>
      </c>
      <c r="T986" t="str">
        <f>TEXT(Tableau1_2[[#This Row],[Date]],"mmmm")</f>
        <v>octobre</v>
      </c>
    </row>
    <row r="987" spans="1:20" x14ac:dyDescent="0.35">
      <c r="A987" t="s">
        <v>1928</v>
      </c>
      <c r="B987" s="2">
        <v>46098</v>
      </c>
      <c r="C987" t="s">
        <v>54</v>
      </c>
      <c r="D987" t="s">
        <v>1412</v>
      </c>
      <c r="E987" t="s">
        <v>18</v>
      </c>
      <c r="F987" t="s">
        <v>18</v>
      </c>
      <c r="G987" t="s">
        <v>34</v>
      </c>
      <c r="H987" t="s">
        <v>141</v>
      </c>
      <c r="I987">
        <v>6</v>
      </c>
      <c r="J987">
        <v>168000</v>
      </c>
      <c r="K987">
        <v>120000</v>
      </c>
      <c r="L987" t="s">
        <v>21</v>
      </c>
      <c r="M987" t="s">
        <v>22</v>
      </c>
      <c r="N987" t="s">
        <v>52</v>
      </c>
      <c r="O987" t="s">
        <v>91</v>
      </c>
      <c r="P987">
        <f>Tableau1_2[[#This Row],[Quantité]]*Tableau1_2[[#This Row],[Prix_Unitaire]]</f>
        <v>1008000</v>
      </c>
      <c r="Q987">
        <f>Tableau1_2[[#This Row],[Quantité]]*Tableau1_2[[#This Row],[Coût_Unitaire]]</f>
        <v>720000</v>
      </c>
      <c r="R987">
        <f>Tableau1_2[[#This Row],[CA]]-Tableau1_2[[#This Row],[Cout Total]]</f>
        <v>288000</v>
      </c>
      <c r="S987" s="4">
        <f>Tableau1_2[[#This Row],[Marge]]/Tableau1_2[[#This Row],[CA]]</f>
        <v>0.2857142857142857</v>
      </c>
      <c r="T987" t="str">
        <f>TEXT(Tableau1_2[[#This Row],[Date]],"mmmm")</f>
        <v>mars</v>
      </c>
    </row>
    <row r="988" spans="1:20" x14ac:dyDescent="0.35">
      <c r="A988" t="s">
        <v>1929</v>
      </c>
      <c r="B988" s="2">
        <v>46364</v>
      </c>
      <c r="C988" t="s">
        <v>1501</v>
      </c>
      <c r="D988" t="s">
        <v>516</v>
      </c>
      <c r="E988" t="s">
        <v>18</v>
      </c>
      <c r="F988" t="s">
        <v>18</v>
      </c>
      <c r="G988" t="s">
        <v>43</v>
      </c>
      <c r="H988" t="s">
        <v>44</v>
      </c>
      <c r="I988">
        <v>7</v>
      </c>
      <c r="J988">
        <v>15000</v>
      </c>
      <c r="K988">
        <v>9200</v>
      </c>
      <c r="L988" t="s">
        <v>30</v>
      </c>
      <c r="M988" t="s">
        <v>22</v>
      </c>
      <c r="N988" t="s">
        <v>23</v>
      </c>
      <c r="O988" t="s">
        <v>24</v>
      </c>
      <c r="P988">
        <f>Tableau1_2[[#This Row],[Quantité]]*Tableau1_2[[#This Row],[Prix_Unitaire]]</f>
        <v>105000</v>
      </c>
      <c r="Q988">
        <f>Tableau1_2[[#This Row],[Quantité]]*Tableau1_2[[#This Row],[Coût_Unitaire]]</f>
        <v>64400</v>
      </c>
      <c r="R988">
        <f>Tableau1_2[[#This Row],[CA]]-Tableau1_2[[#This Row],[Cout Total]]</f>
        <v>40600</v>
      </c>
      <c r="S988" s="4">
        <f>Tableau1_2[[#This Row],[Marge]]/Tableau1_2[[#This Row],[CA]]</f>
        <v>0.38666666666666666</v>
      </c>
      <c r="T988" t="str">
        <f>TEXT(Tableau1_2[[#This Row],[Date]],"mmmm")</f>
        <v>décembre</v>
      </c>
    </row>
    <row r="989" spans="1:20" x14ac:dyDescent="0.35">
      <c r="A989" t="s">
        <v>1930</v>
      </c>
      <c r="B989" s="2">
        <v>46175</v>
      </c>
      <c r="C989" t="s">
        <v>892</v>
      </c>
      <c r="D989" t="s">
        <v>403</v>
      </c>
      <c r="E989" t="s">
        <v>190</v>
      </c>
      <c r="F989" t="s">
        <v>191</v>
      </c>
      <c r="G989" t="s">
        <v>28</v>
      </c>
      <c r="H989" t="s">
        <v>248</v>
      </c>
      <c r="I989">
        <v>8</v>
      </c>
      <c r="J989">
        <v>26200</v>
      </c>
      <c r="K989">
        <v>16000</v>
      </c>
      <c r="L989" t="s">
        <v>96</v>
      </c>
      <c r="M989" t="s">
        <v>37</v>
      </c>
      <c r="N989" t="s">
        <v>23</v>
      </c>
      <c r="O989" t="s">
        <v>24</v>
      </c>
      <c r="P989">
        <f>Tableau1_2[[#This Row],[Quantité]]*Tableau1_2[[#This Row],[Prix_Unitaire]]</f>
        <v>209600</v>
      </c>
      <c r="Q989">
        <f>Tableau1_2[[#This Row],[Quantité]]*Tableau1_2[[#This Row],[Coût_Unitaire]]</f>
        <v>128000</v>
      </c>
      <c r="R989">
        <f>Tableau1_2[[#This Row],[CA]]-Tableau1_2[[#This Row],[Cout Total]]</f>
        <v>81600</v>
      </c>
      <c r="S989" s="4">
        <f>Tableau1_2[[#This Row],[Marge]]/Tableau1_2[[#This Row],[CA]]</f>
        <v>0.38931297709923662</v>
      </c>
      <c r="T989" t="str">
        <f>TEXT(Tableau1_2[[#This Row],[Date]],"mmmm")</f>
        <v>juin</v>
      </c>
    </row>
    <row r="990" spans="1:20" x14ac:dyDescent="0.35">
      <c r="A990" t="s">
        <v>1931</v>
      </c>
      <c r="B990" s="2">
        <v>46284</v>
      </c>
      <c r="C990" t="s">
        <v>1932</v>
      </c>
      <c r="D990" t="s">
        <v>984</v>
      </c>
      <c r="E990" t="s">
        <v>18</v>
      </c>
      <c r="F990" t="s">
        <v>18</v>
      </c>
      <c r="G990" t="s">
        <v>34</v>
      </c>
      <c r="H990" t="s">
        <v>95</v>
      </c>
      <c r="I990">
        <v>4</v>
      </c>
      <c r="J990">
        <v>450000</v>
      </c>
      <c r="K990">
        <v>381100</v>
      </c>
      <c r="L990" t="s">
        <v>66</v>
      </c>
      <c r="M990" t="s">
        <v>51</v>
      </c>
      <c r="N990" t="s">
        <v>23</v>
      </c>
      <c r="O990" t="s">
        <v>24</v>
      </c>
      <c r="P990">
        <f>Tableau1_2[[#This Row],[Quantité]]*Tableau1_2[[#This Row],[Prix_Unitaire]]</f>
        <v>1800000</v>
      </c>
      <c r="Q990">
        <f>Tableau1_2[[#This Row],[Quantité]]*Tableau1_2[[#This Row],[Coût_Unitaire]]</f>
        <v>1524400</v>
      </c>
      <c r="R990">
        <f>Tableau1_2[[#This Row],[CA]]-Tableau1_2[[#This Row],[Cout Total]]</f>
        <v>275600</v>
      </c>
      <c r="S990" s="4">
        <f>Tableau1_2[[#This Row],[Marge]]/Tableau1_2[[#This Row],[CA]]</f>
        <v>0.15311111111111111</v>
      </c>
      <c r="T990" t="str">
        <f>TEXT(Tableau1_2[[#This Row],[Date]],"mmmm")</f>
        <v>septembre</v>
      </c>
    </row>
    <row r="991" spans="1:20" x14ac:dyDescent="0.35">
      <c r="A991" t="s">
        <v>1933</v>
      </c>
      <c r="B991" s="2">
        <v>46370</v>
      </c>
      <c r="C991" t="s">
        <v>316</v>
      </c>
      <c r="D991" t="s">
        <v>294</v>
      </c>
      <c r="E991" t="s">
        <v>156</v>
      </c>
      <c r="F991" t="s">
        <v>157</v>
      </c>
      <c r="G991" t="s">
        <v>34</v>
      </c>
      <c r="H991" t="s">
        <v>95</v>
      </c>
      <c r="I991">
        <v>3</v>
      </c>
      <c r="J991">
        <v>450000</v>
      </c>
      <c r="K991">
        <v>381100</v>
      </c>
      <c r="L991" t="s">
        <v>80</v>
      </c>
      <c r="M991" t="s">
        <v>31</v>
      </c>
      <c r="N991" t="s">
        <v>52</v>
      </c>
      <c r="O991" t="s">
        <v>24</v>
      </c>
      <c r="P991">
        <f>Tableau1_2[[#This Row],[Quantité]]*Tableau1_2[[#This Row],[Prix_Unitaire]]</f>
        <v>1350000</v>
      </c>
      <c r="Q991">
        <f>Tableau1_2[[#This Row],[Quantité]]*Tableau1_2[[#This Row],[Coût_Unitaire]]</f>
        <v>1143300</v>
      </c>
      <c r="R991">
        <f>Tableau1_2[[#This Row],[CA]]-Tableau1_2[[#This Row],[Cout Total]]</f>
        <v>206700</v>
      </c>
      <c r="S991" s="4">
        <f>Tableau1_2[[#This Row],[Marge]]/Tableau1_2[[#This Row],[CA]]</f>
        <v>0.15311111111111111</v>
      </c>
      <c r="T991" t="str">
        <f>TEXT(Tableau1_2[[#This Row],[Date]],"mmmm")</f>
        <v>décembre</v>
      </c>
    </row>
    <row r="992" spans="1:20" x14ac:dyDescent="0.35">
      <c r="A992" t="s">
        <v>1934</v>
      </c>
      <c r="B992" s="2">
        <v>46256</v>
      </c>
      <c r="C992" t="s">
        <v>323</v>
      </c>
      <c r="D992" t="s">
        <v>546</v>
      </c>
      <c r="E992" t="s">
        <v>84</v>
      </c>
      <c r="F992" t="s">
        <v>85</v>
      </c>
      <c r="G992" t="s">
        <v>19</v>
      </c>
      <c r="H992" t="s">
        <v>166</v>
      </c>
      <c r="I992">
        <v>1</v>
      </c>
      <c r="J992">
        <v>147000</v>
      </c>
      <c r="K992">
        <v>103000</v>
      </c>
      <c r="L992" t="s">
        <v>73</v>
      </c>
      <c r="M992" t="s">
        <v>31</v>
      </c>
      <c r="N992" t="s">
        <v>23</v>
      </c>
      <c r="O992" t="s">
        <v>24</v>
      </c>
      <c r="P992">
        <f>Tableau1_2[[#This Row],[Quantité]]*Tableau1_2[[#This Row],[Prix_Unitaire]]</f>
        <v>147000</v>
      </c>
      <c r="Q992">
        <f>Tableau1_2[[#This Row],[Quantité]]*Tableau1_2[[#This Row],[Coût_Unitaire]]</f>
        <v>103000</v>
      </c>
      <c r="R992">
        <f>Tableau1_2[[#This Row],[CA]]-Tableau1_2[[#This Row],[Cout Total]]</f>
        <v>44000</v>
      </c>
      <c r="S992" s="4">
        <f>Tableau1_2[[#This Row],[Marge]]/Tableau1_2[[#This Row],[CA]]</f>
        <v>0.29931972789115646</v>
      </c>
      <c r="T992" t="str">
        <f>TEXT(Tableau1_2[[#This Row],[Date]],"mmmm")</f>
        <v>août</v>
      </c>
    </row>
    <row r="993" spans="1:20" x14ac:dyDescent="0.35">
      <c r="A993" t="s">
        <v>1935</v>
      </c>
      <c r="B993" s="2">
        <v>46371</v>
      </c>
      <c r="C993" t="s">
        <v>1081</v>
      </c>
      <c r="D993" t="s">
        <v>1936</v>
      </c>
      <c r="E993" t="s">
        <v>18</v>
      </c>
      <c r="F993" t="s">
        <v>18</v>
      </c>
      <c r="G993" t="s">
        <v>34</v>
      </c>
      <c r="H993" t="s">
        <v>35</v>
      </c>
      <c r="I993">
        <v>7</v>
      </c>
      <c r="J993">
        <v>55000</v>
      </c>
      <c r="K993">
        <v>40200</v>
      </c>
      <c r="L993" t="s">
        <v>21</v>
      </c>
      <c r="M993" t="s">
        <v>22</v>
      </c>
      <c r="N993" t="s">
        <v>23</v>
      </c>
      <c r="O993" t="s">
        <v>24</v>
      </c>
      <c r="P993">
        <f>Tableau1_2[[#This Row],[Quantité]]*Tableau1_2[[#This Row],[Prix_Unitaire]]</f>
        <v>385000</v>
      </c>
      <c r="Q993">
        <f>Tableau1_2[[#This Row],[Quantité]]*Tableau1_2[[#This Row],[Coût_Unitaire]]</f>
        <v>281400</v>
      </c>
      <c r="R993">
        <f>Tableau1_2[[#This Row],[CA]]-Tableau1_2[[#This Row],[Cout Total]]</f>
        <v>103600</v>
      </c>
      <c r="S993" s="4">
        <f>Tableau1_2[[#This Row],[Marge]]/Tableau1_2[[#This Row],[CA]]</f>
        <v>0.2690909090909091</v>
      </c>
      <c r="T993" t="str">
        <f>TEXT(Tableau1_2[[#This Row],[Date]],"mmmm")</f>
        <v>décembre</v>
      </c>
    </row>
    <row r="994" spans="1:20" x14ac:dyDescent="0.35">
      <c r="A994" t="s">
        <v>1937</v>
      </c>
      <c r="B994" s="2">
        <v>46143</v>
      </c>
      <c r="C994" t="s">
        <v>1572</v>
      </c>
      <c r="D994" t="s">
        <v>115</v>
      </c>
      <c r="E994" t="s">
        <v>18</v>
      </c>
      <c r="F994" t="s">
        <v>18</v>
      </c>
      <c r="G994" t="s">
        <v>34</v>
      </c>
      <c r="H994" t="s">
        <v>95</v>
      </c>
      <c r="I994">
        <v>7</v>
      </c>
      <c r="J994">
        <v>427500</v>
      </c>
      <c r="K994">
        <v>381100</v>
      </c>
      <c r="L994" t="s">
        <v>50</v>
      </c>
      <c r="M994" t="s">
        <v>37</v>
      </c>
      <c r="N994" t="s">
        <v>23</v>
      </c>
      <c r="O994" t="s">
        <v>24</v>
      </c>
      <c r="P994">
        <f>Tableau1_2[[#This Row],[Quantité]]*Tableau1_2[[#This Row],[Prix_Unitaire]]</f>
        <v>2992500</v>
      </c>
      <c r="Q994">
        <f>Tableau1_2[[#This Row],[Quantité]]*Tableau1_2[[#This Row],[Coût_Unitaire]]</f>
        <v>2667700</v>
      </c>
      <c r="R994">
        <f>Tableau1_2[[#This Row],[CA]]-Tableau1_2[[#This Row],[Cout Total]]</f>
        <v>324800</v>
      </c>
      <c r="S994" s="4">
        <f>Tableau1_2[[#This Row],[Marge]]/Tableau1_2[[#This Row],[CA]]</f>
        <v>0.10853801169590643</v>
      </c>
      <c r="T994" t="str">
        <f>TEXT(Tableau1_2[[#This Row],[Date]],"mmmm")</f>
        <v>mai</v>
      </c>
    </row>
    <row r="995" spans="1:20" x14ac:dyDescent="0.35">
      <c r="A995" t="s">
        <v>1938</v>
      </c>
      <c r="B995" s="2">
        <v>46125</v>
      </c>
      <c r="C995" t="s">
        <v>370</v>
      </c>
      <c r="D995" t="s">
        <v>572</v>
      </c>
      <c r="E995" t="s">
        <v>84</v>
      </c>
      <c r="F995" t="s">
        <v>85</v>
      </c>
      <c r="G995" t="s">
        <v>43</v>
      </c>
      <c r="H995" t="s">
        <v>162</v>
      </c>
      <c r="I995">
        <v>2</v>
      </c>
      <c r="J995">
        <v>8000</v>
      </c>
      <c r="K995">
        <v>4800</v>
      </c>
      <c r="L995" t="s">
        <v>21</v>
      </c>
      <c r="M995" t="s">
        <v>37</v>
      </c>
      <c r="N995" t="s">
        <v>87</v>
      </c>
      <c r="O995" t="s">
        <v>24</v>
      </c>
      <c r="P995">
        <f>Tableau1_2[[#This Row],[Quantité]]*Tableau1_2[[#This Row],[Prix_Unitaire]]</f>
        <v>16000</v>
      </c>
      <c r="Q995">
        <f>Tableau1_2[[#This Row],[Quantité]]*Tableau1_2[[#This Row],[Coût_Unitaire]]</f>
        <v>9600</v>
      </c>
      <c r="R995">
        <f>Tableau1_2[[#This Row],[CA]]-Tableau1_2[[#This Row],[Cout Total]]</f>
        <v>6400</v>
      </c>
      <c r="S995" s="4">
        <f>Tableau1_2[[#This Row],[Marge]]/Tableau1_2[[#This Row],[CA]]</f>
        <v>0.4</v>
      </c>
      <c r="T995" t="str">
        <f>TEXT(Tableau1_2[[#This Row],[Date]],"mmmm")</f>
        <v>avril</v>
      </c>
    </row>
    <row r="996" spans="1:20" x14ac:dyDescent="0.35">
      <c r="A996" t="s">
        <v>1939</v>
      </c>
      <c r="B996" s="2">
        <v>46240</v>
      </c>
      <c r="C996" t="s">
        <v>532</v>
      </c>
      <c r="D996" t="s">
        <v>493</v>
      </c>
      <c r="E996" t="s">
        <v>18</v>
      </c>
      <c r="F996" t="s">
        <v>18</v>
      </c>
      <c r="G996" t="s">
        <v>43</v>
      </c>
      <c r="H996" t="s">
        <v>162</v>
      </c>
      <c r="I996">
        <v>6</v>
      </c>
      <c r="J996">
        <v>8000</v>
      </c>
      <c r="K996">
        <v>5000</v>
      </c>
      <c r="L996" t="s">
        <v>21</v>
      </c>
      <c r="M996" t="s">
        <v>51</v>
      </c>
      <c r="N996" t="s">
        <v>23</v>
      </c>
      <c r="O996" t="s">
        <v>91</v>
      </c>
      <c r="P996">
        <f>Tableau1_2[[#This Row],[Quantité]]*Tableau1_2[[#This Row],[Prix_Unitaire]]</f>
        <v>48000</v>
      </c>
      <c r="Q996">
        <f>Tableau1_2[[#This Row],[Quantité]]*Tableau1_2[[#This Row],[Coût_Unitaire]]</f>
        <v>30000</v>
      </c>
      <c r="R996">
        <f>Tableau1_2[[#This Row],[CA]]-Tableau1_2[[#This Row],[Cout Total]]</f>
        <v>18000</v>
      </c>
      <c r="S996" s="4">
        <f>Tableau1_2[[#This Row],[Marge]]/Tableau1_2[[#This Row],[CA]]</f>
        <v>0.375</v>
      </c>
      <c r="T996" t="str">
        <f>TEXT(Tableau1_2[[#This Row],[Date]],"mmmm")</f>
        <v>août</v>
      </c>
    </row>
    <row r="997" spans="1:20" x14ac:dyDescent="0.35">
      <c r="A997" t="s">
        <v>1940</v>
      </c>
      <c r="B997" s="2">
        <v>46194</v>
      </c>
      <c r="C997" t="s">
        <v>685</v>
      </c>
      <c r="D997" t="s">
        <v>184</v>
      </c>
      <c r="E997" t="s">
        <v>41</v>
      </c>
      <c r="F997" t="s">
        <v>42</v>
      </c>
      <c r="G997" t="s">
        <v>43</v>
      </c>
      <c r="H997" t="s">
        <v>177</v>
      </c>
      <c r="I997">
        <v>4</v>
      </c>
      <c r="J997">
        <v>18000</v>
      </c>
      <c r="K997">
        <v>12500</v>
      </c>
      <c r="L997" t="s">
        <v>30</v>
      </c>
      <c r="M997" t="s">
        <v>31</v>
      </c>
      <c r="N997" t="s">
        <v>52</v>
      </c>
      <c r="O997" t="s">
        <v>24</v>
      </c>
      <c r="P997">
        <f>Tableau1_2[[#This Row],[Quantité]]*Tableau1_2[[#This Row],[Prix_Unitaire]]</f>
        <v>72000</v>
      </c>
      <c r="Q997">
        <f>Tableau1_2[[#This Row],[Quantité]]*Tableau1_2[[#This Row],[Coût_Unitaire]]</f>
        <v>50000</v>
      </c>
      <c r="R997">
        <f>Tableau1_2[[#This Row],[CA]]-Tableau1_2[[#This Row],[Cout Total]]</f>
        <v>22000</v>
      </c>
      <c r="S997" s="4">
        <f>Tableau1_2[[#This Row],[Marge]]/Tableau1_2[[#This Row],[CA]]</f>
        <v>0.30555555555555558</v>
      </c>
      <c r="T997" t="str">
        <f>TEXT(Tableau1_2[[#This Row],[Date]],"mmmm")</f>
        <v>juin</v>
      </c>
    </row>
    <row r="998" spans="1:20" x14ac:dyDescent="0.35">
      <c r="A998" t="s">
        <v>1941</v>
      </c>
      <c r="B998" s="2">
        <v>46367</v>
      </c>
      <c r="C998" t="s">
        <v>886</v>
      </c>
      <c r="D998" t="s">
        <v>1942</v>
      </c>
      <c r="E998" t="s">
        <v>156</v>
      </c>
      <c r="F998" t="s">
        <v>157</v>
      </c>
      <c r="G998" t="s">
        <v>43</v>
      </c>
      <c r="H998" t="s">
        <v>44</v>
      </c>
      <c r="I998">
        <v>8</v>
      </c>
      <c r="J998">
        <v>14200</v>
      </c>
      <c r="K998">
        <v>9800</v>
      </c>
      <c r="L998" t="s">
        <v>66</v>
      </c>
      <c r="M998" t="s">
        <v>31</v>
      </c>
      <c r="N998" t="s">
        <v>23</v>
      </c>
      <c r="O998" t="s">
        <v>24</v>
      </c>
      <c r="P998">
        <f>Tableau1_2[[#This Row],[Quantité]]*Tableau1_2[[#This Row],[Prix_Unitaire]]</f>
        <v>113600</v>
      </c>
      <c r="Q998">
        <f>Tableau1_2[[#This Row],[Quantité]]*Tableau1_2[[#This Row],[Coût_Unitaire]]</f>
        <v>78400</v>
      </c>
      <c r="R998">
        <f>Tableau1_2[[#This Row],[CA]]-Tableau1_2[[#This Row],[Cout Total]]</f>
        <v>35200</v>
      </c>
      <c r="S998" s="4">
        <f>Tableau1_2[[#This Row],[Marge]]/Tableau1_2[[#This Row],[CA]]</f>
        <v>0.30985915492957744</v>
      </c>
      <c r="T998" t="str">
        <f>TEXT(Tableau1_2[[#This Row],[Date]],"mmmm")</f>
        <v>décembre</v>
      </c>
    </row>
    <row r="999" spans="1:20" x14ac:dyDescent="0.35">
      <c r="A999" t="s">
        <v>1943</v>
      </c>
      <c r="B999" s="2">
        <v>46366</v>
      </c>
      <c r="C999" t="s">
        <v>1112</v>
      </c>
      <c r="D999" t="s">
        <v>1202</v>
      </c>
      <c r="E999" t="s">
        <v>77</v>
      </c>
      <c r="F999" t="s">
        <v>78</v>
      </c>
      <c r="G999" t="s">
        <v>19</v>
      </c>
      <c r="H999" t="s">
        <v>61</v>
      </c>
      <c r="I999">
        <v>5</v>
      </c>
      <c r="J999">
        <v>231000</v>
      </c>
      <c r="K999">
        <v>164800</v>
      </c>
      <c r="L999" t="s">
        <v>80</v>
      </c>
      <c r="M999" t="s">
        <v>37</v>
      </c>
      <c r="N999" t="s">
        <v>52</v>
      </c>
      <c r="O999" t="s">
        <v>24</v>
      </c>
      <c r="P999">
        <f>Tableau1_2[[#This Row],[Quantité]]*Tableau1_2[[#This Row],[Prix_Unitaire]]</f>
        <v>1155000</v>
      </c>
      <c r="Q999">
        <f>Tableau1_2[[#This Row],[Quantité]]*Tableau1_2[[#This Row],[Coût_Unitaire]]</f>
        <v>824000</v>
      </c>
      <c r="R999">
        <f>Tableau1_2[[#This Row],[CA]]-Tableau1_2[[#This Row],[Cout Total]]</f>
        <v>331000</v>
      </c>
      <c r="S999" s="4">
        <f>Tableau1_2[[#This Row],[Marge]]/Tableau1_2[[#This Row],[CA]]</f>
        <v>0.2865800865800866</v>
      </c>
      <c r="T999" t="str">
        <f>TEXT(Tableau1_2[[#This Row],[Date]],"mmmm")</f>
        <v>décembre</v>
      </c>
    </row>
    <row r="1000" spans="1:20" x14ac:dyDescent="0.35">
      <c r="A1000" t="s">
        <v>1944</v>
      </c>
      <c r="B1000" s="2">
        <v>46219</v>
      </c>
      <c r="C1000" t="s">
        <v>1342</v>
      </c>
      <c r="D1000" t="s">
        <v>906</v>
      </c>
      <c r="E1000" t="s">
        <v>156</v>
      </c>
      <c r="F1000" t="s">
        <v>170</v>
      </c>
      <c r="G1000" t="s">
        <v>43</v>
      </c>
      <c r="H1000" t="s">
        <v>44</v>
      </c>
      <c r="I1000">
        <v>1</v>
      </c>
      <c r="J1000">
        <v>15800</v>
      </c>
      <c r="K1000">
        <v>9500</v>
      </c>
      <c r="L1000" t="s">
        <v>36</v>
      </c>
      <c r="M1000" t="s">
        <v>37</v>
      </c>
      <c r="N1000" t="s">
        <v>52</v>
      </c>
      <c r="O1000" t="s">
        <v>45</v>
      </c>
      <c r="P1000">
        <f>Tableau1_2[[#This Row],[Quantité]]*Tableau1_2[[#This Row],[Prix_Unitaire]]</f>
        <v>15800</v>
      </c>
      <c r="Q1000">
        <f>Tableau1_2[[#This Row],[Quantité]]*Tableau1_2[[#This Row],[Coût_Unitaire]]</f>
        <v>9500</v>
      </c>
      <c r="R1000">
        <f>Tableau1_2[[#This Row],[CA]]-Tableau1_2[[#This Row],[Cout Total]]</f>
        <v>6300</v>
      </c>
      <c r="S1000" s="4">
        <f>Tableau1_2[[#This Row],[Marge]]/Tableau1_2[[#This Row],[CA]]</f>
        <v>0.39873417721518989</v>
      </c>
      <c r="T1000" t="str">
        <f>TEXT(Tableau1_2[[#This Row],[Date]],"mmmm")</f>
        <v>juillet</v>
      </c>
    </row>
    <row r="1001" spans="1:20" x14ac:dyDescent="0.35">
      <c r="A1001" t="s">
        <v>1945</v>
      </c>
      <c r="B1001" s="2">
        <v>46124</v>
      </c>
      <c r="C1001" t="s">
        <v>615</v>
      </c>
      <c r="D1001" t="s">
        <v>1087</v>
      </c>
      <c r="E1001" t="s">
        <v>18</v>
      </c>
      <c r="F1001" t="s">
        <v>18</v>
      </c>
      <c r="G1001" t="s">
        <v>34</v>
      </c>
      <c r="H1001" t="s">
        <v>141</v>
      </c>
      <c r="I1001">
        <v>1</v>
      </c>
      <c r="J1001">
        <v>152000</v>
      </c>
      <c r="K1001">
        <v>123600</v>
      </c>
      <c r="L1001" t="s">
        <v>21</v>
      </c>
      <c r="M1001" t="s">
        <v>22</v>
      </c>
      <c r="N1001" t="s">
        <v>52</v>
      </c>
      <c r="O1001" t="s">
        <v>45</v>
      </c>
      <c r="P1001">
        <f>Tableau1_2[[#This Row],[Quantité]]*Tableau1_2[[#This Row],[Prix_Unitaire]]</f>
        <v>152000</v>
      </c>
      <c r="Q1001">
        <f>Tableau1_2[[#This Row],[Quantité]]*Tableau1_2[[#This Row],[Coût_Unitaire]]</f>
        <v>123600</v>
      </c>
      <c r="R1001">
        <f>Tableau1_2[[#This Row],[CA]]-Tableau1_2[[#This Row],[Cout Total]]</f>
        <v>28400</v>
      </c>
      <c r="S1001" s="4">
        <f>Tableau1_2[[#This Row],[Marge]]/Tableau1_2[[#This Row],[CA]]</f>
        <v>0.18684210526315789</v>
      </c>
      <c r="T1001" t="str">
        <f>TEXT(Tableau1_2[[#This Row],[Date]],"mmmm")</f>
        <v>avril</v>
      </c>
    </row>
    <row r="1002" spans="1:20" x14ac:dyDescent="0.35">
      <c r="A1002" t="s">
        <v>1946</v>
      </c>
      <c r="B1002" s="2">
        <v>46062</v>
      </c>
      <c r="C1002" t="s">
        <v>871</v>
      </c>
      <c r="D1002" t="s">
        <v>1947</v>
      </c>
      <c r="E1002" t="s">
        <v>18</v>
      </c>
      <c r="F1002" t="s">
        <v>18</v>
      </c>
      <c r="G1002" t="s">
        <v>43</v>
      </c>
      <c r="H1002" t="s">
        <v>79</v>
      </c>
      <c r="I1002">
        <v>3</v>
      </c>
      <c r="J1002">
        <v>6000</v>
      </c>
      <c r="K1002">
        <v>4200</v>
      </c>
      <c r="L1002" t="s">
        <v>66</v>
      </c>
      <c r="M1002" t="s">
        <v>37</v>
      </c>
      <c r="N1002" t="s">
        <v>52</v>
      </c>
      <c r="O1002" t="s">
        <v>24</v>
      </c>
      <c r="P1002">
        <f>Tableau1_2[[#This Row],[Quantité]]*Tableau1_2[[#This Row],[Prix_Unitaire]]</f>
        <v>18000</v>
      </c>
      <c r="Q1002">
        <f>Tableau1_2[[#This Row],[Quantité]]*Tableau1_2[[#This Row],[Coût_Unitaire]]</f>
        <v>12600</v>
      </c>
      <c r="R1002">
        <f>Tableau1_2[[#This Row],[CA]]-Tableau1_2[[#This Row],[Cout Total]]</f>
        <v>5400</v>
      </c>
      <c r="S1002" s="4">
        <f>Tableau1_2[[#This Row],[Marge]]/Tableau1_2[[#This Row],[CA]]</f>
        <v>0.3</v>
      </c>
      <c r="T1002" t="str">
        <f>TEXT(Tableau1_2[[#This Row],[Date]],"mmmm")</f>
        <v>février</v>
      </c>
    </row>
    <row r="1003" spans="1:20" x14ac:dyDescent="0.35">
      <c r="A1003" t="s">
        <v>1948</v>
      </c>
      <c r="B1003" s="2">
        <v>46157</v>
      </c>
      <c r="C1003" t="s">
        <v>431</v>
      </c>
      <c r="D1003" t="s">
        <v>482</v>
      </c>
      <c r="E1003" t="s">
        <v>56</v>
      </c>
      <c r="F1003" t="s">
        <v>57</v>
      </c>
      <c r="G1003" t="s">
        <v>43</v>
      </c>
      <c r="H1003" t="s">
        <v>44</v>
      </c>
      <c r="I1003">
        <v>10</v>
      </c>
      <c r="J1003">
        <v>15000</v>
      </c>
      <c r="K1003">
        <v>9800</v>
      </c>
      <c r="L1003" t="s">
        <v>80</v>
      </c>
      <c r="M1003" t="s">
        <v>37</v>
      </c>
      <c r="N1003" t="s">
        <v>23</v>
      </c>
      <c r="O1003" t="s">
        <v>24</v>
      </c>
      <c r="P1003">
        <f>Tableau1_2[[#This Row],[Quantité]]*Tableau1_2[[#This Row],[Prix_Unitaire]]</f>
        <v>150000</v>
      </c>
      <c r="Q1003">
        <f>Tableau1_2[[#This Row],[Quantité]]*Tableau1_2[[#This Row],[Coût_Unitaire]]</f>
        <v>98000</v>
      </c>
      <c r="R1003">
        <f>Tableau1_2[[#This Row],[CA]]-Tableau1_2[[#This Row],[Cout Total]]</f>
        <v>52000</v>
      </c>
      <c r="S1003" s="4">
        <f>Tableau1_2[[#This Row],[Marge]]/Tableau1_2[[#This Row],[CA]]</f>
        <v>0.34666666666666668</v>
      </c>
      <c r="T1003" t="str">
        <f>TEXT(Tableau1_2[[#This Row],[Date]],"mmmm")</f>
        <v>mai</v>
      </c>
    </row>
    <row r="1004" spans="1:20" x14ac:dyDescent="0.35">
      <c r="A1004" t="s">
        <v>1949</v>
      </c>
      <c r="B1004" s="2">
        <v>46292</v>
      </c>
      <c r="C1004" t="s">
        <v>1207</v>
      </c>
      <c r="D1004" t="s">
        <v>859</v>
      </c>
      <c r="E1004" t="s">
        <v>18</v>
      </c>
      <c r="F1004" t="s">
        <v>18</v>
      </c>
      <c r="G1004" t="s">
        <v>34</v>
      </c>
      <c r="H1004" t="s">
        <v>141</v>
      </c>
      <c r="I1004">
        <v>6</v>
      </c>
      <c r="J1004">
        <v>152000</v>
      </c>
      <c r="K1004">
        <v>123600</v>
      </c>
      <c r="L1004" t="s">
        <v>21</v>
      </c>
      <c r="M1004" t="s">
        <v>22</v>
      </c>
      <c r="N1004" t="s">
        <v>23</v>
      </c>
      <c r="O1004" t="s">
        <v>24</v>
      </c>
      <c r="P1004">
        <f>Tableau1_2[[#This Row],[Quantité]]*Tableau1_2[[#This Row],[Prix_Unitaire]]</f>
        <v>912000</v>
      </c>
      <c r="Q1004">
        <f>Tableau1_2[[#This Row],[Quantité]]*Tableau1_2[[#This Row],[Coût_Unitaire]]</f>
        <v>741600</v>
      </c>
      <c r="R1004">
        <f>Tableau1_2[[#This Row],[CA]]-Tableau1_2[[#This Row],[Cout Total]]</f>
        <v>170400</v>
      </c>
      <c r="S1004" s="4">
        <f>Tableau1_2[[#This Row],[Marge]]/Tableau1_2[[#This Row],[CA]]</f>
        <v>0.18684210526315789</v>
      </c>
      <c r="T1004" t="str">
        <f>TEXT(Tableau1_2[[#This Row],[Date]],"mmmm")</f>
        <v>septembre</v>
      </c>
    </row>
    <row r="1005" spans="1:20" x14ac:dyDescent="0.35">
      <c r="A1005" t="s">
        <v>1950</v>
      </c>
      <c r="B1005" s="2">
        <v>46071</v>
      </c>
      <c r="C1005" t="s">
        <v>626</v>
      </c>
      <c r="D1005" t="s">
        <v>1109</v>
      </c>
      <c r="E1005" t="s">
        <v>18</v>
      </c>
      <c r="F1005" t="s">
        <v>18</v>
      </c>
      <c r="G1005" t="s">
        <v>34</v>
      </c>
      <c r="H1005" t="s">
        <v>141</v>
      </c>
      <c r="I1005">
        <v>6</v>
      </c>
      <c r="J1005">
        <v>168000</v>
      </c>
      <c r="K1005">
        <v>116400</v>
      </c>
      <c r="L1005" t="s">
        <v>73</v>
      </c>
      <c r="M1005" t="s">
        <v>51</v>
      </c>
      <c r="N1005" t="s">
        <v>52</v>
      </c>
      <c r="O1005" t="s">
        <v>91</v>
      </c>
      <c r="P1005">
        <f>Tableau1_2[[#This Row],[Quantité]]*Tableau1_2[[#This Row],[Prix_Unitaire]]</f>
        <v>1008000</v>
      </c>
      <c r="Q1005">
        <f>Tableau1_2[[#This Row],[Quantité]]*Tableau1_2[[#This Row],[Coût_Unitaire]]</f>
        <v>698400</v>
      </c>
      <c r="R1005">
        <f>Tableau1_2[[#This Row],[CA]]-Tableau1_2[[#This Row],[Cout Total]]</f>
        <v>309600</v>
      </c>
      <c r="S1005" s="4">
        <f>Tableau1_2[[#This Row],[Marge]]/Tableau1_2[[#This Row],[CA]]</f>
        <v>0.30714285714285716</v>
      </c>
      <c r="T1005" t="str">
        <f>TEXT(Tableau1_2[[#This Row],[Date]],"mmmm")</f>
        <v>février</v>
      </c>
    </row>
    <row r="1006" spans="1:20" x14ac:dyDescent="0.35">
      <c r="A1006" t="s">
        <v>1951</v>
      </c>
      <c r="B1006" s="2">
        <v>46238</v>
      </c>
      <c r="C1006" t="s">
        <v>1632</v>
      </c>
      <c r="D1006" t="s">
        <v>711</v>
      </c>
      <c r="E1006" t="s">
        <v>18</v>
      </c>
      <c r="F1006" t="s">
        <v>18</v>
      </c>
      <c r="G1006" t="s">
        <v>34</v>
      </c>
      <c r="H1006" t="s">
        <v>141</v>
      </c>
      <c r="I1006">
        <v>8</v>
      </c>
      <c r="J1006">
        <v>160000</v>
      </c>
      <c r="K1006">
        <v>123600</v>
      </c>
      <c r="L1006" t="s">
        <v>66</v>
      </c>
      <c r="M1006" t="s">
        <v>22</v>
      </c>
      <c r="N1006" t="s">
        <v>23</v>
      </c>
      <c r="O1006" t="s">
        <v>24</v>
      </c>
      <c r="P1006">
        <f>Tableau1_2[[#This Row],[Quantité]]*Tableau1_2[[#This Row],[Prix_Unitaire]]</f>
        <v>1280000</v>
      </c>
      <c r="Q1006">
        <f>Tableau1_2[[#This Row],[Quantité]]*Tableau1_2[[#This Row],[Coût_Unitaire]]</f>
        <v>988800</v>
      </c>
      <c r="R1006">
        <f>Tableau1_2[[#This Row],[CA]]-Tableau1_2[[#This Row],[Cout Total]]</f>
        <v>291200</v>
      </c>
      <c r="S1006" s="4">
        <f>Tableau1_2[[#This Row],[Marge]]/Tableau1_2[[#This Row],[CA]]</f>
        <v>0.22750000000000001</v>
      </c>
      <c r="T1006" t="str">
        <f>TEXT(Tableau1_2[[#This Row],[Date]],"mmmm")</f>
        <v>août</v>
      </c>
    </row>
    <row r="1007" spans="1:20" x14ac:dyDescent="0.35">
      <c r="A1007" t="s">
        <v>1952</v>
      </c>
      <c r="B1007" s="2">
        <v>46248</v>
      </c>
      <c r="C1007" t="s">
        <v>126</v>
      </c>
      <c r="D1007" t="s">
        <v>462</v>
      </c>
      <c r="E1007" t="s">
        <v>70</v>
      </c>
      <c r="F1007" t="s">
        <v>71</v>
      </c>
      <c r="G1007" t="s">
        <v>34</v>
      </c>
      <c r="H1007" t="s">
        <v>35</v>
      </c>
      <c r="I1007">
        <v>8</v>
      </c>
      <c r="J1007">
        <v>57800</v>
      </c>
      <c r="K1007">
        <v>40200</v>
      </c>
      <c r="L1007" t="s">
        <v>36</v>
      </c>
      <c r="M1007" t="s">
        <v>51</v>
      </c>
      <c r="N1007" t="s">
        <v>52</v>
      </c>
      <c r="O1007" t="s">
        <v>24</v>
      </c>
      <c r="P1007">
        <f>Tableau1_2[[#This Row],[Quantité]]*Tableau1_2[[#This Row],[Prix_Unitaire]]</f>
        <v>462400</v>
      </c>
      <c r="Q1007">
        <f>Tableau1_2[[#This Row],[Quantité]]*Tableau1_2[[#This Row],[Coût_Unitaire]]</f>
        <v>321600</v>
      </c>
      <c r="R1007">
        <f>Tableau1_2[[#This Row],[CA]]-Tableau1_2[[#This Row],[Cout Total]]</f>
        <v>140800</v>
      </c>
      <c r="S1007" s="4">
        <f>Tableau1_2[[#This Row],[Marge]]/Tableau1_2[[#This Row],[CA]]</f>
        <v>0.30449826989619377</v>
      </c>
      <c r="T1007" t="str">
        <f>TEXT(Tableau1_2[[#This Row],[Date]],"mmmm")</f>
        <v>août</v>
      </c>
    </row>
    <row r="1008" spans="1:20" x14ac:dyDescent="0.35">
      <c r="A1008" t="s">
        <v>1953</v>
      </c>
      <c r="B1008" s="2">
        <v>46339</v>
      </c>
      <c r="C1008" t="s">
        <v>133</v>
      </c>
      <c r="D1008" t="s">
        <v>1954</v>
      </c>
      <c r="E1008" t="s">
        <v>18</v>
      </c>
      <c r="F1008" t="s">
        <v>18</v>
      </c>
      <c r="G1008" t="s">
        <v>34</v>
      </c>
      <c r="H1008" t="s">
        <v>158</v>
      </c>
      <c r="I1008">
        <v>5</v>
      </c>
      <c r="J1008">
        <v>95000</v>
      </c>
      <c r="K1008">
        <v>70000</v>
      </c>
      <c r="L1008" t="s">
        <v>66</v>
      </c>
      <c r="M1008" t="s">
        <v>37</v>
      </c>
      <c r="N1008" t="s">
        <v>52</v>
      </c>
      <c r="O1008" t="s">
        <v>24</v>
      </c>
      <c r="P1008">
        <f>Tableau1_2[[#This Row],[Quantité]]*Tableau1_2[[#This Row],[Prix_Unitaire]]</f>
        <v>475000</v>
      </c>
      <c r="Q1008">
        <f>Tableau1_2[[#This Row],[Quantité]]*Tableau1_2[[#This Row],[Coût_Unitaire]]</f>
        <v>350000</v>
      </c>
      <c r="R1008">
        <f>Tableau1_2[[#This Row],[CA]]-Tableau1_2[[#This Row],[Cout Total]]</f>
        <v>125000</v>
      </c>
      <c r="S1008" s="4">
        <f>Tableau1_2[[#This Row],[Marge]]/Tableau1_2[[#This Row],[CA]]</f>
        <v>0.26315789473684209</v>
      </c>
      <c r="T1008" t="str">
        <f>TEXT(Tableau1_2[[#This Row],[Date]],"mmmm")</f>
        <v>novembre</v>
      </c>
    </row>
    <row r="1009" spans="1:20" x14ac:dyDescent="0.35">
      <c r="A1009" t="s">
        <v>1955</v>
      </c>
      <c r="B1009" s="2">
        <v>46141</v>
      </c>
      <c r="C1009" t="s">
        <v>506</v>
      </c>
      <c r="D1009" t="s">
        <v>1956</v>
      </c>
      <c r="E1009" t="s">
        <v>70</v>
      </c>
      <c r="F1009" t="s">
        <v>71</v>
      </c>
      <c r="G1009" t="s">
        <v>34</v>
      </c>
      <c r="H1009" t="s">
        <v>141</v>
      </c>
      <c r="I1009">
        <v>9</v>
      </c>
      <c r="J1009">
        <v>168000</v>
      </c>
      <c r="K1009">
        <v>123600</v>
      </c>
      <c r="L1009" t="s">
        <v>66</v>
      </c>
      <c r="M1009" t="s">
        <v>37</v>
      </c>
      <c r="N1009" t="s">
        <v>52</v>
      </c>
      <c r="O1009" t="s">
        <v>24</v>
      </c>
      <c r="P1009">
        <f>Tableau1_2[[#This Row],[Quantité]]*Tableau1_2[[#This Row],[Prix_Unitaire]]</f>
        <v>1512000</v>
      </c>
      <c r="Q1009">
        <f>Tableau1_2[[#This Row],[Quantité]]*Tableau1_2[[#This Row],[Coût_Unitaire]]</f>
        <v>1112400</v>
      </c>
      <c r="R1009">
        <f>Tableau1_2[[#This Row],[CA]]-Tableau1_2[[#This Row],[Cout Total]]</f>
        <v>399600</v>
      </c>
      <c r="S1009" s="4">
        <f>Tableau1_2[[#This Row],[Marge]]/Tableau1_2[[#This Row],[CA]]</f>
        <v>0.26428571428571429</v>
      </c>
      <c r="T1009" t="str">
        <f>TEXT(Tableau1_2[[#This Row],[Date]],"mmmm")</f>
        <v>avril</v>
      </c>
    </row>
    <row r="1010" spans="1:20" x14ac:dyDescent="0.35">
      <c r="A1010" t="s">
        <v>1957</v>
      </c>
      <c r="B1010" s="2">
        <v>46141</v>
      </c>
      <c r="C1010" t="s">
        <v>1869</v>
      </c>
      <c r="D1010" t="s">
        <v>281</v>
      </c>
      <c r="E1010" t="s">
        <v>18</v>
      </c>
      <c r="F1010" t="s">
        <v>18</v>
      </c>
      <c r="G1010" t="s">
        <v>28</v>
      </c>
      <c r="H1010" t="s">
        <v>65</v>
      </c>
      <c r="I1010">
        <v>4</v>
      </c>
      <c r="J1010">
        <v>12600</v>
      </c>
      <c r="K1010">
        <v>7300</v>
      </c>
      <c r="L1010" t="s">
        <v>80</v>
      </c>
      <c r="M1010" t="s">
        <v>31</v>
      </c>
      <c r="N1010" t="s">
        <v>52</v>
      </c>
      <c r="O1010" t="s">
        <v>24</v>
      </c>
      <c r="P1010">
        <f>Tableau1_2[[#This Row],[Quantité]]*Tableau1_2[[#This Row],[Prix_Unitaire]]</f>
        <v>50400</v>
      </c>
      <c r="Q1010">
        <f>Tableau1_2[[#This Row],[Quantité]]*Tableau1_2[[#This Row],[Coût_Unitaire]]</f>
        <v>29200</v>
      </c>
      <c r="R1010">
        <f>Tableau1_2[[#This Row],[CA]]-Tableau1_2[[#This Row],[Cout Total]]</f>
        <v>21200</v>
      </c>
      <c r="S1010" s="4">
        <f>Tableau1_2[[#This Row],[Marge]]/Tableau1_2[[#This Row],[CA]]</f>
        <v>0.42063492063492064</v>
      </c>
      <c r="T1010" t="str">
        <f>TEXT(Tableau1_2[[#This Row],[Date]],"mmmm")</f>
        <v>avril</v>
      </c>
    </row>
    <row r="1011" spans="1:20" x14ac:dyDescent="0.35">
      <c r="A1011" t="s">
        <v>1958</v>
      </c>
      <c r="B1011" s="2">
        <v>46072</v>
      </c>
      <c r="C1011" t="s">
        <v>903</v>
      </c>
      <c r="D1011" t="s">
        <v>1241</v>
      </c>
      <c r="E1011" t="s">
        <v>18</v>
      </c>
      <c r="F1011" t="s">
        <v>18</v>
      </c>
      <c r="G1011" t="s">
        <v>34</v>
      </c>
      <c r="H1011" t="s">
        <v>158</v>
      </c>
      <c r="I1011">
        <v>6</v>
      </c>
      <c r="J1011">
        <v>90200</v>
      </c>
      <c r="K1011">
        <v>67900</v>
      </c>
      <c r="L1011" t="s">
        <v>96</v>
      </c>
      <c r="M1011" t="s">
        <v>22</v>
      </c>
      <c r="N1011" t="s">
        <v>52</v>
      </c>
      <c r="O1011" t="s">
        <v>24</v>
      </c>
      <c r="P1011">
        <f>Tableau1_2[[#This Row],[Quantité]]*Tableau1_2[[#This Row],[Prix_Unitaire]]</f>
        <v>541200</v>
      </c>
      <c r="Q1011">
        <f>Tableau1_2[[#This Row],[Quantité]]*Tableau1_2[[#This Row],[Coût_Unitaire]]</f>
        <v>407400</v>
      </c>
      <c r="R1011">
        <f>Tableau1_2[[#This Row],[CA]]-Tableau1_2[[#This Row],[Cout Total]]</f>
        <v>133800</v>
      </c>
      <c r="S1011" s="4">
        <f>Tableau1_2[[#This Row],[Marge]]/Tableau1_2[[#This Row],[CA]]</f>
        <v>0.24722838137472283</v>
      </c>
      <c r="T1011" t="str">
        <f>TEXT(Tableau1_2[[#This Row],[Date]],"mmmm")</f>
        <v>février</v>
      </c>
    </row>
    <row r="1012" spans="1:20" x14ac:dyDescent="0.35">
      <c r="A1012" t="s">
        <v>1959</v>
      </c>
      <c r="B1012" s="2">
        <v>46328</v>
      </c>
      <c r="C1012" t="s">
        <v>120</v>
      </c>
      <c r="D1012" t="s">
        <v>1126</v>
      </c>
      <c r="E1012" t="s">
        <v>41</v>
      </c>
      <c r="F1012" t="s">
        <v>42</v>
      </c>
      <c r="G1012" t="s">
        <v>34</v>
      </c>
      <c r="H1012" t="s">
        <v>35</v>
      </c>
      <c r="I1012">
        <v>3</v>
      </c>
      <c r="J1012">
        <v>55000</v>
      </c>
      <c r="K1012">
        <v>39000</v>
      </c>
      <c r="L1012" t="s">
        <v>36</v>
      </c>
      <c r="M1012" t="s">
        <v>22</v>
      </c>
      <c r="N1012" t="s">
        <v>52</v>
      </c>
      <c r="O1012" t="s">
        <v>91</v>
      </c>
      <c r="P1012">
        <f>Tableau1_2[[#This Row],[Quantité]]*Tableau1_2[[#This Row],[Prix_Unitaire]]</f>
        <v>165000</v>
      </c>
      <c r="Q1012">
        <f>Tableau1_2[[#This Row],[Quantité]]*Tableau1_2[[#This Row],[Coût_Unitaire]]</f>
        <v>117000</v>
      </c>
      <c r="R1012">
        <f>Tableau1_2[[#This Row],[CA]]-Tableau1_2[[#This Row],[Cout Total]]</f>
        <v>48000</v>
      </c>
      <c r="S1012" s="4">
        <f>Tableau1_2[[#This Row],[Marge]]/Tableau1_2[[#This Row],[CA]]</f>
        <v>0.29090909090909089</v>
      </c>
      <c r="T1012" t="str">
        <f>TEXT(Tableau1_2[[#This Row],[Date]],"mmmm")</f>
        <v>novembre</v>
      </c>
    </row>
    <row r="1013" spans="1:20" x14ac:dyDescent="0.35">
      <c r="A1013" t="s">
        <v>1960</v>
      </c>
      <c r="B1013" s="2">
        <v>46179</v>
      </c>
      <c r="C1013" t="s">
        <v>1390</v>
      </c>
      <c r="D1013" t="s">
        <v>1241</v>
      </c>
      <c r="E1013" t="s">
        <v>84</v>
      </c>
      <c r="F1013" t="s">
        <v>85</v>
      </c>
      <c r="G1013" t="s">
        <v>34</v>
      </c>
      <c r="H1013" t="s">
        <v>35</v>
      </c>
      <c r="I1013">
        <v>6</v>
      </c>
      <c r="J1013">
        <v>55000</v>
      </c>
      <c r="K1013">
        <v>40200</v>
      </c>
      <c r="L1013" t="s">
        <v>21</v>
      </c>
      <c r="M1013" t="s">
        <v>31</v>
      </c>
      <c r="N1013" t="s">
        <v>23</v>
      </c>
      <c r="O1013" t="s">
        <v>24</v>
      </c>
      <c r="P1013">
        <f>Tableau1_2[[#This Row],[Quantité]]*Tableau1_2[[#This Row],[Prix_Unitaire]]</f>
        <v>330000</v>
      </c>
      <c r="Q1013">
        <f>Tableau1_2[[#This Row],[Quantité]]*Tableau1_2[[#This Row],[Coût_Unitaire]]</f>
        <v>241200</v>
      </c>
      <c r="R1013">
        <f>Tableau1_2[[#This Row],[CA]]-Tableau1_2[[#This Row],[Cout Total]]</f>
        <v>88800</v>
      </c>
      <c r="S1013" s="4">
        <f>Tableau1_2[[#This Row],[Marge]]/Tableau1_2[[#This Row],[CA]]</f>
        <v>0.2690909090909091</v>
      </c>
      <c r="T1013" t="str">
        <f>TEXT(Tableau1_2[[#This Row],[Date]],"mmmm")</f>
        <v>juin</v>
      </c>
    </row>
    <row r="1014" spans="1:20" x14ac:dyDescent="0.35">
      <c r="A1014" t="s">
        <v>1961</v>
      </c>
      <c r="B1014" s="2">
        <v>46282</v>
      </c>
      <c r="C1014" t="s">
        <v>1788</v>
      </c>
      <c r="D1014" t="s">
        <v>1486</v>
      </c>
      <c r="E1014" t="s">
        <v>84</v>
      </c>
      <c r="F1014" t="s">
        <v>85</v>
      </c>
      <c r="G1014" t="s">
        <v>28</v>
      </c>
      <c r="H1014" t="s">
        <v>131</v>
      </c>
      <c r="I1014">
        <v>10</v>
      </c>
      <c r="J1014">
        <v>30000</v>
      </c>
      <c r="K1014">
        <v>19000</v>
      </c>
      <c r="L1014" t="s">
        <v>50</v>
      </c>
      <c r="M1014" t="s">
        <v>22</v>
      </c>
      <c r="N1014" t="s">
        <v>23</v>
      </c>
      <c r="O1014" t="s">
        <v>24</v>
      </c>
      <c r="P1014">
        <f>Tableau1_2[[#This Row],[Quantité]]*Tableau1_2[[#This Row],[Prix_Unitaire]]</f>
        <v>300000</v>
      </c>
      <c r="Q1014">
        <f>Tableau1_2[[#This Row],[Quantité]]*Tableau1_2[[#This Row],[Coût_Unitaire]]</f>
        <v>190000</v>
      </c>
      <c r="R1014">
        <f>Tableau1_2[[#This Row],[CA]]-Tableau1_2[[#This Row],[Cout Total]]</f>
        <v>110000</v>
      </c>
      <c r="S1014" s="4">
        <f>Tableau1_2[[#This Row],[Marge]]/Tableau1_2[[#This Row],[CA]]</f>
        <v>0.36666666666666664</v>
      </c>
      <c r="T1014" t="str">
        <f>TEXT(Tableau1_2[[#This Row],[Date]],"mmmm")</f>
        <v>septembre</v>
      </c>
    </row>
    <row r="1015" spans="1:20" x14ac:dyDescent="0.35">
      <c r="A1015" t="s">
        <v>1962</v>
      </c>
      <c r="B1015" s="2">
        <v>46287</v>
      </c>
      <c r="C1015" t="s">
        <v>671</v>
      </c>
      <c r="D1015" t="s">
        <v>846</v>
      </c>
      <c r="E1015" t="s">
        <v>77</v>
      </c>
      <c r="F1015" t="s">
        <v>78</v>
      </c>
      <c r="G1015" t="s">
        <v>34</v>
      </c>
      <c r="H1015" t="s">
        <v>141</v>
      </c>
      <c r="I1015">
        <v>1</v>
      </c>
      <c r="J1015">
        <v>168000</v>
      </c>
      <c r="K1015">
        <v>116400</v>
      </c>
      <c r="L1015" t="s">
        <v>96</v>
      </c>
      <c r="M1015" t="s">
        <v>37</v>
      </c>
      <c r="N1015" t="s">
        <v>52</v>
      </c>
      <c r="O1015" t="s">
        <v>24</v>
      </c>
      <c r="P1015">
        <f>Tableau1_2[[#This Row],[Quantité]]*Tableau1_2[[#This Row],[Prix_Unitaire]]</f>
        <v>168000</v>
      </c>
      <c r="Q1015">
        <f>Tableau1_2[[#This Row],[Quantité]]*Tableau1_2[[#This Row],[Coût_Unitaire]]</f>
        <v>116400</v>
      </c>
      <c r="R1015">
        <f>Tableau1_2[[#This Row],[CA]]-Tableau1_2[[#This Row],[Cout Total]]</f>
        <v>51600</v>
      </c>
      <c r="S1015" s="4">
        <f>Tableau1_2[[#This Row],[Marge]]/Tableau1_2[[#This Row],[CA]]</f>
        <v>0.30714285714285716</v>
      </c>
      <c r="T1015" t="str">
        <f>TEXT(Tableau1_2[[#This Row],[Date]],"mmmm")</f>
        <v>septembre</v>
      </c>
    </row>
    <row r="1016" spans="1:20" x14ac:dyDescent="0.35">
      <c r="A1016" t="s">
        <v>1963</v>
      </c>
      <c r="B1016" s="2">
        <v>46351</v>
      </c>
      <c r="C1016" t="s">
        <v>645</v>
      </c>
      <c r="D1016" t="s">
        <v>391</v>
      </c>
      <c r="E1016" t="s">
        <v>84</v>
      </c>
      <c r="F1016" t="s">
        <v>85</v>
      </c>
      <c r="G1016" t="s">
        <v>34</v>
      </c>
      <c r="H1016" t="s">
        <v>86</v>
      </c>
      <c r="I1016">
        <v>7</v>
      </c>
      <c r="J1016">
        <v>171000</v>
      </c>
      <c r="K1016">
        <v>131000</v>
      </c>
      <c r="L1016" t="s">
        <v>80</v>
      </c>
      <c r="M1016" t="s">
        <v>51</v>
      </c>
      <c r="N1016" t="s">
        <v>87</v>
      </c>
      <c r="O1016" t="s">
        <v>24</v>
      </c>
      <c r="P1016">
        <f>Tableau1_2[[#This Row],[Quantité]]*Tableau1_2[[#This Row],[Prix_Unitaire]]</f>
        <v>1197000</v>
      </c>
      <c r="Q1016">
        <f>Tableau1_2[[#This Row],[Quantité]]*Tableau1_2[[#This Row],[Coût_Unitaire]]</f>
        <v>917000</v>
      </c>
      <c r="R1016">
        <f>Tableau1_2[[#This Row],[CA]]-Tableau1_2[[#This Row],[Cout Total]]</f>
        <v>280000</v>
      </c>
      <c r="S1016" s="4">
        <f>Tableau1_2[[#This Row],[Marge]]/Tableau1_2[[#This Row],[CA]]</f>
        <v>0.23391812865497075</v>
      </c>
      <c r="T1016" t="str">
        <f>TEXT(Tableau1_2[[#This Row],[Date]],"mmmm")</f>
        <v>novembre</v>
      </c>
    </row>
    <row r="1017" spans="1:20" x14ac:dyDescent="0.35">
      <c r="A1017" t="s">
        <v>1964</v>
      </c>
      <c r="B1017" s="2">
        <v>46063</v>
      </c>
      <c r="C1017" t="s">
        <v>358</v>
      </c>
      <c r="D1017" t="s">
        <v>417</v>
      </c>
      <c r="E1017" t="s">
        <v>41</v>
      </c>
      <c r="F1017" t="s">
        <v>42</v>
      </c>
      <c r="G1017" t="s">
        <v>43</v>
      </c>
      <c r="H1017" t="s">
        <v>49</v>
      </c>
      <c r="I1017">
        <v>9</v>
      </c>
      <c r="J1017">
        <v>9400</v>
      </c>
      <c r="K1017">
        <v>6000</v>
      </c>
      <c r="L1017" t="s">
        <v>66</v>
      </c>
      <c r="M1017" t="s">
        <v>22</v>
      </c>
      <c r="N1017" t="s">
        <v>23</v>
      </c>
      <c r="O1017" t="s">
        <v>91</v>
      </c>
      <c r="P1017">
        <f>Tableau1_2[[#This Row],[Quantité]]*Tableau1_2[[#This Row],[Prix_Unitaire]]</f>
        <v>84600</v>
      </c>
      <c r="Q1017">
        <f>Tableau1_2[[#This Row],[Quantité]]*Tableau1_2[[#This Row],[Coût_Unitaire]]</f>
        <v>54000</v>
      </c>
      <c r="R1017">
        <f>Tableau1_2[[#This Row],[CA]]-Tableau1_2[[#This Row],[Cout Total]]</f>
        <v>30600</v>
      </c>
      <c r="S1017" s="4">
        <f>Tableau1_2[[#This Row],[Marge]]/Tableau1_2[[#This Row],[CA]]</f>
        <v>0.36170212765957449</v>
      </c>
      <c r="T1017" t="str">
        <f>TEXT(Tableau1_2[[#This Row],[Date]],"mmmm")</f>
        <v>février</v>
      </c>
    </row>
    <row r="1018" spans="1:20" x14ac:dyDescent="0.35">
      <c r="A1018" t="s">
        <v>1965</v>
      </c>
      <c r="B1018" s="2">
        <v>46224</v>
      </c>
      <c r="C1018" t="s">
        <v>962</v>
      </c>
      <c r="D1018" t="s">
        <v>476</v>
      </c>
      <c r="E1018" t="s">
        <v>84</v>
      </c>
      <c r="F1018" t="s">
        <v>85</v>
      </c>
      <c r="G1018" t="s">
        <v>34</v>
      </c>
      <c r="H1018" t="s">
        <v>35</v>
      </c>
      <c r="I1018">
        <v>2</v>
      </c>
      <c r="J1018">
        <v>55000</v>
      </c>
      <c r="K1018">
        <v>37800</v>
      </c>
      <c r="L1018" t="s">
        <v>21</v>
      </c>
      <c r="M1018" t="s">
        <v>51</v>
      </c>
      <c r="N1018" t="s">
        <v>23</v>
      </c>
      <c r="O1018" t="s">
        <v>24</v>
      </c>
      <c r="P1018">
        <f>Tableau1_2[[#This Row],[Quantité]]*Tableau1_2[[#This Row],[Prix_Unitaire]]</f>
        <v>110000</v>
      </c>
      <c r="Q1018">
        <f>Tableau1_2[[#This Row],[Quantité]]*Tableau1_2[[#This Row],[Coût_Unitaire]]</f>
        <v>75600</v>
      </c>
      <c r="R1018">
        <f>Tableau1_2[[#This Row],[CA]]-Tableau1_2[[#This Row],[Cout Total]]</f>
        <v>34400</v>
      </c>
      <c r="S1018" s="4">
        <f>Tableau1_2[[#This Row],[Marge]]/Tableau1_2[[#This Row],[CA]]</f>
        <v>0.31272727272727274</v>
      </c>
      <c r="T1018" t="str">
        <f>TEXT(Tableau1_2[[#This Row],[Date]],"mmmm")</f>
        <v>juillet</v>
      </c>
    </row>
    <row r="1019" spans="1:20" x14ac:dyDescent="0.35">
      <c r="A1019" t="s">
        <v>1966</v>
      </c>
      <c r="B1019" s="2">
        <v>46284</v>
      </c>
      <c r="C1019" t="s">
        <v>759</v>
      </c>
      <c r="D1019" t="s">
        <v>650</v>
      </c>
      <c r="E1019" t="s">
        <v>18</v>
      </c>
      <c r="F1019" t="s">
        <v>18</v>
      </c>
      <c r="G1019" t="s">
        <v>28</v>
      </c>
      <c r="H1019" t="s">
        <v>248</v>
      </c>
      <c r="I1019">
        <v>2</v>
      </c>
      <c r="J1019">
        <v>26200</v>
      </c>
      <c r="K1019">
        <v>16000</v>
      </c>
      <c r="L1019" t="s">
        <v>50</v>
      </c>
      <c r="M1019" t="s">
        <v>37</v>
      </c>
      <c r="N1019" t="s">
        <v>52</v>
      </c>
      <c r="O1019" t="s">
        <v>24</v>
      </c>
      <c r="P1019">
        <f>Tableau1_2[[#This Row],[Quantité]]*Tableau1_2[[#This Row],[Prix_Unitaire]]</f>
        <v>52400</v>
      </c>
      <c r="Q1019">
        <f>Tableau1_2[[#This Row],[Quantité]]*Tableau1_2[[#This Row],[Coût_Unitaire]]</f>
        <v>32000</v>
      </c>
      <c r="R1019">
        <f>Tableau1_2[[#This Row],[CA]]-Tableau1_2[[#This Row],[Cout Total]]</f>
        <v>20400</v>
      </c>
      <c r="S1019" s="4">
        <f>Tableau1_2[[#This Row],[Marge]]/Tableau1_2[[#This Row],[CA]]</f>
        <v>0.38931297709923662</v>
      </c>
      <c r="T1019" t="str">
        <f>TEXT(Tableau1_2[[#This Row],[Date]],"mmmm")</f>
        <v>septembre</v>
      </c>
    </row>
    <row r="1020" spans="1:20" x14ac:dyDescent="0.35">
      <c r="A1020" t="s">
        <v>1967</v>
      </c>
      <c r="B1020" s="2">
        <v>46027</v>
      </c>
      <c r="C1020" t="s">
        <v>1968</v>
      </c>
      <c r="D1020" t="s">
        <v>1384</v>
      </c>
      <c r="E1020" t="s">
        <v>18</v>
      </c>
      <c r="F1020" t="s">
        <v>18</v>
      </c>
      <c r="G1020" t="s">
        <v>43</v>
      </c>
      <c r="H1020" t="s">
        <v>79</v>
      </c>
      <c r="I1020">
        <v>2</v>
      </c>
      <c r="J1020">
        <v>6000</v>
      </c>
      <c r="K1020">
        <v>4100</v>
      </c>
      <c r="L1020" t="s">
        <v>73</v>
      </c>
      <c r="M1020" t="s">
        <v>37</v>
      </c>
      <c r="N1020" t="s">
        <v>52</v>
      </c>
      <c r="O1020" t="s">
        <v>24</v>
      </c>
      <c r="P1020">
        <f>Tableau1_2[[#This Row],[Quantité]]*Tableau1_2[[#This Row],[Prix_Unitaire]]</f>
        <v>12000</v>
      </c>
      <c r="Q1020">
        <f>Tableau1_2[[#This Row],[Quantité]]*Tableau1_2[[#This Row],[Coût_Unitaire]]</f>
        <v>8200</v>
      </c>
      <c r="R1020">
        <f>Tableau1_2[[#This Row],[CA]]-Tableau1_2[[#This Row],[Cout Total]]</f>
        <v>3800</v>
      </c>
      <c r="S1020" s="4">
        <f>Tableau1_2[[#This Row],[Marge]]/Tableau1_2[[#This Row],[CA]]</f>
        <v>0.31666666666666665</v>
      </c>
      <c r="T1020" t="str">
        <f>TEXT(Tableau1_2[[#This Row],[Date]],"mmmm")</f>
        <v>janvier</v>
      </c>
    </row>
    <row r="1021" spans="1:20" x14ac:dyDescent="0.35">
      <c r="A1021" t="s">
        <v>1969</v>
      </c>
      <c r="B1021" s="2">
        <v>46052</v>
      </c>
      <c r="C1021" t="s">
        <v>1207</v>
      </c>
      <c r="D1021" t="s">
        <v>662</v>
      </c>
      <c r="E1021" t="s">
        <v>41</v>
      </c>
      <c r="F1021" t="s">
        <v>42</v>
      </c>
      <c r="G1021" t="s">
        <v>34</v>
      </c>
      <c r="H1021" t="s">
        <v>86</v>
      </c>
      <c r="I1021">
        <v>10</v>
      </c>
      <c r="J1021">
        <v>180000</v>
      </c>
      <c r="K1021">
        <v>131000</v>
      </c>
      <c r="L1021" t="s">
        <v>73</v>
      </c>
      <c r="M1021" t="s">
        <v>51</v>
      </c>
      <c r="N1021" t="s">
        <v>23</v>
      </c>
      <c r="O1021" t="s">
        <v>24</v>
      </c>
      <c r="P1021">
        <f>Tableau1_2[[#This Row],[Quantité]]*Tableau1_2[[#This Row],[Prix_Unitaire]]</f>
        <v>1800000</v>
      </c>
      <c r="Q1021">
        <f>Tableau1_2[[#This Row],[Quantité]]*Tableau1_2[[#This Row],[Coût_Unitaire]]</f>
        <v>1310000</v>
      </c>
      <c r="R1021">
        <f>Tableau1_2[[#This Row],[CA]]-Tableau1_2[[#This Row],[Cout Total]]</f>
        <v>490000</v>
      </c>
      <c r="S1021" s="4">
        <f>Tableau1_2[[#This Row],[Marge]]/Tableau1_2[[#This Row],[CA]]</f>
        <v>0.2722222222222222</v>
      </c>
      <c r="T1021" t="str">
        <f>TEXT(Tableau1_2[[#This Row],[Date]],"mmmm")</f>
        <v>janvier</v>
      </c>
    </row>
    <row r="1022" spans="1:20" x14ac:dyDescent="0.35">
      <c r="A1022" t="s">
        <v>1970</v>
      </c>
      <c r="B1022" s="2">
        <v>46365</v>
      </c>
      <c r="C1022" t="s">
        <v>1490</v>
      </c>
      <c r="D1022" t="s">
        <v>1405</v>
      </c>
      <c r="E1022" t="s">
        <v>190</v>
      </c>
      <c r="F1022" t="s">
        <v>191</v>
      </c>
      <c r="G1022" t="s">
        <v>43</v>
      </c>
      <c r="H1022" t="s">
        <v>44</v>
      </c>
      <c r="I1022">
        <v>3</v>
      </c>
      <c r="J1022">
        <v>15000</v>
      </c>
      <c r="K1022">
        <v>9800</v>
      </c>
      <c r="L1022" t="s">
        <v>80</v>
      </c>
      <c r="M1022" t="s">
        <v>51</v>
      </c>
      <c r="N1022" t="s">
        <v>52</v>
      </c>
      <c r="O1022" t="s">
        <v>24</v>
      </c>
      <c r="P1022">
        <f>Tableau1_2[[#This Row],[Quantité]]*Tableau1_2[[#This Row],[Prix_Unitaire]]</f>
        <v>45000</v>
      </c>
      <c r="Q1022">
        <f>Tableau1_2[[#This Row],[Quantité]]*Tableau1_2[[#This Row],[Coût_Unitaire]]</f>
        <v>29400</v>
      </c>
      <c r="R1022">
        <f>Tableau1_2[[#This Row],[CA]]-Tableau1_2[[#This Row],[Cout Total]]</f>
        <v>15600</v>
      </c>
      <c r="S1022" s="4">
        <f>Tableau1_2[[#This Row],[Marge]]/Tableau1_2[[#This Row],[CA]]</f>
        <v>0.34666666666666668</v>
      </c>
      <c r="T1022" t="str">
        <f>TEXT(Tableau1_2[[#This Row],[Date]],"mmmm")</f>
        <v>décembre</v>
      </c>
    </row>
    <row r="1023" spans="1:20" x14ac:dyDescent="0.35">
      <c r="A1023" t="s">
        <v>1971</v>
      </c>
      <c r="B1023" s="2">
        <v>46056</v>
      </c>
      <c r="C1023" t="s">
        <v>1759</v>
      </c>
      <c r="D1023" t="s">
        <v>549</v>
      </c>
      <c r="E1023" t="s">
        <v>18</v>
      </c>
      <c r="F1023" t="s">
        <v>18</v>
      </c>
      <c r="G1023" t="s">
        <v>43</v>
      </c>
      <c r="H1023" t="s">
        <v>44</v>
      </c>
      <c r="I1023">
        <v>5</v>
      </c>
      <c r="J1023">
        <v>15000</v>
      </c>
      <c r="K1023">
        <v>9800</v>
      </c>
      <c r="L1023" t="s">
        <v>66</v>
      </c>
      <c r="M1023" t="s">
        <v>51</v>
      </c>
      <c r="N1023" t="s">
        <v>23</v>
      </c>
      <c r="O1023" t="s">
        <v>24</v>
      </c>
      <c r="P1023">
        <f>Tableau1_2[[#This Row],[Quantité]]*Tableau1_2[[#This Row],[Prix_Unitaire]]</f>
        <v>75000</v>
      </c>
      <c r="Q1023">
        <f>Tableau1_2[[#This Row],[Quantité]]*Tableau1_2[[#This Row],[Coût_Unitaire]]</f>
        <v>49000</v>
      </c>
      <c r="R1023">
        <f>Tableau1_2[[#This Row],[CA]]-Tableau1_2[[#This Row],[Cout Total]]</f>
        <v>26000</v>
      </c>
      <c r="S1023" s="4">
        <f>Tableau1_2[[#This Row],[Marge]]/Tableau1_2[[#This Row],[CA]]</f>
        <v>0.34666666666666668</v>
      </c>
      <c r="T1023" t="str">
        <f>TEXT(Tableau1_2[[#This Row],[Date]],"mmmm")</f>
        <v>février</v>
      </c>
    </row>
    <row r="1024" spans="1:20" x14ac:dyDescent="0.35">
      <c r="A1024" t="s">
        <v>1972</v>
      </c>
      <c r="B1024" s="2">
        <v>46231</v>
      </c>
      <c r="C1024" t="s">
        <v>598</v>
      </c>
      <c r="D1024" t="s">
        <v>348</v>
      </c>
      <c r="E1024" t="s">
        <v>190</v>
      </c>
      <c r="F1024" t="s">
        <v>191</v>
      </c>
      <c r="G1024" t="s">
        <v>34</v>
      </c>
      <c r="H1024" t="s">
        <v>141</v>
      </c>
      <c r="I1024">
        <v>6</v>
      </c>
      <c r="J1024">
        <v>160000</v>
      </c>
      <c r="K1024">
        <v>120000</v>
      </c>
      <c r="L1024" t="s">
        <v>96</v>
      </c>
      <c r="M1024" t="s">
        <v>31</v>
      </c>
      <c r="N1024" t="s">
        <v>52</v>
      </c>
      <c r="O1024" t="s">
        <v>24</v>
      </c>
      <c r="P1024">
        <f>Tableau1_2[[#This Row],[Quantité]]*Tableau1_2[[#This Row],[Prix_Unitaire]]</f>
        <v>960000</v>
      </c>
      <c r="Q1024">
        <f>Tableau1_2[[#This Row],[Quantité]]*Tableau1_2[[#This Row],[Coût_Unitaire]]</f>
        <v>720000</v>
      </c>
      <c r="R1024">
        <f>Tableau1_2[[#This Row],[CA]]-Tableau1_2[[#This Row],[Cout Total]]</f>
        <v>240000</v>
      </c>
      <c r="S1024" s="4">
        <f>Tableau1_2[[#This Row],[Marge]]/Tableau1_2[[#This Row],[CA]]</f>
        <v>0.25</v>
      </c>
      <c r="T1024" t="str">
        <f>TEXT(Tableau1_2[[#This Row],[Date]],"mmmm")</f>
        <v>juillet</v>
      </c>
    </row>
    <row r="1025" spans="1:20" x14ac:dyDescent="0.35">
      <c r="A1025" t="s">
        <v>1973</v>
      </c>
      <c r="B1025" s="2">
        <v>46142</v>
      </c>
      <c r="C1025" t="s">
        <v>175</v>
      </c>
      <c r="D1025" t="s">
        <v>327</v>
      </c>
      <c r="E1025" t="s">
        <v>84</v>
      </c>
      <c r="F1025" t="s">
        <v>85</v>
      </c>
      <c r="G1025" t="s">
        <v>43</v>
      </c>
      <c r="H1025" t="s">
        <v>49</v>
      </c>
      <c r="I1025">
        <v>4</v>
      </c>
      <c r="J1025">
        <v>9400</v>
      </c>
      <c r="K1025">
        <v>5600</v>
      </c>
      <c r="L1025" t="s">
        <v>66</v>
      </c>
      <c r="M1025" t="s">
        <v>22</v>
      </c>
      <c r="N1025" t="s">
        <v>23</v>
      </c>
      <c r="O1025" t="s">
        <v>24</v>
      </c>
      <c r="P1025">
        <f>Tableau1_2[[#This Row],[Quantité]]*Tableau1_2[[#This Row],[Prix_Unitaire]]</f>
        <v>37600</v>
      </c>
      <c r="Q1025">
        <f>Tableau1_2[[#This Row],[Quantité]]*Tableau1_2[[#This Row],[Coût_Unitaire]]</f>
        <v>22400</v>
      </c>
      <c r="R1025">
        <f>Tableau1_2[[#This Row],[CA]]-Tableau1_2[[#This Row],[Cout Total]]</f>
        <v>15200</v>
      </c>
      <c r="S1025" s="4">
        <f>Tableau1_2[[#This Row],[Marge]]/Tableau1_2[[#This Row],[CA]]</f>
        <v>0.40425531914893614</v>
      </c>
      <c r="T1025" t="str">
        <f>TEXT(Tableau1_2[[#This Row],[Date]],"mmmm")</f>
        <v>avril</v>
      </c>
    </row>
    <row r="1026" spans="1:20" x14ac:dyDescent="0.35">
      <c r="A1026" t="s">
        <v>1974</v>
      </c>
      <c r="B1026" s="2">
        <v>46152</v>
      </c>
      <c r="C1026" t="s">
        <v>1693</v>
      </c>
      <c r="D1026" t="s">
        <v>636</v>
      </c>
      <c r="E1026" t="s">
        <v>156</v>
      </c>
      <c r="F1026" t="s">
        <v>170</v>
      </c>
      <c r="G1026" t="s">
        <v>34</v>
      </c>
      <c r="H1026" t="s">
        <v>141</v>
      </c>
      <c r="I1026">
        <v>10</v>
      </c>
      <c r="J1026">
        <v>160000</v>
      </c>
      <c r="K1026">
        <v>116400</v>
      </c>
      <c r="L1026" t="s">
        <v>96</v>
      </c>
      <c r="M1026" t="s">
        <v>31</v>
      </c>
      <c r="N1026" t="s">
        <v>52</v>
      </c>
      <c r="O1026" t="s">
        <v>24</v>
      </c>
      <c r="P1026">
        <f>Tableau1_2[[#This Row],[Quantité]]*Tableau1_2[[#This Row],[Prix_Unitaire]]</f>
        <v>1600000</v>
      </c>
      <c r="Q1026">
        <f>Tableau1_2[[#This Row],[Quantité]]*Tableau1_2[[#This Row],[Coût_Unitaire]]</f>
        <v>1164000</v>
      </c>
      <c r="R1026">
        <f>Tableau1_2[[#This Row],[CA]]-Tableau1_2[[#This Row],[Cout Total]]</f>
        <v>436000</v>
      </c>
      <c r="S1026" s="4">
        <f>Tableau1_2[[#This Row],[Marge]]/Tableau1_2[[#This Row],[CA]]</f>
        <v>0.27250000000000002</v>
      </c>
      <c r="T1026" t="str">
        <f>TEXT(Tableau1_2[[#This Row],[Date]],"mmmm")</f>
        <v>mai</v>
      </c>
    </row>
    <row r="1027" spans="1:20" x14ac:dyDescent="0.35">
      <c r="A1027" t="s">
        <v>1975</v>
      </c>
      <c r="B1027" s="2">
        <v>46296</v>
      </c>
      <c r="C1027" t="s">
        <v>733</v>
      </c>
      <c r="D1027" t="s">
        <v>764</v>
      </c>
      <c r="E1027" t="s">
        <v>190</v>
      </c>
      <c r="F1027" t="s">
        <v>191</v>
      </c>
      <c r="G1027" t="s">
        <v>34</v>
      </c>
      <c r="H1027" t="s">
        <v>158</v>
      </c>
      <c r="I1027">
        <v>4</v>
      </c>
      <c r="J1027">
        <v>95000</v>
      </c>
      <c r="K1027">
        <v>70000</v>
      </c>
      <c r="L1027" t="s">
        <v>66</v>
      </c>
      <c r="M1027" t="s">
        <v>51</v>
      </c>
      <c r="N1027" t="s">
        <v>23</v>
      </c>
      <c r="O1027" t="s">
        <v>45</v>
      </c>
      <c r="P1027">
        <f>Tableau1_2[[#This Row],[Quantité]]*Tableau1_2[[#This Row],[Prix_Unitaire]]</f>
        <v>380000</v>
      </c>
      <c r="Q1027">
        <f>Tableau1_2[[#This Row],[Quantité]]*Tableau1_2[[#This Row],[Coût_Unitaire]]</f>
        <v>280000</v>
      </c>
      <c r="R1027">
        <f>Tableau1_2[[#This Row],[CA]]-Tableau1_2[[#This Row],[Cout Total]]</f>
        <v>100000</v>
      </c>
      <c r="S1027" s="4">
        <f>Tableau1_2[[#This Row],[Marge]]/Tableau1_2[[#This Row],[CA]]</f>
        <v>0.26315789473684209</v>
      </c>
      <c r="T1027" t="str">
        <f>TEXT(Tableau1_2[[#This Row],[Date]],"mmmm")</f>
        <v>octobre</v>
      </c>
    </row>
    <row r="1028" spans="1:20" x14ac:dyDescent="0.35">
      <c r="A1028" t="s">
        <v>1976</v>
      </c>
      <c r="B1028" s="2">
        <v>46334</v>
      </c>
      <c r="C1028" t="s">
        <v>1661</v>
      </c>
      <c r="D1028" t="s">
        <v>889</v>
      </c>
      <c r="E1028" t="s">
        <v>18</v>
      </c>
      <c r="F1028" t="s">
        <v>18</v>
      </c>
      <c r="G1028" t="s">
        <v>19</v>
      </c>
      <c r="H1028" t="s">
        <v>112</v>
      </c>
      <c r="I1028">
        <v>8</v>
      </c>
      <c r="J1028">
        <v>85000</v>
      </c>
      <c r="K1028">
        <v>60100</v>
      </c>
      <c r="L1028" t="s">
        <v>21</v>
      </c>
      <c r="M1028" t="s">
        <v>31</v>
      </c>
      <c r="N1028" t="s">
        <v>52</v>
      </c>
      <c r="O1028" t="s">
        <v>24</v>
      </c>
      <c r="P1028">
        <f>Tableau1_2[[#This Row],[Quantité]]*Tableau1_2[[#This Row],[Prix_Unitaire]]</f>
        <v>680000</v>
      </c>
      <c r="Q1028">
        <f>Tableau1_2[[#This Row],[Quantité]]*Tableau1_2[[#This Row],[Coût_Unitaire]]</f>
        <v>480800</v>
      </c>
      <c r="R1028">
        <f>Tableau1_2[[#This Row],[CA]]-Tableau1_2[[#This Row],[Cout Total]]</f>
        <v>199200</v>
      </c>
      <c r="S1028" s="4">
        <f>Tableau1_2[[#This Row],[Marge]]/Tableau1_2[[#This Row],[CA]]</f>
        <v>0.29294117647058826</v>
      </c>
      <c r="T1028" t="str">
        <f>TEXT(Tableau1_2[[#This Row],[Date]],"mmmm")</f>
        <v>novembre</v>
      </c>
    </row>
    <row r="1029" spans="1:20" x14ac:dyDescent="0.35">
      <c r="A1029" t="s">
        <v>1977</v>
      </c>
      <c r="B1029" s="2">
        <v>46107</v>
      </c>
      <c r="C1029" t="s">
        <v>1131</v>
      </c>
      <c r="D1029" t="s">
        <v>953</v>
      </c>
      <c r="E1029" t="s">
        <v>70</v>
      </c>
      <c r="F1029" t="s">
        <v>71</v>
      </c>
      <c r="G1029" t="s">
        <v>19</v>
      </c>
      <c r="H1029" t="s">
        <v>112</v>
      </c>
      <c r="I1029">
        <v>1</v>
      </c>
      <c r="J1029">
        <v>80800</v>
      </c>
      <c r="K1029">
        <v>60100</v>
      </c>
      <c r="L1029" t="s">
        <v>73</v>
      </c>
      <c r="M1029" t="s">
        <v>37</v>
      </c>
      <c r="N1029" t="s">
        <v>23</v>
      </c>
      <c r="O1029" t="s">
        <v>24</v>
      </c>
      <c r="P1029">
        <f>Tableau1_2[[#This Row],[Quantité]]*Tableau1_2[[#This Row],[Prix_Unitaire]]</f>
        <v>80800</v>
      </c>
      <c r="Q1029">
        <f>Tableau1_2[[#This Row],[Quantité]]*Tableau1_2[[#This Row],[Coût_Unitaire]]</f>
        <v>60100</v>
      </c>
      <c r="R1029">
        <f>Tableau1_2[[#This Row],[CA]]-Tableau1_2[[#This Row],[Cout Total]]</f>
        <v>20700</v>
      </c>
      <c r="S1029" s="4">
        <f>Tableau1_2[[#This Row],[Marge]]/Tableau1_2[[#This Row],[CA]]</f>
        <v>0.25618811881188119</v>
      </c>
      <c r="T1029" t="str">
        <f>TEXT(Tableau1_2[[#This Row],[Date]],"mmmm")</f>
        <v>mars</v>
      </c>
    </row>
    <row r="1030" spans="1:20" x14ac:dyDescent="0.35">
      <c r="A1030" t="s">
        <v>1978</v>
      </c>
      <c r="B1030" s="2">
        <v>46172</v>
      </c>
      <c r="C1030" t="s">
        <v>735</v>
      </c>
      <c r="D1030" t="s">
        <v>779</v>
      </c>
      <c r="E1030" t="s">
        <v>56</v>
      </c>
      <c r="F1030" t="s">
        <v>57</v>
      </c>
      <c r="G1030" t="s">
        <v>43</v>
      </c>
      <c r="H1030" t="s">
        <v>177</v>
      </c>
      <c r="I1030">
        <v>5</v>
      </c>
      <c r="J1030">
        <v>17100</v>
      </c>
      <c r="K1030">
        <v>12900</v>
      </c>
      <c r="L1030" t="s">
        <v>50</v>
      </c>
      <c r="M1030" t="s">
        <v>31</v>
      </c>
      <c r="N1030" t="s">
        <v>87</v>
      </c>
      <c r="O1030" t="s">
        <v>24</v>
      </c>
      <c r="P1030">
        <f>Tableau1_2[[#This Row],[Quantité]]*Tableau1_2[[#This Row],[Prix_Unitaire]]</f>
        <v>85500</v>
      </c>
      <c r="Q1030">
        <f>Tableau1_2[[#This Row],[Quantité]]*Tableau1_2[[#This Row],[Coût_Unitaire]]</f>
        <v>64500</v>
      </c>
      <c r="R1030">
        <f>Tableau1_2[[#This Row],[CA]]-Tableau1_2[[#This Row],[Cout Total]]</f>
        <v>21000</v>
      </c>
      <c r="S1030" s="4">
        <f>Tableau1_2[[#This Row],[Marge]]/Tableau1_2[[#This Row],[CA]]</f>
        <v>0.24561403508771928</v>
      </c>
      <c r="T1030" t="str">
        <f>TEXT(Tableau1_2[[#This Row],[Date]],"mmmm")</f>
        <v>mai</v>
      </c>
    </row>
    <row r="1031" spans="1:20" x14ac:dyDescent="0.35">
      <c r="A1031" t="s">
        <v>1979</v>
      </c>
      <c r="B1031" s="2">
        <v>46068</v>
      </c>
      <c r="C1031" t="s">
        <v>683</v>
      </c>
      <c r="D1031" t="s">
        <v>241</v>
      </c>
      <c r="E1031" t="s">
        <v>77</v>
      </c>
      <c r="F1031" t="s">
        <v>78</v>
      </c>
      <c r="G1031" t="s">
        <v>34</v>
      </c>
      <c r="H1031" t="s">
        <v>35</v>
      </c>
      <c r="I1031">
        <v>6</v>
      </c>
      <c r="J1031">
        <v>52200</v>
      </c>
      <c r="K1031">
        <v>39000</v>
      </c>
      <c r="L1031" t="s">
        <v>21</v>
      </c>
      <c r="M1031" t="s">
        <v>37</v>
      </c>
      <c r="N1031" t="s">
        <v>52</v>
      </c>
      <c r="O1031" t="s">
        <v>24</v>
      </c>
      <c r="P1031">
        <f>Tableau1_2[[#This Row],[Quantité]]*Tableau1_2[[#This Row],[Prix_Unitaire]]</f>
        <v>313200</v>
      </c>
      <c r="Q1031">
        <f>Tableau1_2[[#This Row],[Quantité]]*Tableau1_2[[#This Row],[Coût_Unitaire]]</f>
        <v>234000</v>
      </c>
      <c r="R1031">
        <f>Tableau1_2[[#This Row],[CA]]-Tableau1_2[[#This Row],[Cout Total]]</f>
        <v>79200</v>
      </c>
      <c r="S1031" s="4">
        <f>Tableau1_2[[#This Row],[Marge]]/Tableau1_2[[#This Row],[CA]]</f>
        <v>0.25287356321839083</v>
      </c>
      <c r="T1031" t="str">
        <f>TEXT(Tableau1_2[[#This Row],[Date]],"mmmm")</f>
        <v>février</v>
      </c>
    </row>
    <row r="1032" spans="1:20" x14ac:dyDescent="0.35">
      <c r="A1032" t="s">
        <v>1980</v>
      </c>
      <c r="B1032" s="2">
        <v>46110</v>
      </c>
      <c r="C1032" t="s">
        <v>559</v>
      </c>
      <c r="D1032" t="s">
        <v>705</v>
      </c>
      <c r="E1032" t="s">
        <v>41</v>
      </c>
      <c r="F1032" t="s">
        <v>42</v>
      </c>
      <c r="G1032" t="s">
        <v>43</v>
      </c>
      <c r="H1032" t="s">
        <v>162</v>
      </c>
      <c r="I1032">
        <v>9</v>
      </c>
      <c r="J1032">
        <v>8400</v>
      </c>
      <c r="K1032">
        <v>4800</v>
      </c>
      <c r="L1032" t="s">
        <v>73</v>
      </c>
      <c r="M1032" t="s">
        <v>37</v>
      </c>
      <c r="N1032" t="s">
        <v>23</v>
      </c>
      <c r="O1032" t="s">
        <v>24</v>
      </c>
      <c r="P1032">
        <f>Tableau1_2[[#This Row],[Quantité]]*Tableau1_2[[#This Row],[Prix_Unitaire]]</f>
        <v>75600</v>
      </c>
      <c r="Q1032">
        <f>Tableau1_2[[#This Row],[Quantité]]*Tableau1_2[[#This Row],[Coût_Unitaire]]</f>
        <v>43200</v>
      </c>
      <c r="R1032">
        <f>Tableau1_2[[#This Row],[CA]]-Tableau1_2[[#This Row],[Cout Total]]</f>
        <v>32400</v>
      </c>
      <c r="S1032" s="4">
        <f>Tableau1_2[[#This Row],[Marge]]/Tableau1_2[[#This Row],[CA]]</f>
        <v>0.42857142857142855</v>
      </c>
      <c r="T1032" t="str">
        <f>TEXT(Tableau1_2[[#This Row],[Date]],"mmmm")</f>
        <v>mars</v>
      </c>
    </row>
    <row r="1033" spans="1:20" x14ac:dyDescent="0.35">
      <c r="A1033" t="s">
        <v>1981</v>
      </c>
      <c r="B1033" s="2">
        <v>46183</v>
      </c>
      <c r="C1033" t="s">
        <v>1138</v>
      </c>
      <c r="D1033" t="s">
        <v>1982</v>
      </c>
      <c r="E1033" t="s">
        <v>18</v>
      </c>
      <c r="F1033" t="s">
        <v>18</v>
      </c>
      <c r="G1033" t="s">
        <v>43</v>
      </c>
      <c r="H1033" t="s">
        <v>162</v>
      </c>
      <c r="I1033">
        <v>9</v>
      </c>
      <c r="J1033">
        <v>7600</v>
      </c>
      <c r="K1033">
        <v>4800</v>
      </c>
      <c r="L1033" t="s">
        <v>96</v>
      </c>
      <c r="M1033" t="s">
        <v>31</v>
      </c>
      <c r="N1033" t="s">
        <v>52</v>
      </c>
      <c r="O1033" t="s">
        <v>24</v>
      </c>
      <c r="P1033">
        <f>Tableau1_2[[#This Row],[Quantité]]*Tableau1_2[[#This Row],[Prix_Unitaire]]</f>
        <v>68400</v>
      </c>
      <c r="Q1033">
        <f>Tableau1_2[[#This Row],[Quantité]]*Tableau1_2[[#This Row],[Coût_Unitaire]]</f>
        <v>43200</v>
      </c>
      <c r="R1033">
        <f>Tableau1_2[[#This Row],[CA]]-Tableau1_2[[#This Row],[Cout Total]]</f>
        <v>25200</v>
      </c>
      <c r="S1033" s="4">
        <f>Tableau1_2[[#This Row],[Marge]]/Tableau1_2[[#This Row],[CA]]</f>
        <v>0.36842105263157893</v>
      </c>
      <c r="T1033" t="str">
        <f>TEXT(Tableau1_2[[#This Row],[Date]],"mmmm")</f>
        <v>juin</v>
      </c>
    </row>
    <row r="1034" spans="1:20" x14ac:dyDescent="0.35">
      <c r="A1034" t="s">
        <v>1983</v>
      </c>
      <c r="B1034" s="2">
        <v>46248</v>
      </c>
      <c r="C1034" t="s">
        <v>1442</v>
      </c>
      <c r="D1034" t="s">
        <v>1412</v>
      </c>
      <c r="E1034" t="s">
        <v>56</v>
      </c>
      <c r="F1034" t="s">
        <v>57</v>
      </c>
      <c r="G1034" t="s">
        <v>34</v>
      </c>
      <c r="H1034" t="s">
        <v>86</v>
      </c>
      <c r="I1034">
        <v>9</v>
      </c>
      <c r="J1034">
        <v>180000</v>
      </c>
      <c r="K1034">
        <v>131000</v>
      </c>
      <c r="L1034" t="s">
        <v>96</v>
      </c>
      <c r="M1034" t="s">
        <v>51</v>
      </c>
      <c r="N1034" t="s">
        <v>23</v>
      </c>
      <c r="O1034" t="s">
        <v>24</v>
      </c>
      <c r="P1034">
        <f>Tableau1_2[[#This Row],[Quantité]]*Tableau1_2[[#This Row],[Prix_Unitaire]]</f>
        <v>1620000</v>
      </c>
      <c r="Q1034">
        <f>Tableau1_2[[#This Row],[Quantité]]*Tableau1_2[[#This Row],[Coût_Unitaire]]</f>
        <v>1179000</v>
      </c>
      <c r="R1034">
        <f>Tableau1_2[[#This Row],[CA]]-Tableau1_2[[#This Row],[Cout Total]]</f>
        <v>441000</v>
      </c>
      <c r="S1034" s="4">
        <f>Tableau1_2[[#This Row],[Marge]]/Tableau1_2[[#This Row],[CA]]</f>
        <v>0.2722222222222222</v>
      </c>
      <c r="T1034" t="str">
        <f>TEXT(Tableau1_2[[#This Row],[Date]],"mmmm")</f>
        <v>août</v>
      </c>
    </row>
    <row r="1035" spans="1:20" x14ac:dyDescent="0.35">
      <c r="A1035" t="s">
        <v>1984</v>
      </c>
      <c r="B1035" s="2">
        <v>46041</v>
      </c>
      <c r="C1035" t="s">
        <v>1793</v>
      </c>
      <c r="D1035" t="s">
        <v>351</v>
      </c>
      <c r="E1035" t="s">
        <v>190</v>
      </c>
      <c r="F1035" t="s">
        <v>191</v>
      </c>
      <c r="G1035" t="s">
        <v>43</v>
      </c>
      <c r="H1035" t="s">
        <v>49</v>
      </c>
      <c r="I1035">
        <v>1</v>
      </c>
      <c r="J1035">
        <v>9000</v>
      </c>
      <c r="K1035">
        <v>5800</v>
      </c>
      <c r="L1035" t="s">
        <v>30</v>
      </c>
      <c r="M1035" t="s">
        <v>51</v>
      </c>
      <c r="N1035" t="s">
        <v>23</v>
      </c>
      <c r="O1035" t="s">
        <v>24</v>
      </c>
      <c r="P1035">
        <f>Tableau1_2[[#This Row],[Quantité]]*Tableau1_2[[#This Row],[Prix_Unitaire]]</f>
        <v>9000</v>
      </c>
      <c r="Q1035">
        <f>Tableau1_2[[#This Row],[Quantité]]*Tableau1_2[[#This Row],[Coût_Unitaire]]</f>
        <v>5800</v>
      </c>
      <c r="R1035">
        <f>Tableau1_2[[#This Row],[CA]]-Tableau1_2[[#This Row],[Cout Total]]</f>
        <v>3200</v>
      </c>
      <c r="S1035" s="4">
        <f>Tableau1_2[[#This Row],[Marge]]/Tableau1_2[[#This Row],[CA]]</f>
        <v>0.35555555555555557</v>
      </c>
      <c r="T1035" t="str">
        <f>TEXT(Tableau1_2[[#This Row],[Date]],"mmmm")</f>
        <v>janvier</v>
      </c>
    </row>
    <row r="1036" spans="1:20" x14ac:dyDescent="0.35">
      <c r="A1036" t="s">
        <v>1985</v>
      </c>
      <c r="B1036" s="2">
        <v>46132</v>
      </c>
      <c r="C1036" t="s">
        <v>114</v>
      </c>
      <c r="D1036" t="s">
        <v>1128</v>
      </c>
      <c r="E1036" t="s">
        <v>18</v>
      </c>
      <c r="F1036" t="s">
        <v>18</v>
      </c>
      <c r="G1036" t="s">
        <v>34</v>
      </c>
      <c r="H1036" t="s">
        <v>86</v>
      </c>
      <c r="I1036">
        <v>7</v>
      </c>
      <c r="J1036">
        <v>180000</v>
      </c>
      <c r="K1036">
        <v>135000</v>
      </c>
      <c r="L1036" t="s">
        <v>66</v>
      </c>
      <c r="M1036" t="s">
        <v>37</v>
      </c>
      <c r="N1036" t="s">
        <v>87</v>
      </c>
      <c r="O1036" t="s">
        <v>91</v>
      </c>
      <c r="P1036">
        <f>Tableau1_2[[#This Row],[Quantité]]*Tableau1_2[[#This Row],[Prix_Unitaire]]</f>
        <v>1260000</v>
      </c>
      <c r="Q1036">
        <f>Tableau1_2[[#This Row],[Quantité]]*Tableau1_2[[#This Row],[Coût_Unitaire]]</f>
        <v>945000</v>
      </c>
      <c r="R1036">
        <f>Tableau1_2[[#This Row],[CA]]-Tableau1_2[[#This Row],[Cout Total]]</f>
        <v>315000</v>
      </c>
      <c r="S1036" s="4">
        <f>Tableau1_2[[#This Row],[Marge]]/Tableau1_2[[#This Row],[CA]]</f>
        <v>0.25</v>
      </c>
      <c r="T1036" t="str">
        <f>TEXT(Tableau1_2[[#This Row],[Date]],"mmmm")</f>
        <v>avril</v>
      </c>
    </row>
    <row r="1037" spans="1:20" x14ac:dyDescent="0.35">
      <c r="A1037" t="s">
        <v>1986</v>
      </c>
      <c r="B1037" s="2">
        <v>46060</v>
      </c>
      <c r="C1037" t="s">
        <v>1987</v>
      </c>
      <c r="D1037" t="s">
        <v>922</v>
      </c>
      <c r="E1037" t="s">
        <v>84</v>
      </c>
      <c r="F1037" t="s">
        <v>85</v>
      </c>
      <c r="G1037" t="s">
        <v>19</v>
      </c>
      <c r="H1037" t="s">
        <v>61</v>
      </c>
      <c r="I1037">
        <v>7</v>
      </c>
      <c r="J1037">
        <v>220000</v>
      </c>
      <c r="K1037">
        <v>164800</v>
      </c>
      <c r="L1037" t="s">
        <v>21</v>
      </c>
      <c r="M1037" t="s">
        <v>51</v>
      </c>
      <c r="N1037" t="s">
        <v>52</v>
      </c>
      <c r="O1037" t="s">
        <v>45</v>
      </c>
      <c r="P1037">
        <f>Tableau1_2[[#This Row],[Quantité]]*Tableau1_2[[#This Row],[Prix_Unitaire]]</f>
        <v>1540000</v>
      </c>
      <c r="Q1037">
        <f>Tableau1_2[[#This Row],[Quantité]]*Tableau1_2[[#This Row],[Coût_Unitaire]]</f>
        <v>1153600</v>
      </c>
      <c r="R1037">
        <f>Tableau1_2[[#This Row],[CA]]-Tableau1_2[[#This Row],[Cout Total]]</f>
        <v>386400</v>
      </c>
      <c r="S1037" s="4">
        <f>Tableau1_2[[#This Row],[Marge]]/Tableau1_2[[#This Row],[CA]]</f>
        <v>0.25090909090909091</v>
      </c>
      <c r="T1037" t="str">
        <f>TEXT(Tableau1_2[[#This Row],[Date]],"mmmm")</f>
        <v>février</v>
      </c>
    </row>
    <row r="1038" spans="1:20" x14ac:dyDescent="0.35">
      <c r="A1038" t="s">
        <v>1988</v>
      </c>
      <c r="B1038" s="2">
        <v>46104</v>
      </c>
      <c r="C1038" t="s">
        <v>1479</v>
      </c>
      <c r="D1038" t="s">
        <v>1439</v>
      </c>
      <c r="E1038" t="s">
        <v>84</v>
      </c>
      <c r="F1038" t="s">
        <v>85</v>
      </c>
      <c r="G1038" t="s">
        <v>34</v>
      </c>
      <c r="H1038" t="s">
        <v>158</v>
      </c>
      <c r="I1038">
        <v>9</v>
      </c>
      <c r="J1038">
        <v>99800</v>
      </c>
      <c r="K1038">
        <v>67900</v>
      </c>
      <c r="L1038" t="s">
        <v>80</v>
      </c>
      <c r="M1038" t="s">
        <v>31</v>
      </c>
      <c r="N1038" t="s">
        <v>52</v>
      </c>
      <c r="O1038" t="s">
        <v>24</v>
      </c>
      <c r="P1038">
        <f>Tableau1_2[[#This Row],[Quantité]]*Tableau1_2[[#This Row],[Prix_Unitaire]]</f>
        <v>898200</v>
      </c>
      <c r="Q1038">
        <f>Tableau1_2[[#This Row],[Quantité]]*Tableau1_2[[#This Row],[Coût_Unitaire]]</f>
        <v>611100</v>
      </c>
      <c r="R1038">
        <f>Tableau1_2[[#This Row],[CA]]-Tableau1_2[[#This Row],[Cout Total]]</f>
        <v>287100</v>
      </c>
      <c r="S1038" s="4">
        <f>Tableau1_2[[#This Row],[Marge]]/Tableau1_2[[#This Row],[CA]]</f>
        <v>0.31963927855711421</v>
      </c>
      <c r="T1038" t="str">
        <f>TEXT(Tableau1_2[[#This Row],[Date]],"mmmm")</f>
        <v>mars</v>
      </c>
    </row>
    <row r="1039" spans="1:20" x14ac:dyDescent="0.35">
      <c r="A1039" t="s">
        <v>1989</v>
      </c>
      <c r="B1039" s="2">
        <v>46031</v>
      </c>
      <c r="C1039" t="s">
        <v>774</v>
      </c>
      <c r="D1039" t="s">
        <v>1396</v>
      </c>
      <c r="E1039" t="s">
        <v>190</v>
      </c>
      <c r="F1039" t="s">
        <v>191</v>
      </c>
      <c r="G1039" t="s">
        <v>34</v>
      </c>
      <c r="H1039" t="s">
        <v>95</v>
      </c>
      <c r="I1039">
        <v>9</v>
      </c>
      <c r="J1039">
        <v>450000</v>
      </c>
      <c r="K1039">
        <v>381100</v>
      </c>
      <c r="L1039" t="s">
        <v>66</v>
      </c>
      <c r="M1039" t="s">
        <v>22</v>
      </c>
      <c r="N1039" t="s">
        <v>52</v>
      </c>
      <c r="O1039" t="s">
        <v>24</v>
      </c>
      <c r="P1039">
        <f>Tableau1_2[[#This Row],[Quantité]]*Tableau1_2[[#This Row],[Prix_Unitaire]]</f>
        <v>4050000</v>
      </c>
      <c r="Q1039">
        <f>Tableau1_2[[#This Row],[Quantité]]*Tableau1_2[[#This Row],[Coût_Unitaire]]</f>
        <v>3429900</v>
      </c>
      <c r="R1039">
        <f>Tableau1_2[[#This Row],[CA]]-Tableau1_2[[#This Row],[Cout Total]]</f>
        <v>620100</v>
      </c>
      <c r="S1039" s="4">
        <f>Tableau1_2[[#This Row],[Marge]]/Tableau1_2[[#This Row],[CA]]</f>
        <v>0.15311111111111111</v>
      </c>
      <c r="T1039" t="str">
        <f>TEXT(Tableau1_2[[#This Row],[Date]],"mmmm")</f>
        <v>janvier</v>
      </c>
    </row>
    <row r="1040" spans="1:20" x14ac:dyDescent="0.35">
      <c r="A1040" t="s">
        <v>1990</v>
      </c>
      <c r="B1040" s="2">
        <v>46322</v>
      </c>
      <c r="C1040" t="s">
        <v>133</v>
      </c>
      <c r="D1040" t="s">
        <v>465</v>
      </c>
      <c r="E1040" t="s">
        <v>56</v>
      </c>
      <c r="F1040" t="s">
        <v>57</v>
      </c>
      <c r="G1040" t="s">
        <v>34</v>
      </c>
      <c r="H1040" t="s">
        <v>86</v>
      </c>
      <c r="I1040">
        <v>4</v>
      </c>
      <c r="J1040">
        <v>180000</v>
      </c>
      <c r="K1040">
        <v>131000</v>
      </c>
      <c r="L1040" t="s">
        <v>66</v>
      </c>
      <c r="M1040" t="s">
        <v>37</v>
      </c>
      <c r="N1040" t="s">
        <v>52</v>
      </c>
      <c r="O1040" t="s">
        <v>91</v>
      </c>
      <c r="P1040">
        <f>Tableau1_2[[#This Row],[Quantité]]*Tableau1_2[[#This Row],[Prix_Unitaire]]</f>
        <v>720000</v>
      </c>
      <c r="Q1040">
        <f>Tableau1_2[[#This Row],[Quantité]]*Tableau1_2[[#This Row],[Coût_Unitaire]]</f>
        <v>524000</v>
      </c>
      <c r="R1040">
        <f>Tableau1_2[[#This Row],[CA]]-Tableau1_2[[#This Row],[Cout Total]]</f>
        <v>196000</v>
      </c>
      <c r="S1040" s="4">
        <f>Tableau1_2[[#This Row],[Marge]]/Tableau1_2[[#This Row],[CA]]</f>
        <v>0.2722222222222222</v>
      </c>
      <c r="T1040" t="str">
        <f>TEXT(Tableau1_2[[#This Row],[Date]],"mmmm")</f>
        <v>octobre</v>
      </c>
    </row>
    <row r="1041" spans="1:20" x14ac:dyDescent="0.35">
      <c r="A1041" t="s">
        <v>1991</v>
      </c>
      <c r="B1041" s="2">
        <v>46111</v>
      </c>
      <c r="C1041" t="s">
        <v>659</v>
      </c>
      <c r="D1041" t="s">
        <v>356</v>
      </c>
      <c r="E1041" t="s">
        <v>18</v>
      </c>
      <c r="F1041" t="s">
        <v>18</v>
      </c>
      <c r="G1041" t="s">
        <v>43</v>
      </c>
      <c r="H1041" t="s">
        <v>162</v>
      </c>
      <c r="I1041">
        <v>5</v>
      </c>
      <c r="J1041">
        <v>8000</v>
      </c>
      <c r="K1041">
        <v>5000</v>
      </c>
      <c r="L1041" t="s">
        <v>80</v>
      </c>
      <c r="M1041" t="s">
        <v>51</v>
      </c>
      <c r="N1041" t="s">
        <v>23</v>
      </c>
      <c r="O1041" t="s">
        <v>24</v>
      </c>
      <c r="P1041">
        <f>Tableau1_2[[#This Row],[Quantité]]*Tableau1_2[[#This Row],[Prix_Unitaire]]</f>
        <v>40000</v>
      </c>
      <c r="Q1041">
        <f>Tableau1_2[[#This Row],[Quantité]]*Tableau1_2[[#This Row],[Coût_Unitaire]]</f>
        <v>25000</v>
      </c>
      <c r="R1041">
        <f>Tableau1_2[[#This Row],[CA]]-Tableau1_2[[#This Row],[Cout Total]]</f>
        <v>15000</v>
      </c>
      <c r="S1041" s="4">
        <f>Tableau1_2[[#This Row],[Marge]]/Tableau1_2[[#This Row],[CA]]</f>
        <v>0.375</v>
      </c>
      <c r="T1041" t="str">
        <f>TEXT(Tableau1_2[[#This Row],[Date]],"mmmm")</f>
        <v>mars</v>
      </c>
    </row>
    <row r="1042" spans="1:20" x14ac:dyDescent="0.35">
      <c r="A1042" t="s">
        <v>1992</v>
      </c>
      <c r="B1042" s="2">
        <v>46155</v>
      </c>
      <c r="C1042" t="s">
        <v>671</v>
      </c>
      <c r="D1042" t="s">
        <v>570</v>
      </c>
      <c r="E1042" t="s">
        <v>156</v>
      </c>
      <c r="F1042" t="s">
        <v>170</v>
      </c>
      <c r="G1042" t="s">
        <v>19</v>
      </c>
      <c r="H1042" t="s">
        <v>166</v>
      </c>
      <c r="I1042">
        <v>2</v>
      </c>
      <c r="J1042">
        <v>147000</v>
      </c>
      <c r="K1042">
        <v>97000</v>
      </c>
      <c r="L1042" t="s">
        <v>21</v>
      </c>
      <c r="M1042" t="s">
        <v>31</v>
      </c>
      <c r="N1042" t="s">
        <v>52</v>
      </c>
      <c r="O1042" t="s">
        <v>24</v>
      </c>
      <c r="P1042">
        <f>Tableau1_2[[#This Row],[Quantité]]*Tableau1_2[[#This Row],[Prix_Unitaire]]</f>
        <v>294000</v>
      </c>
      <c r="Q1042">
        <f>Tableau1_2[[#This Row],[Quantité]]*Tableau1_2[[#This Row],[Coût_Unitaire]]</f>
        <v>194000</v>
      </c>
      <c r="R1042">
        <f>Tableau1_2[[#This Row],[CA]]-Tableau1_2[[#This Row],[Cout Total]]</f>
        <v>100000</v>
      </c>
      <c r="S1042" s="4">
        <f>Tableau1_2[[#This Row],[Marge]]/Tableau1_2[[#This Row],[CA]]</f>
        <v>0.3401360544217687</v>
      </c>
      <c r="T1042" t="str">
        <f>TEXT(Tableau1_2[[#This Row],[Date]],"mmmm")</f>
        <v>mai</v>
      </c>
    </row>
    <row r="1043" spans="1:20" x14ac:dyDescent="0.35">
      <c r="A1043" t="s">
        <v>1993</v>
      </c>
      <c r="B1043" s="2">
        <v>46097</v>
      </c>
      <c r="C1043" t="s">
        <v>1597</v>
      </c>
      <c r="D1043" t="s">
        <v>450</v>
      </c>
      <c r="E1043" t="s">
        <v>18</v>
      </c>
      <c r="F1043" t="s">
        <v>18</v>
      </c>
      <c r="G1043" t="s">
        <v>28</v>
      </c>
      <c r="H1043" t="s">
        <v>248</v>
      </c>
      <c r="I1043">
        <v>10</v>
      </c>
      <c r="J1043">
        <v>23800</v>
      </c>
      <c r="K1043">
        <v>16000</v>
      </c>
      <c r="L1043" t="s">
        <v>21</v>
      </c>
      <c r="M1043" t="s">
        <v>37</v>
      </c>
      <c r="N1043" t="s">
        <v>52</v>
      </c>
      <c r="O1043" t="s">
        <v>24</v>
      </c>
      <c r="P1043">
        <f>Tableau1_2[[#This Row],[Quantité]]*Tableau1_2[[#This Row],[Prix_Unitaire]]</f>
        <v>238000</v>
      </c>
      <c r="Q1043">
        <f>Tableau1_2[[#This Row],[Quantité]]*Tableau1_2[[#This Row],[Coût_Unitaire]]</f>
        <v>160000</v>
      </c>
      <c r="R1043">
        <f>Tableau1_2[[#This Row],[CA]]-Tableau1_2[[#This Row],[Cout Total]]</f>
        <v>78000</v>
      </c>
      <c r="S1043" s="4">
        <f>Tableau1_2[[#This Row],[Marge]]/Tableau1_2[[#This Row],[CA]]</f>
        <v>0.32773109243697479</v>
      </c>
      <c r="T1043" t="str">
        <f>TEXT(Tableau1_2[[#This Row],[Date]],"mmmm")</f>
        <v>mars</v>
      </c>
    </row>
    <row r="1044" spans="1:20" x14ac:dyDescent="0.35">
      <c r="A1044" t="s">
        <v>1994</v>
      </c>
      <c r="B1044" s="2">
        <v>46208</v>
      </c>
      <c r="C1044" t="s">
        <v>588</v>
      </c>
      <c r="D1044" t="s">
        <v>1361</v>
      </c>
      <c r="E1044" t="s">
        <v>41</v>
      </c>
      <c r="F1044" t="s">
        <v>42</v>
      </c>
      <c r="G1044" t="s">
        <v>28</v>
      </c>
      <c r="H1044" t="s">
        <v>29</v>
      </c>
      <c r="I1044">
        <v>3</v>
      </c>
      <c r="J1044">
        <v>7000</v>
      </c>
      <c r="K1044">
        <v>4000</v>
      </c>
      <c r="L1044" t="s">
        <v>30</v>
      </c>
      <c r="M1044" t="s">
        <v>22</v>
      </c>
      <c r="N1044" t="s">
        <v>23</v>
      </c>
      <c r="O1044" t="s">
        <v>24</v>
      </c>
      <c r="P1044">
        <f>Tableau1_2[[#This Row],[Quantité]]*Tableau1_2[[#This Row],[Prix_Unitaire]]</f>
        <v>21000</v>
      </c>
      <c r="Q1044">
        <f>Tableau1_2[[#This Row],[Quantité]]*Tableau1_2[[#This Row],[Coût_Unitaire]]</f>
        <v>12000</v>
      </c>
      <c r="R1044">
        <f>Tableau1_2[[#This Row],[CA]]-Tableau1_2[[#This Row],[Cout Total]]</f>
        <v>9000</v>
      </c>
      <c r="S1044" s="4">
        <f>Tableau1_2[[#This Row],[Marge]]/Tableau1_2[[#This Row],[CA]]</f>
        <v>0.42857142857142855</v>
      </c>
      <c r="T1044" t="str">
        <f>TEXT(Tableau1_2[[#This Row],[Date]],"mmmm")</f>
        <v>juillet</v>
      </c>
    </row>
    <row r="1045" spans="1:20" x14ac:dyDescent="0.35">
      <c r="A1045" t="s">
        <v>1995</v>
      </c>
      <c r="B1045" s="2">
        <v>46122</v>
      </c>
      <c r="C1045" t="s">
        <v>635</v>
      </c>
      <c r="D1045" t="s">
        <v>1000</v>
      </c>
      <c r="E1045" t="s">
        <v>18</v>
      </c>
      <c r="F1045" t="s">
        <v>18</v>
      </c>
      <c r="G1045" t="s">
        <v>43</v>
      </c>
      <c r="H1045" t="s">
        <v>162</v>
      </c>
      <c r="I1045">
        <v>7</v>
      </c>
      <c r="J1045">
        <v>7600</v>
      </c>
      <c r="K1045">
        <v>5200</v>
      </c>
      <c r="L1045" t="s">
        <v>50</v>
      </c>
      <c r="M1045" t="s">
        <v>37</v>
      </c>
      <c r="N1045" t="s">
        <v>52</v>
      </c>
      <c r="O1045" t="s">
        <v>24</v>
      </c>
      <c r="P1045">
        <f>Tableau1_2[[#This Row],[Quantité]]*Tableau1_2[[#This Row],[Prix_Unitaire]]</f>
        <v>53200</v>
      </c>
      <c r="Q1045">
        <f>Tableau1_2[[#This Row],[Quantité]]*Tableau1_2[[#This Row],[Coût_Unitaire]]</f>
        <v>36400</v>
      </c>
      <c r="R1045">
        <f>Tableau1_2[[#This Row],[CA]]-Tableau1_2[[#This Row],[Cout Total]]</f>
        <v>16800</v>
      </c>
      <c r="S1045" s="4">
        <f>Tableau1_2[[#This Row],[Marge]]/Tableau1_2[[#This Row],[CA]]</f>
        <v>0.31578947368421051</v>
      </c>
      <c r="T1045" t="str">
        <f>TEXT(Tableau1_2[[#This Row],[Date]],"mmmm")</f>
        <v>avril</v>
      </c>
    </row>
    <row r="1046" spans="1:20" x14ac:dyDescent="0.35">
      <c r="A1046" t="s">
        <v>1996</v>
      </c>
      <c r="B1046" s="2">
        <v>46130</v>
      </c>
      <c r="C1046" t="s">
        <v>621</v>
      </c>
      <c r="D1046" t="s">
        <v>1997</v>
      </c>
      <c r="E1046" t="s">
        <v>84</v>
      </c>
      <c r="F1046" t="s">
        <v>85</v>
      </c>
      <c r="G1046" t="s">
        <v>19</v>
      </c>
      <c r="H1046" t="s">
        <v>166</v>
      </c>
      <c r="I1046">
        <v>5</v>
      </c>
      <c r="J1046">
        <v>147000</v>
      </c>
      <c r="K1046">
        <v>100000</v>
      </c>
      <c r="L1046" t="s">
        <v>36</v>
      </c>
      <c r="M1046" t="s">
        <v>22</v>
      </c>
      <c r="N1046" t="s">
        <v>52</v>
      </c>
      <c r="O1046" t="s">
        <v>24</v>
      </c>
      <c r="P1046">
        <f>Tableau1_2[[#This Row],[Quantité]]*Tableau1_2[[#This Row],[Prix_Unitaire]]</f>
        <v>735000</v>
      </c>
      <c r="Q1046">
        <f>Tableau1_2[[#This Row],[Quantité]]*Tableau1_2[[#This Row],[Coût_Unitaire]]</f>
        <v>500000</v>
      </c>
      <c r="R1046">
        <f>Tableau1_2[[#This Row],[CA]]-Tableau1_2[[#This Row],[Cout Total]]</f>
        <v>235000</v>
      </c>
      <c r="S1046" s="4">
        <f>Tableau1_2[[#This Row],[Marge]]/Tableau1_2[[#This Row],[CA]]</f>
        <v>0.31972789115646261</v>
      </c>
      <c r="T1046" t="str">
        <f>TEXT(Tableau1_2[[#This Row],[Date]],"mmmm")</f>
        <v>avril</v>
      </c>
    </row>
    <row r="1047" spans="1:20" x14ac:dyDescent="0.35">
      <c r="A1047" t="s">
        <v>1998</v>
      </c>
      <c r="B1047" s="2">
        <v>46142</v>
      </c>
      <c r="C1047" t="s">
        <v>419</v>
      </c>
      <c r="D1047" t="s">
        <v>713</v>
      </c>
      <c r="E1047" t="s">
        <v>84</v>
      </c>
      <c r="F1047" t="s">
        <v>85</v>
      </c>
      <c r="G1047" t="s">
        <v>43</v>
      </c>
      <c r="H1047" t="s">
        <v>44</v>
      </c>
      <c r="I1047">
        <v>9</v>
      </c>
      <c r="J1047">
        <v>15000</v>
      </c>
      <c r="K1047">
        <v>9800</v>
      </c>
      <c r="L1047" t="s">
        <v>80</v>
      </c>
      <c r="M1047" t="s">
        <v>37</v>
      </c>
      <c r="N1047" t="s">
        <v>87</v>
      </c>
      <c r="O1047" t="s">
        <v>45</v>
      </c>
      <c r="P1047">
        <f>Tableau1_2[[#This Row],[Quantité]]*Tableau1_2[[#This Row],[Prix_Unitaire]]</f>
        <v>135000</v>
      </c>
      <c r="Q1047">
        <f>Tableau1_2[[#This Row],[Quantité]]*Tableau1_2[[#This Row],[Coût_Unitaire]]</f>
        <v>88200</v>
      </c>
      <c r="R1047">
        <f>Tableau1_2[[#This Row],[CA]]-Tableau1_2[[#This Row],[Cout Total]]</f>
        <v>46800</v>
      </c>
      <c r="S1047" s="4">
        <f>Tableau1_2[[#This Row],[Marge]]/Tableau1_2[[#This Row],[CA]]</f>
        <v>0.34666666666666668</v>
      </c>
      <c r="T1047" t="str">
        <f>TEXT(Tableau1_2[[#This Row],[Date]],"mmmm")</f>
        <v>avril</v>
      </c>
    </row>
    <row r="1048" spans="1:20" x14ac:dyDescent="0.35">
      <c r="A1048" t="s">
        <v>1999</v>
      </c>
      <c r="B1048" s="2">
        <v>46032</v>
      </c>
      <c r="C1048" t="s">
        <v>659</v>
      </c>
      <c r="D1048" t="s">
        <v>1189</v>
      </c>
      <c r="E1048" t="s">
        <v>190</v>
      </c>
      <c r="F1048" t="s">
        <v>191</v>
      </c>
      <c r="G1048" t="s">
        <v>34</v>
      </c>
      <c r="H1048" t="s">
        <v>158</v>
      </c>
      <c r="I1048">
        <v>2</v>
      </c>
      <c r="J1048">
        <v>99800</v>
      </c>
      <c r="K1048">
        <v>72100</v>
      </c>
      <c r="L1048" t="s">
        <v>21</v>
      </c>
      <c r="M1048" t="s">
        <v>51</v>
      </c>
      <c r="N1048" t="s">
        <v>52</v>
      </c>
      <c r="O1048" t="s">
        <v>91</v>
      </c>
      <c r="P1048">
        <f>Tableau1_2[[#This Row],[Quantité]]*Tableau1_2[[#This Row],[Prix_Unitaire]]</f>
        <v>199600</v>
      </c>
      <c r="Q1048">
        <f>Tableau1_2[[#This Row],[Quantité]]*Tableau1_2[[#This Row],[Coût_Unitaire]]</f>
        <v>144200</v>
      </c>
      <c r="R1048">
        <f>Tableau1_2[[#This Row],[CA]]-Tableau1_2[[#This Row],[Cout Total]]</f>
        <v>55400</v>
      </c>
      <c r="S1048" s="4">
        <f>Tableau1_2[[#This Row],[Marge]]/Tableau1_2[[#This Row],[CA]]</f>
        <v>0.27755511022044088</v>
      </c>
      <c r="T1048" t="str">
        <f>TEXT(Tableau1_2[[#This Row],[Date]],"mmmm")</f>
        <v>janvier</v>
      </c>
    </row>
    <row r="1049" spans="1:20" x14ac:dyDescent="0.35">
      <c r="A1049" t="s">
        <v>2000</v>
      </c>
      <c r="B1049" s="2">
        <v>46352</v>
      </c>
      <c r="C1049" t="s">
        <v>868</v>
      </c>
      <c r="D1049" t="s">
        <v>1028</v>
      </c>
      <c r="E1049" t="s">
        <v>190</v>
      </c>
      <c r="F1049" t="s">
        <v>191</v>
      </c>
      <c r="G1049" t="s">
        <v>43</v>
      </c>
      <c r="H1049" t="s">
        <v>162</v>
      </c>
      <c r="I1049">
        <v>10</v>
      </c>
      <c r="J1049">
        <v>8000</v>
      </c>
      <c r="K1049">
        <v>5000</v>
      </c>
      <c r="L1049" t="s">
        <v>80</v>
      </c>
      <c r="M1049" t="s">
        <v>37</v>
      </c>
      <c r="N1049" t="s">
        <v>23</v>
      </c>
      <c r="O1049" t="s">
        <v>24</v>
      </c>
      <c r="P1049">
        <f>Tableau1_2[[#This Row],[Quantité]]*Tableau1_2[[#This Row],[Prix_Unitaire]]</f>
        <v>80000</v>
      </c>
      <c r="Q1049">
        <f>Tableau1_2[[#This Row],[Quantité]]*Tableau1_2[[#This Row],[Coût_Unitaire]]</f>
        <v>50000</v>
      </c>
      <c r="R1049">
        <f>Tableau1_2[[#This Row],[CA]]-Tableau1_2[[#This Row],[Cout Total]]</f>
        <v>30000</v>
      </c>
      <c r="S1049" s="4">
        <f>Tableau1_2[[#This Row],[Marge]]/Tableau1_2[[#This Row],[CA]]</f>
        <v>0.375</v>
      </c>
      <c r="T1049" t="str">
        <f>TEXT(Tableau1_2[[#This Row],[Date]],"mmmm")</f>
        <v>novembre</v>
      </c>
    </row>
    <row r="1050" spans="1:20" x14ac:dyDescent="0.35">
      <c r="A1050" t="s">
        <v>2001</v>
      </c>
      <c r="B1050" s="2">
        <v>46150</v>
      </c>
      <c r="C1050" t="s">
        <v>1653</v>
      </c>
      <c r="D1050" t="s">
        <v>889</v>
      </c>
      <c r="E1050" t="s">
        <v>18</v>
      </c>
      <c r="F1050" t="s">
        <v>18</v>
      </c>
      <c r="G1050" t="s">
        <v>43</v>
      </c>
      <c r="H1050" t="s">
        <v>177</v>
      </c>
      <c r="I1050">
        <v>9</v>
      </c>
      <c r="J1050">
        <v>18000</v>
      </c>
      <c r="K1050">
        <v>12100</v>
      </c>
      <c r="L1050" t="s">
        <v>30</v>
      </c>
      <c r="M1050" t="s">
        <v>51</v>
      </c>
      <c r="N1050" t="s">
        <v>23</v>
      </c>
      <c r="O1050" t="s">
        <v>45</v>
      </c>
      <c r="P1050">
        <f>Tableau1_2[[#This Row],[Quantité]]*Tableau1_2[[#This Row],[Prix_Unitaire]]</f>
        <v>162000</v>
      </c>
      <c r="Q1050">
        <f>Tableau1_2[[#This Row],[Quantité]]*Tableau1_2[[#This Row],[Coût_Unitaire]]</f>
        <v>108900</v>
      </c>
      <c r="R1050">
        <f>Tableau1_2[[#This Row],[CA]]-Tableau1_2[[#This Row],[Cout Total]]</f>
        <v>53100</v>
      </c>
      <c r="S1050" s="4">
        <f>Tableau1_2[[#This Row],[Marge]]/Tableau1_2[[#This Row],[CA]]</f>
        <v>0.32777777777777778</v>
      </c>
      <c r="T1050" t="str">
        <f>TEXT(Tableau1_2[[#This Row],[Date]],"mmmm")</f>
        <v>mai</v>
      </c>
    </row>
    <row r="1051" spans="1:20" x14ac:dyDescent="0.35">
      <c r="A1051" t="s">
        <v>2002</v>
      </c>
      <c r="B1051" s="2">
        <v>46085</v>
      </c>
      <c r="C1051" t="s">
        <v>913</v>
      </c>
      <c r="D1051" t="s">
        <v>1181</v>
      </c>
      <c r="E1051" t="s">
        <v>156</v>
      </c>
      <c r="F1051" t="s">
        <v>157</v>
      </c>
      <c r="G1051" t="s">
        <v>34</v>
      </c>
      <c r="H1051" t="s">
        <v>35</v>
      </c>
      <c r="I1051">
        <v>8</v>
      </c>
      <c r="J1051">
        <v>55000</v>
      </c>
      <c r="K1051">
        <v>37800</v>
      </c>
      <c r="L1051" t="s">
        <v>36</v>
      </c>
      <c r="M1051" t="s">
        <v>37</v>
      </c>
      <c r="N1051" t="s">
        <v>52</v>
      </c>
      <c r="O1051" t="s">
        <v>45</v>
      </c>
      <c r="P1051">
        <f>Tableau1_2[[#This Row],[Quantité]]*Tableau1_2[[#This Row],[Prix_Unitaire]]</f>
        <v>440000</v>
      </c>
      <c r="Q1051">
        <f>Tableau1_2[[#This Row],[Quantité]]*Tableau1_2[[#This Row],[Coût_Unitaire]]</f>
        <v>302400</v>
      </c>
      <c r="R1051">
        <f>Tableau1_2[[#This Row],[CA]]-Tableau1_2[[#This Row],[Cout Total]]</f>
        <v>137600</v>
      </c>
      <c r="S1051" s="4">
        <f>Tableau1_2[[#This Row],[Marge]]/Tableau1_2[[#This Row],[CA]]</f>
        <v>0.31272727272727274</v>
      </c>
      <c r="T1051" t="str">
        <f>TEXT(Tableau1_2[[#This Row],[Date]],"mmmm")</f>
        <v>mars</v>
      </c>
    </row>
    <row r="1052" spans="1:20" x14ac:dyDescent="0.35">
      <c r="A1052" t="s">
        <v>2003</v>
      </c>
      <c r="B1052" s="2">
        <v>46040</v>
      </c>
      <c r="C1052" t="s">
        <v>1140</v>
      </c>
      <c r="D1052" t="s">
        <v>809</v>
      </c>
      <c r="E1052" t="s">
        <v>18</v>
      </c>
      <c r="F1052" t="s">
        <v>18</v>
      </c>
      <c r="G1052" t="s">
        <v>19</v>
      </c>
      <c r="H1052" t="s">
        <v>166</v>
      </c>
      <c r="I1052">
        <v>5</v>
      </c>
      <c r="J1052">
        <v>140000</v>
      </c>
      <c r="K1052">
        <v>100000</v>
      </c>
      <c r="L1052" t="s">
        <v>96</v>
      </c>
      <c r="M1052" t="s">
        <v>22</v>
      </c>
      <c r="N1052" t="s">
        <v>52</v>
      </c>
      <c r="O1052" t="s">
        <v>24</v>
      </c>
      <c r="P1052">
        <f>Tableau1_2[[#This Row],[Quantité]]*Tableau1_2[[#This Row],[Prix_Unitaire]]</f>
        <v>700000</v>
      </c>
      <c r="Q1052">
        <f>Tableau1_2[[#This Row],[Quantité]]*Tableau1_2[[#This Row],[Coût_Unitaire]]</f>
        <v>500000</v>
      </c>
      <c r="R1052">
        <f>Tableau1_2[[#This Row],[CA]]-Tableau1_2[[#This Row],[Cout Total]]</f>
        <v>200000</v>
      </c>
      <c r="S1052" s="4">
        <f>Tableau1_2[[#This Row],[Marge]]/Tableau1_2[[#This Row],[CA]]</f>
        <v>0.2857142857142857</v>
      </c>
      <c r="T1052" t="str">
        <f>TEXT(Tableau1_2[[#This Row],[Date]],"mmmm")</f>
        <v>janvier</v>
      </c>
    </row>
    <row r="1053" spans="1:20" x14ac:dyDescent="0.35">
      <c r="A1053" t="s">
        <v>2004</v>
      </c>
      <c r="B1053" s="2">
        <v>46276</v>
      </c>
      <c r="C1053" t="s">
        <v>114</v>
      </c>
      <c r="D1053" t="s">
        <v>146</v>
      </c>
      <c r="E1053" t="s">
        <v>56</v>
      </c>
      <c r="F1053" t="s">
        <v>57</v>
      </c>
      <c r="G1053" t="s">
        <v>34</v>
      </c>
      <c r="H1053" t="s">
        <v>86</v>
      </c>
      <c r="I1053">
        <v>7</v>
      </c>
      <c r="J1053">
        <v>171000</v>
      </c>
      <c r="K1053">
        <v>135000</v>
      </c>
      <c r="L1053" t="s">
        <v>21</v>
      </c>
      <c r="M1053" t="s">
        <v>22</v>
      </c>
      <c r="N1053" t="s">
        <v>52</v>
      </c>
      <c r="O1053" t="s">
        <v>45</v>
      </c>
      <c r="P1053">
        <f>Tableau1_2[[#This Row],[Quantité]]*Tableau1_2[[#This Row],[Prix_Unitaire]]</f>
        <v>1197000</v>
      </c>
      <c r="Q1053">
        <f>Tableau1_2[[#This Row],[Quantité]]*Tableau1_2[[#This Row],[Coût_Unitaire]]</f>
        <v>945000</v>
      </c>
      <c r="R1053">
        <f>Tableau1_2[[#This Row],[CA]]-Tableau1_2[[#This Row],[Cout Total]]</f>
        <v>252000</v>
      </c>
      <c r="S1053" s="4">
        <f>Tableau1_2[[#This Row],[Marge]]/Tableau1_2[[#This Row],[CA]]</f>
        <v>0.21052631578947367</v>
      </c>
      <c r="T1053" t="str">
        <f>TEXT(Tableau1_2[[#This Row],[Date]],"mmmm")</f>
        <v>septembre</v>
      </c>
    </row>
    <row r="1054" spans="1:20" x14ac:dyDescent="0.35">
      <c r="A1054" t="s">
        <v>2005</v>
      </c>
      <c r="B1054" s="2">
        <v>46124</v>
      </c>
      <c r="C1054" t="s">
        <v>645</v>
      </c>
      <c r="D1054" t="s">
        <v>586</v>
      </c>
      <c r="E1054" t="s">
        <v>18</v>
      </c>
      <c r="F1054" t="s">
        <v>18</v>
      </c>
      <c r="G1054" t="s">
        <v>34</v>
      </c>
      <c r="H1054" t="s">
        <v>95</v>
      </c>
      <c r="I1054">
        <v>5</v>
      </c>
      <c r="J1054">
        <v>450000</v>
      </c>
      <c r="K1054">
        <v>370000</v>
      </c>
      <c r="L1054" t="s">
        <v>80</v>
      </c>
      <c r="M1054" t="s">
        <v>37</v>
      </c>
      <c r="N1054" t="s">
        <v>23</v>
      </c>
      <c r="O1054" t="s">
        <v>24</v>
      </c>
      <c r="P1054">
        <f>Tableau1_2[[#This Row],[Quantité]]*Tableau1_2[[#This Row],[Prix_Unitaire]]</f>
        <v>2250000</v>
      </c>
      <c r="Q1054">
        <f>Tableau1_2[[#This Row],[Quantité]]*Tableau1_2[[#This Row],[Coût_Unitaire]]</f>
        <v>1850000</v>
      </c>
      <c r="R1054">
        <f>Tableau1_2[[#This Row],[CA]]-Tableau1_2[[#This Row],[Cout Total]]</f>
        <v>400000</v>
      </c>
      <c r="S1054" s="4">
        <f>Tableau1_2[[#This Row],[Marge]]/Tableau1_2[[#This Row],[CA]]</f>
        <v>0.17777777777777778</v>
      </c>
      <c r="T1054" t="str">
        <f>TEXT(Tableau1_2[[#This Row],[Date]],"mmmm")</f>
        <v>avril</v>
      </c>
    </row>
    <row r="1055" spans="1:20" x14ac:dyDescent="0.35">
      <c r="A1055" t="s">
        <v>2006</v>
      </c>
      <c r="B1055" s="2">
        <v>46072</v>
      </c>
      <c r="C1055" t="s">
        <v>1340</v>
      </c>
      <c r="D1055" t="s">
        <v>767</v>
      </c>
      <c r="E1055" t="s">
        <v>41</v>
      </c>
      <c r="F1055" t="s">
        <v>42</v>
      </c>
      <c r="G1055" t="s">
        <v>19</v>
      </c>
      <c r="H1055" t="s">
        <v>166</v>
      </c>
      <c r="I1055">
        <v>3</v>
      </c>
      <c r="J1055">
        <v>140000</v>
      </c>
      <c r="K1055">
        <v>97000</v>
      </c>
      <c r="L1055" t="s">
        <v>21</v>
      </c>
      <c r="M1055" t="s">
        <v>37</v>
      </c>
      <c r="N1055" t="s">
        <v>52</v>
      </c>
      <c r="O1055" t="s">
        <v>24</v>
      </c>
      <c r="P1055">
        <f>Tableau1_2[[#This Row],[Quantité]]*Tableau1_2[[#This Row],[Prix_Unitaire]]</f>
        <v>420000</v>
      </c>
      <c r="Q1055">
        <f>Tableau1_2[[#This Row],[Quantité]]*Tableau1_2[[#This Row],[Coût_Unitaire]]</f>
        <v>291000</v>
      </c>
      <c r="R1055">
        <f>Tableau1_2[[#This Row],[CA]]-Tableau1_2[[#This Row],[Cout Total]]</f>
        <v>129000</v>
      </c>
      <c r="S1055" s="4">
        <f>Tableau1_2[[#This Row],[Marge]]/Tableau1_2[[#This Row],[CA]]</f>
        <v>0.30714285714285716</v>
      </c>
      <c r="T1055" t="str">
        <f>TEXT(Tableau1_2[[#This Row],[Date]],"mmmm")</f>
        <v>février</v>
      </c>
    </row>
    <row r="1056" spans="1:20" x14ac:dyDescent="0.35">
      <c r="A1056" t="s">
        <v>2007</v>
      </c>
      <c r="B1056" s="2">
        <v>46300</v>
      </c>
      <c r="C1056" t="s">
        <v>580</v>
      </c>
      <c r="D1056" t="s">
        <v>2008</v>
      </c>
      <c r="E1056" t="s">
        <v>41</v>
      </c>
      <c r="F1056" t="s">
        <v>42</v>
      </c>
      <c r="G1056" t="s">
        <v>34</v>
      </c>
      <c r="H1056" t="s">
        <v>35</v>
      </c>
      <c r="I1056">
        <v>10</v>
      </c>
      <c r="J1056">
        <v>52200</v>
      </c>
      <c r="K1056">
        <v>40200</v>
      </c>
      <c r="L1056" t="s">
        <v>73</v>
      </c>
      <c r="M1056" t="s">
        <v>51</v>
      </c>
      <c r="N1056" t="s">
        <v>23</v>
      </c>
      <c r="O1056" t="s">
        <v>24</v>
      </c>
      <c r="P1056">
        <f>Tableau1_2[[#This Row],[Quantité]]*Tableau1_2[[#This Row],[Prix_Unitaire]]</f>
        <v>522000</v>
      </c>
      <c r="Q1056">
        <f>Tableau1_2[[#This Row],[Quantité]]*Tableau1_2[[#This Row],[Coût_Unitaire]]</f>
        <v>402000</v>
      </c>
      <c r="R1056">
        <f>Tableau1_2[[#This Row],[CA]]-Tableau1_2[[#This Row],[Cout Total]]</f>
        <v>120000</v>
      </c>
      <c r="S1056" s="4">
        <f>Tableau1_2[[#This Row],[Marge]]/Tableau1_2[[#This Row],[CA]]</f>
        <v>0.22988505747126436</v>
      </c>
      <c r="T1056" t="str">
        <f>TEXT(Tableau1_2[[#This Row],[Date]],"mmmm")</f>
        <v>octobre</v>
      </c>
    </row>
    <row r="1057" spans="1:20" x14ac:dyDescent="0.35">
      <c r="A1057" t="s">
        <v>2009</v>
      </c>
      <c r="B1057" s="2">
        <v>46133</v>
      </c>
      <c r="C1057" t="s">
        <v>853</v>
      </c>
      <c r="D1057" t="s">
        <v>990</v>
      </c>
      <c r="E1057" t="s">
        <v>18</v>
      </c>
      <c r="F1057" t="s">
        <v>18</v>
      </c>
      <c r="G1057" t="s">
        <v>34</v>
      </c>
      <c r="H1057" t="s">
        <v>86</v>
      </c>
      <c r="I1057">
        <v>2</v>
      </c>
      <c r="J1057">
        <v>171000</v>
      </c>
      <c r="K1057">
        <v>131000</v>
      </c>
      <c r="L1057" t="s">
        <v>21</v>
      </c>
      <c r="M1057" t="s">
        <v>37</v>
      </c>
      <c r="N1057" t="s">
        <v>23</v>
      </c>
      <c r="O1057" t="s">
        <v>45</v>
      </c>
      <c r="P1057">
        <f>Tableau1_2[[#This Row],[Quantité]]*Tableau1_2[[#This Row],[Prix_Unitaire]]</f>
        <v>342000</v>
      </c>
      <c r="Q1057">
        <f>Tableau1_2[[#This Row],[Quantité]]*Tableau1_2[[#This Row],[Coût_Unitaire]]</f>
        <v>262000</v>
      </c>
      <c r="R1057">
        <f>Tableau1_2[[#This Row],[CA]]-Tableau1_2[[#This Row],[Cout Total]]</f>
        <v>80000</v>
      </c>
      <c r="S1057" s="4">
        <f>Tableau1_2[[#This Row],[Marge]]/Tableau1_2[[#This Row],[CA]]</f>
        <v>0.23391812865497075</v>
      </c>
      <c r="T1057" t="str">
        <f>TEXT(Tableau1_2[[#This Row],[Date]],"mmmm")</f>
        <v>avril</v>
      </c>
    </row>
    <row r="1058" spans="1:20" x14ac:dyDescent="0.35">
      <c r="A1058" t="s">
        <v>2010</v>
      </c>
      <c r="B1058" s="2">
        <v>46360</v>
      </c>
      <c r="C1058" t="s">
        <v>2011</v>
      </c>
      <c r="D1058" t="s">
        <v>2012</v>
      </c>
      <c r="E1058" t="s">
        <v>156</v>
      </c>
      <c r="F1058" t="s">
        <v>170</v>
      </c>
      <c r="G1058" t="s">
        <v>19</v>
      </c>
      <c r="H1058" t="s">
        <v>20</v>
      </c>
      <c r="I1058">
        <v>3</v>
      </c>
      <c r="J1058">
        <v>65000</v>
      </c>
      <c r="K1058">
        <v>45000</v>
      </c>
      <c r="L1058" t="s">
        <v>30</v>
      </c>
      <c r="M1058" t="s">
        <v>51</v>
      </c>
      <c r="N1058" t="s">
        <v>87</v>
      </c>
      <c r="O1058" t="s">
        <v>24</v>
      </c>
      <c r="P1058">
        <f>Tableau1_2[[#This Row],[Quantité]]*Tableau1_2[[#This Row],[Prix_Unitaire]]</f>
        <v>195000</v>
      </c>
      <c r="Q1058">
        <f>Tableau1_2[[#This Row],[Quantité]]*Tableau1_2[[#This Row],[Coût_Unitaire]]</f>
        <v>135000</v>
      </c>
      <c r="R1058">
        <f>Tableau1_2[[#This Row],[CA]]-Tableau1_2[[#This Row],[Cout Total]]</f>
        <v>60000</v>
      </c>
      <c r="S1058" s="4">
        <f>Tableau1_2[[#This Row],[Marge]]/Tableau1_2[[#This Row],[CA]]</f>
        <v>0.30769230769230771</v>
      </c>
      <c r="T1058" t="str">
        <f>TEXT(Tableau1_2[[#This Row],[Date]],"mmmm")</f>
        <v>décembre</v>
      </c>
    </row>
    <row r="1059" spans="1:20" x14ac:dyDescent="0.35">
      <c r="A1059" t="s">
        <v>2013</v>
      </c>
      <c r="B1059" s="2">
        <v>46317</v>
      </c>
      <c r="C1059" t="s">
        <v>1481</v>
      </c>
      <c r="D1059" t="s">
        <v>127</v>
      </c>
      <c r="E1059" t="s">
        <v>18</v>
      </c>
      <c r="F1059" t="s">
        <v>18</v>
      </c>
      <c r="G1059" t="s">
        <v>34</v>
      </c>
      <c r="H1059" t="s">
        <v>95</v>
      </c>
      <c r="I1059">
        <v>1</v>
      </c>
      <c r="J1059">
        <v>472500</v>
      </c>
      <c r="K1059">
        <v>370000</v>
      </c>
      <c r="L1059" t="s">
        <v>50</v>
      </c>
      <c r="M1059" t="s">
        <v>37</v>
      </c>
      <c r="N1059" t="s">
        <v>87</v>
      </c>
      <c r="O1059" t="s">
        <v>45</v>
      </c>
      <c r="P1059">
        <f>Tableau1_2[[#This Row],[Quantité]]*Tableau1_2[[#This Row],[Prix_Unitaire]]</f>
        <v>472500</v>
      </c>
      <c r="Q1059">
        <f>Tableau1_2[[#This Row],[Quantité]]*Tableau1_2[[#This Row],[Coût_Unitaire]]</f>
        <v>370000</v>
      </c>
      <c r="R1059">
        <f>Tableau1_2[[#This Row],[CA]]-Tableau1_2[[#This Row],[Cout Total]]</f>
        <v>102500</v>
      </c>
      <c r="S1059" s="4">
        <f>Tableau1_2[[#This Row],[Marge]]/Tableau1_2[[#This Row],[CA]]</f>
        <v>0.21693121693121692</v>
      </c>
      <c r="T1059" t="str">
        <f>TEXT(Tableau1_2[[#This Row],[Date]],"mmmm")</f>
        <v>octobre</v>
      </c>
    </row>
    <row r="1060" spans="1:20" x14ac:dyDescent="0.35">
      <c r="A1060" t="s">
        <v>2014</v>
      </c>
      <c r="B1060" s="2">
        <v>46103</v>
      </c>
      <c r="C1060" t="s">
        <v>413</v>
      </c>
      <c r="D1060" t="s">
        <v>1403</v>
      </c>
      <c r="E1060" t="s">
        <v>18</v>
      </c>
      <c r="F1060" t="s">
        <v>18</v>
      </c>
      <c r="G1060" t="s">
        <v>19</v>
      </c>
      <c r="H1060" t="s">
        <v>112</v>
      </c>
      <c r="I1060">
        <v>9</v>
      </c>
      <c r="J1060">
        <v>85000</v>
      </c>
      <c r="K1060">
        <v>62000</v>
      </c>
      <c r="L1060" t="s">
        <v>30</v>
      </c>
      <c r="M1060" t="s">
        <v>22</v>
      </c>
      <c r="N1060" t="s">
        <v>87</v>
      </c>
      <c r="O1060" t="s">
        <v>24</v>
      </c>
      <c r="P1060">
        <f>Tableau1_2[[#This Row],[Quantité]]*Tableau1_2[[#This Row],[Prix_Unitaire]]</f>
        <v>765000</v>
      </c>
      <c r="Q1060">
        <f>Tableau1_2[[#This Row],[Quantité]]*Tableau1_2[[#This Row],[Coût_Unitaire]]</f>
        <v>558000</v>
      </c>
      <c r="R1060">
        <f>Tableau1_2[[#This Row],[CA]]-Tableau1_2[[#This Row],[Cout Total]]</f>
        <v>207000</v>
      </c>
      <c r="S1060" s="4">
        <f>Tableau1_2[[#This Row],[Marge]]/Tableau1_2[[#This Row],[CA]]</f>
        <v>0.27058823529411763</v>
      </c>
      <c r="T1060" t="str">
        <f>TEXT(Tableau1_2[[#This Row],[Date]],"mmmm")</f>
        <v>mars</v>
      </c>
    </row>
    <row r="1061" spans="1:20" x14ac:dyDescent="0.35">
      <c r="A1061" t="s">
        <v>2015</v>
      </c>
      <c r="B1061" s="2">
        <v>46220</v>
      </c>
      <c r="C1061" t="s">
        <v>532</v>
      </c>
      <c r="D1061" t="s">
        <v>2016</v>
      </c>
      <c r="E1061" t="s">
        <v>156</v>
      </c>
      <c r="F1061" t="s">
        <v>170</v>
      </c>
      <c r="G1061" t="s">
        <v>34</v>
      </c>
      <c r="H1061" t="s">
        <v>95</v>
      </c>
      <c r="I1061">
        <v>2</v>
      </c>
      <c r="J1061">
        <v>450000</v>
      </c>
      <c r="K1061">
        <v>370000</v>
      </c>
      <c r="L1061" t="s">
        <v>66</v>
      </c>
      <c r="M1061" t="s">
        <v>22</v>
      </c>
      <c r="N1061" t="s">
        <v>52</v>
      </c>
      <c r="O1061" t="s">
        <v>45</v>
      </c>
      <c r="P1061">
        <f>Tableau1_2[[#This Row],[Quantité]]*Tableau1_2[[#This Row],[Prix_Unitaire]]</f>
        <v>900000</v>
      </c>
      <c r="Q1061">
        <f>Tableau1_2[[#This Row],[Quantité]]*Tableau1_2[[#This Row],[Coût_Unitaire]]</f>
        <v>740000</v>
      </c>
      <c r="R1061">
        <f>Tableau1_2[[#This Row],[CA]]-Tableau1_2[[#This Row],[Cout Total]]</f>
        <v>160000</v>
      </c>
      <c r="S1061" s="4">
        <f>Tableau1_2[[#This Row],[Marge]]/Tableau1_2[[#This Row],[CA]]</f>
        <v>0.17777777777777778</v>
      </c>
      <c r="T1061" t="str">
        <f>TEXT(Tableau1_2[[#This Row],[Date]],"mmmm")</f>
        <v>juillet</v>
      </c>
    </row>
    <row r="1062" spans="1:20" x14ac:dyDescent="0.35">
      <c r="A1062" t="s">
        <v>2017</v>
      </c>
      <c r="B1062" s="2">
        <v>46244</v>
      </c>
      <c r="C1062" t="s">
        <v>183</v>
      </c>
      <c r="D1062" t="s">
        <v>450</v>
      </c>
      <c r="E1062" t="s">
        <v>41</v>
      </c>
      <c r="F1062" t="s">
        <v>42</v>
      </c>
      <c r="G1062" t="s">
        <v>28</v>
      </c>
      <c r="H1062" t="s">
        <v>65</v>
      </c>
      <c r="I1062">
        <v>10</v>
      </c>
      <c r="J1062">
        <v>12600</v>
      </c>
      <c r="K1062">
        <v>7700</v>
      </c>
      <c r="L1062" t="s">
        <v>96</v>
      </c>
      <c r="M1062" t="s">
        <v>37</v>
      </c>
      <c r="N1062" t="s">
        <v>52</v>
      </c>
      <c r="O1062" t="s">
        <v>24</v>
      </c>
      <c r="P1062">
        <f>Tableau1_2[[#This Row],[Quantité]]*Tableau1_2[[#This Row],[Prix_Unitaire]]</f>
        <v>126000</v>
      </c>
      <c r="Q1062">
        <f>Tableau1_2[[#This Row],[Quantité]]*Tableau1_2[[#This Row],[Coût_Unitaire]]</f>
        <v>77000</v>
      </c>
      <c r="R1062">
        <f>Tableau1_2[[#This Row],[CA]]-Tableau1_2[[#This Row],[Cout Total]]</f>
        <v>49000</v>
      </c>
      <c r="S1062" s="4">
        <f>Tableau1_2[[#This Row],[Marge]]/Tableau1_2[[#This Row],[CA]]</f>
        <v>0.3888888888888889</v>
      </c>
      <c r="T1062" t="str">
        <f>TEXT(Tableau1_2[[#This Row],[Date]],"mmmm")</f>
        <v>août</v>
      </c>
    </row>
    <row r="1063" spans="1:20" x14ac:dyDescent="0.35">
      <c r="A1063" t="s">
        <v>2018</v>
      </c>
      <c r="B1063" s="2">
        <v>46385</v>
      </c>
      <c r="C1063" t="s">
        <v>449</v>
      </c>
      <c r="D1063" t="s">
        <v>565</v>
      </c>
      <c r="E1063" t="s">
        <v>41</v>
      </c>
      <c r="F1063" t="s">
        <v>42</v>
      </c>
      <c r="G1063" t="s">
        <v>43</v>
      </c>
      <c r="H1063" t="s">
        <v>162</v>
      </c>
      <c r="I1063">
        <v>10</v>
      </c>
      <c r="J1063">
        <v>7600</v>
      </c>
      <c r="K1063">
        <v>5000</v>
      </c>
      <c r="L1063" t="s">
        <v>36</v>
      </c>
      <c r="M1063" t="s">
        <v>37</v>
      </c>
      <c r="N1063" t="s">
        <v>52</v>
      </c>
      <c r="O1063" t="s">
        <v>91</v>
      </c>
      <c r="P1063">
        <f>Tableau1_2[[#This Row],[Quantité]]*Tableau1_2[[#This Row],[Prix_Unitaire]]</f>
        <v>76000</v>
      </c>
      <c r="Q1063">
        <f>Tableau1_2[[#This Row],[Quantité]]*Tableau1_2[[#This Row],[Coût_Unitaire]]</f>
        <v>50000</v>
      </c>
      <c r="R1063">
        <f>Tableau1_2[[#This Row],[CA]]-Tableau1_2[[#This Row],[Cout Total]]</f>
        <v>26000</v>
      </c>
      <c r="S1063" s="4">
        <f>Tableau1_2[[#This Row],[Marge]]/Tableau1_2[[#This Row],[CA]]</f>
        <v>0.34210526315789475</v>
      </c>
      <c r="T1063" t="str">
        <f>TEXT(Tableau1_2[[#This Row],[Date]],"mmmm")</f>
        <v>décembre</v>
      </c>
    </row>
    <row r="1064" spans="1:20" x14ac:dyDescent="0.35">
      <c r="A1064" t="s">
        <v>2019</v>
      </c>
      <c r="B1064" s="2">
        <v>46044</v>
      </c>
      <c r="C1064" t="s">
        <v>1069</v>
      </c>
      <c r="D1064" t="s">
        <v>1591</v>
      </c>
      <c r="E1064" t="s">
        <v>56</v>
      </c>
      <c r="F1064" t="s">
        <v>57</v>
      </c>
      <c r="G1064" t="s">
        <v>34</v>
      </c>
      <c r="H1064" t="s">
        <v>141</v>
      </c>
      <c r="I1064">
        <v>8</v>
      </c>
      <c r="J1064">
        <v>160000</v>
      </c>
      <c r="K1064">
        <v>116400</v>
      </c>
      <c r="L1064" t="s">
        <v>96</v>
      </c>
      <c r="M1064" t="s">
        <v>37</v>
      </c>
      <c r="N1064" t="s">
        <v>23</v>
      </c>
      <c r="O1064" t="s">
        <v>24</v>
      </c>
      <c r="P1064">
        <f>Tableau1_2[[#This Row],[Quantité]]*Tableau1_2[[#This Row],[Prix_Unitaire]]</f>
        <v>1280000</v>
      </c>
      <c r="Q1064">
        <f>Tableau1_2[[#This Row],[Quantité]]*Tableau1_2[[#This Row],[Coût_Unitaire]]</f>
        <v>931200</v>
      </c>
      <c r="R1064">
        <f>Tableau1_2[[#This Row],[CA]]-Tableau1_2[[#This Row],[Cout Total]]</f>
        <v>348800</v>
      </c>
      <c r="S1064" s="4">
        <f>Tableau1_2[[#This Row],[Marge]]/Tableau1_2[[#This Row],[CA]]</f>
        <v>0.27250000000000002</v>
      </c>
      <c r="T1064" t="str">
        <f>TEXT(Tableau1_2[[#This Row],[Date]],"mmmm")</f>
        <v>janvier</v>
      </c>
    </row>
    <row r="1065" spans="1:20" x14ac:dyDescent="0.35">
      <c r="A1065" t="s">
        <v>2020</v>
      </c>
      <c r="B1065" s="2">
        <v>46128</v>
      </c>
      <c r="C1065" t="s">
        <v>2021</v>
      </c>
      <c r="D1065" t="s">
        <v>555</v>
      </c>
      <c r="E1065" t="s">
        <v>77</v>
      </c>
      <c r="F1065" t="s">
        <v>18</v>
      </c>
      <c r="G1065" t="s">
        <v>43</v>
      </c>
      <c r="H1065" t="s">
        <v>162</v>
      </c>
      <c r="I1065">
        <v>5</v>
      </c>
      <c r="J1065">
        <v>8000</v>
      </c>
      <c r="K1065">
        <v>5200</v>
      </c>
      <c r="L1065" t="s">
        <v>80</v>
      </c>
      <c r="M1065" t="s">
        <v>37</v>
      </c>
      <c r="N1065" t="s">
        <v>23</v>
      </c>
      <c r="O1065" t="s">
        <v>24</v>
      </c>
      <c r="P1065">
        <f>Tableau1_2[[#This Row],[Quantité]]*Tableau1_2[[#This Row],[Prix_Unitaire]]</f>
        <v>40000</v>
      </c>
      <c r="Q1065">
        <f>Tableau1_2[[#This Row],[Quantité]]*Tableau1_2[[#This Row],[Coût_Unitaire]]</f>
        <v>26000</v>
      </c>
      <c r="R1065">
        <f>Tableau1_2[[#This Row],[CA]]-Tableau1_2[[#This Row],[Cout Total]]</f>
        <v>14000</v>
      </c>
      <c r="S1065" s="4">
        <f>Tableau1_2[[#This Row],[Marge]]/Tableau1_2[[#This Row],[CA]]</f>
        <v>0.35</v>
      </c>
      <c r="T1065" t="str">
        <f>TEXT(Tableau1_2[[#This Row],[Date]],"mmmm")</f>
        <v>avril</v>
      </c>
    </row>
    <row r="1066" spans="1:20" x14ac:dyDescent="0.35">
      <c r="A1066" t="s">
        <v>2022</v>
      </c>
      <c r="B1066" s="2">
        <v>46377</v>
      </c>
      <c r="C1066" t="s">
        <v>331</v>
      </c>
      <c r="D1066" t="s">
        <v>1038</v>
      </c>
      <c r="E1066" t="s">
        <v>41</v>
      </c>
      <c r="F1066" t="s">
        <v>42</v>
      </c>
      <c r="G1066" t="s">
        <v>43</v>
      </c>
      <c r="H1066" t="s">
        <v>162</v>
      </c>
      <c r="I1066">
        <v>10</v>
      </c>
      <c r="J1066">
        <v>7600</v>
      </c>
      <c r="K1066">
        <v>5200</v>
      </c>
      <c r="L1066" t="s">
        <v>30</v>
      </c>
      <c r="M1066" t="s">
        <v>37</v>
      </c>
      <c r="N1066" t="s">
        <v>23</v>
      </c>
      <c r="O1066" t="s">
        <v>24</v>
      </c>
      <c r="P1066">
        <f>Tableau1_2[[#This Row],[Quantité]]*Tableau1_2[[#This Row],[Prix_Unitaire]]</f>
        <v>76000</v>
      </c>
      <c r="Q1066">
        <f>Tableau1_2[[#This Row],[Quantité]]*Tableau1_2[[#This Row],[Coût_Unitaire]]</f>
        <v>52000</v>
      </c>
      <c r="R1066">
        <f>Tableau1_2[[#This Row],[CA]]-Tableau1_2[[#This Row],[Cout Total]]</f>
        <v>24000</v>
      </c>
      <c r="S1066" s="4">
        <f>Tableau1_2[[#This Row],[Marge]]/Tableau1_2[[#This Row],[CA]]</f>
        <v>0.31578947368421051</v>
      </c>
      <c r="T1066" t="str">
        <f>TEXT(Tableau1_2[[#This Row],[Date]],"mmmm")</f>
        <v>décembre</v>
      </c>
    </row>
    <row r="1067" spans="1:20" x14ac:dyDescent="0.35">
      <c r="A1067" t="s">
        <v>2023</v>
      </c>
      <c r="B1067" s="2">
        <v>46181</v>
      </c>
      <c r="C1067" t="s">
        <v>2024</v>
      </c>
      <c r="D1067" t="s">
        <v>490</v>
      </c>
      <c r="E1067" t="s">
        <v>18</v>
      </c>
      <c r="F1067" t="s">
        <v>18</v>
      </c>
      <c r="G1067" t="s">
        <v>43</v>
      </c>
      <c r="H1067" t="s">
        <v>162</v>
      </c>
      <c r="I1067">
        <v>3</v>
      </c>
      <c r="J1067">
        <v>8000</v>
      </c>
      <c r="K1067">
        <v>4800</v>
      </c>
      <c r="L1067" t="s">
        <v>36</v>
      </c>
      <c r="M1067" t="s">
        <v>51</v>
      </c>
      <c r="N1067" t="s">
        <v>23</v>
      </c>
      <c r="O1067" t="s">
        <v>24</v>
      </c>
      <c r="P1067">
        <f>Tableau1_2[[#This Row],[Quantité]]*Tableau1_2[[#This Row],[Prix_Unitaire]]</f>
        <v>24000</v>
      </c>
      <c r="Q1067">
        <f>Tableau1_2[[#This Row],[Quantité]]*Tableau1_2[[#This Row],[Coût_Unitaire]]</f>
        <v>14400</v>
      </c>
      <c r="R1067">
        <f>Tableau1_2[[#This Row],[CA]]-Tableau1_2[[#This Row],[Cout Total]]</f>
        <v>9600</v>
      </c>
      <c r="S1067" s="4">
        <f>Tableau1_2[[#This Row],[Marge]]/Tableau1_2[[#This Row],[CA]]</f>
        <v>0.4</v>
      </c>
      <c r="T1067" t="str">
        <f>TEXT(Tableau1_2[[#This Row],[Date]],"mmmm")</f>
        <v>juin</v>
      </c>
    </row>
    <row r="1068" spans="1:20" x14ac:dyDescent="0.35">
      <c r="A1068" t="s">
        <v>2025</v>
      </c>
      <c r="B1068" s="2">
        <v>46338</v>
      </c>
      <c r="C1068" t="s">
        <v>1509</v>
      </c>
      <c r="D1068" t="s">
        <v>1794</v>
      </c>
      <c r="E1068" t="s">
        <v>84</v>
      </c>
      <c r="F1068" t="s">
        <v>85</v>
      </c>
      <c r="G1068" t="s">
        <v>34</v>
      </c>
      <c r="H1068" t="s">
        <v>35</v>
      </c>
      <c r="I1068">
        <v>9</v>
      </c>
      <c r="J1068">
        <v>55000</v>
      </c>
      <c r="K1068">
        <v>40200</v>
      </c>
      <c r="L1068" t="s">
        <v>50</v>
      </c>
      <c r="M1068" t="s">
        <v>51</v>
      </c>
      <c r="N1068" t="s">
        <v>52</v>
      </c>
      <c r="O1068" t="s">
        <v>24</v>
      </c>
      <c r="P1068">
        <f>Tableau1_2[[#This Row],[Quantité]]*Tableau1_2[[#This Row],[Prix_Unitaire]]</f>
        <v>495000</v>
      </c>
      <c r="Q1068">
        <f>Tableau1_2[[#This Row],[Quantité]]*Tableau1_2[[#This Row],[Coût_Unitaire]]</f>
        <v>361800</v>
      </c>
      <c r="R1068">
        <f>Tableau1_2[[#This Row],[CA]]-Tableau1_2[[#This Row],[Cout Total]]</f>
        <v>133200</v>
      </c>
      <c r="S1068" s="4">
        <f>Tableau1_2[[#This Row],[Marge]]/Tableau1_2[[#This Row],[CA]]</f>
        <v>0.2690909090909091</v>
      </c>
      <c r="T1068" t="str">
        <f>TEXT(Tableau1_2[[#This Row],[Date]],"mmmm")</f>
        <v>novembre</v>
      </c>
    </row>
    <row r="1069" spans="1:20" x14ac:dyDescent="0.35">
      <c r="A1069" t="s">
        <v>2026</v>
      </c>
      <c r="B1069" s="2">
        <v>46141</v>
      </c>
      <c r="C1069" t="s">
        <v>526</v>
      </c>
      <c r="D1069" t="s">
        <v>784</v>
      </c>
      <c r="E1069" t="s">
        <v>190</v>
      </c>
      <c r="F1069" t="s">
        <v>191</v>
      </c>
      <c r="G1069" t="s">
        <v>43</v>
      </c>
      <c r="H1069" t="s">
        <v>162</v>
      </c>
      <c r="I1069">
        <v>7</v>
      </c>
      <c r="J1069">
        <v>7600</v>
      </c>
      <c r="K1069">
        <v>5000</v>
      </c>
      <c r="L1069" t="s">
        <v>80</v>
      </c>
      <c r="M1069" t="s">
        <v>37</v>
      </c>
      <c r="N1069" t="s">
        <v>52</v>
      </c>
      <c r="O1069" t="s">
        <v>91</v>
      </c>
      <c r="P1069">
        <f>Tableau1_2[[#This Row],[Quantité]]*Tableau1_2[[#This Row],[Prix_Unitaire]]</f>
        <v>53200</v>
      </c>
      <c r="Q1069">
        <f>Tableau1_2[[#This Row],[Quantité]]*Tableau1_2[[#This Row],[Coût_Unitaire]]</f>
        <v>35000</v>
      </c>
      <c r="R1069">
        <f>Tableau1_2[[#This Row],[CA]]-Tableau1_2[[#This Row],[Cout Total]]</f>
        <v>18200</v>
      </c>
      <c r="S1069" s="4">
        <f>Tableau1_2[[#This Row],[Marge]]/Tableau1_2[[#This Row],[CA]]</f>
        <v>0.34210526315789475</v>
      </c>
      <c r="T1069" t="str">
        <f>TEXT(Tableau1_2[[#This Row],[Date]],"mmmm")</f>
        <v>avril</v>
      </c>
    </row>
    <row r="1070" spans="1:20" x14ac:dyDescent="0.35">
      <c r="A1070" t="s">
        <v>2027</v>
      </c>
      <c r="B1070" s="2">
        <v>46040</v>
      </c>
      <c r="C1070" t="s">
        <v>1076</v>
      </c>
      <c r="D1070" t="s">
        <v>356</v>
      </c>
      <c r="E1070" t="s">
        <v>18</v>
      </c>
      <c r="F1070" t="s">
        <v>18</v>
      </c>
      <c r="G1070" t="s">
        <v>28</v>
      </c>
      <c r="H1070" t="s">
        <v>248</v>
      </c>
      <c r="I1070">
        <v>8</v>
      </c>
      <c r="J1070">
        <v>23800</v>
      </c>
      <c r="K1070">
        <v>16500</v>
      </c>
      <c r="L1070" t="s">
        <v>36</v>
      </c>
      <c r="M1070" t="s">
        <v>31</v>
      </c>
      <c r="N1070" t="s">
        <v>87</v>
      </c>
      <c r="O1070" t="s">
        <v>45</v>
      </c>
      <c r="P1070">
        <f>Tableau1_2[[#This Row],[Quantité]]*Tableau1_2[[#This Row],[Prix_Unitaire]]</f>
        <v>190400</v>
      </c>
      <c r="Q1070">
        <f>Tableau1_2[[#This Row],[Quantité]]*Tableau1_2[[#This Row],[Coût_Unitaire]]</f>
        <v>132000</v>
      </c>
      <c r="R1070">
        <f>Tableau1_2[[#This Row],[CA]]-Tableau1_2[[#This Row],[Cout Total]]</f>
        <v>58400</v>
      </c>
      <c r="S1070" s="4">
        <f>Tableau1_2[[#This Row],[Marge]]/Tableau1_2[[#This Row],[CA]]</f>
        <v>0.30672268907563027</v>
      </c>
      <c r="T1070" t="str">
        <f>TEXT(Tableau1_2[[#This Row],[Date]],"mmmm")</f>
        <v>janvier</v>
      </c>
    </row>
    <row r="1071" spans="1:20" x14ac:dyDescent="0.35">
      <c r="A1071" t="s">
        <v>2028</v>
      </c>
      <c r="B1071" s="2">
        <v>46360</v>
      </c>
      <c r="C1071" t="s">
        <v>444</v>
      </c>
      <c r="D1071" t="s">
        <v>345</v>
      </c>
      <c r="E1071" t="s">
        <v>77</v>
      </c>
      <c r="F1071" t="s">
        <v>78</v>
      </c>
      <c r="G1071" t="s">
        <v>34</v>
      </c>
      <c r="H1071" t="s">
        <v>158</v>
      </c>
      <c r="I1071">
        <v>7</v>
      </c>
      <c r="J1071">
        <v>95000</v>
      </c>
      <c r="K1071">
        <v>67900</v>
      </c>
      <c r="L1071" t="s">
        <v>50</v>
      </c>
      <c r="M1071" t="s">
        <v>37</v>
      </c>
      <c r="N1071" t="s">
        <v>52</v>
      </c>
      <c r="O1071" t="s">
        <v>91</v>
      </c>
      <c r="P1071">
        <f>Tableau1_2[[#This Row],[Quantité]]*Tableau1_2[[#This Row],[Prix_Unitaire]]</f>
        <v>665000</v>
      </c>
      <c r="Q1071">
        <f>Tableau1_2[[#This Row],[Quantité]]*Tableau1_2[[#This Row],[Coût_Unitaire]]</f>
        <v>475300</v>
      </c>
      <c r="R1071">
        <f>Tableau1_2[[#This Row],[CA]]-Tableau1_2[[#This Row],[Cout Total]]</f>
        <v>189700</v>
      </c>
      <c r="S1071" s="4">
        <f>Tableau1_2[[#This Row],[Marge]]/Tableau1_2[[#This Row],[CA]]</f>
        <v>0.28526315789473683</v>
      </c>
      <c r="T1071" t="str">
        <f>TEXT(Tableau1_2[[#This Row],[Date]],"mmmm")</f>
        <v>décembre</v>
      </c>
    </row>
    <row r="1072" spans="1:20" x14ac:dyDescent="0.35">
      <c r="A1072" t="s">
        <v>2029</v>
      </c>
      <c r="B1072" s="2">
        <v>46203</v>
      </c>
      <c r="C1072" t="s">
        <v>820</v>
      </c>
      <c r="D1072" t="s">
        <v>846</v>
      </c>
      <c r="E1072" t="s">
        <v>156</v>
      </c>
      <c r="F1072" t="s">
        <v>170</v>
      </c>
      <c r="G1072" t="s">
        <v>34</v>
      </c>
      <c r="H1072" t="s">
        <v>86</v>
      </c>
      <c r="I1072">
        <v>3</v>
      </c>
      <c r="J1072">
        <v>171000</v>
      </c>
      <c r="K1072">
        <v>139000</v>
      </c>
      <c r="L1072" t="s">
        <v>80</v>
      </c>
      <c r="M1072" t="s">
        <v>37</v>
      </c>
      <c r="N1072" t="s">
        <v>23</v>
      </c>
      <c r="O1072" t="s">
        <v>24</v>
      </c>
      <c r="P1072">
        <f>Tableau1_2[[#This Row],[Quantité]]*Tableau1_2[[#This Row],[Prix_Unitaire]]</f>
        <v>513000</v>
      </c>
      <c r="Q1072">
        <f>Tableau1_2[[#This Row],[Quantité]]*Tableau1_2[[#This Row],[Coût_Unitaire]]</f>
        <v>417000</v>
      </c>
      <c r="R1072">
        <f>Tableau1_2[[#This Row],[CA]]-Tableau1_2[[#This Row],[Cout Total]]</f>
        <v>96000</v>
      </c>
      <c r="S1072" s="4">
        <f>Tableau1_2[[#This Row],[Marge]]/Tableau1_2[[#This Row],[CA]]</f>
        <v>0.1871345029239766</v>
      </c>
      <c r="T1072" t="str">
        <f>TEXT(Tableau1_2[[#This Row],[Date]],"mmmm")</f>
        <v>juin</v>
      </c>
    </row>
    <row r="1073" spans="1:20" x14ac:dyDescent="0.35">
      <c r="A1073" t="s">
        <v>2030</v>
      </c>
      <c r="B1073" s="2">
        <v>46204</v>
      </c>
      <c r="C1073" t="s">
        <v>2031</v>
      </c>
      <c r="D1073" t="s">
        <v>140</v>
      </c>
      <c r="E1073" t="s">
        <v>41</v>
      </c>
      <c r="F1073" t="s">
        <v>42</v>
      </c>
      <c r="G1073" t="s">
        <v>34</v>
      </c>
      <c r="H1073" t="s">
        <v>141</v>
      </c>
      <c r="I1073">
        <v>10</v>
      </c>
      <c r="J1073">
        <v>152000</v>
      </c>
      <c r="K1073">
        <v>116400</v>
      </c>
      <c r="L1073" t="s">
        <v>30</v>
      </c>
      <c r="M1073" t="s">
        <v>51</v>
      </c>
      <c r="N1073" t="s">
        <v>52</v>
      </c>
      <c r="O1073" t="s">
        <v>24</v>
      </c>
      <c r="P1073">
        <f>Tableau1_2[[#This Row],[Quantité]]*Tableau1_2[[#This Row],[Prix_Unitaire]]</f>
        <v>1520000</v>
      </c>
      <c r="Q1073">
        <f>Tableau1_2[[#This Row],[Quantité]]*Tableau1_2[[#This Row],[Coût_Unitaire]]</f>
        <v>1164000</v>
      </c>
      <c r="R1073">
        <f>Tableau1_2[[#This Row],[CA]]-Tableau1_2[[#This Row],[Cout Total]]</f>
        <v>356000</v>
      </c>
      <c r="S1073" s="4">
        <f>Tableau1_2[[#This Row],[Marge]]/Tableau1_2[[#This Row],[CA]]</f>
        <v>0.23421052631578948</v>
      </c>
      <c r="T1073" t="str">
        <f>TEXT(Tableau1_2[[#This Row],[Date]],"mmmm")</f>
        <v>juillet</v>
      </c>
    </row>
    <row r="1074" spans="1:20" x14ac:dyDescent="0.35">
      <c r="A1074" t="s">
        <v>2032</v>
      </c>
      <c r="B1074" s="2">
        <v>46317</v>
      </c>
      <c r="C1074" t="s">
        <v>1851</v>
      </c>
      <c r="D1074" t="s">
        <v>118</v>
      </c>
      <c r="E1074" t="s">
        <v>84</v>
      </c>
      <c r="F1074" t="s">
        <v>85</v>
      </c>
      <c r="G1074" t="s">
        <v>19</v>
      </c>
      <c r="H1074" t="s">
        <v>112</v>
      </c>
      <c r="I1074">
        <v>1</v>
      </c>
      <c r="J1074">
        <v>89200</v>
      </c>
      <c r="K1074">
        <v>63900</v>
      </c>
      <c r="L1074" t="s">
        <v>21</v>
      </c>
      <c r="M1074" t="s">
        <v>31</v>
      </c>
      <c r="N1074" t="s">
        <v>52</v>
      </c>
      <c r="O1074" t="s">
        <v>24</v>
      </c>
      <c r="P1074">
        <f>Tableau1_2[[#This Row],[Quantité]]*Tableau1_2[[#This Row],[Prix_Unitaire]]</f>
        <v>89200</v>
      </c>
      <c r="Q1074">
        <f>Tableau1_2[[#This Row],[Quantité]]*Tableau1_2[[#This Row],[Coût_Unitaire]]</f>
        <v>63900</v>
      </c>
      <c r="R1074">
        <f>Tableau1_2[[#This Row],[CA]]-Tableau1_2[[#This Row],[Cout Total]]</f>
        <v>25300</v>
      </c>
      <c r="S1074" s="4">
        <f>Tableau1_2[[#This Row],[Marge]]/Tableau1_2[[#This Row],[CA]]</f>
        <v>0.28363228699551568</v>
      </c>
      <c r="T1074" t="str">
        <f>TEXT(Tableau1_2[[#This Row],[Date]],"mmmm")</f>
        <v>octobre</v>
      </c>
    </row>
    <row r="1075" spans="1:20" x14ac:dyDescent="0.35">
      <c r="A1075" t="s">
        <v>2033</v>
      </c>
      <c r="B1075" s="2">
        <v>46134</v>
      </c>
      <c r="C1075" t="s">
        <v>2034</v>
      </c>
      <c r="D1075" t="s">
        <v>1343</v>
      </c>
      <c r="E1075" t="s">
        <v>156</v>
      </c>
      <c r="F1075" t="s">
        <v>157</v>
      </c>
      <c r="G1075" t="s">
        <v>19</v>
      </c>
      <c r="H1075" t="s">
        <v>20</v>
      </c>
      <c r="I1075">
        <v>10</v>
      </c>
      <c r="J1075">
        <v>65000</v>
      </c>
      <c r="K1075">
        <v>46400</v>
      </c>
      <c r="L1075" t="s">
        <v>80</v>
      </c>
      <c r="M1075" t="s">
        <v>37</v>
      </c>
      <c r="N1075" t="s">
        <v>52</v>
      </c>
      <c r="O1075" t="s">
        <v>45</v>
      </c>
      <c r="P1075">
        <f>Tableau1_2[[#This Row],[Quantité]]*Tableau1_2[[#This Row],[Prix_Unitaire]]</f>
        <v>650000</v>
      </c>
      <c r="Q1075">
        <f>Tableau1_2[[#This Row],[Quantité]]*Tableau1_2[[#This Row],[Coût_Unitaire]]</f>
        <v>464000</v>
      </c>
      <c r="R1075">
        <f>Tableau1_2[[#This Row],[CA]]-Tableau1_2[[#This Row],[Cout Total]]</f>
        <v>186000</v>
      </c>
      <c r="S1075" s="4">
        <f>Tableau1_2[[#This Row],[Marge]]/Tableau1_2[[#This Row],[CA]]</f>
        <v>0.28615384615384615</v>
      </c>
      <c r="T1075" t="str">
        <f>TEXT(Tableau1_2[[#This Row],[Date]],"mmmm")</f>
        <v>avril</v>
      </c>
    </row>
    <row r="1076" spans="1:20" x14ac:dyDescent="0.35">
      <c r="A1076" t="s">
        <v>2035</v>
      </c>
      <c r="B1076" s="2">
        <v>46086</v>
      </c>
      <c r="C1076" t="s">
        <v>258</v>
      </c>
      <c r="D1076" t="s">
        <v>99</v>
      </c>
      <c r="E1076" t="s">
        <v>18</v>
      </c>
      <c r="F1076" t="s">
        <v>18</v>
      </c>
      <c r="G1076" t="s">
        <v>34</v>
      </c>
      <c r="H1076" t="s">
        <v>141</v>
      </c>
      <c r="I1076">
        <v>5</v>
      </c>
      <c r="J1076">
        <v>160000</v>
      </c>
      <c r="K1076">
        <v>123600</v>
      </c>
      <c r="L1076" t="s">
        <v>96</v>
      </c>
      <c r="M1076" t="s">
        <v>22</v>
      </c>
      <c r="N1076" t="s">
        <v>23</v>
      </c>
      <c r="O1076" t="s">
        <v>24</v>
      </c>
      <c r="P1076">
        <f>Tableau1_2[[#This Row],[Quantité]]*Tableau1_2[[#This Row],[Prix_Unitaire]]</f>
        <v>800000</v>
      </c>
      <c r="Q1076">
        <f>Tableau1_2[[#This Row],[Quantité]]*Tableau1_2[[#This Row],[Coût_Unitaire]]</f>
        <v>618000</v>
      </c>
      <c r="R1076">
        <f>Tableau1_2[[#This Row],[CA]]-Tableau1_2[[#This Row],[Cout Total]]</f>
        <v>182000</v>
      </c>
      <c r="S1076" s="4">
        <f>Tableau1_2[[#This Row],[Marge]]/Tableau1_2[[#This Row],[CA]]</f>
        <v>0.22750000000000001</v>
      </c>
      <c r="T1076" t="str">
        <f>TEXT(Tableau1_2[[#This Row],[Date]],"mmmm")</f>
        <v>mars</v>
      </c>
    </row>
    <row r="1077" spans="1:20" x14ac:dyDescent="0.35">
      <c r="A1077" t="s">
        <v>2036</v>
      </c>
      <c r="B1077" s="2">
        <v>46307</v>
      </c>
      <c r="C1077" t="s">
        <v>1815</v>
      </c>
      <c r="D1077" t="s">
        <v>130</v>
      </c>
      <c r="E1077" t="s">
        <v>56</v>
      </c>
      <c r="F1077" t="s">
        <v>57</v>
      </c>
      <c r="G1077" t="s">
        <v>28</v>
      </c>
      <c r="H1077" t="s">
        <v>65</v>
      </c>
      <c r="I1077">
        <v>7</v>
      </c>
      <c r="J1077">
        <v>11400</v>
      </c>
      <c r="K1077">
        <v>7300</v>
      </c>
      <c r="L1077" t="s">
        <v>50</v>
      </c>
      <c r="M1077" t="s">
        <v>51</v>
      </c>
      <c r="N1077" t="s">
        <v>52</v>
      </c>
      <c r="O1077" t="s">
        <v>91</v>
      </c>
      <c r="P1077">
        <f>Tableau1_2[[#This Row],[Quantité]]*Tableau1_2[[#This Row],[Prix_Unitaire]]</f>
        <v>79800</v>
      </c>
      <c r="Q1077">
        <f>Tableau1_2[[#This Row],[Quantité]]*Tableau1_2[[#This Row],[Coût_Unitaire]]</f>
        <v>51100</v>
      </c>
      <c r="R1077">
        <f>Tableau1_2[[#This Row],[CA]]-Tableau1_2[[#This Row],[Cout Total]]</f>
        <v>28700</v>
      </c>
      <c r="S1077" s="4">
        <f>Tableau1_2[[#This Row],[Marge]]/Tableau1_2[[#This Row],[CA]]</f>
        <v>0.35964912280701755</v>
      </c>
      <c r="T1077" t="str">
        <f>TEXT(Tableau1_2[[#This Row],[Date]],"mmmm")</f>
        <v>octobre</v>
      </c>
    </row>
    <row r="1078" spans="1:20" x14ac:dyDescent="0.35">
      <c r="A1078" t="s">
        <v>2037</v>
      </c>
      <c r="B1078" s="2">
        <v>46353</v>
      </c>
      <c r="C1078" t="s">
        <v>1005</v>
      </c>
      <c r="D1078" t="s">
        <v>1997</v>
      </c>
      <c r="E1078" t="s">
        <v>84</v>
      </c>
      <c r="F1078" t="s">
        <v>85</v>
      </c>
      <c r="G1078" t="s">
        <v>34</v>
      </c>
      <c r="H1078" t="s">
        <v>86</v>
      </c>
      <c r="I1078">
        <v>3</v>
      </c>
      <c r="J1078">
        <v>171000</v>
      </c>
      <c r="K1078">
        <v>135000</v>
      </c>
      <c r="L1078" t="s">
        <v>30</v>
      </c>
      <c r="M1078" t="s">
        <v>37</v>
      </c>
      <c r="N1078" t="s">
        <v>23</v>
      </c>
      <c r="O1078" t="s">
        <v>24</v>
      </c>
      <c r="P1078">
        <f>Tableau1_2[[#This Row],[Quantité]]*Tableau1_2[[#This Row],[Prix_Unitaire]]</f>
        <v>513000</v>
      </c>
      <c r="Q1078">
        <f>Tableau1_2[[#This Row],[Quantité]]*Tableau1_2[[#This Row],[Coût_Unitaire]]</f>
        <v>405000</v>
      </c>
      <c r="R1078">
        <f>Tableau1_2[[#This Row],[CA]]-Tableau1_2[[#This Row],[Cout Total]]</f>
        <v>108000</v>
      </c>
      <c r="S1078" s="4">
        <f>Tableau1_2[[#This Row],[Marge]]/Tableau1_2[[#This Row],[CA]]</f>
        <v>0.21052631578947367</v>
      </c>
      <c r="T1078" t="str">
        <f>TEXT(Tableau1_2[[#This Row],[Date]],"mmmm")</f>
        <v>novembre</v>
      </c>
    </row>
    <row r="1079" spans="1:20" x14ac:dyDescent="0.35">
      <c r="A1079" t="s">
        <v>2038</v>
      </c>
      <c r="B1079" s="2">
        <v>46075</v>
      </c>
      <c r="C1079" t="s">
        <v>240</v>
      </c>
      <c r="D1079" t="s">
        <v>278</v>
      </c>
      <c r="E1079" t="s">
        <v>18</v>
      </c>
      <c r="F1079" t="s">
        <v>18</v>
      </c>
      <c r="G1079" t="s">
        <v>28</v>
      </c>
      <c r="H1079" t="s">
        <v>65</v>
      </c>
      <c r="I1079">
        <v>1</v>
      </c>
      <c r="J1079">
        <v>12000</v>
      </c>
      <c r="K1079">
        <v>7300</v>
      </c>
      <c r="L1079" t="s">
        <v>30</v>
      </c>
      <c r="M1079" t="s">
        <v>22</v>
      </c>
      <c r="N1079" t="s">
        <v>52</v>
      </c>
      <c r="O1079" t="s">
        <v>24</v>
      </c>
      <c r="P1079">
        <f>Tableau1_2[[#This Row],[Quantité]]*Tableau1_2[[#This Row],[Prix_Unitaire]]</f>
        <v>12000</v>
      </c>
      <c r="Q1079">
        <f>Tableau1_2[[#This Row],[Quantité]]*Tableau1_2[[#This Row],[Coût_Unitaire]]</f>
        <v>7300</v>
      </c>
      <c r="R1079">
        <f>Tableau1_2[[#This Row],[CA]]-Tableau1_2[[#This Row],[Cout Total]]</f>
        <v>4700</v>
      </c>
      <c r="S1079" s="4">
        <f>Tableau1_2[[#This Row],[Marge]]/Tableau1_2[[#This Row],[CA]]</f>
        <v>0.39166666666666666</v>
      </c>
      <c r="T1079" t="str">
        <f>TEXT(Tableau1_2[[#This Row],[Date]],"mmmm")</f>
        <v>février</v>
      </c>
    </row>
    <row r="1080" spans="1:20" x14ac:dyDescent="0.35">
      <c r="A1080" t="s">
        <v>2039</v>
      </c>
      <c r="B1080" s="2">
        <v>46344</v>
      </c>
      <c r="C1080" t="s">
        <v>1226</v>
      </c>
      <c r="D1080" t="s">
        <v>1412</v>
      </c>
      <c r="E1080" t="s">
        <v>18</v>
      </c>
      <c r="F1080" t="s">
        <v>18</v>
      </c>
      <c r="G1080" t="s">
        <v>19</v>
      </c>
      <c r="H1080" t="s">
        <v>166</v>
      </c>
      <c r="I1080">
        <v>2</v>
      </c>
      <c r="J1080">
        <v>140000</v>
      </c>
      <c r="K1080">
        <v>100000</v>
      </c>
      <c r="L1080" t="s">
        <v>21</v>
      </c>
      <c r="M1080" t="s">
        <v>51</v>
      </c>
      <c r="N1080" t="s">
        <v>23</v>
      </c>
      <c r="O1080" t="s">
        <v>24</v>
      </c>
      <c r="P1080">
        <f>Tableau1_2[[#This Row],[Quantité]]*Tableau1_2[[#This Row],[Prix_Unitaire]]</f>
        <v>280000</v>
      </c>
      <c r="Q1080">
        <f>Tableau1_2[[#This Row],[Quantité]]*Tableau1_2[[#This Row],[Coût_Unitaire]]</f>
        <v>200000</v>
      </c>
      <c r="R1080">
        <f>Tableau1_2[[#This Row],[CA]]-Tableau1_2[[#This Row],[Cout Total]]</f>
        <v>80000</v>
      </c>
      <c r="S1080" s="4">
        <f>Tableau1_2[[#This Row],[Marge]]/Tableau1_2[[#This Row],[CA]]</f>
        <v>0.2857142857142857</v>
      </c>
      <c r="T1080" t="str">
        <f>TEXT(Tableau1_2[[#This Row],[Date]],"mmmm")</f>
        <v>novembre</v>
      </c>
    </row>
    <row r="1081" spans="1:20" x14ac:dyDescent="0.35">
      <c r="A1081" t="s">
        <v>2040</v>
      </c>
      <c r="B1081" s="2">
        <v>46144</v>
      </c>
      <c r="C1081" t="s">
        <v>1658</v>
      </c>
      <c r="D1081" t="s">
        <v>963</v>
      </c>
      <c r="E1081" t="s">
        <v>56</v>
      </c>
      <c r="F1081" t="s">
        <v>57</v>
      </c>
      <c r="G1081" t="s">
        <v>34</v>
      </c>
      <c r="H1081" t="s">
        <v>158</v>
      </c>
      <c r="I1081">
        <v>10</v>
      </c>
      <c r="J1081">
        <v>95000</v>
      </c>
      <c r="K1081">
        <v>72100</v>
      </c>
      <c r="L1081" t="s">
        <v>30</v>
      </c>
      <c r="M1081" t="s">
        <v>51</v>
      </c>
      <c r="N1081" t="s">
        <v>52</v>
      </c>
      <c r="O1081" t="s">
        <v>45</v>
      </c>
      <c r="P1081">
        <f>Tableau1_2[[#This Row],[Quantité]]*Tableau1_2[[#This Row],[Prix_Unitaire]]</f>
        <v>950000</v>
      </c>
      <c r="Q1081">
        <f>Tableau1_2[[#This Row],[Quantité]]*Tableau1_2[[#This Row],[Coût_Unitaire]]</f>
        <v>721000</v>
      </c>
      <c r="R1081">
        <f>Tableau1_2[[#This Row],[CA]]-Tableau1_2[[#This Row],[Cout Total]]</f>
        <v>229000</v>
      </c>
      <c r="S1081" s="4">
        <f>Tableau1_2[[#This Row],[Marge]]/Tableau1_2[[#This Row],[CA]]</f>
        <v>0.24105263157894738</v>
      </c>
      <c r="T1081" t="str">
        <f>TEXT(Tableau1_2[[#This Row],[Date]],"mmmm")</f>
        <v>mai</v>
      </c>
    </row>
    <row r="1082" spans="1:20" x14ac:dyDescent="0.35">
      <c r="A1082" t="s">
        <v>2041</v>
      </c>
      <c r="B1082" s="2">
        <v>46321</v>
      </c>
      <c r="C1082" t="s">
        <v>1379</v>
      </c>
      <c r="D1082" t="s">
        <v>1204</v>
      </c>
      <c r="E1082" t="s">
        <v>84</v>
      </c>
      <c r="F1082" t="s">
        <v>85</v>
      </c>
      <c r="G1082" t="s">
        <v>19</v>
      </c>
      <c r="H1082" t="s">
        <v>61</v>
      </c>
      <c r="I1082">
        <v>4</v>
      </c>
      <c r="J1082">
        <v>220000</v>
      </c>
      <c r="K1082">
        <v>160000</v>
      </c>
      <c r="L1082" t="s">
        <v>21</v>
      </c>
      <c r="M1082" t="s">
        <v>51</v>
      </c>
      <c r="N1082" t="s">
        <v>23</v>
      </c>
      <c r="O1082" t="s">
        <v>24</v>
      </c>
      <c r="P1082">
        <f>Tableau1_2[[#This Row],[Quantité]]*Tableau1_2[[#This Row],[Prix_Unitaire]]</f>
        <v>880000</v>
      </c>
      <c r="Q1082">
        <f>Tableau1_2[[#This Row],[Quantité]]*Tableau1_2[[#This Row],[Coût_Unitaire]]</f>
        <v>640000</v>
      </c>
      <c r="R1082">
        <f>Tableau1_2[[#This Row],[CA]]-Tableau1_2[[#This Row],[Cout Total]]</f>
        <v>240000</v>
      </c>
      <c r="S1082" s="4">
        <f>Tableau1_2[[#This Row],[Marge]]/Tableau1_2[[#This Row],[CA]]</f>
        <v>0.27272727272727271</v>
      </c>
      <c r="T1082" t="str">
        <f>TEXT(Tableau1_2[[#This Row],[Date]],"mmmm")</f>
        <v>octobre</v>
      </c>
    </row>
    <row r="1083" spans="1:20" x14ac:dyDescent="0.35">
      <c r="A1083" t="s">
        <v>2042</v>
      </c>
      <c r="B1083" s="2">
        <v>46312</v>
      </c>
      <c r="C1083" t="s">
        <v>1302</v>
      </c>
      <c r="D1083" t="s">
        <v>914</v>
      </c>
      <c r="E1083" t="s">
        <v>156</v>
      </c>
      <c r="F1083" t="s">
        <v>170</v>
      </c>
      <c r="G1083" t="s">
        <v>28</v>
      </c>
      <c r="H1083" t="s">
        <v>72</v>
      </c>
      <c r="I1083">
        <v>7</v>
      </c>
      <c r="J1083">
        <v>10000</v>
      </c>
      <c r="K1083">
        <v>6400</v>
      </c>
      <c r="L1083" t="s">
        <v>36</v>
      </c>
      <c r="M1083" t="s">
        <v>31</v>
      </c>
      <c r="N1083" t="s">
        <v>87</v>
      </c>
      <c r="O1083" t="s">
        <v>91</v>
      </c>
      <c r="P1083">
        <f>Tableau1_2[[#This Row],[Quantité]]*Tableau1_2[[#This Row],[Prix_Unitaire]]</f>
        <v>70000</v>
      </c>
      <c r="Q1083">
        <f>Tableau1_2[[#This Row],[Quantité]]*Tableau1_2[[#This Row],[Coût_Unitaire]]</f>
        <v>44800</v>
      </c>
      <c r="R1083">
        <f>Tableau1_2[[#This Row],[CA]]-Tableau1_2[[#This Row],[Cout Total]]</f>
        <v>25200</v>
      </c>
      <c r="S1083" s="4">
        <f>Tableau1_2[[#This Row],[Marge]]/Tableau1_2[[#This Row],[CA]]</f>
        <v>0.36</v>
      </c>
      <c r="T1083" t="str">
        <f>TEXT(Tableau1_2[[#This Row],[Date]],"mmmm")</f>
        <v>octobre</v>
      </c>
    </row>
    <row r="1084" spans="1:20" x14ac:dyDescent="0.35">
      <c r="A1084" t="s">
        <v>2043</v>
      </c>
      <c r="B1084" s="2">
        <v>46162</v>
      </c>
      <c r="C1084" t="s">
        <v>217</v>
      </c>
      <c r="D1084" t="s">
        <v>1361</v>
      </c>
      <c r="E1084" t="s">
        <v>41</v>
      </c>
      <c r="F1084" t="s">
        <v>42</v>
      </c>
      <c r="G1084" t="s">
        <v>28</v>
      </c>
      <c r="H1084" t="s">
        <v>29</v>
      </c>
      <c r="I1084">
        <v>10</v>
      </c>
      <c r="J1084">
        <v>7400</v>
      </c>
      <c r="K1084">
        <v>4000</v>
      </c>
      <c r="L1084" t="s">
        <v>21</v>
      </c>
      <c r="M1084" t="s">
        <v>37</v>
      </c>
      <c r="N1084" t="s">
        <v>23</v>
      </c>
      <c r="O1084" t="s">
        <v>24</v>
      </c>
      <c r="P1084">
        <f>Tableau1_2[[#This Row],[Quantité]]*Tableau1_2[[#This Row],[Prix_Unitaire]]</f>
        <v>74000</v>
      </c>
      <c r="Q1084">
        <f>Tableau1_2[[#This Row],[Quantité]]*Tableau1_2[[#This Row],[Coût_Unitaire]]</f>
        <v>40000</v>
      </c>
      <c r="R1084">
        <f>Tableau1_2[[#This Row],[CA]]-Tableau1_2[[#This Row],[Cout Total]]</f>
        <v>34000</v>
      </c>
      <c r="S1084" s="4">
        <f>Tableau1_2[[#This Row],[Marge]]/Tableau1_2[[#This Row],[CA]]</f>
        <v>0.45945945945945948</v>
      </c>
      <c r="T1084" t="str">
        <f>TEXT(Tableau1_2[[#This Row],[Date]],"mmmm")</f>
        <v>mai</v>
      </c>
    </row>
    <row r="1085" spans="1:20" x14ac:dyDescent="0.35">
      <c r="A1085" t="s">
        <v>2044</v>
      </c>
      <c r="B1085" s="2">
        <v>46382</v>
      </c>
      <c r="C1085" t="s">
        <v>848</v>
      </c>
      <c r="D1085" t="s">
        <v>676</v>
      </c>
      <c r="E1085" t="s">
        <v>156</v>
      </c>
      <c r="F1085" t="s">
        <v>170</v>
      </c>
      <c r="G1085" t="s">
        <v>28</v>
      </c>
      <c r="H1085" t="s">
        <v>65</v>
      </c>
      <c r="I1085">
        <v>5</v>
      </c>
      <c r="J1085">
        <v>11400</v>
      </c>
      <c r="K1085">
        <v>7500</v>
      </c>
      <c r="L1085" t="s">
        <v>50</v>
      </c>
      <c r="M1085" t="s">
        <v>37</v>
      </c>
      <c r="N1085" t="s">
        <v>52</v>
      </c>
      <c r="O1085" t="s">
        <v>45</v>
      </c>
      <c r="P1085">
        <f>Tableau1_2[[#This Row],[Quantité]]*Tableau1_2[[#This Row],[Prix_Unitaire]]</f>
        <v>57000</v>
      </c>
      <c r="Q1085">
        <f>Tableau1_2[[#This Row],[Quantité]]*Tableau1_2[[#This Row],[Coût_Unitaire]]</f>
        <v>37500</v>
      </c>
      <c r="R1085">
        <f>Tableau1_2[[#This Row],[CA]]-Tableau1_2[[#This Row],[Cout Total]]</f>
        <v>19500</v>
      </c>
      <c r="S1085" s="4">
        <f>Tableau1_2[[#This Row],[Marge]]/Tableau1_2[[#This Row],[CA]]</f>
        <v>0.34210526315789475</v>
      </c>
      <c r="T1085" t="str">
        <f>TEXT(Tableau1_2[[#This Row],[Date]],"mmmm")</f>
        <v>décembre</v>
      </c>
    </row>
    <row r="1086" spans="1:20" x14ac:dyDescent="0.35">
      <c r="A1086" t="s">
        <v>2045</v>
      </c>
      <c r="B1086" s="2">
        <v>46055</v>
      </c>
      <c r="C1086" t="s">
        <v>1185</v>
      </c>
      <c r="D1086" t="s">
        <v>2046</v>
      </c>
      <c r="E1086" t="s">
        <v>156</v>
      </c>
      <c r="F1086" t="s">
        <v>157</v>
      </c>
      <c r="G1086" t="s">
        <v>34</v>
      </c>
      <c r="H1086" t="s">
        <v>86</v>
      </c>
      <c r="I1086">
        <v>8</v>
      </c>
      <c r="J1086">
        <v>171000</v>
      </c>
      <c r="K1086">
        <v>131000</v>
      </c>
      <c r="L1086" t="s">
        <v>80</v>
      </c>
      <c r="M1086" t="s">
        <v>51</v>
      </c>
      <c r="N1086" t="s">
        <v>23</v>
      </c>
      <c r="O1086" t="s">
        <v>24</v>
      </c>
      <c r="P1086">
        <f>Tableau1_2[[#This Row],[Quantité]]*Tableau1_2[[#This Row],[Prix_Unitaire]]</f>
        <v>1368000</v>
      </c>
      <c r="Q1086">
        <f>Tableau1_2[[#This Row],[Quantité]]*Tableau1_2[[#This Row],[Coût_Unitaire]]</f>
        <v>1048000</v>
      </c>
      <c r="R1086">
        <f>Tableau1_2[[#This Row],[CA]]-Tableau1_2[[#This Row],[Cout Total]]</f>
        <v>320000</v>
      </c>
      <c r="S1086" s="4">
        <f>Tableau1_2[[#This Row],[Marge]]/Tableau1_2[[#This Row],[CA]]</f>
        <v>0.23391812865497075</v>
      </c>
      <c r="T1086" t="str">
        <f>TEXT(Tableau1_2[[#This Row],[Date]],"mmmm")</f>
        <v>février</v>
      </c>
    </row>
    <row r="1087" spans="1:20" x14ac:dyDescent="0.35">
      <c r="A1087" t="s">
        <v>2047</v>
      </c>
      <c r="B1087" s="2">
        <v>46224</v>
      </c>
      <c r="C1087" t="s">
        <v>799</v>
      </c>
      <c r="D1087" t="s">
        <v>1043</v>
      </c>
      <c r="E1087" t="s">
        <v>70</v>
      </c>
      <c r="F1087" t="s">
        <v>71</v>
      </c>
      <c r="G1087" t="s">
        <v>43</v>
      </c>
      <c r="H1087" t="s">
        <v>44</v>
      </c>
      <c r="I1087">
        <v>10</v>
      </c>
      <c r="J1087">
        <v>15000</v>
      </c>
      <c r="K1087">
        <v>9500</v>
      </c>
      <c r="L1087" t="s">
        <v>36</v>
      </c>
      <c r="M1087" t="s">
        <v>37</v>
      </c>
      <c r="N1087" t="s">
        <v>52</v>
      </c>
      <c r="O1087" t="s">
        <v>45</v>
      </c>
      <c r="P1087">
        <f>Tableau1_2[[#This Row],[Quantité]]*Tableau1_2[[#This Row],[Prix_Unitaire]]</f>
        <v>150000</v>
      </c>
      <c r="Q1087">
        <f>Tableau1_2[[#This Row],[Quantité]]*Tableau1_2[[#This Row],[Coût_Unitaire]]</f>
        <v>95000</v>
      </c>
      <c r="R1087">
        <f>Tableau1_2[[#This Row],[CA]]-Tableau1_2[[#This Row],[Cout Total]]</f>
        <v>55000</v>
      </c>
      <c r="S1087" s="4">
        <f>Tableau1_2[[#This Row],[Marge]]/Tableau1_2[[#This Row],[CA]]</f>
        <v>0.36666666666666664</v>
      </c>
      <c r="T1087" t="str">
        <f>TEXT(Tableau1_2[[#This Row],[Date]],"mmmm")</f>
        <v>juillet</v>
      </c>
    </row>
    <row r="1088" spans="1:20" x14ac:dyDescent="0.35">
      <c r="A1088" t="s">
        <v>2048</v>
      </c>
      <c r="B1088" s="2">
        <v>46316</v>
      </c>
      <c r="C1088" t="s">
        <v>588</v>
      </c>
      <c r="D1088" t="s">
        <v>208</v>
      </c>
      <c r="E1088" t="s">
        <v>41</v>
      </c>
      <c r="F1088" t="s">
        <v>42</v>
      </c>
      <c r="G1088" t="s">
        <v>28</v>
      </c>
      <c r="H1088" t="s">
        <v>131</v>
      </c>
      <c r="I1088">
        <v>2</v>
      </c>
      <c r="J1088">
        <v>30000</v>
      </c>
      <c r="K1088">
        <v>18400</v>
      </c>
      <c r="L1088" t="s">
        <v>36</v>
      </c>
      <c r="M1088" t="s">
        <v>37</v>
      </c>
      <c r="N1088" t="s">
        <v>87</v>
      </c>
      <c r="O1088" t="s">
        <v>91</v>
      </c>
      <c r="P1088">
        <f>Tableau1_2[[#This Row],[Quantité]]*Tableau1_2[[#This Row],[Prix_Unitaire]]</f>
        <v>60000</v>
      </c>
      <c r="Q1088">
        <f>Tableau1_2[[#This Row],[Quantité]]*Tableau1_2[[#This Row],[Coût_Unitaire]]</f>
        <v>36800</v>
      </c>
      <c r="R1088">
        <f>Tableau1_2[[#This Row],[CA]]-Tableau1_2[[#This Row],[Cout Total]]</f>
        <v>23200</v>
      </c>
      <c r="S1088" s="4">
        <f>Tableau1_2[[#This Row],[Marge]]/Tableau1_2[[#This Row],[CA]]</f>
        <v>0.38666666666666666</v>
      </c>
      <c r="T1088" t="str">
        <f>TEXT(Tableau1_2[[#This Row],[Date]],"mmmm")</f>
        <v>octobre</v>
      </c>
    </row>
    <row r="1089" spans="1:20" x14ac:dyDescent="0.35">
      <c r="A1089" t="s">
        <v>2049</v>
      </c>
      <c r="B1089" s="2">
        <v>46162</v>
      </c>
      <c r="C1089" t="s">
        <v>707</v>
      </c>
      <c r="D1089" t="s">
        <v>859</v>
      </c>
      <c r="E1089" t="s">
        <v>77</v>
      </c>
      <c r="F1089" t="s">
        <v>78</v>
      </c>
      <c r="G1089" t="s">
        <v>19</v>
      </c>
      <c r="H1089" t="s">
        <v>112</v>
      </c>
      <c r="I1089">
        <v>5</v>
      </c>
      <c r="J1089">
        <v>89200</v>
      </c>
      <c r="K1089">
        <v>60100</v>
      </c>
      <c r="L1089" t="s">
        <v>73</v>
      </c>
      <c r="M1089" t="s">
        <v>37</v>
      </c>
      <c r="N1089" t="s">
        <v>23</v>
      </c>
      <c r="O1089" t="s">
        <v>24</v>
      </c>
      <c r="P1089">
        <f>Tableau1_2[[#This Row],[Quantité]]*Tableau1_2[[#This Row],[Prix_Unitaire]]</f>
        <v>446000</v>
      </c>
      <c r="Q1089">
        <f>Tableau1_2[[#This Row],[Quantité]]*Tableau1_2[[#This Row],[Coût_Unitaire]]</f>
        <v>300500</v>
      </c>
      <c r="R1089">
        <f>Tableau1_2[[#This Row],[CA]]-Tableau1_2[[#This Row],[Cout Total]]</f>
        <v>145500</v>
      </c>
      <c r="S1089" s="4">
        <f>Tableau1_2[[#This Row],[Marge]]/Tableau1_2[[#This Row],[CA]]</f>
        <v>0.32623318385650224</v>
      </c>
      <c r="T1089" t="str">
        <f>TEXT(Tableau1_2[[#This Row],[Date]],"mmmm")</f>
        <v>mai</v>
      </c>
    </row>
    <row r="1090" spans="1:20" x14ac:dyDescent="0.35">
      <c r="A1090" t="s">
        <v>2050</v>
      </c>
      <c r="B1090" s="2">
        <v>46252</v>
      </c>
      <c r="C1090" t="s">
        <v>424</v>
      </c>
      <c r="D1090" t="s">
        <v>348</v>
      </c>
      <c r="E1090" t="s">
        <v>41</v>
      </c>
      <c r="F1090" t="s">
        <v>42</v>
      </c>
      <c r="G1090" t="s">
        <v>43</v>
      </c>
      <c r="H1090" t="s">
        <v>49</v>
      </c>
      <c r="I1090">
        <v>5</v>
      </c>
      <c r="J1090">
        <v>9400</v>
      </c>
      <c r="K1090">
        <v>5800</v>
      </c>
      <c r="L1090" t="s">
        <v>66</v>
      </c>
      <c r="M1090" t="s">
        <v>31</v>
      </c>
      <c r="N1090" t="s">
        <v>23</v>
      </c>
      <c r="O1090" t="s">
        <v>24</v>
      </c>
      <c r="P1090">
        <f>Tableau1_2[[#This Row],[Quantité]]*Tableau1_2[[#This Row],[Prix_Unitaire]]</f>
        <v>47000</v>
      </c>
      <c r="Q1090">
        <f>Tableau1_2[[#This Row],[Quantité]]*Tableau1_2[[#This Row],[Coût_Unitaire]]</f>
        <v>29000</v>
      </c>
      <c r="R1090">
        <f>Tableau1_2[[#This Row],[CA]]-Tableau1_2[[#This Row],[Cout Total]]</f>
        <v>18000</v>
      </c>
      <c r="S1090" s="4">
        <f>Tableau1_2[[#This Row],[Marge]]/Tableau1_2[[#This Row],[CA]]</f>
        <v>0.38297872340425532</v>
      </c>
      <c r="T1090" t="str">
        <f>TEXT(Tableau1_2[[#This Row],[Date]],"mmmm")</f>
        <v>août</v>
      </c>
    </row>
    <row r="1091" spans="1:20" x14ac:dyDescent="0.35">
      <c r="A1091" t="s">
        <v>2051</v>
      </c>
      <c r="B1091" s="2">
        <v>46106</v>
      </c>
      <c r="C1091" t="s">
        <v>1386</v>
      </c>
      <c r="D1091" t="s">
        <v>1122</v>
      </c>
      <c r="E1091" t="s">
        <v>18</v>
      </c>
      <c r="F1091" t="s">
        <v>18</v>
      </c>
      <c r="G1091" t="s">
        <v>34</v>
      </c>
      <c r="H1091" t="s">
        <v>158</v>
      </c>
      <c r="I1091">
        <v>3</v>
      </c>
      <c r="J1091">
        <v>99800</v>
      </c>
      <c r="K1091">
        <v>70000</v>
      </c>
      <c r="L1091" t="s">
        <v>96</v>
      </c>
      <c r="M1091" t="s">
        <v>51</v>
      </c>
      <c r="N1091" t="s">
        <v>23</v>
      </c>
      <c r="O1091" t="s">
        <v>24</v>
      </c>
      <c r="P1091">
        <f>Tableau1_2[[#This Row],[Quantité]]*Tableau1_2[[#This Row],[Prix_Unitaire]]</f>
        <v>299400</v>
      </c>
      <c r="Q1091">
        <f>Tableau1_2[[#This Row],[Quantité]]*Tableau1_2[[#This Row],[Coût_Unitaire]]</f>
        <v>210000</v>
      </c>
      <c r="R1091">
        <f>Tableau1_2[[#This Row],[CA]]-Tableau1_2[[#This Row],[Cout Total]]</f>
        <v>89400</v>
      </c>
      <c r="S1091" s="4">
        <f>Tableau1_2[[#This Row],[Marge]]/Tableau1_2[[#This Row],[CA]]</f>
        <v>0.29859719438877758</v>
      </c>
      <c r="T1091" t="str">
        <f>TEXT(Tableau1_2[[#This Row],[Date]],"mmmm")</f>
        <v>mars</v>
      </c>
    </row>
    <row r="1092" spans="1:20" x14ac:dyDescent="0.35">
      <c r="A1092" t="s">
        <v>2052</v>
      </c>
      <c r="B1092" s="2">
        <v>46158</v>
      </c>
      <c r="C1092" t="s">
        <v>266</v>
      </c>
      <c r="D1092" t="s">
        <v>1224</v>
      </c>
      <c r="E1092" t="s">
        <v>56</v>
      </c>
      <c r="F1092" t="s">
        <v>57</v>
      </c>
      <c r="G1092" t="s">
        <v>28</v>
      </c>
      <c r="H1092" t="s">
        <v>131</v>
      </c>
      <c r="I1092">
        <v>9</v>
      </c>
      <c r="J1092">
        <v>30000</v>
      </c>
      <c r="K1092">
        <v>19600</v>
      </c>
      <c r="L1092" t="s">
        <v>80</v>
      </c>
      <c r="M1092" t="s">
        <v>22</v>
      </c>
      <c r="N1092" t="s">
        <v>23</v>
      </c>
      <c r="O1092" t="s">
        <v>45</v>
      </c>
      <c r="P1092">
        <f>Tableau1_2[[#This Row],[Quantité]]*Tableau1_2[[#This Row],[Prix_Unitaire]]</f>
        <v>270000</v>
      </c>
      <c r="Q1092">
        <f>Tableau1_2[[#This Row],[Quantité]]*Tableau1_2[[#This Row],[Coût_Unitaire]]</f>
        <v>176400</v>
      </c>
      <c r="R1092">
        <f>Tableau1_2[[#This Row],[CA]]-Tableau1_2[[#This Row],[Cout Total]]</f>
        <v>93600</v>
      </c>
      <c r="S1092" s="4">
        <f>Tableau1_2[[#This Row],[Marge]]/Tableau1_2[[#This Row],[CA]]</f>
        <v>0.34666666666666668</v>
      </c>
      <c r="T1092" t="str">
        <f>TEXT(Tableau1_2[[#This Row],[Date]],"mmmm")</f>
        <v>mai</v>
      </c>
    </row>
    <row r="1093" spans="1:20" x14ac:dyDescent="0.35">
      <c r="A1093" t="s">
        <v>2053</v>
      </c>
      <c r="B1093" s="2">
        <v>46065</v>
      </c>
      <c r="C1093" t="s">
        <v>1827</v>
      </c>
      <c r="D1093" t="s">
        <v>823</v>
      </c>
      <c r="E1093" t="s">
        <v>190</v>
      </c>
      <c r="F1093" t="s">
        <v>191</v>
      </c>
      <c r="G1093" t="s">
        <v>34</v>
      </c>
      <c r="H1093" t="s">
        <v>95</v>
      </c>
      <c r="I1093">
        <v>6</v>
      </c>
      <c r="J1093">
        <v>450000</v>
      </c>
      <c r="K1093">
        <v>381100</v>
      </c>
      <c r="L1093" t="s">
        <v>73</v>
      </c>
      <c r="M1093" t="s">
        <v>51</v>
      </c>
      <c r="N1093" t="s">
        <v>52</v>
      </c>
      <c r="O1093" t="s">
        <v>24</v>
      </c>
      <c r="P1093">
        <f>Tableau1_2[[#This Row],[Quantité]]*Tableau1_2[[#This Row],[Prix_Unitaire]]</f>
        <v>2700000</v>
      </c>
      <c r="Q1093">
        <f>Tableau1_2[[#This Row],[Quantité]]*Tableau1_2[[#This Row],[Coût_Unitaire]]</f>
        <v>2286600</v>
      </c>
      <c r="R1093">
        <f>Tableau1_2[[#This Row],[CA]]-Tableau1_2[[#This Row],[Cout Total]]</f>
        <v>413400</v>
      </c>
      <c r="S1093" s="4">
        <f>Tableau1_2[[#This Row],[Marge]]/Tableau1_2[[#This Row],[CA]]</f>
        <v>0.15311111111111111</v>
      </c>
      <c r="T1093" t="str">
        <f>TEXT(Tableau1_2[[#This Row],[Date]],"mmmm")</f>
        <v>février</v>
      </c>
    </row>
    <row r="1094" spans="1:20" x14ac:dyDescent="0.35">
      <c r="A1094" t="s">
        <v>2055</v>
      </c>
      <c r="B1094" s="2">
        <v>46303</v>
      </c>
      <c r="C1094" t="s">
        <v>1506</v>
      </c>
      <c r="D1094" t="s">
        <v>2056</v>
      </c>
      <c r="E1094" t="s">
        <v>156</v>
      </c>
      <c r="F1094" t="s">
        <v>157</v>
      </c>
      <c r="G1094" t="s">
        <v>34</v>
      </c>
      <c r="H1094" t="s">
        <v>35</v>
      </c>
      <c r="I1094">
        <v>8</v>
      </c>
      <c r="J1094">
        <v>52200</v>
      </c>
      <c r="K1094">
        <v>39000</v>
      </c>
      <c r="L1094" t="s">
        <v>80</v>
      </c>
      <c r="M1094" t="s">
        <v>37</v>
      </c>
      <c r="N1094" t="s">
        <v>87</v>
      </c>
      <c r="O1094" t="s">
        <v>91</v>
      </c>
      <c r="P1094">
        <f>Tableau1_2[[#This Row],[Quantité]]*Tableau1_2[[#This Row],[Prix_Unitaire]]</f>
        <v>417600</v>
      </c>
      <c r="Q1094">
        <f>Tableau1_2[[#This Row],[Quantité]]*Tableau1_2[[#This Row],[Coût_Unitaire]]</f>
        <v>312000</v>
      </c>
      <c r="R1094">
        <f>Tableau1_2[[#This Row],[CA]]-Tableau1_2[[#This Row],[Cout Total]]</f>
        <v>105600</v>
      </c>
      <c r="S1094" s="4">
        <f>Tableau1_2[[#This Row],[Marge]]/Tableau1_2[[#This Row],[CA]]</f>
        <v>0.25287356321839083</v>
      </c>
      <c r="T1094" t="str">
        <f>TEXT(Tableau1_2[[#This Row],[Date]],"mmmm")</f>
        <v>octobre</v>
      </c>
    </row>
    <row r="1095" spans="1:20" x14ac:dyDescent="0.35">
      <c r="A1095" t="s">
        <v>2057</v>
      </c>
      <c r="B1095" s="2">
        <v>46371</v>
      </c>
      <c r="C1095" t="s">
        <v>497</v>
      </c>
      <c r="D1095" t="s">
        <v>844</v>
      </c>
      <c r="E1095" t="s">
        <v>56</v>
      </c>
      <c r="F1095" t="s">
        <v>57</v>
      </c>
      <c r="G1095" t="s">
        <v>34</v>
      </c>
      <c r="H1095" t="s">
        <v>158</v>
      </c>
      <c r="I1095">
        <v>7</v>
      </c>
      <c r="J1095">
        <v>95000</v>
      </c>
      <c r="K1095">
        <v>67900</v>
      </c>
      <c r="L1095" t="s">
        <v>96</v>
      </c>
      <c r="M1095" t="s">
        <v>31</v>
      </c>
      <c r="N1095" t="s">
        <v>23</v>
      </c>
      <c r="O1095" t="s">
        <v>91</v>
      </c>
      <c r="P1095">
        <f>Tableau1_2[[#This Row],[Quantité]]*Tableau1_2[[#This Row],[Prix_Unitaire]]</f>
        <v>665000</v>
      </c>
      <c r="Q1095">
        <f>Tableau1_2[[#This Row],[Quantité]]*Tableau1_2[[#This Row],[Coût_Unitaire]]</f>
        <v>475300</v>
      </c>
      <c r="R1095">
        <f>Tableau1_2[[#This Row],[CA]]-Tableau1_2[[#This Row],[Cout Total]]</f>
        <v>189700</v>
      </c>
      <c r="S1095" s="4">
        <f>Tableau1_2[[#This Row],[Marge]]/Tableau1_2[[#This Row],[CA]]</f>
        <v>0.28526315789473683</v>
      </c>
      <c r="T1095" t="str">
        <f>TEXT(Tableau1_2[[#This Row],[Date]],"mmmm")</f>
        <v>décembre</v>
      </c>
    </row>
    <row r="1096" spans="1:20" x14ac:dyDescent="0.35">
      <c r="A1096" t="s">
        <v>2058</v>
      </c>
      <c r="B1096" s="2">
        <v>46105</v>
      </c>
      <c r="C1096" t="s">
        <v>997</v>
      </c>
      <c r="D1096" t="s">
        <v>750</v>
      </c>
      <c r="E1096" t="s">
        <v>18</v>
      </c>
      <c r="F1096" t="s">
        <v>18</v>
      </c>
      <c r="G1096" t="s">
        <v>34</v>
      </c>
      <c r="H1096" t="s">
        <v>141</v>
      </c>
      <c r="I1096">
        <v>9</v>
      </c>
      <c r="J1096">
        <v>168000</v>
      </c>
      <c r="K1096">
        <v>123600</v>
      </c>
      <c r="L1096" t="s">
        <v>30</v>
      </c>
      <c r="M1096" t="s">
        <v>51</v>
      </c>
      <c r="N1096" t="s">
        <v>87</v>
      </c>
      <c r="O1096" t="s">
        <v>91</v>
      </c>
      <c r="P1096">
        <f>Tableau1_2[[#This Row],[Quantité]]*Tableau1_2[[#This Row],[Prix_Unitaire]]</f>
        <v>1512000</v>
      </c>
      <c r="Q1096">
        <f>Tableau1_2[[#This Row],[Quantité]]*Tableau1_2[[#This Row],[Coût_Unitaire]]</f>
        <v>1112400</v>
      </c>
      <c r="R1096">
        <f>Tableau1_2[[#This Row],[CA]]-Tableau1_2[[#This Row],[Cout Total]]</f>
        <v>399600</v>
      </c>
      <c r="S1096" s="4">
        <f>Tableau1_2[[#This Row],[Marge]]/Tableau1_2[[#This Row],[CA]]</f>
        <v>0.26428571428571429</v>
      </c>
      <c r="T1096" t="str">
        <f>TEXT(Tableau1_2[[#This Row],[Date]],"mmmm")</f>
        <v>mars</v>
      </c>
    </row>
    <row r="1097" spans="1:20" x14ac:dyDescent="0.35">
      <c r="A1097" t="s">
        <v>2059</v>
      </c>
      <c r="B1097" s="2">
        <v>46063</v>
      </c>
      <c r="C1097" t="s">
        <v>1106</v>
      </c>
      <c r="D1097" t="s">
        <v>335</v>
      </c>
      <c r="E1097" t="s">
        <v>56</v>
      </c>
      <c r="F1097" t="s">
        <v>57</v>
      </c>
      <c r="G1097" t="s">
        <v>19</v>
      </c>
      <c r="H1097" t="s">
        <v>112</v>
      </c>
      <c r="I1097">
        <v>7</v>
      </c>
      <c r="J1097">
        <v>89200</v>
      </c>
      <c r="K1097">
        <v>62000</v>
      </c>
      <c r="L1097" t="s">
        <v>96</v>
      </c>
      <c r="M1097" t="s">
        <v>37</v>
      </c>
      <c r="N1097" t="s">
        <v>87</v>
      </c>
      <c r="O1097" t="s">
        <v>24</v>
      </c>
      <c r="P1097">
        <f>Tableau1_2[[#This Row],[Quantité]]*Tableau1_2[[#This Row],[Prix_Unitaire]]</f>
        <v>624400</v>
      </c>
      <c r="Q1097">
        <f>Tableau1_2[[#This Row],[Quantité]]*Tableau1_2[[#This Row],[Coût_Unitaire]]</f>
        <v>434000</v>
      </c>
      <c r="R1097">
        <f>Tableau1_2[[#This Row],[CA]]-Tableau1_2[[#This Row],[Cout Total]]</f>
        <v>190400</v>
      </c>
      <c r="S1097" s="4">
        <f>Tableau1_2[[#This Row],[Marge]]/Tableau1_2[[#This Row],[CA]]</f>
        <v>0.30493273542600896</v>
      </c>
      <c r="T1097" t="str">
        <f>TEXT(Tableau1_2[[#This Row],[Date]],"mmmm")</f>
        <v>février</v>
      </c>
    </row>
    <row r="1098" spans="1:20" x14ac:dyDescent="0.35">
      <c r="A1098" t="s">
        <v>2060</v>
      </c>
      <c r="B1098" s="2">
        <v>46307</v>
      </c>
      <c r="C1098" t="s">
        <v>853</v>
      </c>
      <c r="D1098" t="s">
        <v>1258</v>
      </c>
      <c r="E1098" t="s">
        <v>84</v>
      </c>
      <c r="F1098" t="s">
        <v>18</v>
      </c>
      <c r="G1098" t="s">
        <v>19</v>
      </c>
      <c r="H1098" t="s">
        <v>166</v>
      </c>
      <c r="I1098">
        <v>8</v>
      </c>
      <c r="J1098">
        <v>147000</v>
      </c>
      <c r="K1098">
        <v>103000</v>
      </c>
      <c r="L1098" t="s">
        <v>21</v>
      </c>
      <c r="M1098" t="s">
        <v>37</v>
      </c>
      <c r="N1098" t="s">
        <v>87</v>
      </c>
      <c r="O1098" t="s">
        <v>24</v>
      </c>
      <c r="P1098">
        <f>Tableau1_2[[#This Row],[Quantité]]*Tableau1_2[[#This Row],[Prix_Unitaire]]</f>
        <v>1176000</v>
      </c>
      <c r="Q1098">
        <f>Tableau1_2[[#This Row],[Quantité]]*Tableau1_2[[#This Row],[Coût_Unitaire]]</f>
        <v>824000</v>
      </c>
      <c r="R1098">
        <f>Tableau1_2[[#This Row],[CA]]-Tableau1_2[[#This Row],[Cout Total]]</f>
        <v>352000</v>
      </c>
      <c r="S1098" s="4">
        <f>Tableau1_2[[#This Row],[Marge]]/Tableau1_2[[#This Row],[CA]]</f>
        <v>0.29931972789115646</v>
      </c>
      <c r="T1098" t="str">
        <f>TEXT(Tableau1_2[[#This Row],[Date]],"mmmm")</f>
        <v>octobre</v>
      </c>
    </row>
    <row r="1099" spans="1:20" x14ac:dyDescent="0.35">
      <c r="A1099" t="s">
        <v>2061</v>
      </c>
      <c r="B1099" s="2">
        <v>46316</v>
      </c>
      <c r="C1099" t="s">
        <v>649</v>
      </c>
      <c r="D1099" t="s">
        <v>1104</v>
      </c>
      <c r="E1099" t="s">
        <v>18</v>
      </c>
      <c r="F1099" t="s">
        <v>18</v>
      </c>
      <c r="G1099" t="s">
        <v>34</v>
      </c>
      <c r="H1099" t="s">
        <v>95</v>
      </c>
      <c r="I1099">
        <v>8</v>
      </c>
      <c r="J1099">
        <v>427500</v>
      </c>
      <c r="K1099">
        <v>358900</v>
      </c>
      <c r="L1099" t="s">
        <v>96</v>
      </c>
      <c r="M1099" t="s">
        <v>37</v>
      </c>
      <c r="N1099" t="s">
        <v>23</v>
      </c>
      <c r="O1099" t="s">
        <v>24</v>
      </c>
      <c r="P1099">
        <f>Tableau1_2[[#This Row],[Quantité]]*Tableau1_2[[#This Row],[Prix_Unitaire]]</f>
        <v>3420000</v>
      </c>
      <c r="Q1099">
        <f>Tableau1_2[[#This Row],[Quantité]]*Tableau1_2[[#This Row],[Coût_Unitaire]]</f>
        <v>2871200</v>
      </c>
      <c r="R1099">
        <f>Tableau1_2[[#This Row],[CA]]-Tableau1_2[[#This Row],[Cout Total]]</f>
        <v>548800</v>
      </c>
      <c r="S1099" s="4">
        <f>Tableau1_2[[#This Row],[Marge]]/Tableau1_2[[#This Row],[CA]]</f>
        <v>0.16046783625730995</v>
      </c>
      <c r="T1099" t="str">
        <f>TEXT(Tableau1_2[[#This Row],[Date]],"mmmm")</f>
        <v>octobre</v>
      </c>
    </row>
    <row r="1100" spans="1:20" x14ac:dyDescent="0.35">
      <c r="A1100" t="s">
        <v>2062</v>
      </c>
      <c r="B1100" s="2">
        <v>46035</v>
      </c>
      <c r="C1100" t="s">
        <v>868</v>
      </c>
      <c r="D1100" t="s">
        <v>1122</v>
      </c>
      <c r="E1100" t="s">
        <v>18</v>
      </c>
      <c r="F1100" t="s">
        <v>18</v>
      </c>
      <c r="G1100" t="s">
        <v>19</v>
      </c>
      <c r="H1100" t="s">
        <v>20</v>
      </c>
      <c r="I1100">
        <v>2</v>
      </c>
      <c r="J1100">
        <v>68200</v>
      </c>
      <c r="K1100">
        <v>45000</v>
      </c>
      <c r="L1100" t="s">
        <v>80</v>
      </c>
      <c r="M1100" t="s">
        <v>37</v>
      </c>
      <c r="N1100" t="s">
        <v>23</v>
      </c>
      <c r="O1100" t="s">
        <v>24</v>
      </c>
      <c r="P1100">
        <f>Tableau1_2[[#This Row],[Quantité]]*Tableau1_2[[#This Row],[Prix_Unitaire]]</f>
        <v>136400</v>
      </c>
      <c r="Q1100">
        <f>Tableau1_2[[#This Row],[Quantité]]*Tableau1_2[[#This Row],[Coût_Unitaire]]</f>
        <v>90000</v>
      </c>
      <c r="R1100">
        <f>Tableau1_2[[#This Row],[CA]]-Tableau1_2[[#This Row],[Cout Total]]</f>
        <v>46400</v>
      </c>
      <c r="S1100" s="4">
        <f>Tableau1_2[[#This Row],[Marge]]/Tableau1_2[[#This Row],[CA]]</f>
        <v>0.34017595307917886</v>
      </c>
      <c r="T1100" t="str">
        <f>TEXT(Tableau1_2[[#This Row],[Date]],"mmmm")</f>
        <v>janvier</v>
      </c>
    </row>
    <row r="1101" spans="1:20" x14ac:dyDescent="0.35">
      <c r="A1101" t="s">
        <v>2063</v>
      </c>
      <c r="B1101" s="2">
        <v>46227</v>
      </c>
      <c r="C1101" t="s">
        <v>588</v>
      </c>
      <c r="D1101" t="s">
        <v>406</v>
      </c>
      <c r="E1101" t="s">
        <v>84</v>
      </c>
      <c r="F1101" t="s">
        <v>85</v>
      </c>
      <c r="G1101" t="s">
        <v>19</v>
      </c>
      <c r="H1101" t="s">
        <v>61</v>
      </c>
      <c r="I1101">
        <v>10</v>
      </c>
      <c r="J1101">
        <v>220000</v>
      </c>
      <c r="K1101">
        <v>155200</v>
      </c>
      <c r="L1101" t="s">
        <v>36</v>
      </c>
      <c r="M1101" t="s">
        <v>37</v>
      </c>
      <c r="N1101" t="s">
        <v>23</v>
      </c>
      <c r="O1101" t="s">
        <v>45</v>
      </c>
      <c r="P1101">
        <f>Tableau1_2[[#This Row],[Quantité]]*Tableau1_2[[#This Row],[Prix_Unitaire]]</f>
        <v>2200000</v>
      </c>
      <c r="Q1101">
        <f>Tableau1_2[[#This Row],[Quantité]]*Tableau1_2[[#This Row],[Coût_Unitaire]]</f>
        <v>1552000</v>
      </c>
      <c r="R1101">
        <f>Tableau1_2[[#This Row],[CA]]-Tableau1_2[[#This Row],[Cout Total]]</f>
        <v>648000</v>
      </c>
      <c r="S1101" s="4">
        <f>Tableau1_2[[#This Row],[Marge]]/Tableau1_2[[#This Row],[CA]]</f>
        <v>0.29454545454545455</v>
      </c>
      <c r="T1101" t="str">
        <f>TEXT(Tableau1_2[[#This Row],[Date]],"mmmm")</f>
        <v>juillet</v>
      </c>
    </row>
    <row r="1102" spans="1:20" x14ac:dyDescent="0.35">
      <c r="A1102" t="s">
        <v>2064</v>
      </c>
      <c r="B1102" s="2">
        <v>46075</v>
      </c>
      <c r="C1102" t="s">
        <v>2065</v>
      </c>
      <c r="D1102" t="s">
        <v>1221</v>
      </c>
      <c r="E1102" t="s">
        <v>190</v>
      </c>
      <c r="F1102" t="s">
        <v>191</v>
      </c>
      <c r="G1102" t="s">
        <v>34</v>
      </c>
      <c r="H1102" t="s">
        <v>158</v>
      </c>
      <c r="I1102">
        <v>2</v>
      </c>
      <c r="J1102">
        <v>99800</v>
      </c>
      <c r="K1102">
        <v>67900</v>
      </c>
      <c r="L1102" t="s">
        <v>73</v>
      </c>
      <c r="M1102" t="s">
        <v>31</v>
      </c>
      <c r="N1102" t="s">
        <v>52</v>
      </c>
      <c r="O1102" t="s">
        <v>24</v>
      </c>
      <c r="P1102">
        <f>Tableau1_2[[#This Row],[Quantité]]*Tableau1_2[[#This Row],[Prix_Unitaire]]</f>
        <v>199600</v>
      </c>
      <c r="Q1102">
        <f>Tableau1_2[[#This Row],[Quantité]]*Tableau1_2[[#This Row],[Coût_Unitaire]]</f>
        <v>135800</v>
      </c>
      <c r="R1102">
        <f>Tableau1_2[[#This Row],[CA]]-Tableau1_2[[#This Row],[Cout Total]]</f>
        <v>63800</v>
      </c>
      <c r="S1102" s="4">
        <f>Tableau1_2[[#This Row],[Marge]]/Tableau1_2[[#This Row],[CA]]</f>
        <v>0.31963927855711421</v>
      </c>
      <c r="T1102" t="str">
        <f>TEXT(Tableau1_2[[#This Row],[Date]],"mmmm")</f>
        <v>février</v>
      </c>
    </row>
    <row r="1103" spans="1:20" x14ac:dyDescent="0.35">
      <c r="A1103" t="s">
        <v>2066</v>
      </c>
      <c r="B1103" s="2">
        <v>46316</v>
      </c>
      <c r="C1103" t="s">
        <v>1164</v>
      </c>
      <c r="D1103" t="s">
        <v>1638</v>
      </c>
      <c r="E1103" t="s">
        <v>18</v>
      </c>
      <c r="F1103" t="s">
        <v>18</v>
      </c>
      <c r="G1103" t="s">
        <v>34</v>
      </c>
      <c r="H1103" t="s">
        <v>158</v>
      </c>
      <c r="I1103">
        <v>7</v>
      </c>
      <c r="J1103">
        <v>99800</v>
      </c>
      <c r="K1103">
        <v>67900</v>
      </c>
      <c r="L1103" t="s">
        <v>50</v>
      </c>
      <c r="M1103" t="s">
        <v>51</v>
      </c>
      <c r="N1103" t="s">
        <v>52</v>
      </c>
      <c r="O1103" t="s">
        <v>24</v>
      </c>
      <c r="P1103">
        <f>Tableau1_2[[#This Row],[Quantité]]*Tableau1_2[[#This Row],[Prix_Unitaire]]</f>
        <v>698600</v>
      </c>
      <c r="Q1103">
        <f>Tableau1_2[[#This Row],[Quantité]]*Tableau1_2[[#This Row],[Coût_Unitaire]]</f>
        <v>475300</v>
      </c>
      <c r="R1103">
        <f>Tableau1_2[[#This Row],[CA]]-Tableau1_2[[#This Row],[Cout Total]]</f>
        <v>223300</v>
      </c>
      <c r="S1103" s="4">
        <f>Tableau1_2[[#This Row],[Marge]]/Tableau1_2[[#This Row],[CA]]</f>
        <v>0.31963927855711421</v>
      </c>
      <c r="T1103" t="str">
        <f>TEXT(Tableau1_2[[#This Row],[Date]],"mmmm")</f>
        <v>octobre</v>
      </c>
    </row>
    <row r="1104" spans="1:20" x14ac:dyDescent="0.35">
      <c r="A1104" t="s">
        <v>2067</v>
      </c>
      <c r="B1104" s="2">
        <v>46213</v>
      </c>
      <c r="C1104" t="s">
        <v>947</v>
      </c>
      <c r="D1104" t="s">
        <v>809</v>
      </c>
      <c r="E1104" t="s">
        <v>18</v>
      </c>
      <c r="F1104" t="s">
        <v>18</v>
      </c>
      <c r="G1104" t="s">
        <v>34</v>
      </c>
      <c r="H1104" t="s">
        <v>35</v>
      </c>
      <c r="I1104">
        <v>10</v>
      </c>
      <c r="J1104">
        <v>52200</v>
      </c>
      <c r="K1104">
        <v>40200</v>
      </c>
      <c r="L1104" t="s">
        <v>73</v>
      </c>
      <c r="M1104" t="s">
        <v>31</v>
      </c>
      <c r="N1104" t="s">
        <v>23</v>
      </c>
      <c r="O1104" t="s">
        <v>91</v>
      </c>
      <c r="P1104">
        <f>Tableau1_2[[#This Row],[Quantité]]*Tableau1_2[[#This Row],[Prix_Unitaire]]</f>
        <v>522000</v>
      </c>
      <c r="Q1104">
        <f>Tableau1_2[[#This Row],[Quantité]]*Tableau1_2[[#This Row],[Coût_Unitaire]]</f>
        <v>402000</v>
      </c>
      <c r="R1104">
        <f>Tableau1_2[[#This Row],[CA]]-Tableau1_2[[#This Row],[Cout Total]]</f>
        <v>120000</v>
      </c>
      <c r="S1104" s="4">
        <f>Tableau1_2[[#This Row],[Marge]]/Tableau1_2[[#This Row],[CA]]</f>
        <v>0.22988505747126436</v>
      </c>
      <c r="T1104" t="str">
        <f>TEXT(Tableau1_2[[#This Row],[Date]],"mmmm")</f>
        <v>juillet</v>
      </c>
    </row>
    <row r="1105" spans="1:20" x14ac:dyDescent="0.35">
      <c r="A1105" t="s">
        <v>2068</v>
      </c>
      <c r="B1105" s="2">
        <v>46278</v>
      </c>
      <c r="C1105" t="s">
        <v>2069</v>
      </c>
      <c r="D1105" t="s">
        <v>1382</v>
      </c>
      <c r="E1105" t="s">
        <v>18</v>
      </c>
      <c r="F1105" t="s">
        <v>18</v>
      </c>
      <c r="G1105" t="s">
        <v>28</v>
      </c>
      <c r="H1105" t="s">
        <v>29</v>
      </c>
      <c r="I1105">
        <v>6</v>
      </c>
      <c r="J1105">
        <v>7000</v>
      </c>
      <c r="K1105">
        <v>4100</v>
      </c>
      <c r="L1105" t="s">
        <v>80</v>
      </c>
      <c r="M1105" t="s">
        <v>37</v>
      </c>
      <c r="N1105" t="s">
        <v>2070</v>
      </c>
      <c r="O1105" t="s">
        <v>24</v>
      </c>
      <c r="P1105">
        <f>Tableau1_2[[#This Row],[Quantité]]*Tableau1_2[[#This Row],[Prix_Unitaire]]</f>
        <v>42000</v>
      </c>
      <c r="Q1105">
        <f>Tableau1_2[[#This Row],[Quantité]]*Tableau1_2[[#This Row],[Coût_Unitaire]]</f>
        <v>24600</v>
      </c>
      <c r="R1105">
        <f>Tableau1_2[[#This Row],[CA]]-Tableau1_2[[#This Row],[Cout Total]]</f>
        <v>17400</v>
      </c>
      <c r="S1105" s="4">
        <f>Tableau1_2[[#This Row],[Marge]]/Tableau1_2[[#This Row],[CA]]</f>
        <v>0.41428571428571431</v>
      </c>
      <c r="T1105" t="str">
        <f>TEXT(Tableau1_2[[#This Row],[Date]],"mmmm")</f>
        <v>septembre</v>
      </c>
    </row>
    <row r="1106" spans="1:20" x14ac:dyDescent="0.35">
      <c r="A1106" t="s">
        <v>2071</v>
      </c>
      <c r="B1106" s="2">
        <v>46196</v>
      </c>
      <c r="C1106" t="s">
        <v>68</v>
      </c>
      <c r="D1106" t="s">
        <v>1016</v>
      </c>
      <c r="E1106" t="s">
        <v>156</v>
      </c>
      <c r="F1106" t="s">
        <v>170</v>
      </c>
      <c r="G1106" t="s">
        <v>34</v>
      </c>
      <c r="H1106" t="s">
        <v>158</v>
      </c>
      <c r="I1106">
        <v>6</v>
      </c>
      <c r="J1106">
        <v>90200</v>
      </c>
      <c r="K1106">
        <v>72100</v>
      </c>
      <c r="L1106" t="s">
        <v>96</v>
      </c>
      <c r="M1106" t="s">
        <v>37</v>
      </c>
      <c r="N1106" t="s">
        <v>52</v>
      </c>
      <c r="O1106" t="s">
        <v>24</v>
      </c>
      <c r="P1106">
        <f>Tableau1_2[[#This Row],[Quantité]]*Tableau1_2[[#This Row],[Prix_Unitaire]]</f>
        <v>541200</v>
      </c>
      <c r="Q1106">
        <f>Tableau1_2[[#This Row],[Quantité]]*Tableau1_2[[#This Row],[Coût_Unitaire]]</f>
        <v>432600</v>
      </c>
      <c r="R1106">
        <f>Tableau1_2[[#This Row],[CA]]-Tableau1_2[[#This Row],[Cout Total]]</f>
        <v>108600</v>
      </c>
      <c r="S1106" s="4">
        <f>Tableau1_2[[#This Row],[Marge]]/Tableau1_2[[#This Row],[CA]]</f>
        <v>0.20066518847006651</v>
      </c>
      <c r="T1106" t="str">
        <f>TEXT(Tableau1_2[[#This Row],[Date]],"mmmm")</f>
        <v>juin</v>
      </c>
    </row>
    <row r="1107" spans="1:20" x14ac:dyDescent="0.35">
      <c r="A1107" t="s">
        <v>2072</v>
      </c>
      <c r="B1107" s="2">
        <v>46273</v>
      </c>
      <c r="C1107" t="s">
        <v>827</v>
      </c>
      <c r="D1107" t="s">
        <v>64</v>
      </c>
      <c r="E1107" t="s">
        <v>70</v>
      </c>
      <c r="F1107" t="s">
        <v>71</v>
      </c>
      <c r="G1107" t="s">
        <v>34</v>
      </c>
      <c r="H1107" t="s">
        <v>86</v>
      </c>
      <c r="I1107">
        <v>3</v>
      </c>
      <c r="J1107">
        <v>180000</v>
      </c>
      <c r="K1107">
        <v>135000</v>
      </c>
      <c r="L1107" t="s">
        <v>66</v>
      </c>
      <c r="M1107" t="s">
        <v>51</v>
      </c>
      <c r="N1107" t="s">
        <v>52</v>
      </c>
      <c r="O1107" t="s">
        <v>24</v>
      </c>
      <c r="P1107">
        <f>Tableau1_2[[#This Row],[Quantité]]*Tableau1_2[[#This Row],[Prix_Unitaire]]</f>
        <v>540000</v>
      </c>
      <c r="Q1107">
        <f>Tableau1_2[[#This Row],[Quantité]]*Tableau1_2[[#This Row],[Coût_Unitaire]]</f>
        <v>405000</v>
      </c>
      <c r="R1107">
        <f>Tableau1_2[[#This Row],[CA]]-Tableau1_2[[#This Row],[Cout Total]]</f>
        <v>135000</v>
      </c>
      <c r="S1107" s="4">
        <f>Tableau1_2[[#This Row],[Marge]]/Tableau1_2[[#This Row],[CA]]</f>
        <v>0.25</v>
      </c>
      <c r="T1107" t="str">
        <f>TEXT(Tableau1_2[[#This Row],[Date]],"mmmm")</f>
        <v>septembre</v>
      </c>
    </row>
    <row r="1108" spans="1:20" x14ac:dyDescent="0.35">
      <c r="A1108" t="s">
        <v>2073</v>
      </c>
      <c r="B1108" s="2">
        <v>46072</v>
      </c>
      <c r="C1108" t="s">
        <v>2074</v>
      </c>
      <c r="D1108" t="s">
        <v>738</v>
      </c>
      <c r="E1108" t="s">
        <v>41</v>
      </c>
      <c r="F1108" t="s">
        <v>42</v>
      </c>
      <c r="G1108" t="s">
        <v>43</v>
      </c>
      <c r="H1108" t="s">
        <v>79</v>
      </c>
      <c r="I1108">
        <v>8</v>
      </c>
      <c r="J1108">
        <v>6000</v>
      </c>
      <c r="K1108">
        <v>4300</v>
      </c>
      <c r="L1108" t="s">
        <v>36</v>
      </c>
      <c r="M1108" t="s">
        <v>37</v>
      </c>
      <c r="N1108" t="s">
        <v>23</v>
      </c>
      <c r="O1108" t="s">
        <v>45</v>
      </c>
      <c r="P1108">
        <f>Tableau1_2[[#This Row],[Quantité]]*Tableau1_2[[#This Row],[Prix_Unitaire]]</f>
        <v>48000</v>
      </c>
      <c r="Q1108">
        <f>Tableau1_2[[#This Row],[Quantité]]*Tableau1_2[[#This Row],[Coût_Unitaire]]</f>
        <v>34400</v>
      </c>
      <c r="R1108">
        <f>Tableau1_2[[#This Row],[CA]]-Tableau1_2[[#This Row],[Cout Total]]</f>
        <v>13600</v>
      </c>
      <c r="S1108" s="4">
        <f>Tableau1_2[[#This Row],[Marge]]/Tableau1_2[[#This Row],[CA]]</f>
        <v>0.28333333333333333</v>
      </c>
      <c r="T1108" t="str">
        <f>TEXT(Tableau1_2[[#This Row],[Date]],"mmmm")</f>
        <v>février</v>
      </c>
    </row>
    <row r="1109" spans="1:20" x14ac:dyDescent="0.35">
      <c r="A1109" t="s">
        <v>2075</v>
      </c>
      <c r="B1109" s="2">
        <v>46185</v>
      </c>
      <c r="C1109" t="s">
        <v>687</v>
      </c>
      <c r="D1109" t="s">
        <v>137</v>
      </c>
      <c r="E1109" t="s">
        <v>56</v>
      </c>
      <c r="F1109" t="s">
        <v>57</v>
      </c>
      <c r="G1109" t="s">
        <v>19</v>
      </c>
      <c r="H1109" t="s">
        <v>166</v>
      </c>
      <c r="I1109">
        <v>6</v>
      </c>
      <c r="J1109">
        <v>147000</v>
      </c>
      <c r="K1109">
        <v>100000</v>
      </c>
      <c r="L1109" t="s">
        <v>80</v>
      </c>
      <c r="M1109" t="s">
        <v>37</v>
      </c>
      <c r="N1109" t="s">
        <v>52</v>
      </c>
      <c r="O1109" t="s">
        <v>24</v>
      </c>
      <c r="P1109">
        <f>Tableau1_2[[#This Row],[Quantité]]*Tableau1_2[[#This Row],[Prix_Unitaire]]</f>
        <v>882000</v>
      </c>
      <c r="Q1109">
        <f>Tableau1_2[[#This Row],[Quantité]]*Tableau1_2[[#This Row],[Coût_Unitaire]]</f>
        <v>600000</v>
      </c>
      <c r="R1109">
        <f>Tableau1_2[[#This Row],[CA]]-Tableau1_2[[#This Row],[Cout Total]]</f>
        <v>282000</v>
      </c>
      <c r="S1109" s="4">
        <f>Tableau1_2[[#This Row],[Marge]]/Tableau1_2[[#This Row],[CA]]</f>
        <v>0.31972789115646261</v>
      </c>
      <c r="T1109" t="str">
        <f>TEXT(Tableau1_2[[#This Row],[Date]],"mmmm")</f>
        <v>juin</v>
      </c>
    </row>
    <row r="1110" spans="1:20" x14ac:dyDescent="0.35">
      <c r="A1110" t="s">
        <v>2076</v>
      </c>
      <c r="B1110" s="2">
        <v>46379</v>
      </c>
      <c r="C1110" t="s">
        <v>1020</v>
      </c>
      <c r="D1110" t="s">
        <v>270</v>
      </c>
      <c r="E1110" t="s">
        <v>190</v>
      </c>
      <c r="F1110" t="s">
        <v>191</v>
      </c>
      <c r="G1110" t="s">
        <v>34</v>
      </c>
      <c r="H1110" t="s">
        <v>86</v>
      </c>
      <c r="I1110">
        <v>6</v>
      </c>
      <c r="J1110">
        <v>180000</v>
      </c>
      <c r="K1110">
        <v>135000</v>
      </c>
      <c r="L1110" t="s">
        <v>30</v>
      </c>
      <c r="M1110" t="s">
        <v>37</v>
      </c>
      <c r="N1110" t="s">
        <v>23</v>
      </c>
      <c r="O1110" t="s">
        <v>24</v>
      </c>
      <c r="P1110">
        <f>Tableau1_2[[#This Row],[Quantité]]*Tableau1_2[[#This Row],[Prix_Unitaire]]</f>
        <v>1080000</v>
      </c>
      <c r="Q1110">
        <f>Tableau1_2[[#This Row],[Quantité]]*Tableau1_2[[#This Row],[Coût_Unitaire]]</f>
        <v>810000</v>
      </c>
      <c r="R1110">
        <f>Tableau1_2[[#This Row],[CA]]-Tableau1_2[[#This Row],[Cout Total]]</f>
        <v>270000</v>
      </c>
      <c r="S1110" s="4">
        <f>Tableau1_2[[#This Row],[Marge]]/Tableau1_2[[#This Row],[CA]]</f>
        <v>0.25</v>
      </c>
      <c r="T1110" t="str">
        <f>TEXT(Tableau1_2[[#This Row],[Date]],"mmmm")</f>
        <v>décembre</v>
      </c>
    </row>
    <row r="1111" spans="1:20" x14ac:dyDescent="0.35">
      <c r="A1111" t="s">
        <v>2077</v>
      </c>
      <c r="B1111" s="2">
        <v>46300</v>
      </c>
      <c r="C1111" t="s">
        <v>489</v>
      </c>
      <c r="D1111" t="s">
        <v>507</v>
      </c>
      <c r="E1111" t="s">
        <v>18</v>
      </c>
      <c r="F1111" t="s">
        <v>18</v>
      </c>
      <c r="G1111" t="s">
        <v>34</v>
      </c>
      <c r="H1111" t="s">
        <v>86</v>
      </c>
      <c r="I1111">
        <v>5</v>
      </c>
      <c r="J1111">
        <v>180000</v>
      </c>
      <c r="K1111">
        <v>139000</v>
      </c>
      <c r="L1111" t="s">
        <v>66</v>
      </c>
      <c r="M1111" t="s">
        <v>51</v>
      </c>
      <c r="N1111" t="s">
        <v>23</v>
      </c>
      <c r="O1111" t="s">
        <v>45</v>
      </c>
      <c r="P1111">
        <f>Tableau1_2[[#This Row],[Quantité]]*Tableau1_2[[#This Row],[Prix_Unitaire]]</f>
        <v>900000</v>
      </c>
      <c r="Q1111">
        <f>Tableau1_2[[#This Row],[Quantité]]*Tableau1_2[[#This Row],[Coût_Unitaire]]</f>
        <v>695000</v>
      </c>
      <c r="R1111">
        <f>Tableau1_2[[#This Row],[CA]]-Tableau1_2[[#This Row],[Cout Total]]</f>
        <v>205000</v>
      </c>
      <c r="S1111" s="4">
        <f>Tableau1_2[[#This Row],[Marge]]/Tableau1_2[[#This Row],[CA]]</f>
        <v>0.22777777777777777</v>
      </c>
      <c r="T1111" t="str">
        <f>TEXT(Tableau1_2[[#This Row],[Date]],"mmmm")</f>
        <v>octobre</v>
      </c>
    </row>
    <row r="1112" spans="1:20" x14ac:dyDescent="0.35">
      <c r="A1112" t="s">
        <v>2078</v>
      </c>
      <c r="B1112" s="2">
        <v>46169</v>
      </c>
      <c r="C1112" t="s">
        <v>59</v>
      </c>
      <c r="D1112" t="s">
        <v>1741</v>
      </c>
      <c r="E1112" t="s">
        <v>70</v>
      </c>
      <c r="F1112" t="s">
        <v>71</v>
      </c>
      <c r="G1112" t="s">
        <v>34</v>
      </c>
      <c r="H1112" t="s">
        <v>86</v>
      </c>
      <c r="I1112">
        <v>1</v>
      </c>
      <c r="J1112">
        <v>180000</v>
      </c>
      <c r="K1112">
        <v>131000</v>
      </c>
      <c r="L1112" t="s">
        <v>66</v>
      </c>
      <c r="M1112" t="s">
        <v>51</v>
      </c>
      <c r="N1112" t="s">
        <v>23</v>
      </c>
      <c r="O1112" t="s">
        <v>24</v>
      </c>
      <c r="P1112">
        <f>Tableau1_2[[#This Row],[Quantité]]*Tableau1_2[[#This Row],[Prix_Unitaire]]</f>
        <v>180000</v>
      </c>
      <c r="Q1112">
        <f>Tableau1_2[[#This Row],[Quantité]]*Tableau1_2[[#This Row],[Coût_Unitaire]]</f>
        <v>131000</v>
      </c>
      <c r="R1112">
        <f>Tableau1_2[[#This Row],[CA]]-Tableau1_2[[#This Row],[Cout Total]]</f>
        <v>49000</v>
      </c>
      <c r="S1112" s="4">
        <f>Tableau1_2[[#This Row],[Marge]]/Tableau1_2[[#This Row],[CA]]</f>
        <v>0.2722222222222222</v>
      </c>
      <c r="T1112" t="str">
        <f>TEXT(Tableau1_2[[#This Row],[Date]],"mmmm")</f>
        <v>mai</v>
      </c>
    </row>
    <row r="1113" spans="1:20" x14ac:dyDescent="0.35">
      <c r="A1113" t="s">
        <v>2079</v>
      </c>
      <c r="B1113" s="2">
        <v>46135</v>
      </c>
      <c r="C1113" t="s">
        <v>1340</v>
      </c>
      <c r="D1113" t="s">
        <v>324</v>
      </c>
      <c r="E1113" t="s">
        <v>18</v>
      </c>
      <c r="F1113" t="s">
        <v>18</v>
      </c>
      <c r="G1113" t="s">
        <v>19</v>
      </c>
      <c r="H1113" t="s">
        <v>61</v>
      </c>
      <c r="I1113">
        <v>4</v>
      </c>
      <c r="J1113">
        <v>220000</v>
      </c>
      <c r="K1113">
        <v>155200</v>
      </c>
      <c r="L1113" t="s">
        <v>96</v>
      </c>
      <c r="M1113" t="s">
        <v>51</v>
      </c>
      <c r="N1113" t="s">
        <v>23</v>
      </c>
      <c r="O1113" t="s">
        <v>24</v>
      </c>
      <c r="P1113">
        <f>Tableau1_2[[#This Row],[Quantité]]*Tableau1_2[[#This Row],[Prix_Unitaire]]</f>
        <v>880000</v>
      </c>
      <c r="Q1113">
        <f>Tableau1_2[[#This Row],[Quantité]]*Tableau1_2[[#This Row],[Coût_Unitaire]]</f>
        <v>620800</v>
      </c>
      <c r="R1113">
        <f>Tableau1_2[[#This Row],[CA]]-Tableau1_2[[#This Row],[Cout Total]]</f>
        <v>259200</v>
      </c>
      <c r="S1113" s="4">
        <f>Tableau1_2[[#This Row],[Marge]]/Tableau1_2[[#This Row],[CA]]</f>
        <v>0.29454545454545455</v>
      </c>
      <c r="T1113" t="str">
        <f>TEXT(Tableau1_2[[#This Row],[Date]],"mmmm")</f>
        <v>avril</v>
      </c>
    </row>
    <row r="1114" spans="1:20" x14ac:dyDescent="0.35">
      <c r="A1114" t="s">
        <v>2080</v>
      </c>
      <c r="B1114" s="2">
        <v>46046</v>
      </c>
      <c r="C1114" t="s">
        <v>1160</v>
      </c>
      <c r="D1114" t="s">
        <v>1954</v>
      </c>
      <c r="E1114" t="s">
        <v>41</v>
      </c>
      <c r="F1114" t="s">
        <v>42</v>
      </c>
      <c r="G1114" t="s">
        <v>34</v>
      </c>
      <c r="H1114" t="s">
        <v>158</v>
      </c>
      <c r="I1114">
        <v>7</v>
      </c>
      <c r="J1114">
        <v>95000</v>
      </c>
      <c r="K1114">
        <v>67900</v>
      </c>
      <c r="L1114" t="s">
        <v>80</v>
      </c>
      <c r="M1114" t="s">
        <v>37</v>
      </c>
      <c r="N1114" t="s">
        <v>23</v>
      </c>
      <c r="O1114" t="s">
        <v>24</v>
      </c>
      <c r="P1114">
        <f>Tableau1_2[[#This Row],[Quantité]]*Tableau1_2[[#This Row],[Prix_Unitaire]]</f>
        <v>665000</v>
      </c>
      <c r="Q1114">
        <f>Tableau1_2[[#This Row],[Quantité]]*Tableau1_2[[#This Row],[Coût_Unitaire]]</f>
        <v>475300</v>
      </c>
      <c r="R1114">
        <f>Tableau1_2[[#This Row],[CA]]-Tableau1_2[[#This Row],[Cout Total]]</f>
        <v>189700</v>
      </c>
      <c r="S1114" s="4">
        <f>Tableau1_2[[#This Row],[Marge]]/Tableau1_2[[#This Row],[CA]]</f>
        <v>0.28526315789473683</v>
      </c>
      <c r="T1114" t="str">
        <f>TEXT(Tableau1_2[[#This Row],[Date]],"mmmm")</f>
        <v>janvier</v>
      </c>
    </row>
    <row r="1115" spans="1:20" x14ac:dyDescent="0.35">
      <c r="A1115" t="s">
        <v>2081</v>
      </c>
      <c r="B1115" s="2">
        <v>46087</v>
      </c>
      <c r="C1115" t="s">
        <v>2082</v>
      </c>
      <c r="D1115" t="s">
        <v>403</v>
      </c>
      <c r="E1115" t="s">
        <v>18</v>
      </c>
      <c r="F1115" t="s">
        <v>18</v>
      </c>
      <c r="G1115" t="s">
        <v>19</v>
      </c>
      <c r="H1115" t="s">
        <v>166</v>
      </c>
      <c r="I1115">
        <v>1</v>
      </c>
      <c r="J1115">
        <v>140000</v>
      </c>
      <c r="K1115">
        <v>103000</v>
      </c>
      <c r="L1115" t="s">
        <v>66</v>
      </c>
      <c r="M1115" t="s">
        <v>51</v>
      </c>
      <c r="N1115" t="s">
        <v>23</v>
      </c>
      <c r="O1115" t="s">
        <v>24</v>
      </c>
      <c r="P1115">
        <f>Tableau1_2[[#This Row],[Quantité]]*Tableau1_2[[#This Row],[Prix_Unitaire]]</f>
        <v>140000</v>
      </c>
      <c r="Q1115">
        <f>Tableau1_2[[#This Row],[Quantité]]*Tableau1_2[[#This Row],[Coût_Unitaire]]</f>
        <v>103000</v>
      </c>
      <c r="R1115">
        <f>Tableau1_2[[#This Row],[CA]]-Tableau1_2[[#This Row],[Cout Total]]</f>
        <v>37000</v>
      </c>
      <c r="S1115" s="4">
        <f>Tableau1_2[[#This Row],[Marge]]/Tableau1_2[[#This Row],[CA]]</f>
        <v>0.26428571428571429</v>
      </c>
      <c r="T1115" t="str">
        <f>TEXT(Tableau1_2[[#This Row],[Date]],"mmmm")</f>
        <v>mars</v>
      </c>
    </row>
    <row r="1116" spans="1:20" x14ac:dyDescent="0.35">
      <c r="A1116" t="s">
        <v>2083</v>
      </c>
      <c r="B1116" s="2">
        <v>46364</v>
      </c>
      <c r="C1116" t="s">
        <v>2084</v>
      </c>
      <c r="D1116" t="s">
        <v>342</v>
      </c>
      <c r="E1116" t="s">
        <v>56</v>
      </c>
      <c r="F1116" t="s">
        <v>57</v>
      </c>
      <c r="G1116" t="s">
        <v>28</v>
      </c>
      <c r="H1116" t="s">
        <v>29</v>
      </c>
      <c r="I1116">
        <v>3</v>
      </c>
      <c r="J1116">
        <v>7400</v>
      </c>
      <c r="K1116">
        <v>3900</v>
      </c>
      <c r="L1116" t="s">
        <v>50</v>
      </c>
      <c r="M1116" t="s">
        <v>51</v>
      </c>
      <c r="N1116" t="s">
        <v>23</v>
      </c>
      <c r="O1116" t="s">
        <v>24</v>
      </c>
      <c r="P1116">
        <f>Tableau1_2[[#This Row],[Quantité]]*Tableau1_2[[#This Row],[Prix_Unitaire]]</f>
        <v>22200</v>
      </c>
      <c r="Q1116">
        <f>Tableau1_2[[#This Row],[Quantité]]*Tableau1_2[[#This Row],[Coût_Unitaire]]</f>
        <v>11700</v>
      </c>
      <c r="R1116">
        <f>Tableau1_2[[#This Row],[CA]]-Tableau1_2[[#This Row],[Cout Total]]</f>
        <v>10500</v>
      </c>
      <c r="S1116" s="4">
        <f>Tableau1_2[[#This Row],[Marge]]/Tableau1_2[[#This Row],[CA]]</f>
        <v>0.47297297297297297</v>
      </c>
      <c r="T1116" t="str">
        <f>TEXT(Tableau1_2[[#This Row],[Date]],"mmmm")</f>
        <v>décembre</v>
      </c>
    </row>
    <row r="1117" spans="1:20" x14ac:dyDescent="0.35">
      <c r="A1117" t="s">
        <v>2085</v>
      </c>
      <c r="B1117" s="2">
        <v>46055</v>
      </c>
      <c r="C1117" t="s">
        <v>774</v>
      </c>
      <c r="D1117" t="s">
        <v>1295</v>
      </c>
      <c r="E1117" t="s">
        <v>156</v>
      </c>
      <c r="F1117" t="s">
        <v>170</v>
      </c>
      <c r="G1117" t="s">
        <v>34</v>
      </c>
      <c r="H1117" t="s">
        <v>95</v>
      </c>
      <c r="I1117">
        <v>1</v>
      </c>
      <c r="J1117">
        <v>450000</v>
      </c>
      <c r="K1117">
        <v>381100</v>
      </c>
      <c r="L1117" t="s">
        <v>21</v>
      </c>
      <c r="M1117" t="s">
        <v>37</v>
      </c>
      <c r="N1117" t="s">
        <v>23</v>
      </c>
      <c r="O1117" t="s">
        <v>91</v>
      </c>
      <c r="P1117">
        <f>Tableau1_2[[#This Row],[Quantité]]*Tableau1_2[[#This Row],[Prix_Unitaire]]</f>
        <v>450000</v>
      </c>
      <c r="Q1117">
        <f>Tableau1_2[[#This Row],[Quantité]]*Tableau1_2[[#This Row],[Coût_Unitaire]]</f>
        <v>381100</v>
      </c>
      <c r="R1117">
        <f>Tableau1_2[[#This Row],[CA]]-Tableau1_2[[#This Row],[Cout Total]]</f>
        <v>68900</v>
      </c>
      <c r="S1117" s="4">
        <f>Tableau1_2[[#This Row],[Marge]]/Tableau1_2[[#This Row],[CA]]</f>
        <v>0.15311111111111111</v>
      </c>
      <c r="T1117" t="str">
        <f>TEXT(Tableau1_2[[#This Row],[Date]],"mmmm")</f>
        <v>février</v>
      </c>
    </row>
    <row r="1118" spans="1:20" x14ac:dyDescent="0.35">
      <c r="A1118" t="s">
        <v>2086</v>
      </c>
      <c r="B1118" s="2">
        <v>46313</v>
      </c>
      <c r="C1118" t="s">
        <v>1245</v>
      </c>
      <c r="D1118" t="s">
        <v>2087</v>
      </c>
      <c r="E1118" t="s">
        <v>41</v>
      </c>
      <c r="F1118" t="s">
        <v>42</v>
      </c>
      <c r="G1118" t="s">
        <v>34</v>
      </c>
      <c r="H1118" t="s">
        <v>141</v>
      </c>
      <c r="I1118">
        <v>5</v>
      </c>
      <c r="J1118">
        <v>160000</v>
      </c>
      <c r="K1118">
        <v>120000</v>
      </c>
      <c r="L1118" t="s">
        <v>36</v>
      </c>
      <c r="M1118" t="s">
        <v>51</v>
      </c>
      <c r="N1118" t="s">
        <v>87</v>
      </c>
      <c r="O1118" t="s">
        <v>24</v>
      </c>
      <c r="P1118">
        <f>Tableau1_2[[#This Row],[Quantité]]*Tableau1_2[[#This Row],[Prix_Unitaire]]</f>
        <v>800000</v>
      </c>
      <c r="Q1118">
        <f>Tableau1_2[[#This Row],[Quantité]]*Tableau1_2[[#This Row],[Coût_Unitaire]]</f>
        <v>600000</v>
      </c>
      <c r="R1118">
        <f>Tableau1_2[[#This Row],[CA]]-Tableau1_2[[#This Row],[Cout Total]]</f>
        <v>200000</v>
      </c>
      <c r="S1118" s="4">
        <f>Tableau1_2[[#This Row],[Marge]]/Tableau1_2[[#This Row],[CA]]</f>
        <v>0.25</v>
      </c>
      <c r="T1118" t="str">
        <f>TEXT(Tableau1_2[[#This Row],[Date]],"mmmm")</f>
        <v>octobre</v>
      </c>
    </row>
    <row r="1119" spans="1:20" x14ac:dyDescent="0.35">
      <c r="A1119" t="s">
        <v>2088</v>
      </c>
      <c r="B1119" s="2">
        <v>46288</v>
      </c>
      <c r="C1119" t="s">
        <v>258</v>
      </c>
      <c r="D1119" t="s">
        <v>149</v>
      </c>
      <c r="E1119" t="s">
        <v>18</v>
      </c>
      <c r="F1119" t="s">
        <v>18</v>
      </c>
      <c r="G1119" t="s">
        <v>43</v>
      </c>
      <c r="H1119" t="s">
        <v>49</v>
      </c>
      <c r="I1119">
        <v>9</v>
      </c>
      <c r="J1119">
        <v>8600</v>
      </c>
      <c r="K1119">
        <v>5800</v>
      </c>
      <c r="L1119" t="s">
        <v>21</v>
      </c>
      <c r="M1119" t="s">
        <v>37</v>
      </c>
      <c r="N1119" t="s">
        <v>23</v>
      </c>
      <c r="O1119" t="s">
        <v>24</v>
      </c>
      <c r="P1119">
        <f>Tableau1_2[[#This Row],[Quantité]]*Tableau1_2[[#This Row],[Prix_Unitaire]]</f>
        <v>77400</v>
      </c>
      <c r="Q1119">
        <f>Tableau1_2[[#This Row],[Quantité]]*Tableau1_2[[#This Row],[Coût_Unitaire]]</f>
        <v>52200</v>
      </c>
      <c r="R1119">
        <f>Tableau1_2[[#This Row],[CA]]-Tableau1_2[[#This Row],[Cout Total]]</f>
        <v>25200</v>
      </c>
      <c r="S1119" s="4">
        <f>Tableau1_2[[#This Row],[Marge]]/Tableau1_2[[#This Row],[CA]]</f>
        <v>0.32558139534883723</v>
      </c>
      <c r="T1119" t="str">
        <f>TEXT(Tableau1_2[[#This Row],[Date]],"mmmm")</f>
        <v>septembre</v>
      </c>
    </row>
    <row r="1120" spans="1:20" x14ac:dyDescent="0.35">
      <c r="A1120" t="s">
        <v>2089</v>
      </c>
      <c r="B1120" s="2">
        <v>46130</v>
      </c>
      <c r="C1120" t="s">
        <v>186</v>
      </c>
      <c r="D1120" t="s">
        <v>40</v>
      </c>
      <c r="E1120" t="s">
        <v>77</v>
      </c>
      <c r="F1120" t="s">
        <v>78</v>
      </c>
      <c r="G1120" t="s">
        <v>34</v>
      </c>
      <c r="H1120" t="s">
        <v>86</v>
      </c>
      <c r="I1120">
        <v>10</v>
      </c>
      <c r="J1120">
        <v>171000</v>
      </c>
      <c r="K1120">
        <v>139000</v>
      </c>
      <c r="L1120" t="s">
        <v>50</v>
      </c>
      <c r="M1120" t="s">
        <v>51</v>
      </c>
      <c r="N1120" t="s">
        <v>52</v>
      </c>
      <c r="O1120" t="s">
        <v>24</v>
      </c>
      <c r="P1120">
        <f>Tableau1_2[[#This Row],[Quantité]]*Tableau1_2[[#This Row],[Prix_Unitaire]]</f>
        <v>1710000</v>
      </c>
      <c r="Q1120">
        <f>Tableau1_2[[#This Row],[Quantité]]*Tableau1_2[[#This Row],[Coût_Unitaire]]</f>
        <v>1390000</v>
      </c>
      <c r="R1120">
        <f>Tableau1_2[[#This Row],[CA]]-Tableau1_2[[#This Row],[Cout Total]]</f>
        <v>320000</v>
      </c>
      <c r="S1120" s="4">
        <f>Tableau1_2[[#This Row],[Marge]]/Tableau1_2[[#This Row],[CA]]</f>
        <v>0.1871345029239766</v>
      </c>
      <c r="T1120" t="str">
        <f>TEXT(Tableau1_2[[#This Row],[Date]],"mmmm")</f>
        <v>avril</v>
      </c>
    </row>
    <row r="1121" spans="1:20" x14ac:dyDescent="0.35">
      <c r="A1121" t="s">
        <v>2090</v>
      </c>
      <c r="B1121" s="2">
        <v>46282</v>
      </c>
      <c r="C1121" t="s">
        <v>1026</v>
      </c>
      <c r="D1121" t="s">
        <v>397</v>
      </c>
      <c r="E1121" t="s">
        <v>18</v>
      </c>
      <c r="F1121" t="s">
        <v>18</v>
      </c>
      <c r="G1121" t="s">
        <v>34</v>
      </c>
      <c r="H1121" t="s">
        <v>35</v>
      </c>
      <c r="I1121">
        <v>7</v>
      </c>
      <c r="J1121">
        <v>52200</v>
      </c>
      <c r="K1121">
        <v>39000</v>
      </c>
      <c r="L1121" t="s">
        <v>50</v>
      </c>
      <c r="M1121" t="s">
        <v>37</v>
      </c>
      <c r="N1121" t="s">
        <v>52</v>
      </c>
      <c r="O1121" t="s">
        <v>24</v>
      </c>
      <c r="P1121">
        <f>Tableau1_2[[#This Row],[Quantité]]*Tableau1_2[[#This Row],[Prix_Unitaire]]</f>
        <v>365400</v>
      </c>
      <c r="Q1121">
        <f>Tableau1_2[[#This Row],[Quantité]]*Tableau1_2[[#This Row],[Coût_Unitaire]]</f>
        <v>273000</v>
      </c>
      <c r="R1121">
        <f>Tableau1_2[[#This Row],[CA]]-Tableau1_2[[#This Row],[Cout Total]]</f>
        <v>92400</v>
      </c>
      <c r="S1121" s="4">
        <f>Tableau1_2[[#This Row],[Marge]]/Tableau1_2[[#This Row],[CA]]</f>
        <v>0.25287356321839083</v>
      </c>
      <c r="T1121" t="str">
        <f>TEXT(Tableau1_2[[#This Row],[Date]],"mmmm")</f>
        <v>septembre</v>
      </c>
    </row>
    <row r="1122" spans="1:20" x14ac:dyDescent="0.35">
      <c r="A1122" t="s">
        <v>2091</v>
      </c>
      <c r="B1122" s="2">
        <v>46287</v>
      </c>
      <c r="C1122" t="s">
        <v>311</v>
      </c>
      <c r="D1122" t="s">
        <v>1654</v>
      </c>
      <c r="E1122" t="s">
        <v>41</v>
      </c>
      <c r="F1122" t="s">
        <v>42</v>
      </c>
      <c r="G1122" t="s">
        <v>43</v>
      </c>
      <c r="H1122" t="s">
        <v>177</v>
      </c>
      <c r="I1122">
        <v>6</v>
      </c>
      <c r="J1122">
        <v>18000</v>
      </c>
      <c r="K1122">
        <v>12900</v>
      </c>
      <c r="L1122" t="s">
        <v>73</v>
      </c>
      <c r="M1122" t="s">
        <v>22</v>
      </c>
      <c r="N1122" t="s">
        <v>87</v>
      </c>
      <c r="O1122" t="s">
        <v>24</v>
      </c>
      <c r="P1122">
        <f>Tableau1_2[[#This Row],[Quantité]]*Tableau1_2[[#This Row],[Prix_Unitaire]]</f>
        <v>108000</v>
      </c>
      <c r="Q1122">
        <f>Tableau1_2[[#This Row],[Quantité]]*Tableau1_2[[#This Row],[Coût_Unitaire]]</f>
        <v>77400</v>
      </c>
      <c r="R1122">
        <f>Tableau1_2[[#This Row],[CA]]-Tableau1_2[[#This Row],[Cout Total]]</f>
        <v>30600</v>
      </c>
      <c r="S1122" s="4">
        <f>Tableau1_2[[#This Row],[Marge]]/Tableau1_2[[#This Row],[CA]]</f>
        <v>0.28333333333333333</v>
      </c>
      <c r="T1122" t="str">
        <f>TEXT(Tableau1_2[[#This Row],[Date]],"mmmm")</f>
        <v>septembre</v>
      </c>
    </row>
    <row r="1123" spans="1:20" x14ac:dyDescent="0.35">
      <c r="A1123" t="s">
        <v>2092</v>
      </c>
      <c r="B1123" s="2">
        <v>46085</v>
      </c>
      <c r="C1123" t="s">
        <v>1097</v>
      </c>
      <c r="D1123" t="s">
        <v>1251</v>
      </c>
      <c r="E1123" t="s">
        <v>70</v>
      </c>
      <c r="F1123" t="s">
        <v>71</v>
      </c>
      <c r="G1123" t="s">
        <v>43</v>
      </c>
      <c r="H1123" t="s">
        <v>162</v>
      </c>
      <c r="I1123">
        <v>6</v>
      </c>
      <c r="J1123">
        <v>7600</v>
      </c>
      <c r="K1123">
        <v>5000</v>
      </c>
      <c r="L1123" t="s">
        <v>36</v>
      </c>
      <c r="M1123" t="s">
        <v>51</v>
      </c>
      <c r="N1123" t="s">
        <v>23</v>
      </c>
      <c r="O1123" t="s">
        <v>24</v>
      </c>
      <c r="P1123">
        <f>Tableau1_2[[#This Row],[Quantité]]*Tableau1_2[[#This Row],[Prix_Unitaire]]</f>
        <v>45600</v>
      </c>
      <c r="Q1123">
        <f>Tableau1_2[[#This Row],[Quantité]]*Tableau1_2[[#This Row],[Coût_Unitaire]]</f>
        <v>30000</v>
      </c>
      <c r="R1123">
        <f>Tableau1_2[[#This Row],[CA]]-Tableau1_2[[#This Row],[Cout Total]]</f>
        <v>15600</v>
      </c>
      <c r="S1123" s="4">
        <f>Tableau1_2[[#This Row],[Marge]]/Tableau1_2[[#This Row],[CA]]</f>
        <v>0.34210526315789475</v>
      </c>
      <c r="T1123" t="str">
        <f>TEXT(Tableau1_2[[#This Row],[Date]],"mmmm")</f>
        <v>mars</v>
      </c>
    </row>
    <row r="1124" spans="1:20" x14ac:dyDescent="0.35">
      <c r="A1124" t="s">
        <v>2093</v>
      </c>
      <c r="B1124" s="2">
        <v>46178</v>
      </c>
      <c r="C1124" t="s">
        <v>1307</v>
      </c>
      <c r="D1124" t="s">
        <v>796</v>
      </c>
      <c r="E1124" t="s">
        <v>190</v>
      </c>
      <c r="F1124" t="s">
        <v>191</v>
      </c>
      <c r="G1124" t="s">
        <v>19</v>
      </c>
      <c r="H1124" t="s">
        <v>61</v>
      </c>
      <c r="I1124">
        <v>9</v>
      </c>
      <c r="J1124">
        <v>209000</v>
      </c>
      <c r="K1124">
        <v>160000</v>
      </c>
      <c r="L1124" t="s">
        <v>36</v>
      </c>
      <c r="M1124" t="s">
        <v>22</v>
      </c>
      <c r="N1124" t="s">
        <v>52</v>
      </c>
      <c r="O1124" t="s">
        <v>24</v>
      </c>
      <c r="P1124">
        <f>Tableau1_2[[#This Row],[Quantité]]*Tableau1_2[[#This Row],[Prix_Unitaire]]</f>
        <v>1881000</v>
      </c>
      <c r="Q1124">
        <f>Tableau1_2[[#This Row],[Quantité]]*Tableau1_2[[#This Row],[Coût_Unitaire]]</f>
        <v>1440000</v>
      </c>
      <c r="R1124">
        <f>Tableau1_2[[#This Row],[CA]]-Tableau1_2[[#This Row],[Cout Total]]</f>
        <v>441000</v>
      </c>
      <c r="S1124" s="4">
        <f>Tableau1_2[[#This Row],[Marge]]/Tableau1_2[[#This Row],[CA]]</f>
        <v>0.23444976076555024</v>
      </c>
      <c r="T1124" t="str">
        <f>TEXT(Tableau1_2[[#This Row],[Date]],"mmmm")</f>
        <v>juin</v>
      </c>
    </row>
    <row r="1125" spans="1:20" x14ac:dyDescent="0.35">
      <c r="A1125" t="s">
        <v>2094</v>
      </c>
      <c r="B1125" s="2">
        <v>46228</v>
      </c>
      <c r="C1125" t="s">
        <v>1164</v>
      </c>
      <c r="D1125" t="s">
        <v>911</v>
      </c>
      <c r="E1125" t="s">
        <v>56</v>
      </c>
      <c r="F1125" t="s">
        <v>57</v>
      </c>
      <c r="G1125" t="s">
        <v>43</v>
      </c>
      <c r="H1125" t="s">
        <v>177</v>
      </c>
      <c r="I1125">
        <v>10</v>
      </c>
      <c r="J1125">
        <v>18900</v>
      </c>
      <c r="K1125">
        <v>12900</v>
      </c>
      <c r="L1125" t="s">
        <v>30</v>
      </c>
      <c r="M1125" t="s">
        <v>37</v>
      </c>
      <c r="N1125" t="s">
        <v>23</v>
      </c>
      <c r="O1125" t="s">
        <v>24</v>
      </c>
      <c r="P1125">
        <f>Tableau1_2[[#This Row],[Quantité]]*Tableau1_2[[#This Row],[Prix_Unitaire]]</f>
        <v>189000</v>
      </c>
      <c r="Q1125">
        <f>Tableau1_2[[#This Row],[Quantité]]*Tableau1_2[[#This Row],[Coût_Unitaire]]</f>
        <v>129000</v>
      </c>
      <c r="R1125">
        <f>Tableau1_2[[#This Row],[CA]]-Tableau1_2[[#This Row],[Cout Total]]</f>
        <v>60000</v>
      </c>
      <c r="S1125" s="4">
        <f>Tableau1_2[[#This Row],[Marge]]/Tableau1_2[[#This Row],[CA]]</f>
        <v>0.31746031746031744</v>
      </c>
      <c r="T1125" t="str">
        <f>TEXT(Tableau1_2[[#This Row],[Date]],"mmmm")</f>
        <v>juillet</v>
      </c>
    </row>
    <row r="1126" spans="1:20" x14ac:dyDescent="0.35">
      <c r="A1126" t="s">
        <v>2095</v>
      </c>
      <c r="B1126" s="2">
        <v>46040</v>
      </c>
      <c r="C1126" t="s">
        <v>1780</v>
      </c>
      <c r="D1126" t="s">
        <v>1453</v>
      </c>
      <c r="E1126" t="s">
        <v>18</v>
      </c>
      <c r="F1126" t="s">
        <v>18</v>
      </c>
      <c r="G1126" t="s">
        <v>28</v>
      </c>
      <c r="H1126" t="s">
        <v>131</v>
      </c>
      <c r="I1126">
        <v>5</v>
      </c>
      <c r="J1126">
        <v>31500</v>
      </c>
      <c r="K1126">
        <v>19600</v>
      </c>
      <c r="L1126" t="s">
        <v>50</v>
      </c>
      <c r="M1126" t="s">
        <v>37</v>
      </c>
      <c r="N1126" t="s">
        <v>52</v>
      </c>
      <c r="O1126" t="s">
        <v>91</v>
      </c>
      <c r="P1126">
        <f>Tableau1_2[[#This Row],[Quantité]]*Tableau1_2[[#This Row],[Prix_Unitaire]]</f>
        <v>157500</v>
      </c>
      <c r="Q1126">
        <f>Tableau1_2[[#This Row],[Quantité]]*Tableau1_2[[#This Row],[Coût_Unitaire]]</f>
        <v>98000</v>
      </c>
      <c r="R1126">
        <f>Tableau1_2[[#This Row],[CA]]-Tableau1_2[[#This Row],[Cout Total]]</f>
        <v>59500</v>
      </c>
      <c r="S1126" s="4">
        <f>Tableau1_2[[#This Row],[Marge]]/Tableau1_2[[#This Row],[CA]]</f>
        <v>0.37777777777777777</v>
      </c>
      <c r="T1126" t="str">
        <f>TEXT(Tableau1_2[[#This Row],[Date]],"mmmm")</f>
        <v>janvier</v>
      </c>
    </row>
    <row r="1127" spans="1:20" x14ac:dyDescent="0.35">
      <c r="A1127" t="s">
        <v>2096</v>
      </c>
      <c r="B1127" s="2">
        <v>46271</v>
      </c>
      <c r="C1127" t="s">
        <v>1051</v>
      </c>
      <c r="D1127" t="s">
        <v>1554</v>
      </c>
      <c r="E1127" t="s">
        <v>41</v>
      </c>
      <c r="F1127" t="s">
        <v>42</v>
      </c>
      <c r="G1127" t="s">
        <v>28</v>
      </c>
      <c r="H1127" t="s">
        <v>72</v>
      </c>
      <c r="I1127">
        <v>4</v>
      </c>
      <c r="J1127">
        <v>10500</v>
      </c>
      <c r="K1127">
        <v>6400</v>
      </c>
      <c r="L1127" t="s">
        <v>73</v>
      </c>
      <c r="M1127" t="s">
        <v>37</v>
      </c>
      <c r="N1127" t="s">
        <v>23</v>
      </c>
      <c r="O1127" t="s">
        <v>24</v>
      </c>
      <c r="P1127">
        <f>Tableau1_2[[#This Row],[Quantité]]*Tableau1_2[[#This Row],[Prix_Unitaire]]</f>
        <v>42000</v>
      </c>
      <c r="Q1127">
        <f>Tableau1_2[[#This Row],[Quantité]]*Tableau1_2[[#This Row],[Coût_Unitaire]]</f>
        <v>25600</v>
      </c>
      <c r="R1127">
        <f>Tableau1_2[[#This Row],[CA]]-Tableau1_2[[#This Row],[Cout Total]]</f>
        <v>16400</v>
      </c>
      <c r="S1127" s="4">
        <f>Tableau1_2[[#This Row],[Marge]]/Tableau1_2[[#This Row],[CA]]</f>
        <v>0.39047619047619048</v>
      </c>
      <c r="T1127" t="str">
        <f>TEXT(Tableau1_2[[#This Row],[Date]],"mmmm")</f>
        <v>septembre</v>
      </c>
    </row>
    <row r="1128" spans="1:20" x14ac:dyDescent="0.35">
      <c r="A1128" t="s">
        <v>2097</v>
      </c>
      <c r="B1128" s="2">
        <v>46252</v>
      </c>
      <c r="C1128" t="s">
        <v>1294</v>
      </c>
      <c r="D1128" t="s">
        <v>2098</v>
      </c>
      <c r="E1128" t="s">
        <v>84</v>
      </c>
      <c r="F1128" t="s">
        <v>85</v>
      </c>
      <c r="G1128" t="s">
        <v>34</v>
      </c>
      <c r="H1128" t="s">
        <v>35</v>
      </c>
      <c r="I1128">
        <v>6</v>
      </c>
      <c r="J1128">
        <v>55000</v>
      </c>
      <c r="K1128">
        <v>37800</v>
      </c>
      <c r="L1128" t="s">
        <v>96</v>
      </c>
      <c r="M1128" t="s">
        <v>31</v>
      </c>
      <c r="N1128" t="s">
        <v>52</v>
      </c>
      <c r="O1128" t="s">
        <v>24</v>
      </c>
      <c r="P1128">
        <f>Tableau1_2[[#This Row],[Quantité]]*Tableau1_2[[#This Row],[Prix_Unitaire]]</f>
        <v>330000</v>
      </c>
      <c r="Q1128">
        <f>Tableau1_2[[#This Row],[Quantité]]*Tableau1_2[[#This Row],[Coût_Unitaire]]</f>
        <v>226800</v>
      </c>
      <c r="R1128">
        <f>Tableau1_2[[#This Row],[CA]]-Tableau1_2[[#This Row],[Cout Total]]</f>
        <v>103200</v>
      </c>
      <c r="S1128" s="4">
        <f>Tableau1_2[[#This Row],[Marge]]/Tableau1_2[[#This Row],[CA]]</f>
        <v>0.31272727272727274</v>
      </c>
      <c r="T1128" t="str">
        <f>TEXT(Tableau1_2[[#This Row],[Date]],"mmmm")</f>
        <v>août</v>
      </c>
    </row>
    <row r="1129" spans="1:20" x14ac:dyDescent="0.35">
      <c r="A1129" t="s">
        <v>2099</v>
      </c>
      <c r="B1129" s="2">
        <v>46117</v>
      </c>
      <c r="C1129" t="s">
        <v>475</v>
      </c>
      <c r="D1129" t="s">
        <v>1542</v>
      </c>
      <c r="E1129" t="s">
        <v>77</v>
      </c>
      <c r="F1129" t="s">
        <v>78</v>
      </c>
      <c r="G1129" t="s">
        <v>28</v>
      </c>
      <c r="H1129" t="s">
        <v>131</v>
      </c>
      <c r="I1129">
        <v>8</v>
      </c>
      <c r="J1129">
        <v>30000</v>
      </c>
      <c r="K1129">
        <v>19600</v>
      </c>
      <c r="L1129" t="s">
        <v>50</v>
      </c>
      <c r="M1129" t="s">
        <v>51</v>
      </c>
      <c r="N1129" t="s">
        <v>52</v>
      </c>
      <c r="O1129" t="s">
        <v>24</v>
      </c>
      <c r="P1129">
        <f>Tableau1_2[[#This Row],[Quantité]]*Tableau1_2[[#This Row],[Prix_Unitaire]]</f>
        <v>240000</v>
      </c>
      <c r="Q1129">
        <f>Tableau1_2[[#This Row],[Quantité]]*Tableau1_2[[#This Row],[Coût_Unitaire]]</f>
        <v>156800</v>
      </c>
      <c r="R1129">
        <f>Tableau1_2[[#This Row],[CA]]-Tableau1_2[[#This Row],[Cout Total]]</f>
        <v>83200</v>
      </c>
      <c r="S1129" s="4">
        <f>Tableau1_2[[#This Row],[Marge]]/Tableau1_2[[#This Row],[CA]]</f>
        <v>0.34666666666666668</v>
      </c>
      <c r="T1129" t="str">
        <f>TEXT(Tableau1_2[[#This Row],[Date]],"mmmm")</f>
        <v>avril</v>
      </c>
    </row>
    <row r="1130" spans="1:20" x14ac:dyDescent="0.35">
      <c r="A1130" t="s">
        <v>2100</v>
      </c>
      <c r="B1130" s="2">
        <v>46115</v>
      </c>
      <c r="C1130" t="s">
        <v>615</v>
      </c>
      <c r="D1130" t="s">
        <v>977</v>
      </c>
      <c r="E1130" t="s">
        <v>84</v>
      </c>
      <c r="F1130" t="s">
        <v>85</v>
      </c>
      <c r="G1130" t="s">
        <v>34</v>
      </c>
      <c r="H1130" t="s">
        <v>95</v>
      </c>
      <c r="I1130">
        <v>5</v>
      </c>
      <c r="J1130">
        <v>427500</v>
      </c>
      <c r="K1130">
        <v>358900</v>
      </c>
      <c r="L1130" t="s">
        <v>73</v>
      </c>
      <c r="M1130" t="s">
        <v>31</v>
      </c>
      <c r="N1130" t="s">
        <v>52</v>
      </c>
      <c r="O1130" t="s">
        <v>24</v>
      </c>
      <c r="P1130">
        <f>Tableau1_2[[#This Row],[Quantité]]*Tableau1_2[[#This Row],[Prix_Unitaire]]</f>
        <v>2137500</v>
      </c>
      <c r="Q1130">
        <f>Tableau1_2[[#This Row],[Quantité]]*Tableau1_2[[#This Row],[Coût_Unitaire]]</f>
        <v>1794500</v>
      </c>
      <c r="R1130">
        <f>Tableau1_2[[#This Row],[CA]]-Tableau1_2[[#This Row],[Cout Total]]</f>
        <v>343000</v>
      </c>
      <c r="S1130" s="4">
        <f>Tableau1_2[[#This Row],[Marge]]/Tableau1_2[[#This Row],[CA]]</f>
        <v>0.16046783625730995</v>
      </c>
      <c r="T1130" t="str">
        <f>TEXT(Tableau1_2[[#This Row],[Date]],"mmmm")</f>
        <v>avril</v>
      </c>
    </row>
    <row r="1131" spans="1:20" x14ac:dyDescent="0.35">
      <c r="A1131" t="s">
        <v>2101</v>
      </c>
      <c r="B1131" s="2">
        <v>46186</v>
      </c>
      <c r="C1131" t="s">
        <v>258</v>
      </c>
      <c r="D1131" t="s">
        <v>218</v>
      </c>
      <c r="E1131" t="s">
        <v>70</v>
      </c>
      <c r="F1131" t="s">
        <v>71</v>
      </c>
      <c r="G1131" t="s">
        <v>43</v>
      </c>
      <c r="H1131" t="s">
        <v>177</v>
      </c>
      <c r="I1131">
        <v>10</v>
      </c>
      <c r="J1131">
        <v>18900</v>
      </c>
      <c r="K1131">
        <v>12900</v>
      </c>
      <c r="L1131" t="s">
        <v>21</v>
      </c>
      <c r="M1131" t="s">
        <v>37</v>
      </c>
      <c r="N1131" t="s">
        <v>23</v>
      </c>
      <c r="O1131" t="s">
        <v>24</v>
      </c>
      <c r="P1131">
        <f>Tableau1_2[[#This Row],[Quantité]]*Tableau1_2[[#This Row],[Prix_Unitaire]]</f>
        <v>189000</v>
      </c>
      <c r="Q1131">
        <f>Tableau1_2[[#This Row],[Quantité]]*Tableau1_2[[#This Row],[Coût_Unitaire]]</f>
        <v>129000</v>
      </c>
      <c r="R1131">
        <f>Tableau1_2[[#This Row],[CA]]-Tableau1_2[[#This Row],[Cout Total]]</f>
        <v>60000</v>
      </c>
      <c r="S1131" s="4">
        <f>Tableau1_2[[#This Row],[Marge]]/Tableau1_2[[#This Row],[CA]]</f>
        <v>0.31746031746031744</v>
      </c>
      <c r="T1131" t="str">
        <f>TEXT(Tableau1_2[[#This Row],[Date]],"mmmm")</f>
        <v>juin</v>
      </c>
    </row>
    <row r="1132" spans="1:20" x14ac:dyDescent="0.35">
      <c r="A1132" t="s">
        <v>2102</v>
      </c>
      <c r="B1132" s="2">
        <v>46256</v>
      </c>
      <c r="C1132" t="s">
        <v>1882</v>
      </c>
      <c r="D1132" t="s">
        <v>2103</v>
      </c>
      <c r="E1132" t="s">
        <v>18</v>
      </c>
      <c r="F1132" t="s">
        <v>18</v>
      </c>
      <c r="G1132" t="s">
        <v>43</v>
      </c>
      <c r="H1132" t="s">
        <v>79</v>
      </c>
      <c r="I1132">
        <v>6</v>
      </c>
      <c r="J1132">
        <v>5700</v>
      </c>
      <c r="K1132">
        <v>4300</v>
      </c>
      <c r="L1132" t="s">
        <v>50</v>
      </c>
      <c r="M1132" t="s">
        <v>31</v>
      </c>
      <c r="N1132" t="s">
        <v>52</v>
      </c>
      <c r="O1132" t="s">
        <v>24</v>
      </c>
      <c r="P1132">
        <f>Tableau1_2[[#This Row],[Quantité]]*Tableau1_2[[#This Row],[Prix_Unitaire]]</f>
        <v>34200</v>
      </c>
      <c r="Q1132">
        <f>Tableau1_2[[#This Row],[Quantité]]*Tableau1_2[[#This Row],[Coût_Unitaire]]</f>
        <v>25800</v>
      </c>
      <c r="R1132">
        <f>Tableau1_2[[#This Row],[CA]]-Tableau1_2[[#This Row],[Cout Total]]</f>
        <v>8400</v>
      </c>
      <c r="S1132" s="4">
        <f>Tableau1_2[[#This Row],[Marge]]/Tableau1_2[[#This Row],[CA]]</f>
        <v>0.24561403508771928</v>
      </c>
      <c r="T1132" t="str">
        <f>TEXT(Tableau1_2[[#This Row],[Date]],"mmmm")</f>
        <v>août</v>
      </c>
    </row>
    <row r="1133" spans="1:20" x14ac:dyDescent="0.35">
      <c r="A1133" t="s">
        <v>2104</v>
      </c>
      <c r="B1133" s="2">
        <v>46342</v>
      </c>
      <c r="C1133" t="s">
        <v>1162</v>
      </c>
      <c r="D1133" t="s">
        <v>1982</v>
      </c>
      <c r="E1133" t="s">
        <v>77</v>
      </c>
      <c r="F1133" t="s">
        <v>78</v>
      </c>
      <c r="G1133" t="s">
        <v>43</v>
      </c>
      <c r="H1133" t="s">
        <v>79</v>
      </c>
      <c r="I1133">
        <v>5</v>
      </c>
      <c r="J1133">
        <v>6300</v>
      </c>
      <c r="K1133">
        <v>4200</v>
      </c>
      <c r="L1133" t="s">
        <v>80</v>
      </c>
      <c r="M1133" t="s">
        <v>31</v>
      </c>
      <c r="N1133" t="s">
        <v>52</v>
      </c>
      <c r="O1133" t="s">
        <v>45</v>
      </c>
      <c r="P1133">
        <f>Tableau1_2[[#This Row],[Quantité]]*Tableau1_2[[#This Row],[Prix_Unitaire]]</f>
        <v>31500</v>
      </c>
      <c r="Q1133">
        <f>Tableau1_2[[#This Row],[Quantité]]*Tableau1_2[[#This Row],[Coût_Unitaire]]</f>
        <v>21000</v>
      </c>
      <c r="R1133">
        <f>Tableau1_2[[#This Row],[CA]]-Tableau1_2[[#This Row],[Cout Total]]</f>
        <v>10500</v>
      </c>
      <c r="S1133" s="4">
        <f>Tableau1_2[[#This Row],[Marge]]/Tableau1_2[[#This Row],[CA]]</f>
        <v>0.33333333333333331</v>
      </c>
      <c r="T1133" t="str">
        <f>TEXT(Tableau1_2[[#This Row],[Date]],"mmmm")</f>
        <v>novembre</v>
      </c>
    </row>
    <row r="1134" spans="1:20" x14ac:dyDescent="0.35">
      <c r="A1134" t="s">
        <v>2105</v>
      </c>
      <c r="B1134" s="2">
        <v>46248</v>
      </c>
      <c r="C1134" t="s">
        <v>449</v>
      </c>
      <c r="D1134" t="s">
        <v>2016</v>
      </c>
      <c r="E1134" t="s">
        <v>190</v>
      </c>
      <c r="F1134" t="s">
        <v>191</v>
      </c>
      <c r="G1134" t="s">
        <v>19</v>
      </c>
      <c r="H1134" t="s">
        <v>20</v>
      </c>
      <c r="I1134">
        <v>8</v>
      </c>
      <c r="J1134">
        <v>61800</v>
      </c>
      <c r="K1134">
        <v>45000</v>
      </c>
      <c r="L1134" t="s">
        <v>73</v>
      </c>
      <c r="M1134" t="s">
        <v>22</v>
      </c>
      <c r="N1134" t="s">
        <v>23</v>
      </c>
      <c r="O1134" t="s">
        <v>24</v>
      </c>
      <c r="P1134">
        <f>Tableau1_2[[#This Row],[Quantité]]*Tableau1_2[[#This Row],[Prix_Unitaire]]</f>
        <v>494400</v>
      </c>
      <c r="Q1134">
        <f>Tableau1_2[[#This Row],[Quantité]]*Tableau1_2[[#This Row],[Coût_Unitaire]]</f>
        <v>360000</v>
      </c>
      <c r="R1134">
        <f>Tableau1_2[[#This Row],[CA]]-Tableau1_2[[#This Row],[Cout Total]]</f>
        <v>134400</v>
      </c>
      <c r="S1134" s="4">
        <f>Tableau1_2[[#This Row],[Marge]]/Tableau1_2[[#This Row],[CA]]</f>
        <v>0.27184466019417475</v>
      </c>
      <c r="T1134" t="str">
        <f>TEXT(Tableau1_2[[#This Row],[Date]],"mmmm")</f>
        <v>août</v>
      </c>
    </row>
    <row r="1135" spans="1:20" x14ac:dyDescent="0.35">
      <c r="A1135" t="s">
        <v>2106</v>
      </c>
      <c r="B1135" s="2">
        <v>46029</v>
      </c>
      <c r="C1135" t="s">
        <v>2107</v>
      </c>
      <c r="D1135" t="s">
        <v>247</v>
      </c>
      <c r="E1135" t="s">
        <v>41</v>
      </c>
      <c r="F1135" t="s">
        <v>42</v>
      </c>
      <c r="G1135" t="s">
        <v>43</v>
      </c>
      <c r="H1135" t="s">
        <v>162</v>
      </c>
      <c r="I1135">
        <v>8</v>
      </c>
      <c r="J1135">
        <v>7600</v>
      </c>
      <c r="K1135">
        <v>5200</v>
      </c>
      <c r="L1135" t="s">
        <v>21</v>
      </c>
      <c r="M1135" t="s">
        <v>51</v>
      </c>
      <c r="N1135" t="s">
        <v>23</v>
      </c>
      <c r="O1135" t="s">
        <v>24</v>
      </c>
      <c r="P1135">
        <f>Tableau1_2[[#This Row],[Quantité]]*Tableau1_2[[#This Row],[Prix_Unitaire]]</f>
        <v>60800</v>
      </c>
      <c r="Q1135">
        <f>Tableau1_2[[#This Row],[Quantité]]*Tableau1_2[[#This Row],[Coût_Unitaire]]</f>
        <v>41600</v>
      </c>
      <c r="R1135">
        <f>Tableau1_2[[#This Row],[CA]]-Tableau1_2[[#This Row],[Cout Total]]</f>
        <v>19200</v>
      </c>
      <c r="S1135" s="4">
        <f>Tableau1_2[[#This Row],[Marge]]/Tableau1_2[[#This Row],[CA]]</f>
        <v>0.31578947368421051</v>
      </c>
      <c r="T1135" t="str">
        <f>TEXT(Tableau1_2[[#This Row],[Date]],"mmmm")</f>
        <v>janvier</v>
      </c>
    </row>
    <row r="1136" spans="1:20" x14ac:dyDescent="0.35">
      <c r="A1136" t="s">
        <v>2108</v>
      </c>
      <c r="B1136" s="2">
        <v>46313</v>
      </c>
      <c r="C1136" t="s">
        <v>513</v>
      </c>
      <c r="D1136" t="s">
        <v>118</v>
      </c>
      <c r="E1136" t="s">
        <v>77</v>
      </c>
      <c r="F1136" t="s">
        <v>78</v>
      </c>
      <c r="G1136" t="s">
        <v>43</v>
      </c>
      <c r="H1136" t="s">
        <v>44</v>
      </c>
      <c r="I1136">
        <v>4</v>
      </c>
      <c r="J1136">
        <v>15800</v>
      </c>
      <c r="K1136">
        <v>9200</v>
      </c>
      <c r="L1136" t="s">
        <v>96</v>
      </c>
      <c r="M1136" t="s">
        <v>22</v>
      </c>
      <c r="N1136" t="s">
        <v>87</v>
      </c>
      <c r="O1136" t="s">
        <v>24</v>
      </c>
      <c r="P1136">
        <f>Tableau1_2[[#This Row],[Quantité]]*Tableau1_2[[#This Row],[Prix_Unitaire]]</f>
        <v>63200</v>
      </c>
      <c r="Q1136">
        <f>Tableau1_2[[#This Row],[Quantité]]*Tableau1_2[[#This Row],[Coût_Unitaire]]</f>
        <v>36800</v>
      </c>
      <c r="R1136">
        <f>Tableau1_2[[#This Row],[CA]]-Tableau1_2[[#This Row],[Cout Total]]</f>
        <v>26400</v>
      </c>
      <c r="S1136" s="4">
        <f>Tableau1_2[[#This Row],[Marge]]/Tableau1_2[[#This Row],[CA]]</f>
        <v>0.41772151898734178</v>
      </c>
      <c r="T1136" t="str">
        <f>TEXT(Tableau1_2[[#This Row],[Date]],"mmmm")</f>
        <v>octobre</v>
      </c>
    </row>
    <row r="1137" spans="1:20" x14ac:dyDescent="0.35">
      <c r="A1137" t="s">
        <v>2109</v>
      </c>
      <c r="B1137" s="2">
        <v>46201</v>
      </c>
      <c r="C1137" t="s">
        <v>207</v>
      </c>
      <c r="D1137" t="s">
        <v>2110</v>
      </c>
      <c r="E1137" t="s">
        <v>56</v>
      </c>
      <c r="F1137" t="s">
        <v>57</v>
      </c>
      <c r="G1137" t="s">
        <v>34</v>
      </c>
      <c r="H1137" t="s">
        <v>95</v>
      </c>
      <c r="I1137">
        <v>8</v>
      </c>
      <c r="J1137">
        <v>450000</v>
      </c>
      <c r="K1137">
        <v>358900</v>
      </c>
      <c r="L1137" t="s">
        <v>36</v>
      </c>
      <c r="M1137" t="s">
        <v>37</v>
      </c>
      <c r="N1137" t="s">
        <v>52</v>
      </c>
      <c r="O1137" t="s">
        <v>24</v>
      </c>
      <c r="P1137">
        <f>Tableau1_2[[#This Row],[Quantité]]*Tableau1_2[[#This Row],[Prix_Unitaire]]</f>
        <v>3600000</v>
      </c>
      <c r="Q1137">
        <f>Tableau1_2[[#This Row],[Quantité]]*Tableau1_2[[#This Row],[Coût_Unitaire]]</f>
        <v>2871200</v>
      </c>
      <c r="R1137">
        <f>Tableau1_2[[#This Row],[CA]]-Tableau1_2[[#This Row],[Cout Total]]</f>
        <v>728800</v>
      </c>
      <c r="S1137" s="4">
        <f>Tableau1_2[[#This Row],[Marge]]/Tableau1_2[[#This Row],[CA]]</f>
        <v>0.20244444444444445</v>
      </c>
      <c r="T1137" t="str">
        <f>TEXT(Tableau1_2[[#This Row],[Date]],"mmmm")</f>
        <v>juin</v>
      </c>
    </row>
    <row r="1138" spans="1:20" x14ac:dyDescent="0.35">
      <c r="A1138" t="s">
        <v>2111</v>
      </c>
      <c r="B1138" s="2">
        <v>46027</v>
      </c>
      <c r="C1138" t="s">
        <v>545</v>
      </c>
      <c r="D1138" t="s">
        <v>397</v>
      </c>
      <c r="E1138" t="s">
        <v>18</v>
      </c>
      <c r="F1138" t="s">
        <v>18</v>
      </c>
      <c r="G1138" t="s">
        <v>28</v>
      </c>
      <c r="H1138" t="s">
        <v>65</v>
      </c>
      <c r="I1138">
        <v>4</v>
      </c>
      <c r="J1138">
        <v>12600</v>
      </c>
      <c r="K1138">
        <v>7500</v>
      </c>
      <c r="L1138" t="s">
        <v>73</v>
      </c>
      <c r="M1138" t="s">
        <v>22</v>
      </c>
      <c r="N1138" t="s">
        <v>52</v>
      </c>
      <c r="O1138" t="s">
        <v>45</v>
      </c>
      <c r="P1138">
        <f>Tableau1_2[[#This Row],[Quantité]]*Tableau1_2[[#This Row],[Prix_Unitaire]]</f>
        <v>50400</v>
      </c>
      <c r="Q1138">
        <f>Tableau1_2[[#This Row],[Quantité]]*Tableau1_2[[#This Row],[Coût_Unitaire]]</f>
        <v>30000</v>
      </c>
      <c r="R1138">
        <f>Tableau1_2[[#This Row],[CA]]-Tableau1_2[[#This Row],[Cout Total]]</f>
        <v>20400</v>
      </c>
      <c r="S1138" s="4">
        <f>Tableau1_2[[#This Row],[Marge]]/Tableau1_2[[#This Row],[CA]]</f>
        <v>0.40476190476190477</v>
      </c>
      <c r="T1138" t="str">
        <f>TEXT(Tableau1_2[[#This Row],[Date]],"mmmm")</f>
        <v>janvier</v>
      </c>
    </row>
    <row r="1139" spans="1:20" x14ac:dyDescent="0.35">
      <c r="A1139" t="s">
        <v>2112</v>
      </c>
      <c r="B1139" s="2">
        <v>46204</v>
      </c>
      <c r="C1139" t="s">
        <v>1575</v>
      </c>
      <c r="D1139" t="s">
        <v>1824</v>
      </c>
      <c r="E1139" t="s">
        <v>18</v>
      </c>
      <c r="F1139" t="s">
        <v>18</v>
      </c>
      <c r="G1139" t="s">
        <v>19</v>
      </c>
      <c r="H1139" t="s">
        <v>166</v>
      </c>
      <c r="I1139">
        <v>6</v>
      </c>
      <c r="J1139">
        <v>140000</v>
      </c>
      <c r="K1139">
        <v>103000</v>
      </c>
      <c r="L1139" t="s">
        <v>50</v>
      </c>
      <c r="M1139" t="s">
        <v>37</v>
      </c>
      <c r="N1139" t="s">
        <v>52</v>
      </c>
      <c r="O1139" t="s">
        <v>24</v>
      </c>
      <c r="P1139">
        <f>Tableau1_2[[#This Row],[Quantité]]*Tableau1_2[[#This Row],[Prix_Unitaire]]</f>
        <v>840000</v>
      </c>
      <c r="Q1139">
        <f>Tableau1_2[[#This Row],[Quantité]]*Tableau1_2[[#This Row],[Coût_Unitaire]]</f>
        <v>618000</v>
      </c>
      <c r="R1139">
        <f>Tableau1_2[[#This Row],[CA]]-Tableau1_2[[#This Row],[Cout Total]]</f>
        <v>222000</v>
      </c>
      <c r="S1139" s="4">
        <f>Tableau1_2[[#This Row],[Marge]]/Tableau1_2[[#This Row],[CA]]</f>
        <v>0.26428571428571429</v>
      </c>
      <c r="T1139" t="str">
        <f>TEXT(Tableau1_2[[#This Row],[Date]],"mmmm")</f>
        <v>juillet</v>
      </c>
    </row>
    <row r="1140" spans="1:20" x14ac:dyDescent="0.35">
      <c r="A1140" t="s">
        <v>2113</v>
      </c>
      <c r="B1140" s="2">
        <v>46243</v>
      </c>
      <c r="C1140" t="s">
        <v>1245</v>
      </c>
      <c r="D1140" t="s">
        <v>1154</v>
      </c>
      <c r="E1140" t="s">
        <v>41</v>
      </c>
      <c r="F1140" t="s">
        <v>42</v>
      </c>
      <c r="G1140" t="s">
        <v>19</v>
      </c>
      <c r="H1140" t="s">
        <v>166</v>
      </c>
      <c r="I1140">
        <v>7</v>
      </c>
      <c r="J1140">
        <v>133000</v>
      </c>
      <c r="K1140">
        <v>103000</v>
      </c>
      <c r="L1140" t="s">
        <v>66</v>
      </c>
      <c r="M1140" t="s">
        <v>51</v>
      </c>
      <c r="N1140" t="s">
        <v>52</v>
      </c>
      <c r="O1140" t="s">
        <v>45</v>
      </c>
      <c r="P1140">
        <f>Tableau1_2[[#This Row],[Quantité]]*Tableau1_2[[#This Row],[Prix_Unitaire]]</f>
        <v>931000</v>
      </c>
      <c r="Q1140">
        <f>Tableau1_2[[#This Row],[Quantité]]*Tableau1_2[[#This Row],[Coût_Unitaire]]</f>
        <v>721000</v>
      </c>
      <c r="R1140">
        <f>Tableau1_2[[#This Row],[CA]]-Tableau1_2[[#This Row],[Cout Total]]</f>
        <v>210000</v>
      </c>
      <c r="S1140" s="4">
        <f>Tableau1_2[[#This Row],[Marge]]/Tableau1_2[[#This Row],[CA]]</f>
        <v>0.22556390977443608</v>
      </c>
      <c r="T1140" t="str">
        <f>TEXT(Tableau1_2[[#This Row],[Date]],"mmmm")</f>
        <v>août</v>
      </c>
    </row>
    <row r="1141" spans="1:20" x14ac:dyDescent="0.35">
      <c r="A1141" t="s">
        <v>2114</v>
      </c>
      <c r="B1141" s="2">
        <v>46197</v>
      </c>
      <c r="C1141" t="s">
        <v>2115</v>
      </c>
      <c r="D1141" t="s">
        <v>2116</v>
      </c>
      <c r="E1141" t="s">
        <v>156</v>
      </c>
      <c r="F1141" t="s">
        <v>170</v>
      </c>
      <c r="G1141" t="s">
        <v>19</v>
      </c>
      <c r="H1141" t="s">
        <v>61</v>
      </c>
      <c r="I1141">
        <v>4</v>
      </c>
      <c r="J1141">
        <v>220000</v>
      </c>
      <c r="K1141">
        <v>164800</v>
      </c>
      <c r="L1141" t="s">
        <v>50</v>
      </c>
      <c r="M1141" t="s">
        <v>37</v>
      </c>
      <c r="N1141" t="s">
        <v>23</v>
      </c>
      <c r="O1141" t="s">
        <v>45</v>
      </c>
      <c r="P1141">
        <f>Tableau1_2[[#This Row],[Quantité]]*Tableau1_2[[#This Row],[Prix_Unitaire]]</f>
        <v>880000</v>
      </c>
      <c r="Q1141">
        <f>Tableau1_2[[#This Row],[Quantité]]*Tableau1_2[[#This Row],[Coût_Unitaire]]</f>
        <v>659200</v>
      </c>
      <c r="R1141">
        <f>Tableau1_2[[#This Row],[CA]]-Tableau1_2[[#This Row],[Cout Total]]</f>
        <v>220800</v>
      </c>
      <c r="S1141" s="4">
        <f>Tableau1_2[[#This Row],[Marge]]/Tableau1_2[[#This Row],[CA]]</f>
        <v>0.25090909090909091</v>
      </c>
      <c r="T1141" t="str">
        <f>TEXT(Tableau1_2[[#This Row],[Date]],"mmmm")</f>
        <v>juin</v>
      </c>
    </row>
    <row r="1142" spans="1:20" x14ac:dyDescent="0.35">
      <c r="A1142" t="s">
        <v>2117</v>
      </c>
      <c r="B1142" s="2">
        <v>46157</v>
      </c>
      <c r="C1142" t="s">
        <v>2118</v>
      </c>
      <c r="D1142" t="s">
        <v>1292</v>
      </c>
      <c r="E1142" t="s">
        <v>84</v>
      </c>
      <c r="F1142" t="s">
        <v>85</v>
      </c>
      <c r="G1142" t="s">
        <v>34</v>
      </c>
      <c r="H1142" t="s">
        <v>86</v>
      </c>
      <c r="I1142">
        <v>6</v>
      </c>
      <c r="J1142">
        <v>180000</v>
      </c>
      <c r="K1142">
        <v>135000</v>
      </c>
      <c r="L1142" t="s">
        <v>50</v>
      </c>
      <c r="M1142" t="s">
        <v>22</v>
      </c>
      <c r="N1142" t="s">
        <v>23</v>
      </c>
      <c r="O1142" t="s">
        <v>91</v>
      </c>
      <c r="P1142">
        <f>Tableau1_2[[#This Row],[Quantité]]*Tableau1_2[[#This Row],[Prix_Unitaire]]</f>
        <v>1080000</v>
      </c>
      <c r="Q1142">
        <f>Tableau1_2[[#This Row],[Quantité]]*Tableau1_2[[#This Row],[Coût_Unitaire]]</f>
        <v>810000</v>
      </c>
      <c r="R1142">
        <f>Tableau1_2[[#This Row],[CA]]-Tableau1_2[[#This Row],[Cout Total]]</f>
        <v>270000</v>
      </c>
      <c r="S1142" s="4">
        <f>Tableau1_2[[#This Row],[Marge]]/Tableau1_2[[#This Row],[CA]]</f>
        <v>0.25</v>
      </c>
      <c r="T1142" t="str">
        <f>TEXT(Tableau1_2[[#This Row],[Date]],"mmmm")</f>
        <v>mai</v>
      </c>
    </row>
    <row r="1143" spans="1:20" x14ac:dyDescent="0.35">
      <c r="A1143" t="s">
        <v>2119</v>
      </c>
      <c r="B1143" s="2">
        <v>46249</v>
      </c>
      <c r="C1143" t="s">
        <v>2074</v>
      </c>
      <c r="D1143" t="s">
        <v>1062</v>
      </c>
      <c r="E1143" t="s">
        <v>18</v>
      </c>
      <c r="F1143" t="s">
        <v>18</v>
      </c>
      <c r="G1143" t="s">
        <v>28</v>
      </c>
      <c r="H1143" t="s">
        <v>131</v>
      </c>
      <c r="I1143">
        <v>2</v>
      </c>
      <c r="J1143">
        <v>31500</v>
      </c>
      <c r="K1143">
        <v>19000</v>
      </c>
      <c r="L1143" t="s">
        <v>66</v>
      </c>
      <c r="M1143" t="s">
        <v>37</v>
      </c>
      <c r="N1143" t="s">
        <v>87</v>
      </c>
      <c r="O1143" t="s">
        <v>45</v>
      </c>
      <c r="P1143">
        <f>Tableau1_2[[#This Row],[Quantité]]*Tableau1_2[[#This Row],[Prix_Unitaire]]</f>
        <v>63000</v>
      </c>
      <c r="Q1143">
        <f>Tableau1_2[[#This Row],[Quantité]]*Tableau1_2[[#This Row],[Coût_Unitaire]]</f>
        <v>38000</v>
      </c>
      <c r="R1143">
        <f>Tableau1_2[[#This Row],[CA]]-Tableau1_2[[#This Row],[Cout Total]]</f>
        <v>25000</v>
      </c>
      <c r="S1143" s="4">
        <f>Tableau1_2[[#This Row],[Marge]]/Tableau1_2[[#This Row],[CA]]</f>
        <v>0.3968253968253968</v>
      </c>
      <c r="T1143" t="str">
        <f>TEXT(Tableau1_2[[#This Row],[Date]],"mmmm")</f>
        <v>août</v>
      </c>
    </row>
    <row r="1144" spans="1:20" x14ac:dyDescent="0.35">
      <c r="A1144" t="s">
        <v>2120</v>
      </c>
      <c r="B1144" s="2">
        <v>46267</v>
      </c>
      <c r="C1144" t="s">
        <v>1932</v>
      </c>
      <c r="D1144" t="s">
        <v>180</v>
      </c>
      <c r="E1144" t="s">
        <v>190</v>
      </c>
      <c r="F1144" t="s">
        <v>191</v>
      </c>
      <c r="G1144" t="s">
        <v>34</v>
      </c>
      <c r="H1144" t="s">
        <v>158</v>
      </c>
      <c r="I1144">
        <v>8</v>
      </c>
      <c r="J1144">
        <v>99800</v>
      </c>
      <c r="K1144">
        <v>70000</v>
      </c>
      <c r="L1144" t="s">
        <v>50</v>
      </c>
      <c r="M1144" t="s">
        <v>37</v>
      </c>
      <c r="N1144" t="s">
        <v>23</v>
      </c>
      <c r="O1144" t="s">
        <v>24</v>
      </c>
      <c r="P1144">
        <f>Tableau1_2[[#This Row],[Quantité]]*Tableau1_2[[#This Row],[Prix_Unitaire]]</f>
        <v>798400</v>
      </c>
      <c r="Q1144">
        <f>Tableau1_2[[#This Row],[Quantité]]*Tableau1_2[[#This Row],[Coût_Unitaire]]</f>
        <v>560000</v>
      </c>
      <c r="R1144">
        <f>Tableau1_2[[#This Row],[CA]]-Tableau1_2[[#This Row],[Cout Total]]</f>
        <v>238400</v>
      </c>
      <c r="S1144" s="4">
        <f>Tableau1_2[[#This Row],[Marge]]/Tableau1_2[[#This Row],[CA]]</f>
        <v>0.29859719438877758</v>
      </c>
      <c r="T1144" t="str">
        <f>TEXT(Tableau1_2[[#This Row],[Date]],"mmmm")</f>
        <v>septembre</v>
      </c>
    </row>
    <row r="1145" spans="1:20" x14ac:dyDescent="0.35">
      <c r="A1145" t="s">
        <v>2121</v>
      </c>
      <c r="B1145" s="2">
        <v>46058</v>
      </c>
      <c r="C1145" t="s">
        <v>654</v>
      </c>
      <c r="D1145" t="s">
        <v>703</v>
      </c>
      <c r="E1145" t="s">
        <v>70</v>
      </c>
      <c r="F1145" t="s">
        <v>71</v>
      </c>
      <c r="G1145" t="s">
        <v>34</v>
      </c>
      <c r="H1145" t="s">
        <v>86</v>
      </c>
      <c r="I1145">
        <v>9</v>
      </c>
      <c r="J1145">
        <v>171000</v>
      </c>
      <c r="K1145">
        <v>139000</v>
      </c>
      <c r="L1145" t="s">
        <v>30</v>
      </c>
      <c r="M1145" t="s">
        <v>22</v>
      </c>
      <c r="N1145" t="s">
        <v>52</v>
      </c>
      <c r="O1145" t="s">
        <v>91</v>
      </c>
      <c r="P1145">
        <f>Tableau1_2[[#This Row],[Quantité]]*Tableau1_2[[#This Row],[Prix_Unitaire]]</f>
        <v>1539000</v>
      </c>
      <c r="Q1145">
        <f>Tableau1_2[[#This Row],[Quantité]]*Tableau1_2[[#This Row],[Coût_Unitaire]]</f>
        <v>1251000</v>
      </c>
      <c r="R1145">
        <f>Tableau1_2[[#This Row],[CA]]-Tableau1_2[[#This Row],[Cout Total]]</f>
        <v>288000</v>
      </c>
      <c r="S1145" s="4">
        <f>Tableau1_2[[#This Row],[Marge]]/Tableau1_2[[#This Row],[CA]]</f>
        <v>0.1871345029239766</v>
      </c>
      <c r="T1145" t="str">
        <f>TEXT(Tableau1_2[[#This Row],[Date]],"mmmm")</f>
        <v>février</v>
      </c>
    </row>
    <row r="1146" spans="1:20" x14ac:dyDescent="0.35">
      <c r="A1146" t="s">
        <v>2122</v>
      </c>
      <c r="B1146" s="2">
        <v>46373</v>
      </c>
      <c r="C1146" t="s">
        <v>858</v>
      </c>
      <c r="D1146" t="s">
        <v>278</v>
      </c>
      <c r="E1146" t="s">
        <v>41</v>
      </c>
      <c r="F1146" t="s">
        <v>42</v>
      </c>
      <c r="G1146" t="s">
        <v>34</v>
      </c>
      <c r="H1146" t="s">
        <v>95</v>
      </c>
      <c r="I1146">
        <v>1</v>
      </c>
      <c r="J1146">
        <v>450000</v>
      </c>
      <c r="K1146">
        <v>370000</v>
      </c>
      <c r="L1146" t="s">
        <v>66</v>
      </c>
      <c r="M1146" t="s">
        <v>37</v>
      </c>
      <c r="N1146" t="s">
        <v>87</v>
      </c>
      <c r="O1146" t="s">
        <v>91</v>
      </c>
      <c r="P1146">
        <f>Tableau1_2[[#This Row],[Quantité]]*Tableau1_2[[#This Row],[Prix_Unitaire]]</f>
        <v>450000</v>
      </c>
      <c r="Q1146">
        <f>Tableau1_2[[#This Row],[Quantité]]*Tableau1_2[[#This Row],[Coût_Unitaire]]</f>
        <v>370000</v>
      </c>
      <c r="R1146">
        <f>Tableau1_2[[#This Row],[CA]]-Tableau1_2[[#This Row],[Cout Total]]</f>
        <v>80000</v>
      </c>
      <c r="S1146" s="4">
        <f>Tableau1_2[[#This Row],[Marge]]/Tableau1_2[[#This Row],[CA]]</f>
        <v>0.17777777777777778</v>
      </c>
      <c r="T1146" t="str">
        <f>TEXT(Tableau1_2[[#This Row],[Date]],"mmmm")</f>
        <v>décembre</v>
      </c>
    </row>
    <row r="1147" spans="1:20" x14ac:dyDescent="0.35">
      <c r="A1147" t="s">
        <v>2123</v>
      </c>
      <c r="B1147" s="2">
        <v>46090</v>
      </c>
      <c r="C1147" t="s">
        <v>2124</v>
      </c>
      <c r="D1147" t="s">
        <v>403</v>
      </c>
      <c r="E1147" t="s">
        <v>190</v>
      </c>
      <c r="F1147" t="s">
        <v>191</v>
      </c>
      <c r="G1147" t="s">
        <v>19</v>
      </c>
      <c r="H1147" t="s">
        <v>61</v>
      </c>
      <c r="I1147">
        <v>9</v>
      </c>
      <c r="J1147">
        <v>220000</v>
      </c>
      <c r="K1147">
        <v>155200</v>
      </c>
      <c r="L1147" t="s">
        <v>30</v>
      </c>
      <c r="M1147" t="s">
        <v>51</v>
      </c>
      <c r="N1147" t="s">
        <v>23</v>
      </c>
      <c r="O1147" t="s">
        <v>24</v>
      </c>
      <c r="P1147">
        <f>Tableau1_2[[#This Row],[Quantité]]*Tableau1_2[[#This Row],[Prix_Unitaire]]</f>
        <v>1980000</v>
      </c>
      <c r="Q1147">
        <f>Tableau1_2[[#This Row],[Quantité]]*Tableau1_2[[#This Row],[Coût_Unitaire]]</f>
        <v>1396800</v>
      </c>
      <c r="R1147">
        <f>Tableau1_2[[#This Row],[CA]]-Tableau1_2[[#This Row],[Cout Total]]</f>
        <v>583200</v>
      </c>
      <c r="S1147" s="4">
        <f>Tableau1_2[[#This Row],[Marge]]/Tableau1_2[[#This Row],[CA]]</f>
        <v>0.29454545454545455</v>
      </c>
      <c r="T1147" t="str">
        <f>TEXT(Tableau1_2[[#This Row],[Date]],"mmmm")</f>
        <v>mars</v>
      </c>
    </row>
    <row r="1148" spans="1:20" x14ac:dyDescent="0.35">
      <c r="A1148" t="s">
        <v>2125</v>
      </c>
      <c r="B1148" s="2">
        <v>46153</v>
      </c>
      <c r="C1148" t="s">
        <v>1653</v>
      </c>
      <c r="D1148" t="s">
        <v>1174</v>
      </c>
      <c r="E1148" t="s">
        <v>77</v>
      </c>
      <c r="F1148" t="s">
        <v>78</v>
      </c>
      <c r="G1148" t="s">
        <v>43</v>
      </c>
      <c r="H1148" t="s">
        <v>79</v>
      </c>
      <c r="I1148">
        <v>4</v>
      </c>
      <c r="J1148">
        <v>6000</v>
      </c>
      <c r="K1148">
        <v>4300</v>
      </c>
      <c r="L1148" t="s">
        <v>30</v>
      </c>
      <c r="M1148" t="s">
        <v>37</v>
      </c>
      <c r="N1148" t="s">
        <v>52</v>
      </c>
      <c r="O1148" t="s">
        <v>91</v>
      </c>
      <c r="P1148">
        <f>Tableau1_2[[#This Row],[Quantité]]*Tableau1_2[[#This Row],[Prix_Unitaire]]</f>
        <v>24000</v>
      </c>
      <c r="Q1148">
        <f>Tableau1_2[[#This Row],[Quantité]]*Tableau1_2[[#This Row],[Coût_Unitaire]]</f>
        <v>17200</v>
      </c>
      <c r="R1148">
        <f>Tableau1_2[[#This Row],[CA]]-Tableau1_2[[#This Row],[Cout Total]]</f>
        <v>6800</v>
      </c>
      <c r="S1148" s="4">
        <f>Tableau1_2[[#This Row],[Marge]]/Tableau1_2[[#This Row],[CA]]</f>
        <v>0.28333333333333333</v>
      </c>
      <c r="T1148" t="str">
        <f>TEXT(Tableau1_2[[#This Row],[Date]],"mmmm")</f>
        <v>mai</v>
      </c>
    </row>
    <row r="1149" spans="1:20" x14ac:dyDescent="0.35">
      <c r="A1149" t="s">
        <v>2126</v>
      </c>
      <c r="B1149" s="2">
        <v>46241</v>
      </c>
      <c r="C1149" t="s">
        <v>1509</v>
      </c>
      <c r="D1149" t="s">
        <v>462</v>
      </c>
      <c r="E1149" t="s">
        <v>156</v>
      </c>
      <c r="F1149" t="s">
        <v>157</v>
      </c>
      <c r="G1149" t="s">
        <v>43</v>
      </c>
      <c r="H1149" t="s">
        <v>49</v>
      </c>
      <c r="I1149">
        <v>2</v>
      </c>
      <c r="J1149">
        <v>9400</v>
      </c>
      <c r="K1149">
        <v>5800</v>
      </c>
      <c r="L1149" t="s">
        <v>96</v>
      </c>
      <c r="M1149" t="s">
        <v>51</v>
      </c>
      <c r="N1149" t="s">
        <v>52</v>
      </c>
      <c r="O1149" t="s">
        <v>24</v>
      </c>
      <c r="P1149">
        <f>Tableau1_2[[#This Row],[Quantité]]*Tableau1_2[[#This Row],[Prix_Unitaire]]</f>
        <v>18800</v>
      </c>
      <c r="Q1149">
        <f>Tableau1_2[[#This Row],[Quantité]]*Tableau1_2[[#This Row],[Coût_Unitaire]]</f>
        <v>11600</v>
      </c>
      <c r="R1149">
        <f>Tableau1_2[[#This Row],[CA]]-Tableau1_2[[#This Row],[Cout Total]]</f>
        <v>7200</v>
      </c>
      <c r="S1149" s="4">
        <f>Tableau1_2[[#This Row],[Marge]]/Tableau1_2[[#This Row],[CA]]</f>
        <v>0.38297872340425532</v>
      </c>
      <c r="T1149" t="str">
        <f>TEXT(Tableau1_2[[#This Row],[Date]],"mmmm")</f>
        <v>août</v>
      </c>
    </row>
    <row r="1150" spans="1:20" x14ac:dyDescent="0.35">
      <c r="A1150" t="s">
        <v>2127</v>
      </c>
      <c r="B1150" s="2">
        <v>46112</v>
      </c>
      <c r="C1150" t="s">
        <v>1518</v>
      </c>
      <c r="D1150" t="s">
        <v>1384</v>
      </c>
      <c r="E1150" t="s">
        <v>41</v>
      </c>
      <c r="F1150" t="s">
        <v>42</v>
      </c>
      <c r="G1150" t="s">
        <v>28</v>
      </c>
      <c r="H1150" t="s">
        <v>29</v>
      </c>
      <c r="I1150">
        <v>5</v>
      </c>
      <c r="J1150">
        <v>7400</v>
      </c>
      <c r="K1150">
        <v>3900</v>
      </c>
      <c r="L1150" t="s">
        <v>66</v>
      </c>
      <c r="M1150" t="s">
        <v>51</v>
      </c>
      <c r="N1150" t="s">
        <v>52</v>
      </c>
      <c r="O1150" t="s">
        <v>24</v>
      </c>
      <c r="P1150">
        <f>Tableau1_2[[#This Row],[Quantité]]*Tableau1_2[[#This Row],[Prix_Unitaire]]</f>
        <v>37000</v>
      </c>
      <c r="Q1150">
        <f>Tableau1_2[[#This Row],[Quantité]]*Tableau1_2[[#This Row],[Coût_Unitaire]]</f>
        <v>19500</v>
      </c>
      <c r="R1150">
        <f>Tableau1_2[[#This Row],[CA]]-Tableau1_2[[#This Row],[Cout Total]]</f>
        <v>17500</v>
      </c>
      <c r="S1150" s="4">
        <f>Tableau1_2[[#This Row],[Marge]]/Tableau1_2[[#This Row],[CA]]</f>
        <v>0.47297297297297297</v>
      </c>
      <c r="T1150" t="str">
        <f>TEXT(Tableau1_2[[#This Row],[Date]],"mmmm")</f>
        <v>mars</v>
      </c>
    </row>
    <row r="1151" spans="1:20" x14ac:dyDescent="0.35">
      <c r="A1151" t="s">
        <v>2128</v>
      </c>
      <c r="B1151" s="2">
        <v>46116</v>
      </c>
      <c r="C1151" t="s">
        <v>1490</v>
      </c>
      <c r="D1151" t="s">
        <v>203</v>
      </c>
      <c r="E1151" t="s">
        <v>190</v>
      </c>
      <c r="F1151" t="s">
        <v>191</v>
      </c>
      <c r="G1151" t="s">
        <v>19</v>
      </c>
      <c r="H1151" t="s">
        <v>61</v>
      </c>
      <c r="I1151">
        <v>3</v>
      </c>
      <c r="J1151">
        <v>231000</v>
      </c>
      <c r="K1151">
        <v>164800</v>
      </c>
      <c r="L1151" t="s">
        <v>66</v>
      </c>
      <c r="M1151" t="s">
        <v>51</v>
      </c>
      <c r="N1151" t="s">
        <v>52</v>
      </c>
      <c r="O1151" t="s">
        <v>45</v>
      </c>
      <c r="P1151">
        <f>Tableau1_2[[#This Row],[Quantité]]*Tableau1_2[[#This Row],[Prix_Unitaire]]</f>
        <v>693000</v>
      </c>
      <c r="Q1151">
        <f>Tableau1_2[[#This Row],[Quantité]]*Tableau1_2[[#This Row],[Coût_Unitaire]]</f>
        <v>494400</v>
      </c>
      <c r="R1151">
        <f>Tableau1_2[[#This Row],[CA]]-Tableau1_2[[#This Row],[Cout Total]]</f>
        <v>198600</v>
      </c>
      <c r="S1151" s="4">
        <f>Tableau1_2[[#This Row],[Marge]]/Tableau1_2[[#This Row],[CA]]</f>
        <v>0.2865800865800866</v>
      </c>
      <c r="T1151" t="str">
        <f>TEXT(Tableau1_2[[#This Row],[Date]],"mmmm")</f>
        <v>avril</v>
      </c>
    </row>
    <row r="1152" spans="1:20" x14ac:dyDescent="0.35">
      <c r="A1152" t="s">
        <v>2129</v>
      </c>
      <c r="B1152" s="2">
        <v>46073</v>
      </c>
      <c r="C1152" t="s">
        <v>1020</v>
      </c>
      <c r="D1152" t="s">
        <v>1221</v>
      </c>
      <c r="E1152" t="s">
        <v>70</v>
      </c>
      <c r="F1152" t="s">
        <v>71</v>
      </c>
      <c r="G1152" t="s">
        <v>19</v>
      </c>
      <c r="H1152" t="s">
        <v>112</v>
      </c>
      <c r="I1152">
        <v>3</v>
      </c>
      <c r="J1152">
        <v>85000</v>
      </c>
      <c r="K1152">
        <v>60100</v>
      </c>
      <c r="L1152" t="s">
        <v>21</v>
      </c>
      <c r="M1152" t="s">
        <v>37</v>
      </c>
      <c r="N1152" t="s">
        <v>87</v>
      </c>
      <c r="O1152" t="s">
        <v>24</v>
      </c>
      <c r="P1152">
        <f>Tableau1_2[[#This Row],[Quantité]]*Tableau1_2[[#This Row],[Prix_Unitaire]]</f>
        <v>255000</v>
      </c>
      <c r="Q1152">
        <f>Tableau1_2[[#This Row],[Quantité]]*Tableau1_2[[#This Row],[Coût_Unitaire]]</f>
        <v>180300</v>
      </c>
      <c r="R1152">
        <f>Tableau1_2[[#This Row],[CA]]-Tableau1_2[[#This Row],[Cout Total]]</f>
        <v>74700</v>
      </c>
      <c r="S1152" s="4">
        <f>Tableau1_2[[#This Row],[Marge]]/Tableau1_2[[#This Row],[CA]]</f>
        <v>0.29294117647058826</v>
      </c>
      <c r="T1152" t="str">
        <f>TEXT(Tableau1_2[[#This Row],[Date]],"mmmm")</f>
        <v>février</v>
      </c>
    </row>
    <row r="1153" spans="1:20" x14ac:dyDescent="0.35">
      <c r="A1153" t="s">
        <v>2130</v>
      </c>
      <c r="B1153" s="2">
        <v>46048</v>
      </c>
      <c r="C1153" t="s">
        <v>1932</v>
      </c>
      <c r="D1153" t="s">
        <v>2131</v>
      </c>
      <c r="E1153" t="s">
        <v>18</v>
      </c>
      <c r="F1153" t="s">
        <v>18</v>
      </c>
      <c r="G1153" t="s">
        <v>28</v>
      </c>
      <c r="H1153" t="s">
        <v>72</v>
      </c>
      <c r="I1153">
        <v>3</v>
      </c>
      <c r="J1153">
        <v>10000</v>
      </c>
      <c r="K1153">
        <v>6000</v>
      </c>
      <c r="L1153" t="s">
        <v>36</v>
      </c>
      <c r="M1153" t="s">
        <v>31</v>
      </c>
      <c r="N1153" t="s">
        <v>52</v>
      </c>
      <c r="O1153" t="s">
        <v>45</v>
      </c>
      <c r="P1153">
        <f>Tableau1_2[[#This Row],[Quantité]]*Tableau1_2[[#This Row],[Prix_Unitaire]]</f>
        <v>30000</v>
      </c>
      <c r="Q1153">
        <f>Tableau1_2[[#This Row],[Quantité]]*Tableau1_2[[#This Row],[Coût_Unitaire]]</f>
        <v>18000</v>
      </c>
      <c r="R1153">
        <f>Tableau1_2[[#This Row],[CA]]-Tableau1_2[[#This Row],[Cout Total]]</f>
        <v>12000</v>
      </c>
      <c r="S1153" s="4">
        <f>Tableau1_2[[#This Row],[Marge]]/Tableau1_2[[#This Row],[CA]]</f>
        <v>0.4</v>
      </c>
      <c r="T1153" t="str">
        <f>TEXT(Tableau1_2[[#This Row],[Date]],"mmmm")</f>
        <v>janvier</v>
      </c>
    </row>
    <row r="1154" spans="1:20" x14ac:dyDescent="0.35">
      <c r="A1154" t="s">
        <v>2132</v>
      </c>
      <c r="B1154" s="2">
        <v>46339</v>
      </c>
      <c r="C1154" t="s">
        <v>537</v>
      </c>
      <c r="D1154" t="s">
        <v>2133</v>
      </c>
      <c r="E1154" t="s">
        <v>18</v>
      </c>
      <c r="F1154" t="s">
        <v>18</v>
      </c>
      <c r="G1154" t="s">
        <v>43</v>
      </c>
      <c r="H1154" t="s">
        <v>79</v>
      </c>
      <c r="I1154">
        <v>3</v>
      </c>
      <c r="J1154">
        <v>6000</v>
      </c>
      <c r="K1154">
        <v>4200</v>
      </c>
      <c r="L1154" t="s">
        <v>80</v>
      </c>
      <c r="M1154" t="s">
        <v>37</v>
      </c>
      <c r="N1154" t="s">
        <v>23</v>
      </c>
      <c r="O1154" t="s">
        <v>91</v>
      </c>
      <c r="P1154">
        <f>Tableau1_2[[#This Row],[Quantité]]*Tableau1_2[[#This Row],[Prix_Unitaire]]</f>
        <v>18000</v>
      </c>
      <c r="Q1154">
        <f>Tableau1_2[[#This Row],[Quantité]]*Tableau1_2[[#This Row],[Coût_Unitaire]]</f>
        <v>12600</v>
      </c>
      <c r="R1154">
        <f>Tableau1_2[[#This Row],[CA]]-Tableau1_2[[#This Row],[Cout Total]]</f>
        <v>5400</v>
      </c>
      <c r="S1154" s="4">
        <f>Tableau1_2[[#This Row],[Marge]]/Tableau1_2[[#This Row],[CA]]</f>
        <v>0.3</v>
      </c>
      <c r="T1154" t="str">
        <f>TEXT(Tableau1_2[[#This Row],[Date]],"mmmm")</f>
        <v>novembre</v>
      </c>
    </row>
    <row r="1155" spans="1:20" x14ac:dyDescent="0.35">
      <c r="A1155" t="s">
        <v>2134</v>
      </c>
      <c r="B1155" s="2">
        <v>46355</v>
      </c>
      <c r="C1155" t="s">
        <v>104</v>
      </c>
      <c r="D1155" t="s">
        <v>1179</v>
      </c>
      <c r="E1155" t="s">
        <v>70</v>
      </c>
      <c r="F1155" t="s">
        <v>71</v>
      </c>
      <c r="G1155" t="s">
        <v>28</v>
      </c>
      <c r="H1155" t="s">
        <v>65</v>
      </c>
      <c r="I1155">
        <v>3</v>
      </c>
      <c r="J1155">
        <v>11400</v>
      </c>
      <c r="K1155">
        <v>7500</v>
      </c>
      <c r="L1155" t="s">
        <v>96</v>
      </c>
      <c r="M1155" t="s">
        <v>37</v>
      </c>
      <c r="N1155" t="s">
        <v>52</v>
      </c>
      <c r="O1155" t="s">
        <v>24</v>
      </c>
      <c r="P1155">
        <f>Tableau1_2[[#This Row],[Quantité]]*Tableau1_2[[#This Row],[Prix_Unitaire]]</f>
        <v>34200</v>
      </c>
      <c r="Q1155">
        <f>Tableau1_2[[#This Row],[Quantité]]*Tableau1_2[[#This Row],[Coût_Unitaire]]</f>
        <v>22500</v>
      </c>
      <c r="R1155">
        <f>Tableau1_2[[#This Row],[CA]]-Tableau1_2[[#This Row],[Cout Total]]</f>
        <v>11700</v>
      </c>
      <c r="S1155" s="4">
        <f>Tableau1_2[[#This Row],[Marge]]/Tableau1_2[[#This Row],[CA]]</f>
        <v>0.34210526315789475</v>
      </c>
      <c r="T1155" t="str">
        <f>TEXT(Tableau1_2[[#This Row],[Date]],"mmmm")</f>
        <v>novembre</v>
      </c>
    </row>
    <row r="1156" spans="1:20" x14ac:dyDescent="0.35">
      <c r="A1156" t="s">
        <v>2135</v>
      </c>
      <c r="B1156" s="2">
        <v>46114</v>
      </c>
      <c r="C1156" t="s">
        <v>323</v>
      </c>
      <c r="D1156" t="s">
        <v>576</v>
      </c>
      <c r="E1156" t="s">
        <v>41</v>
      </c>
      <c r="F1156" t="s">
        <v>42</v>
      </c>
      <c r="G1156" t="s">
        <v>43</v>
      </c>
      <c r="H1156" t="s">
        <v>49</v>
      </c>
      <c r="I1156">
        <v>4</v>
      </c>
      <c r="J1156">
        <v>9000</v>
      </c>
      <c r="K1156">
        <v>5800</v>
      </c>
      <c r="L1156" t="s">
        <v>96</v>
      </c>
      <c r="M1156" t="s">
        <v>37</v>
      </c>
      <c r="N1156" t="s">
        <v>23</v>
      </c>
      <c r="O1156" t="s">
        <v>45</v>
      </c>
      <c r="P1156">
        <f>Tableau1_2[[#This Row],[Quantité]]*Tableau1_2[[#This Row],[Prix_Unitaire]]</f>
        <v>36000</v>
      </c>
      <c r="Q1156">
        <f>Tableau1_2[[#This Row],[Quantité]]*Tableau1_2[[#This Row],[Coût_Unitaire]]</f>
        <v>23200</v>
      </c>
      <c r="R1156">
        <f>Tableau1_2[[#This Row],[CA]]-Tableau1_2[[#This Row],[Cout Total]]</f>
        <v>12800</v>
      </c>
      <c r="S1156" s="4">
        <f>Tableau1_2[[#This Row],[Marge]]/Tableau1_2[[#This Row],[CA]]</f>
        <v>0.35555555555555557</v>
      </c>
      <c r="T1156" t="str">
        <f>TEXT(Tableau1_2[[#This Row],[Date]],"mmmm")</f>
        <v>avril</v>
      </c>
    </row>
    <row r="1157" spans="1:20" x14ac:dyDescent="0.35">
      <c r="A1157" t="s">
        <v>2136</v>
      </c>
      <c r="B1157" s="2">
        <v>46323</v>
      </c>
      <c r="C1157" t="s">
        <v>2137</v>
      </c>
      <c r="D1157" t="s">
        <v>1234</v>
      </c>
      <c r="E1157" t="s">
        <v>156</v>
      </c>
      <c r="F1157" t="s">
        <v>170</v>
      </c>
      <c r="G1157" t="s">
        <v>28</v>
      </c>
      <c r="H1157" t="s">
        <v>65</v>
      </c>
      <c r="I1157">
        <v>5</v>
      </c>
      <c r="J1157">
        <v>12000</v>
      </c>
      <c r="K1157">
        <v>7300</v>
      </c>
      <c r="L1157" t="s">
        <v>21</v>
      </c>
      <c r="M1157" t="s">
        <v>37</v>
      </c>
      <c r="N1157" t="s">
        <v>87</v>
      </c>
      <c r="O1157" t="s">
        <v>24</v>
      </c>
      <c r="P1157">
        <f>Tableau1_2[[#This Row],[Quantité]]*Tableau1_2[[#This Row],[Prix_Unitaire]]</f>
        <v>60000</v>
      </c>
      <c r="Q1157">
        <f>Tableau1_2[[#This Row],[Quantité]]*Tableau1_2[[#This Row],[Coût_Unitaire]]</f>
        <v>36500</v>
      </c>
      <c r="R1157">
        <f>Tableau1_2[[#This Row],[CA]]-Tableau1_2[[#This Row],[Cout Total]]</f>
        <v>23500</v>
      </c>
      <c r="S1157" s="4">
        <f>Tableau1_2[[#This Row],[Marge]]/Tableau1_2[[#This Row],[CA]]</f>
        <v>0.39166666666666666</v>
      </c>
      <c r="T1157" t="str">
        <f>TEXT(Tableau1_2[[#This Row],[Date]],"mmmm")</f>
        <v>octobre</v>
      </c>
    </row>
    <row r="1158" spans="1:20" x14ac:dyDescent="0.35">
      <c r="A1158" t="s">
        <v>2138</v>
      </c>
      <c r="B1158" s="2">
        <v>46161</v>
      </c>
      <c r="C1158" t="s">
        <v>1160</v>
      </c>
      <c r="D1158" t="s">
        <v>2098</v>
      </c>
      <c r="E1158" t="s">
        <v>18</v>
      </c>
      <c r="F1158" t="s">
        <v>18</v>
      </c>
      <c r="G1158" t="s">
        <v>28</v>
      </c>
      <c r="H1158" t="s">
        <v>29</v>
      </c>
      <c r="I1158">
        <v>7</v>
      </c>
      <c r="J1158">
        <v>7000</v>
      </c>
      <c r="K1158">
        <v>4100</v>
      </c>
      <c r="L1158" t="s">
        <v>80</v>
      </c>
      <c r="M1158" t="s">
        <v>37</v>
      </c>
      <c r="N1158" t="s">
        <v>23</v>
      </c>
      <c r="O1158" t="s">
        <v>45</v>
      </c>
      <c r="P1158">
        <f>Tableau1_2[[#This Row],[Quantité]]*Tableau1_2[[#This Row],[Prix_Unitaire]]</f>
        <v>49000</v>
      </c>
      <c r="Q1158">
        <f>Tableau1_2[[#This Row],[Quantité]]*Tableau1_2[[#This Row],[Coût_Unitaire]]</f>
        <v>28700</v>
      </c>
      <c r="R1158">
        <f>Tableau1_2[[#This Row],[CA]]-Tableau1_2[[#This Row],[Cout Total]]</f>
        <v>20300</v>
      </c>
      <c r="S1158" s="4">
        <f>Tableau1_2[[#This Row],[Marge]]/Tableau1_2[[#This Row],[CA]]</f>
        <v>0.41428571428571431</v>
      </c>
      <c r="T1158" t="str">
        <f>TEXT(Tableau1_2[[#This Row],[Date]],"mmmm")</f>
        <v>mai</v>
      </c>
    </row>
    <row r="1159" spans="1:20" x14ac:dyDescent="0.35">
      <c r="A1159" t="s">
        <v>2139</v>
      </c>
      <c r="B1159" s="2">
        <v>46182</v>
      </c>
      <c r="C1159" t="s">
        <v>1757</v>
      </c>
      <c r="D1159" t="s">
        <v>335</v>
      </c>
      <c r="E1159" t="s">
        <v>18</v>
      </c>
      <c r="F1159" t="s">
        <v>18</v>
      </c>
      <c r="G1159" t="s">
        <v>28</v>
      </c>
      <c r="H1159" t="s">
        <v>131</v>
      </c>
      <c r="I1159">
        <v>2</v>
      </c>
      <c r="J1159">
        <v>30000</v>
      </c>
      <c r="K1159">
        <v>18400</v>
      </c>
      <c r="L1159" t="s">
        <v>21</v>
      </c>
      <c r="M1159" t="s">
        <v>22</v>
      </c>
      <c r="N1159" t="s">
        <v>52</v>
      </c>
      <c r="O1159" t="s">
        <v>24</v>
      </c>
      <c r="P1159">
        <f>Tableau1_2[[#This Row],[Quantité]]*Tableau1_2[[#This Row],[Prix_Unitaire]]</f>
        <v>60000</v>
      </c>
      <c r="Q1159">
        <f>Tableau1_2[[#This Row],[Quantité]]*Tableau1_2[[#This Row],[Coût_Unitaire]]</f>
        <v>36800</v>
      </c>
      <c r="R1159">
        <f>Tableau1_2[[#This Row],[CA]]-Tableau1_2[[#This Row],[Cout Total]]</f>
        <v>23200</v>
      </c>
      <c r="S1159" s="4">
        <f>Tableau1_2[[#This Row],[Marge]]/Tableau1_2[[#This Row],[CA]]</f>
        <v>0.38666666666666666</v>
      </c>
      <c r="T1159" t="str">
        <f>TEXT(Tableau1_2[[#This Row],[Date]],"mmmm")</f>
        <v>juin</v>
      </c>
    </row>
    <row r="1160" spans="1:20" x14ac:dyDescent="0.35">
      <c r="A1160" t="s">
        <v>2140</v>
      </c>
      <c r="B1160" s="2">
        <v>46167</v>
      </c>
      <c r="C1160" t="s">
        <v>607</v>
      </c>
      <c r="D1160" t="s">
        <v>394</v>
      </c>
      <c r="E1160" t="s">
        <v>84</v>
      </c>
      <c r="F1160" t="s">
        <v>85</v>
      </c>
      <c r="G1160" t="s">
        <v>19</v>
      </c>
      <c r="H1160" t="s">
        <v>20</v>
      </c>
      <c r="I1160">
        <v>7</v>
      </c>
      <c r="J1160">
        <v>65000</v>
      </c>
      <c r="K1160">
        <v>43600</v>
      </c>
      <c r="L1160" t="s">
        <v>96</v>
      </c>
      <c r="M1160" t="s">
        <v>51</v>
      </c>
      <c r="N1160" t="s">
        <v>23</v>
      </c>
      <c r="O1160" t="s">
        <v>24</v>
      </c>
      <c r="P1160">
        <f>Tableau1_2[[#This Row],[Quantité]]*Tableau1_2[[#This Row],[Prix_Unitaire]]</f>
        <v>455000</v>
      </c>
      <c r="Q1160">
        <f>Tableau1_2[[#This Row],[Quantité]]*Tableau1_2[[#This Row],[Coût_Unitaire]]</f>
        <v>305200</v>
      </c>
      <c r="R1160">
        <f>Tableau1_2[[#This Row],[CA]]-Tableau1_2[[#This Row],[Cout Total]]</f>
        <v>149800</v>
      </c>
      <c r="S1160" s="4">
        <f>Tableau1_2[[#This Row],[Marge]]/Tableau1_2[[#This Row],[CA]]</f>
        <v>0.32923076923076922</v>
      </c>
      <c r="T1160" t="str">
        <f>TEXT(Tableau1_2[[#This Row],[Date]],"mmmm")</f>
        <v>mai</v>
      </c>
    </row>
    <row r="1161" spans="1:20" x14ac:dyDescent="0.35">
      <c r="A1161" t="s">
        <v>2141</v>
      </c>
      <c r="B1161" s="2">
        <v>46039</v>
      </c>
      <c r="C1161" t="s">
        <v>1661</v>
      </c>
      <c r="D1161" t="s">
        <v>1396</v>
      </c>
      <c r="E1161" t="s">
        <v>84</v>
      </c>
      <c r="F1161" t="s">
        <v>85</v>
      </c>
      <c r="G1161" t="s">
        <v>34</v>
      </c>
      <c r="H1161" t="s">
        <v>35</v>
      </c>
      <c r="I1161">
        <v>4</v>
      </c>
      <c r="J1161">
        <v>52200</v>
      </c>
      <c r="K1161">
        <v>40200</v>
      </c>
      <c r="L1161" t="s">
        <v>36</v>
      </c>
      <c r="M1161" t="s">
        <v>22</v>
      </c>
      <c r="N1161" t="s">
        <v>52</v>
      </c>
      <c r="O1161" t="s">
        <v>24</v>
      </c>
      <c r="P1161">
        <f>Tableau1_2[[#This Row],[Quantité]]*Tableau1_2[[#This Row],[Prix_Unitaire]]</f>
        <v>208800</v>
      </c>
      <c r="Q1161">
        <f>Tableau1_2[[#This Row],[Quantité]]*Tableau1_2[[#This Row],[Coût_Unitaire]]</f>
        <v>160800</v>
      </c>
      <c r="R1161">
        <f>Tableau1_2[[#This Row],[CA]]-Tableau1_2[[#This Row],[Cout Total]]</f>
        <v>48000</v>
      </c>
      <c r="S1161" s="4">
        <f>Tableau1_2[[#This Row],[Marge]]/Tableau1_2[[#This Row],[CA]]</f>
        <v>0.22988505747126436</v>
      </c>
      <c r="T1161" t="str">
        <f>TEXT(Tableau1_2[[#This Row],[Date]],"mmmm")</f>
        <v>janvier</v>
      </c>
    </row>
    <row r="1162" spans="1:20" x14ac:dyDescent="0.35">
      <c r="A1162" t="s">
        <v>2142</v>
      </c>
      <c r="B1162" s="2">
        <v>46194</v>
      </c>
      <c r="C1162" t="s">
        <v>562</v>
      </c>
      <c r="D1162" t="s">
        <v>48</v>
      </c>
      <c r="E1162" t="s">
        <v>70</v>
      </c>
      <c r="F1162" t="s">
        <v>71</v>
      </c>
      <c r="G1162" t="s">
        <v>34</v>
      </c>
      <c r="H1162" t="s">
        <v>86</v>
      </c>
      <c r="I1162">
        <v>1</v>
      </c>
      <c r="J1162">
        <v>189000</v>
      </c>
      <c r="K1162">
        <v>135000</v>
      </c>
      <c r="L1162" t="s">
        <v>21</v>
      </c>
      <c r="M1162" t="s">
        <v>37</v>
      </c>
      <c r="N1162" t="s">
        <v>23</v>
      </c>
      <c r="O1162" t="s">
        <v>24</v>
      </c>
      <c r="P1162">
        <f>Tableau1_2[[#This Row],[Quantité]]*Tableau1_2[[#This Row],[Prix_Unitaire]]</f>
        <v>189000</v>
      </c>
      <c r="Q1162">
        <f>Tableau1_2[[#This Row],[Quantité]]*Tableau1_2[[#This Row],[Coût_Unitaire]]</f>
        <v>135000</v>
      </c>
      <c r="R1162">
        <f>Tableau1_2[[#This Row],[CA]]-Tableau1_2[[#This Row],[Cout Total]]</f>
        <v>54000</v>
      </c>
      <c r="S1162" s="4">
        <f>Tableau1_2[[#This Row],[Marge]]/Tableau1_2[[#This Row],[CA]]</f>
        <v>0.2857142857142857</v>
      </c>
      <c r="T1162" t="str">
        <f>TEXT(Tableau1_2[[#This Row],[Date]],"mmmm")</f>
        <v>juin</v>
      </c>
    </row>
    <row r="1163" spans="1:20" x14ac:dyDescent="0.35">
      <c r="A1163" t="s">
        <v>2143</v>
      </c>
      <c r="B1163" s="2">
        <v>46367</v>
      </c>
      <c r="C1163" t="s">
        <v>2144</v>
      </c>
      <c r="D1163" t="s">
        <v>1359</v>
      </c>
      <c r="E1163" t="s">
        <v>41</v>
      </c>
      <c r="F1163" t="s">
        <v>42</v>
      </c>
      <c r="G1163" t="s">
        <v>43</v>
      </c>
      <c r="H1163" t="s">
        <v>162</v>
      </c>
      <c r="I1163">
        <v>9</v>
      </c>
      <c r="J1163">
        <v>7600</v>
      </c>
      <c r="K1163">
        <v>5200</v>
      </c>
      <c r="L1163" t="s">
        <v>80</v>
      </c>
      <c r="M1163" t="s">
        <v>37</v>
      </c>
      <c r="N1163" t="s">
        <v>23</v>
      </c>
      <c r="O1163" t="s">
        <v>45</v>
      </c>
      <c r="P1163">
        <f>Tableau1_2[[#This Row],[Quantité]]*Tableau1_2[[#This Row],[Prix_Unitaire]]</f>
        <v>68400</v>
      </c>
      <c r="Q1163">
        <f>Tableau1_2[[#This Row],[Quantité]]*Tableau1_2[[#This Row],[Coût_Unitaire]]</f>
        <v>46800</v>
      </c>
      <c r="R1163">
        <f>Tableau1_2[[#This Row],[CA]]-Tableau1_2[[#This Row],[Cout Total]]</f>
        <v>21600</v>
      </c>
      <c r="S1163" s="4">
        <f>Tableau1_2[[#This Row],[Marge]]/Tableau1_2[[#This Row],[CA]]</f>
        <v>0.31578947368421051</v>
      </c>
      <c r="T1163" t="str">
        <f>TEXT(Tableau1_2[[#This Row],[Date]],"mmmm")</f>
        <v>décembre</v>
      </c>
    </row>
    <row r="1164" spans="1:20" x14ac:dyDescent="0.35">
      <c r="A1164" t="s">
        <v>2145</v>
      </c>
      <c r="B1164" s="2">
        <v>46381</v>
      </c>
      <c r="C1164" t="s">
        <v>1223</v>
      </c>
      <c r="D1164" t="s">
        <v>711</v>
      </c>
      <c r="E1164" t="s">
        <v>18</v>
      </c>
      <c r="F1164" t="s">
        <v>18</v>
      </c>
      <c r="G1164" t="s">
        <v>43</v>
      </c>
      <c r="H1164" t="s">
        <v>49</v>
      </c>
      <c r="I1164">
        <v>4</v>
      </c>
      <c r="J1164">
        <v>9000</v>
      </c>
      <c r="K1164">
        <v>6000</v>
      </c>
      <c r="L1164" t="s">
        <v>21</v>
      </c>
      <c r="M1164" t="s">
        <v>22</v>
      </c>
      <c r="N1164" t="s">
        <v>23</v>
      </c>
      <c r="O1164" t="s">
        <v>24</v>
      </c>
      <c r="P1164">
        <f>Tableau1_2[[#This Row],[Quantité]]*Tableau1_2[[#This Row],[Prix_Unitaire]]</f>
        <v>36000</v>
      </c>
      <c r="Q1164">
        <f>Tableau1_2[[#This Row],[Quantité]]*Tableau1_2[[#This Row],[Coût_Unitaire]]</f>
        <v>24000</v>
      </c>
      <c r="R1164">
        <f>Tableau1_2[[#This Row],[CA]]-Tableau1_2[[#This Row],[Cout Total]]</f>
        <v>12000</v>
      </c>
      <c r="S1164" s="4">
        <f>Tableau1_2[[#This Row],[Marge]]/Tableau1_2[[#This Row],[CA]]</f>
        <v>0.33333333333333331</v>
      </c>
      <c r="T1164" t="str">
        <f>TEXT(Tableau1_2[[#This Row],[Date]],"mmmm")</f>
        <v>décembre</v>
      </c>
    </row>
    <row r="1165" spans="1:20" x14ac:dyDescent="0.35">
      <c r="A1165" t="s">
        <v>2146</v>
      </c>
      <c r="B1165" s="2">
        <v>46027</v>
      </c>
      <c r="C1165" t="s">
        <v>759</v>
      </c>
      <c r="D1165" t="s">
        <v>152</v>
      </c>
      <c r="E1165" t="s">
        <v>18</v>
      </c>
      <c r="F1165" t="s">
        <v>18</v>
      </c>
      <c r="G1165" t="s">
        <v>28</v>
      </c>
      <c r="H1165" t="s">
        <v>72</v>
      </c>
      <c r="I1165">
        <v>2</v>
      </c>
      <c r="J1165">
        <v>10000</v>
      </c>
      <c r="K1165">
        <v>6000</v>
      </c>
      <c r="L1165" t="s">
        <v>73</v>
      </c>
      <c r="M1165" t="s">
        <v>31</v>
      </c>
      <c r="N1165" t="s">
        <v>52</v>
      </c>
      <c r="O1165" t="s">
        <v>24</v>
      </c>
      <c r="P1165">
        <f>Tableau1_2[[#This Row],[Quantité]]*Tableau1_2[[#This Row],[Prix_Unitaire]]</f>
        <v>20000</v>
      </c>
      <c r="Q1165">
        <f>Tableau1_2[[#This Row],[Quantité]]*Tableau1_2[[#This Row],[Coût_Unitaire]]</f>
        <v>12000</v>
      </c>
      <c r="R1165">
        <f>Tableau1_2[[#This Row],[CA]]-Tableau1_2[[#This Row],[Cout Total]]</f>
        <v>8000</v>
      </c>
      <c r="S1165" s="4">
        <f>Tableau1_2[[#This Row],[Marge]]/Tableau1_2[[#This Row],[CA]]</f>
        <v>0.4</v>
      </c>
      <c r="T1165" t="str">
        <f>TEXT(Tableau1_2[[#This Row],[Date]],"mmmm")</f>
        <v>janvier</v>
      </c>
    </row>
    <row r="1166" spans="1:20" x14ac:dyDescent="0.35">
      <c r="A1166" t="s">
        <v>2147</v>
      </c>
      <c r="B1166" s="2">
        <v>46258</v>
      </c>
      <c r="C1166" t="s">
        <v>2148</v>
      </c>
      <c r="D1166" t="s">
        <v>627</v>
      </c>
      <c r="E1166" t="s">
        <v>156</v>
      </c>
      <c r="F1166" t="s">
        <v>170</v>
      </c>
      <c r="G1166" t="s">
        <v>43</v>
      </c>
      <c r="H1166" t="s">
        <v>49</v>
      </c>
      <c r="I1166">
        <v>1</v>
      </c>
      <c r="J1166">
        <v>8600</v>
      </c>
      <c r="K1166">
        <v>6000</v>
      </c>
      <c r="L1166" t="s">
        <v>30</v>
      </c>
      <c r="M1166" t="s">
        <v>51</v>
      </c>
      <c r="N1166" t="s">
        <v>87</v>
      </c>
      <c r="O1166" t="s">
        <v>24</v>
      </c>
      <c r="P1166">
        <f>Tableau1_2[[#This Row],[Quantité]]*Tableau1_2[[#This Row],[Prix_Unitaire]]</f>
        <v>8600</v>
      </c>
      <c r="Q1166">
        <f>Tableau1_2[[#This Row],[Quantité]]*Tableau1_2[[#This Row],[Coût_Unitaire]]</f>
        <v>6000</v>
      </c>
      <c r="R1166">
        <f>Tableau1_2[[#This Row],[CA]]-Tableau1_2[[#This Row],[Cout Total]]</f>
        <v>2600</v>
      </c>
      <c r="S1166" s="4">
        <f>Tableau1_2[[#This Row],[Marge]]/Tableau1_2[[#This Row],[CA]]</f>
        <v>0.30232558139534882</v>
      </c>
      <c r="T1166" t="str">
        <f>TEXT(Tableau1_2[[#This Row],[Date]],"mmmm")</f>
        <v>août</v>
      </c>
    </row>
    <row r="1167" spans="1:20" x14ac:dyDescent="0.35">
      <c r="A1167" t="s">
        <v>2149</v>
      </c>
      <c r="B1167" s="2">
        <v>46179</v>
      </c>
      <c r="C1167" t="s">
        <v>1661</v>
      </c>
      <c r="D1167" t="s">
        <v>130</v>
      </c>
      <c r="E1167" t="s">
        <v>41</v>
      </c>
      <c r="F1167" t="s">
        <v>42</v>
      </c>
      <c r="G1167" t="s">
        <v>34</v>
      </c>
      <c r="H1167" t="s">
        <v>95</v>
      </c>
      <c r="I1167">
        <v>4</v>
      </c>
      <c r="J1167">
        <v>450000</v>
      </c>
      <c r="K1167">
        <v>370000</v>
      </c>
      <c r="L1167" t="s">
        <v>36</v>
      </c>
      <c r="M1167" t="s">
        <v>22</v>
      </c>
      <c r="N1167" t="s">
        <v>23</v>
      </c>
      <c r="O1167" t="s">
        <v>24</v>
      </c>
      <c r="P1167">
        <f>Tableau1_2[[#This Row],[Quantité]]*Tableau1_2[[#This Row],[Prix_Unitaire]]</f>
        <v>1800000</v>
      </c>
      <c r="Q1167">
        <f>Tableau1_2[[#This Row],[Quantité]]*Tableau1_2[[#This Row],[Coût_Unitaire]]</f>
        <v>1480000</v>
      </c>
      <c r="R1167">
        <f>Tableau1_2[[#This Row],[CA]]-Tableau1_2[[#This Row],[Cout Total]]</f>
        <v>320000</v>
      </c>
      <c r="S1167" s="4">
        <f>Tableau1_2[[#This Row],[Marge]]/Tableau1_2[[#This Row],[CA]]</f>
        <v>0.17777777777777778</v>
      </c>
      <c r="T1167" t="str">
        <f>TEXT(Tableau1_2[[#This Row],[Date]],"mmmm")</f>
        <v>juin</v>
      </c>
    </row>
    <row r="1168" spans="1:20" x14ac:dyDescent="0.35">
      <c r="A1168" t="s">
        <v>2150</v>
      </c>
      <c r="B1168" s="2">
        <v>46175</v>
      </c>
      <c r="C1168" t="s">
        <v>437</v>
      </c>
      <c r="D1168" t="s">
        <v>1563</v>
      </c>
      <c r="E1168" t="s">
        <v>77</v>
      </c>
      <c r="F1168" t="s">
        <v>78</v>
      </c>
      <c r="G1168" t="s">
        <v>19</v>
      </c>
      <c r="H1168" t="s">
        <v>166</v>
      </c>
      <c r="I1168">
        <v>6</v>
      </c>
      <c r="J1168">
        <v>147000</v>
      </c>
      <c r="K1168">
        <v>100000</v>
      </c>
      <c r="L1168" t="s">
        <v>80</v>
      </c>
      <c r="M1168" t="s">
        <v>22</v>
      </c>
      <c r="N1168" t="s">
        <v>52</v>
      </c>
      <c r="O1168" t="s">
        <v>24</v>
      </c>
      <c r="P1168">
        <f>Tableau1_2[[#This Row],[Quantité]]*Tableau1_2[[#This Row],[Prix_Unitaire]]</f>
        <v>882000</v>
      </c>
      <c r="Q1168">
        <f>Tableau1_2[[#This Row],[Quantité]]*Tableau1_2[[#This Row],[Coût_Unitaire]]</f>
        <v>600000</v>
      </c>
      <c r="R1168">
        <f>Tableau1_2[[#This Row],[CA]]-Tableau1_2[[#This Row],[Cout Total]]</f>
        <v>282000</v>
      </c>
      <c r="S1168" s="4">
        <f>Tableau1_2[[#This Row],[Marge]]/Tableau1_2[[#This Row],[CA]]</f>
        <v>0.31972789115646261</v>
      </c>
      <c r="T1168" t="str">
        <f>TEXT(Tableau1_2[[#This Row],[Date]],"mmmm")</f>
        <v>juin</v>
      </c>
    </row>
    <row r="1169" spans="1:20" x14ac:dyDescent="0.35">
      <c r="A1169" t="s">
        <v>2151</v>
      </c>
      <c r="B1169" s="2">
        <v>46029</v>
      </c>
      <c r="C1169" t="s">
        <v>1804</v>
      </c>
      <c r="D1169" t="s">
        <v>2152</v>
      </c>
      <c r="E1169" t="s">
        <v>18</v>
      </c>
      <c r="F1169" t="s">
        <v>18</v>
      </c>
      <c r="G1169" t="s">
        <v>28</v>
      </c>
      <c r="H1169" t="s">
        <v>72</v>
      </c>
      <c r="I1169">
        <v>6</v>
      </c>
      <c r="J1169">
        <v>10500</v>
      </c>
      <c r="K1169">
        <v>6400</v>
      </c>
      <c r="L1169" t="s">
        <v>50</v>
      </c>
      <c r="M1169" t="s">
        <v>51</v>
      </c>
      <c r="N1169" t="s">
        <v>23</v>
      </c>
      <c r="O1169" t="s">
        <v>91</v>
      </c>
      <c r="P1169">
        <f>Tableau1_2[[#This Row],[Quantité]]*Tableau1_2[[#This Row],[Prix_Unitaire]]</f>
        <v>63000</v>
      </c>
      <c r="Q1169">
        <f>Tableau1_2[[#This Row],[Quantité]]*Tableau1_2[[#This Row],[Coût_Unitaire]]</f>
        <v>38400</v>
      </c>
      <c r="R1169">
        <f>Tableau1_2[[#This Row],[CA]]-Tableau1_2[[#This Row],[Cout Total]]</f>
        <v>24600</v>
      </c>
      <c r="S1169" s="4">
        <f>Tableau1_2[[#This Row],[Marge]]/Tableau1_2[[#This Row],[CA]]</f>
        <v>0.39047619047619048</v>
      </c>
      <c r="T1169" t="str">
        <f>TEXT(Tableau1_2[[#This Row],[Date]],"mmmm")</f>
        <v>janvier</v>
      </c>
    </row>
    <row r="1170" spans="1:20" x14ac:dyDescent="0.35">
      <c r="A1170" t="s">
        <v>2153</v>
      </c>
      <c r="B1170" s="2">
        <v>46369</v>
      </c>
      <c r="C1170" t="s">
        <v>495</v>
      </c>
      <c r="D1170" t="s">
        <v>911</v>
      </c>
      <c r="E1170" t="s">
        <v>18</v>
      </c>
      <c r="F1170" t="s">
        <v>18</v>
      </c>
      <c r="G1170" t="s">
        <v>43</v>
      </c>
      <c r="H1170" t="s">
        <v>162</v>
      </c>
      <c r="I1170">
        <v>5</v>
      </c>
      <c r="J1170">
        <v>8000</v>
      </c>
      <c r="K1170">
        <v>5200</v>
      </c>
      <c r="L1170" t="s">
        <v>50</v>
      </c>
      <c r="M1170" t="s">
        <v>51</v>
      </c>
      <c r="N1170" t="s">
        <v>52</v>
      </c>
      <c r="O1170" t="s">
        <v>24</v>
      </c>
      <c r="P1170">
        <f>Tableau1_2[[#This Row],[Quantité]]*Tableau1_2[[#This Row],[Prix_Unitaire]]</f>
        <v>40000</v>
      </c>
      <c r="Q1170">
        <f>Tableau1_2[[#This Row],[Quantité]]*Tableau1_2[[#This Row],[Coût_Unitaire]]</f>
        <v>26000</v>
      </c>
      <c r="R1170">
        <f>Tableau1_2[[#This Row],[CA]]-Tableau1_2[[#This Row],[Cout Total]]</f>
        <v>14000</v>
      </c>
      <c r="S1170" s="4">
        <f>Tableau1_2[[#This Row],[Marge]]/Tableau1_2[[#This Row],[CA]]</f>
        <v>0.35</v>
      </c>
      <c r="T1170" t="str">
        <f>TEXT(Tableau1_2[[#This Row],[Date]],"mmmm")</f>
        <v>décembre</v>
      </c>
    </row>
    <row r="1171" spans="1:20" x14ac:dyDescent="0.35">
      <c r="A1171" t="s">
        <v>2154</v>
      </c>
      <c r="B1171" s="2">
        <v>46128</v>
      </c>
      <c r="C1171" t="s">
        <v>2118</v>
      </c>
      <c r="D1171" t="s">
        <v>784</v>
      </c>
      <c r="E1171" t="s">
        <v>18</v>
      </c>
      <c r="F1171" t="s">
        <v>18</v>
      </c>
      <c r="G1171" t="s">
        <v>34</v>
      </c>
      <c r="H1171" t="s">
        <v>95</v>
      </c>
      <c r="I1171">
        <v>10</v>
      </c>
      <c r="J1171">
        <v>450000</v>
      </c>
      <c r="K1171">
        <v>381100</v>
      </c>
      <c r="L1171" t="s">
        <v>80</v>
      </c>
      <c r="M1171" t="s">
        <v>37</v>
      </c>
      <c r="N1171" t="s">
        <v>52</v>
      </c>
      <c r="O1171" t="s">
        <v>24</v>
      </c>
      <c r="P1171">
        <f>Tableau1_2[[#This Row],[Quantité]]*Tableau1_2[[#This Row],[Prix_Unitaire]]</f>
        <v>4500000</v>
      </c>
      <c r="Q1171">
        <f>Tableau1_2[[#This Row],[Quantité]]*Tableau1_2[[#This Row],[Coût_Unitaire]]</f>
        <v>3811000</v>
      </c>
      <c r="R1171">
        <f>Tableau1_2[[#This Row],[CA]]-Tableau1_2[[#This Row],[Cout Total]]</f>
        <v>689000</v>
      </c>
      <c r="S1171" s="4">
        <f>Tableau1_2[[#This Row],[Marge]]/Tableau1_2[[#This Row],[CA]]</f>
        <v>0.15311111111111111</v>
      </c>
      <c r="T1171" t="str">
        <f>TEXT(Tableau1_2[[#This Row],[Date]],"mmmm")</f>
        <v>avril</v>
      </c>
    </row>
    <row r="1172" spans="1:20" x14ac:dyDescent="0.35">
      <c r="A1172" t="s">
        <v>2155</v>
      </c>
      <c r="B1172" s="2">
        <v>46242</v>
      </c>
      <c r="C1172" t="s">
        <v>941</v>
      </c>
      <c r="D1172" t="s">
        <v>1686</v>
      </c>
      <c r="E1172" t="s">
        <v>84</v>
      </c>
      <c r="F1172" t="s">
        <v>85</v>
      </c>
      <c r="G1172" t="s">
        <v>34</v>
      </c>
      <c r="H1172" t="s">
        <v>158</v>
      </c>
      <c r="I1172">
        <v>4</v>
      </c>
      <c r="J1172">
        <v>99800</v>
      </c>
      <c r="K1172">
        <v>72100</v>
      </c>
      <c r="L1172" t="s">
        <v>73</v>
      </c>
      <c r="M1172" t="s">
        <v>31</v>
      </c>
      <c r="N1172" t="s">
        <v>52</v>
      </c>
      <c r="O1172" t="s">
        <v>24</v>
      </c>
      <c r="P1172">
        <f>Tableau1_2[[#This Row],[Quantité]]*Tableau1_2[[#This Row],[Prix_Unitaire]]</f>
        <v>399200</v>
      </c>
      <c r="Q1172">
        <f>Tableau1_2[[#This Row],[Quantité]]*Tableau1_2[[#This Row],[Coût_Unitaire]]</f>
        <v>288400</v>
      </c>
      <c r="R1172">
        <f>Tableau1_2[[#This Row],[CA]]-Tableau1_2[[#This Row],[Cout Total]]</f>
        <v>110800</v>
      </c>
      <c r="S1172" s="4">
        <f>Tableau1_2[[#This Row],[Marge]]/Tableau1_2[[#This Row],[CA]]</f>
        <v>0.27755511022044088</v>
      </c>
      <c r="T1172" t="str">
        <f>TEXT(Tableau1_2[[#This Row],[Date]],"mmmm")</f>
        <v>août</v>
      </c>
    </row>
    <row r="1173" spans="1:20" x14ac:dyDescent="0.35">
      <c r="A1173" t="s">
        <v>2156</v>
      </c>
      <c r="B1173" s="2">
        <v>46241</v>
      </c>
      <c r="C1173" t="s">
        <v>707</v>
      </c>
      <c r="D1173" t="s">
        <v>2131</v>
      </c>
      <c r="E1173" t="s">
        <v>156</v>
      </c>
      <c r="F1173" t="s">
        <v>170</v>
      </c>
      <c r="G1173" t="s">
        <v>28</v>
      </c>
      <c r="H1173" t="s">
        <v>248</v>
      </c>
      <c r="I1173">
        <v>9</v>
      </c>
      <c r="J1173">
        <v>25000</v>
      </c>
      <c r="K1173">
        <v>15500</v>
      </c>
      <c r="L1173" t="s">
        <v>73</v>
      </c>
      <c r="M1173" t="s">
        <v>37</v>
      </c>
      <c r="N1173" t="s">
        <v>87</v>
      </c>
      <c r="O1173" t="s">
        <v>91</v>
      </c>
      <c r="P1173">
        <f>Tableau1_2[[#This Row],[Quantité]]*Tableau1_2[[#This Row],[Prix_Unitaire]]</f>
        <v>225000</v>
      </c>
      <c r="Q1173">
        <f>Tableau1_2[[#This Row],[Quantité]]*Tableau1_2[[#This Row],[Coût_Unitaire]]</f>
        <v>139500</v>
      </c>
      <c r="R1173">
        <f>Tableau1_2[[#This Row],[CA]]-Tableau1_2[[#This Row],[Cout Total]]</f>
        <v>85500</v>
      </c>
      <c r="S1173" s="4">
        <f>Tableau1_2[[#This Row],[Marge]]/Tableau1_2[[#This Row],[CA]]</f>
        <v>0.38</v>
      </c>
      <c r="T1173" t="str">
        <f>TEXT(Tableau1_2[[#This Row],[Date]],"mmmm")</f>
        <v>août</v>
      </c>
    </row>
    <row r="1174" spans="1:20" x14ac:dyDescent="0.35">
      <c r="A1174" t="s">
        <v>2157</v>
      </c>
      <c r="B1174" s="2">
        <v>46164</v>
      </c>
      <c r="C1174" t="s">
        <v>1968</v>
      </c>
      <c r="D1174" t="s">
        <v>667</v>
      </c>
      <c r="E1174" t="s">
        <v>18</v>
      </c>
      <c r="F1174" t="s">
        <v>18</v>
      </c>
      <c r="G1174" t="s">
        <v>34</v>
      </c>
      <c r="H1174" t="s">
        <v>95</v>
      </c>
      <c r="I1174">
        <v>5</v>
      </c>
      <c r="J1174">
        <v>450000</v>
      </c>
      <c r="K1174">
        <v>370000</v>
      </c>
      <c r="L1174" t="s">
        <v>30</v>
      </c>
      <c r="M1174" t="s">
        <v>37</v>
      </c>
      <c r="N1174" t="s">
        <v>87</v>
      </c>
      <c r="O1174" t="s">
        <v>24</v>
      </c>
      <c r="P1174">
        <f>Tableau1_2[[#This Row],[Quantité]]*Tableau1_2[[#This Row],[Prix_Unitaire]]</f>
        <v>2250000</v>
      </c>
      <c r="Q1174">
        <f>Tableau1_2[[#This Row],[Quantité]]*Tableau1_2[[#This Row],[Coût_Unitaire]]</f>
        <v>1850000</v>
      </c>
      <c r="R1174">
        <f>Tableau1_2[[#This Row],[CA]]-Tableau1_2[[#This Row],[Cout Total]]</f>
        <v>400000</v>
      </c>
      <c r="S1174" s="4">
        <f>Tableau1_2[[#This Row],[Marge]]/Tableau1_2[[#This Row],[CA]]</f>
        <v>0.17777777777777778</v>
      </c>
      <c r="T1174" t="str">
        <f>TEXT(Tableau1_2[[#This Row],[Date]],"mmmm")</f>
        <v>mai</v>
      </c>
    </row>
    <row r="1175" spans="1:20" x14ac:dyDescent="0.35">
      <c r="A1175" t="s">
        <v>2158</v>
      </c>
      <c r="B1175" s="2">
        <v>46298</v>
      </c>
      <c r="C1175" t="s">
        <v>659</v>
      </c>
      <c r="D1175" t="s">
        <v>1311</v>
      </c>
      <c r="E1175" t="s">
        <v>18</v>
      </c>
      <c r="F1175" t="s">
        <v>18</v>
      </c>
      <c r="G1175" t="s">
        <v>28</v>
      </c>
      <c r="H1175" t="s">
        <v>131</v>
      </c>
      <c r="I1175">
        <v>9</v>
      </c>
      <c r="J1175">
        <v>30000</v>
      </c>
      <c r="K1175">
        <v>19600</v>
      </c>
      <c r="L1175" t="s">
        <v>30</v>
      </c>
      <c r="M1175" t="s">
        <v>51</v>
      </c>
      <c r="N1175" t="s">
        <v>87</v>
      </c>
      <c r="O1175" t="s">
        <v>24</v>
      </c>
      <c r="P1175">
        <f>Tableau1_2[[#This Row],[Quantité]]*Tableau1_2[[#This Row],[Prix_Unitaire]]</f>
        <v>270000</v>
      </c>
      <c r="Q1175">
        <f>Tableau1_2[[#This Row],[Quantité]]*Tableau1_2[[#This Row],[Coût_Unitaire]]</f>
        <v>176400</v>
      </c>
      <c r="R1175">
        <f>Tableau1_2[[#This Row],[CA]]-Tableau1_2[[#This Row],[Cout Total]]</f>
        <v>93600</v>
      </c>
      <c r="S1175" s="4">
        <f>Tableau1_2[[#This Row],[Marge]]/Tableau1_2[[#This Row],[CA]]</f>
        <v>0.34666666666666668</v>
      </c>
      <c r="T1175" t="str">
        <f>TEXT(Tableau1_2[[#This Row],[Date]],"mmmm")</f>
        <v>octobre</v>
      </c>
    </row>
    <row r="1176" spans="1:20" x14ac:dyDescent="0.35">
      <c r="A1176" t="s">
        <v>2159</v>
      </c>
      <c r="B1176" s="2">
        <v>46213</v>
      </c>
      <c r="C1176" t="s">
        <v>523</v>
      </c>
      <c r="D1176" t="s">
        <v>631</v>
      </c>
      <c r="E1176" t="s">
        <v>84</v>
      </c>
      <c r="F1176" t="s">
        <v>85</v>
      </c>
      <c r="G1176" t="s">
        <v>43</v>
      </c>
      <c r="H1176" t="s">
        <v>44</v>
      </c>
      <c r="I1176">
        <v>6</v>
      </c>
      <c r="J1176">
        <v>15000</v>
      </c>
      <c r="K1176">
        <v>9800</v>
      </c>
      <c r="L1176" t="s">
        <v>73</v>
      </c>
      <c r="M1176" t="s">
        <v>37</v>
      </c>
      <c r="N1176" t="s">
        <v>52</v>
      </c>
      <c r="O1176" t="s">
        <v>24</v>
      </c>
      <c r="P1176">
        <f>Tableau1_2[[#This Row],[Quantité]]*Tableau1_2[[#This Row],[Prix_Unitaire]]</f>
        <v>90000</v>
      </c>
      <c r="Q1176">
        <f>Tableau1_2[[#This Row],[Quantité]]*Tableau1_2[[#This Row],[Coût_Unitaire]]</f>
        <v>58800</v>
      </c>
      <c r="R1176">
        <f>Tableau1_2[[#This Row],[CA]]-Tableau1_2[[#This Row],[Cout Total]]</f>
        <v>31200</v>
      </c>
      <c r="S1176" s="4">
        <f>Tableau1_2[[#This Row],[Marge]]/Tableau1_2[[#This Row],[CA]]</f>
        <v>0.34666666666666668</v>
      </c>
      <c r="T1176" t="str">
        <f>TEXT(Tableau1_2[[#This Row],[Date]],"mmmm")</f>
        <v>juillet</v>
      </c>
    </row>
    <row r="1177" spans="1:20" x14ac:dyDescent="0.35">
      <c r="A1177" t="s">
        <v>2160</v>
      </c>
      <c r="B1177" s="2">
        <v>46296</v>
      </c>
      <c r="C1177" t="s">
        <v>2161</v>
      </c>
      <c r="D1177" t="s">
        <v>697</v>
      </c>
      <c r="E1177" t="s">
        <v>18</v>
      </c>
      <c r="F1177" t="s">
        <v>18</v>
      </c>
      <c r="G1177" t="s">
        <v>28</v>
      </c>
      <c r="H1177" t="s">
        <v>248</v>
      </c>
      <c r="I1177">
        <v>6</v>
      </c>
      <c r="J1177">
        <v>25000</v>
      </c>
      <c r="K1177">
        <v>16000</v>
      </c>
      <c r="L1177" t="s">
        <v>80</v>
      </c>
      <c r="M1177" t="s">
        <v>37</v>
      </c>
      <c r="N1177" t="s">
        <v>52</v>
      </c>
      <c r="O1177" t="s">
        <v>24</v>
      </c>
      <c r="P1177">
        <f>Tableau1_2[[#This Row],[Quantité]]*Tableau1_2[[#This Row],[Prix_Unitaire]]</f>
        <v>150000</v>
      </c>
      <c r="Q1177">
        <f>Tableau1_2[[#This Row],[Quantité]]*Tableau1_2[[#This Row],[Coût_Unitaire]]</f>
        <v>96000</v>
      </c>
      <c r="R1177">
        <f>Tableau1_2[[#This Row],[CA]]-Tableau1_2[[#This Row],[Cout Total]]</f>
        <v>54000</v>
      </c>
      <c r="S1177" s="4">
        <f>Tableau1_2[[#This Row],[Marge]]/Tableau1_2[[#This Row],[CA]]</f>
        <v>0.36</v>
      </c>
      <c r="T1177" t="str">
        <f>TEXT(Tableau1_2[[#This Row],[Date]],"mmmm")</f>
        <v>octobre</v>
      </c>
    </row>
    <row r="1178" spans="1:20" x14ac:dyDescent="0.35">
      <c r="A1178" t="s">
        <v>2162</v>
      </c>
      <c r="B1178" s="2">
        <v>46147</v>
      </c>
      <c r="C1178" t="s">
        <v>1501</v>
      </c>
      <c r="D1178" t="s">
        <v>1359</v>
      </c>
      <c r="E1178" t="s">
        <v>190</v>
      </c>
      <c r="F1178" t="s">
        <v>191</v>
      </c>
      <c r="G1178" t="s">
        <v>34</v>
      </c>
      <c r="H1178" t="s">
        <v>141</v>
      </c>
      <c r="I1178">
        <v>5</v>
      </c>
      <c r="J1178">
        <v>160000</v>
      </c>
      <c r="K1178">
        <v>123600</v>
      </c>
      <c r="L1178" t="s">
        <v>96</v>
      </c>
      <c r="M1178" t="s">
        <v>51</v>
      </c>
      <c r="N1178" t="s">
        <v>23</v>
      </c>
      <c r="O1178" t="s">
        <v>45</v>
      </c>
      <c r="P1178">
        <f>Tableau1_2[[#This Row],[Quantité]]*Tableau1_2[[#This Row],[Prix_Unitaire]]</f>
        <v>800000</v>
      </c>
      <c r="Q1178">
        <f>Tableau1_2[[#This Row],[Quantité]]*Tableau1_2[[#This Row],[Coût_Unitaire]]</f>
        <v>618000</v>
      </c>
      <c r="R1178">
        <f>Tableau1_2[[#This Row],[CA]]-Tableau1_2[[#This Row],[Cout Total]]</f>
        <v>182000</v>
      </c>
      <c r="S1178" s="4">
        <f>Tableau1_2[[#This Row],[Marge]]/Tableau1_2[[#This Row],[CA]]</f>
        <v>0.22750000000000001</v>
      </c>
      <c r="T1178" t="str">
        <f>TEXT(Tableau1_2[[#This Row],[Date]],"mmmm")</f>
        <v>mai</v>
      </c>
    </row>
    <row r="1179" spans="1:20" x14ac:dyDescent="0.35">
      <c r="A1179" t="s">
        <v>2163</v>
      </c>
      <c r="B1179" s="2">
        <v>46195</v>
      </c>
      <c r="C1179" t="s">
        <v>1140</v>
      </c>
      <c r="D1179" t="s">
        <v>1643</v>
      </c>
      <c r="E1179" t="s">
        <v>41</v>
      </c>
      <c r="F1179" t="s">
        <v>42</v>
      </c>
      <c r="G1179" t="s">
        <v>34</v>
      </c>
      <c r="H1179" t="s">
        <v>141</v>
      </c>
      <c r="I1179">
        <v>1</v>
      </c>
      <c r="J1179">
        <v>152000</v>
      </c>
      <c r="K1179">
        <v>120000</v>
      </c>
      <c r="L1179" t="s">
        <v>80</v>
      </c>
      <c r="M1179" t="s">
        <v>31</v>
      </c>
      <c r="N1179" t="s">
        <v>87</v>
      </c>
      <c r="O1179" t="s">
        <v>91</v>
      </c>
      <c r="P1179">
        <f>Tableau1_2[[#This Row],[Quantité]]*Tableau1_2[[#This Row],[Prix_Unitaire]]</f>
        <v>152000</v>
      </c>
      <c r="Q1179">
        <f>Tableau1_2[[#This Row],[Quantité]]*Tableau1_2[[#This Row],[Coût_Unitaire]]</f>
        <v>120000</v>
      </c>
      <c r="R1179">
        <f>Tableau1_2[[#This Row],[CA]]-Tableau1_2[[#This Row],[Cout Total]]</f>
        <v>32000</v>
      </c>
      <c r="S1179" s="4">
        <f>Tableau1_2[[#This Row],[Marge]]/Tableau1_2[[#This Row],[CA]]</f>
        <v>0.21052631578947367</v>
      </c>
      <c r="T1179" t="str">
        <f>TEXT(Tableau1_2[[#This Row],[Date]],"mmmm")</f>
        <v>juin</v>
      </c>
    </row>
    <row r="1180" spans="1:20" x14ac:dyDescent="0.35">
      <c r="A1180" t="s">
        <v>2164</v>
      </c>
      <c r="B1180" s="2">
        <v>46215</v>
      </c>
      <c r="C1180" t="s">
        <v>344</v>
      </c>
      <c r="D1180" t="s">
        <v>332</v>
      </c>
      <c r="E1180" t="s">
        <v>41</v>
      </c>
      <c r="F1180" t="s">
        <v>42</v>
      </c>
      <c r="G1180" t="s">
        <v>43</v>
      </c>
      <c r="H1180" t="s">
        <v>162</v>
      </c>
      <c r="I1180">
        <v>8</v>
      </c>
      <c r="J1180">
        <v>8000</v>
      </c>
      <c r="K1180">
        <v>4800</v>
      </c>
      <c r="L1180" t="s">
        <v>96</v>
      </c>
      <c r="M1180" t="s">
        <v>37</v>
      </c>
      <c r="N1180" t="s">
        <v>23</v>
      </c>
      <c r="O1180" t="s">
        <v>24</v>
      </c>
      <c r="P1180">
        <f>Tableau1_2[[#This Row],[Quantité]]*Tableau1_2[[#This Row],[Prix_Unitaire]]</f>
        <v>64000</v>
      </c>
      <c r="Q1180">
        <f>Tableau1_2[[#This Row],[Quantité]]*Tableau1_2[[#This Row],[Coût_Unitaire]]</f>
        <v>38400</v>
      </c>
      <c r="R1180">
        <f>Tableau1_2[[#This Row],[CA]]-Tableau1_2[[#This Row],[Cout Total]]</f>
        <v>25600</v>
      </c>
      <c r="S1180" s="4">
        <f>Tableau1_2[[#This Row],[Marge]]/Tableau1_2[[#This Row],[CA]]</f>
        <v>0.4</v>
      </c>
      <c r="T1180" t="str">
        <f>TEXT(Tableau1_2[[#This Row],[Date]],"mmmm")</f>
        <v>juillet</v>
      </c>
    </row>
    <row r="1181" spans="1:20" x14ac:dyDescent="0.35">
      <c r="A1181" t="s">
        <v>2165</v>
      </c>
      <c r="B1181" s="2">
        <v>46045</v>
      </c>
      <c r="C1181" t="s">
        <v>733</v>
      </c>
      <c r="D1181" t="s">
        <v>1048</v>
      </c>
      <c r="E1181" t="s">
        <v>18</v>
      </c>
      <c r="F1181" t="s">
        <v>18</v>
      </c>
      <c r="G1181" t="s">
        <v>19</v>
      </c>
      <c r="H1181" t="s">
        <v>20</v>
      </c>
      <c r="I1181">
        <v>5</v>
      </c>
      <c r="J1181">
        <v>65000</v>
      </c>
      <c r="K1181">
        <v>45000</v>
      </c>
      <c r="L1181" t="s">
        <v>96</v>
      </c>
      <c r="M1181" t="s">
        <v>37</v>
      </c>
      <c r="N1181" t="s">
        <v>87</v>
      </c>
      <c r="O1181" t="s">
        <v>45</v>
      </c>
      <c r="P1181">
        <f>Tableau1_2[[#This Row],[Quantité]]*Tableau1_2[[#This Row],[Prix_Unitaire]]</f>
        <v>325000</v>
      </c>
      <c r="Q1181">
        <f>Tableau1_2[[#This Row],[Quantité]]*Tableau1_2[[#This Row],[Coût_Unitaire]]</f>
        <v>225000</v>
      </c>
      <c r="R1181">
        <f>Tableau1_2[[#This Row],[CA]]-Tableau1_2[[#This Row],[Cout Total]]</f>
        <v>100000</v>
      </c>
      <c r="S1181" s="4">
        <f>Tableau1_2[[#This Row],[Marge]]/Tableau1_2[[#This Row],[CA]]</f>
        <v>0.30769230769230771</v>
      </c>
      <c r="T1181" t="str">
        <f>TEXT(Tableau1_2[[#This Row],[Date]],"mmmm")</f>
        <v>janvier</v>
      </c>
    </row>
    <row r="1182" spans="1:20" x14ac:dyDescent="0.35">
      <c r="A1182" t="s">
        <v>2166</v>
      </c>
      <c r="B1182" s="2">
        <v>46140</v>
      </c>
      <c r="C1182" t="s">
        <v>554</v>
      </c>
      <c r="D1182" t="s">
        <v>247</v>
      </c>
      <c r="E1182" t="s">
        <v>18</v>
      </c>
      <c r="F1182" t="s">
        <v>18</v>
      </c>
      <c r="G1182" t="s">
        <v>19</v>
      </c>
      <c r="H1182" t="s">
        <v>20</v>
      </c>
      <c r="I1182">
        <v>3</v>
      </c>
      <c r="J1182">
        <v>61800</v>
      </c>
      <c r="K1182">
        <v>43600</v>
      </c>
      <c r="L1182" t="s">
        <v>96</v>
      </c>
      <c r="M1182" t="s">
        <v>31</v>
      </c>
      <c r="N1182" t="s">
        <v>23</v>
      </c>
      <c r="O1182" t="s">
        <v>24</v>
      </c>
      <c r="P1182">
        <f>Tableau1_2[[#This Row],[Quantité]]*Tableau1_2[[#This Row],[Prix_Unitaire]]</f>
        <v>185400</v>
      </c>
      <c r="Q1182">
        <f>Tableau1_2[[#This Row],[Quantité]]*Tableau1_2[[#This Row],[Coût_Unitaire]]</f>
        <v>130800</v>
      </c>
      <c r="R1182">
        <f>Tableau1_2[[#This Row],[CA]]-Tableau1_2[[#This Row],[Cout Total]]</f>
        <v>54600</v>
      </c>
      <c r="S1182" s="4">
        <f>Tableau1_2[[#This Row],[Marge]]/Tableau1_2[[#This Row],[CA]]</f>
        <v>0.29449838187702265</v>
      </c>
      <c r="T1182" t="str">
        <f>TEXT(Tableau1_2[[#This Row],[Date]],"mmmm")</f>
        <v>avril</v>
      </c>
    </row>
    <row r="1183" spans="1:20" x14ac:dyDescent="0.35">
      <c r="A1183" t="s">
        <v>2167</v>
      </c>
      <c r="B1183" s="2">
        <v>46148</v>
      </c>
      <c r="C1183" t="s">
        <v>506</v>
      </c>
      <c r="D1183" t="s">
        <v>911</v>
      </c>
      <c r="E1183" t="s">
        <v>190</v>
      </c>
      <c r="F1183" t="s">
        <v>191</v>
      </c>
      <c r="G1183" t="s">
        <v>43</v>
      </c>
      <c r="H1183" t="s">
        <v>44</v>
      </c>
      <c r="I1183">
        <v>4</v>
      </c>
      <c r="J1183">
        <v>14200</v>
      </c>
      <c r="K1183">
        <v>9200</v>
      </c>
      <c r="L1183" t="s">
        <v>21</v>
      </c>
      <c r="M1183" t="s">
        <v>37</v>
      </c>
      <c r="N1183" t="s">
        <v>52</v>
      </c>
      <c r="O1183" t="s">
        <v>24</v>
      </c>
      <c r="P1183">
        <f>Tableau1_2[[#This Row],[Quantité]]*Tableau1_2[[#This Row],[Prix_Unitaire]]</f>
        <v>56800</v>
      </c>
      <c r="Q1183">
        <f>Tableau1_2[[#This Row],[Quantité]]*Tableau1_2[[#This Row],[Coût_Unitaire]]</f>
        <v>36800</v>
      </c>
      <c r="R1183">
        <f>Tableau1_2[[#This Row],[CA]]-Tableau1_2[[#This Row],[Cout Total]]</f>
        <v>20000</v>
      </c>
      <c r="S1183" s="4">
        <f>Tableau1_2[[#This Row],[Marge]]/Tableau1_2[[#This Row],[CA]]</f>
        <v>0.352112676056338</v>
      </c>
      <c r="T1183" t="str">
        <f>TEXT(Tableau1_2[[#This Row],[Date]],"mmmm")</f>
        <v>mai</v>
      </c>
    </row>
    <row r="1184" spans="1:20" x14ac:dyDescent="0.35">
      <c r="A1184" t="s">
        <v>2168</v>
      </c>
      <c r="B1184" s="2">
        <v>46059</v>
      </c>
      <c r="C1184" t="s">
        <v>1166</v>
      </c>
      <c r="D1184" t="s">
        <v>1104</v>
      </c>
      <c r="E1184" t="s">
        <v>156</v>
      </c>
      <c r="F1184" t="s">
        <v>157</v>
      </c>
      <c r="G1184" t="s">
        <v>43</v>
      </c>
      <c r="H1184" t="s">
        <v>44</v>
      </c>
      <c r="I1184">
        <v>6</v>
      </c>
      <c r="J1184">
        <v>14200</v>
      </c>
      <c r="K1184">
        <v>9800</v>
      </c>
      <c r="L1184" t="s">
        <v>36</v>
      </c>
      <c r="M1184" t="s">
        <v>51</v>
      </c>
      <c r="N1184" t="s">
        <v>52</v>
      </c>
      <c r="O1184" t="s">
        <v>24</v>
      </c>
      <c r="P1184">
        <f>Tableau1_2[[#This Row],[Quantité]]*Tableau1_2[[#This Row],[Prix_Unitaire]]</f>
        <v>85200</v>
      </c>
      <c r="Q1184">
        <f>Tableau1_2[[#This Row],[Quantité]]*Tableau1_2[[#This Row],[Coût_Unitaire]]</f>
        <v>58800</v>
      </c>
      <c r="R1184">
        <f>Tableau1_2[[#This Row],[CA]]-Tableau1_2[[#This Row],[Cout Total]]</f>
        <v>26400</v>
      </c>
      <c r="S1184" s="4">
        <f>Tableau1_2[[#This Row],[Marge]]/Tableau1_2[[#This Row],[CA]]</f>
        <v>0.30985915492957744</v>
      </c>
      <c r="T1184" t="str">
        <f>TEXT(Tableau1_2[[#This Row],[Date]],"mmmm")</f>
        <v>février</v>
      </c>
    </row>
    <row r="1185" spans="1:20" x14ac:dyDescent="0.35">
      <c r="A1185" t="s">
        <v>2169</v>
      </c>
      <c r="B1185" s="2">
        <v>46295</v>
      </c>
      <c r="C1185" t="s">
        <v>2024</v>
      </c>
      <c r="D1185" t="s">
        <v>297</v>
      </c>
      <c r="E1185" t="s">
        <v>18</v>
      </c>
      <c r="F1185" t="s">
        <v>18</v>
      </c>
      <c r="G1185" t="s">
        <v>19</v>
      </c>
      <c r="H1185" t="s">
        <v>20</v>
      </c>
      <c r="I1185">
        <v>10</v>
      </c>
      <c r="J1185">
        <v>65000</v>
      </c>
      <c r="K1185">
        <v>46400</v>
      </c>
      <c r="L1185" t="s">
        <v>73</v>
      </c>
      <c r="M1185" t="s">
        <v>51</v>
      </c>
      <c r="N1185" t="s">
        <v>87</v>
      </c>
      <c r="O1185" t="s">
        <v>24</v>
      </c>
      <c r="P1185">
        <f>Tableau1_2[[#This Row],[Quantité]]*Tableau1_2[[#This Row],[Prix_Unitaire]]</f>
        <v>650000</v>
      </c>
      <c r="Q1185">
        <f>Tableau1_2[[#This Row],[Quantité]]*Tableau1_2[[#This Row],[Coût_Unitaire]]</f>
        <v>464000</v>
      </c>
      <c r="R1185">
        <f>Tableau1_2[[#This Row],[CA]]-Tableau1_2[[#This Row],[Cout Total]]</f>
        <v>186000</v>
      </c>
      <c r="S1185" s="4">
        <f>Tableau1_2[[#This Row],[Marge]]/Tableau1_2[[#This Row],[CA]]</f>
        <v>0.28615384615384615</v>
      </c>
      <c r="T1185" t="str">
        <f>TEXT(Tableau1_2[[#This Row],[Date]],"mmmm")</f>
        <v>septembre</v>
      </c>
    </row>
    <row r="1186" spans="1:20" x14ac:dyDescent="0.35">
      <c r="A1186" t="s">
        <v>2170</v>
      </c>
      <c r="B1186" s="2">
        <v>46340</v>
      </c>
      <c r="C1186" t="s">
        <v>727</v>
      </c>
      <c r="D1186" t="s">
        <v>1267</v>
      </c>
      <c r="E1186" t="s">
        <v>18</v>
      </c>
      <c r="F1186" t="s">
        <v>18</v>
      </c>
      <c r="G1186" t="s">
        <v>43</v>
      </c>
      <c r="H1186" t="s">
        <v>79</v>
      </c>
      <c r="I1186">
        <v>8</v>
      </c>
      <c r="J1186">
        <v>6000</v>
      </c>
      <c r="K1186">
        <v>4100</v>
      </c>
      <c r="L1186" t="s">
        <v>73</v>
      </c>
      <c r="M1186" t="s">
        <v>51</v>
      </c>
      <c r="N1186" t="s">
        <v>52</v>
      </c>
      <c r="O1186" t="s">
        <v>24</v>
      </c>
      <c r="P1186">
        <f>Tableau1_2[[#This Row],[Quantité]]*Tableau1_2[[#This Row],[Prix_Unitaire]]</f>
        <v>48000</v>
      </c>
      <c r="Q1186">
        <f>Tableau1_2[[#This Row],[Quantité]]*Tableau1_2[[#This Row],[Coût_Unitaire]]</f>
        <v>32800</v>
      </c>
      <c r="R1186">
        <f>Tableau1_2[[#This Row],[CA]]-Tableau1_2[[#This Row],[Cout Total]]</f>
        <v>15200</v>
      </c>
      <c r="S1186" s="4">
        <f>Tableau1_2[[#This Row],[Marge]]/Tableau1_2[[#This Row],[CA]]</f>
        <v>0.31666666666666665</v>
      </c>
      <c r="T1186" t="str">
        <f>TEXT(Tableau1_2[[#This Row],[Date]],"mmmm")</f>
        <v>novembre</v>
      </c>
    </row>
    <row r="1187" spans="1:20" x14ac:dyDescent="0.35">
      <c r="A1187" t="s">
        <v>2171</v>
      </c>
      <c r="B1187" s="2">
        <v>46368</v>
      </c>
      <c r="C1187" t="s">
        <v>949</v>
      </c>
      <c r="D1187" t="s">
        <v>247</v>
      </c>
      <c r="E1187" t="s">
        <v>84</v>
      </c>
      <c r="F1187" t="s">
        <v>85</v>
      </c>
      <c r="G1187" t="s">
        <v>34</v>
      </c>
      <c r="H1187" t="s">
        <v>158</v>
      </c>
      <c r="I1187">
        <v>10</v>
      </c>
      <c r="J1187">
        <v>95000</v>
      </c>
      <c r="K1187">
        <v>72100</v>
      </c>
      <c r="L1187" t="s">
        <v>73</v>
      </c>
      <c r="M1187" t="s">
        <v>31</v>
      </c>
      <c r="N1187" t="s">
        <v>52</v>
      </c>
      <c r="O1187" t="s">
        <v>24</v>
      </c>
      <c r="P1187">
        <f>Tableau1_2[[#This Row],[Quantité]]*Tableau1_2[[#This Row],[Prix_Unitaire]]</f>
        <v>950000</v>
      </c>
      <c r="Q1187">
        <f>Tableau1_2[[#This Row],[Quantité]]*Tableau1_2[[#This Row],[Coût_Unitaire]]</f>
        <v>721000</v>
      </c>
      <c r="R1187">
        <f>Tableau1_2[[#This Row],[CA]]-Tableau1_2[[#This Row],[Cout Total]]</f>
        <v>229000</v>
      </c>
      <c r="S1187" s="4">
        <f>Tableau1_2[[#This Row],[Marge]]/Tableau1_2[[#This Row],[CA]]</f>
        <v>0.24105263157894738</v>
      </c>
      <c r="T1187" t="str">
        <f>TEXT(Tableau1_2[[#This Row],[Date]],"mmmm")</f>
        <v>décembre</v>
      </c>
    </row>
    <row r="1188" spans="1:20" x14ac:dyDescent="0.35">
      <c r="A1188" t="s">
        <v>2172</v>
      </c>
      <c r="B1188" s="2">
        <v>46036</v>
      </c>
      <c r="C1188" t="s">
        <v>1665</v>
      </c>
      <c r="D1188" t="s">
        <v>613</v>
      </c>
      <c r="E1188" t="s">
        <v>18</v>
      </c>
      <c r="F1188" t="s">
        <v>18</v>
      </c>
      <c r="G1188" t="s">
        <v>43</v>
      </c>
      <c r="H1188" t="s">
        <v>44</v>
      </c>
      <c r="I1188">
        <v>5</v>
      </c>
      <c r="J1188">
        <v>15800</v>
      </c>
      <c r="K1188">
        <v>9200</v>
      </c>
      <c r="L1188" t="s">
        <v>80</v>
      </c>
      <c r="M1188" t="s">
        <v>51</v>
      </c>
      <c r="N1188" t="s">
        <v>23</v>
      </c>
      <c r="O1188" t="s">
        <v>24</v>
      </c>
      <c r="P1188">
        <f>Tableau1_2[[#This Row],[Quantité]]*Tableau1_2[[#This Row],[Prix_Unitaire]]</f>
        <v>79000</v>
      </c>
      <c r="Q1188">
        <f>Tableau1_2[[#This Row],[Quantité]]*Tableau1_2[[#This Row],[Coût_Unitaire]]</f>
        <v>46000</v>
      </c>
      <c r="R1188">
        <f>Tableau1_2[[#This Row],[CA]]-Tableau1_2[[#This Row],[Cout Total]]</f>
        <v>33000</v>
      </c>
      <c r="S1188" s="4">
        <f>Tableau1_2[[#This Row],[Marge]]/Tableau1_2[[#This Row],[CA]]</f>
        <v>0.41772151898734178</v>
      </c>
      <c r="T1188" t="str">
        <f>TEXT(Tableau1_2[[#This Row],[Date]],"mmmm")</f>
        <v>janvier</v>
      </c>
    </row>
    <row r="1189" spans="1:20" x14ac:dyDescent="0.35">
      <c r="A1189" t="s">
        <v>2173</v>
      </c>
      <c r="B1189" s="2">
        <v>46060</v>
      </c>
      <c r="C1189" t="s">
        <v>444</v>
      </c>
      <c r="D1189" t="s">
        <v>2174</v>
      </c>
      <c r="E1189" t="s">
        <v>18</v>
      </c>
      <c r="F1189" t="s">
        <v>18</v>
      </c>
      <c r="G1189" t="s">
        <v>34</v>
      </c>
      <c r="H1189" t="s">
        <v>141</v>
      </c>
      <c r="I1189">
        <v>4</v>
      </c>
      <c r="J1189">
        <v>152000</v>
      </c>
      <c r="K1189">
        <v>120000</v>
      </c>
      <c r="L1189" t="s">
        <v>36</v>
      </c>
      <c r="M1189" t="s">
        <v>51</v>
      </c>
      <c r="N1189" t="s">
        <v>52</v>
      </c>
      <c r="O1189" t="s">
        <v>24</v>
      </c>
      <c r="P1189">
        <f>Tableau1_2[[#This Row],[Quantité]]*Tableau1_2[[#This Row],[Prix_Unitaire]]</f>
        <v>608000</v>
      </c>
      <c r="Q1189">
        <f>Tableau1_2[[#This Row],[Quantité]]*Tableau1_2[[#This Row],[Coût_Unitaire]]</f>
        <v>480000</v>
      </c>
      <c r="R1189">
        <f>Tableau1_2[[#This Row],[CA]]-Tableau1_2[[#This Row],[Cout Total]]</f>
        <v>128000</v>
      </c>
      <c r="S1189" s="4">
        <f>Tableau1_2[[#This Row],[Marge]]/Tableau1_2[[#This Row],[CA]]</f>
        <v>0.21052631578947367</v>
      </c>
      <c r="T1189" t="str">
        <f>TEXT(Tableau1_2[[#This Row],[Date]],"mmmm")</f>
        <v>février</v>
      </c>
    </row>
    <row r="1190" spans="1:20" x14ac:dyDescent="0.35">
      <c r="A1190" t="s">
        <v>2175</v>
      </c>
      <c r="B1190" s="2">
        <v>46211</v>
      </c>
      <c r="C1190" t="s">
        <v>952</v>
      </c>
      <c r="D1190" t="s">
        <v>1497</v>
      </c>
      <c r="E1190" t="s">
        <v>156</v>
      </c>
      <c r="F1190" t="s">
        <v>170</v>
      </c>
      <c r="G1190" t="s">
        <v>28</v>
      </c>
      <c r="H1190" t="s">
        <v>29</v>
      </c>
      <c r="I1190">
        <v>9</v>
      </c>
      <c r="J1190">
        <v>7000</v>
      </c>
      <c r="K1190">
        <v>4100</v>
      </c>
      <c r="L1190" t="s">
        <v>96</v>
      </c>
      <c r="M1190" t="s">
        <v>51</v>
      </c>
      <c r="N1190" t="s">
        <v>87</v>
      </c>
      <c r="O1190" t="s">
        <v>45</v>
      </c>
      <c r="P1190">
        <f>Tableau1_2[[#This Row],[Quantité]]*Tableau1_2[[#This Row],[Prix_Unitaire]]</f>
        <v>63000</v>
      </c>
      <c r="Q1190">
        <f>Tableau1_2[[#This Row],[Quantité]]*Tableau1_2[[#This Row],[Coût_Unitaire]]</f>
        <v>36900</v>
      </c>
      <c r="R1190">
        <f>Tableau1_2[[#This Row],[CA]]-Tableau1_2[[#This Row],[Cout Total]]</f>
        <v>26100</v>
      </c>
      <c r="S1190" s="4">
        <f>Tableau1_2[[#This Row],[Marge]]/Tableau1_2[[#This Row],[CA]]</f>
        <v>0.41428571428571431</v>
      </c>
      <c r="T1190" t="str">
        <f>TEXT(Tableau1_2[[#This Row],[Date]],"mmmm")</f>
        <v>juillet</v>
      </c>
    </row>
    <row r="1191" spans="1:20" x14ac:dyDescent="0.35">
      <c r="A1191" t="s">
        <v>2176</v>
      </c>
      <c r="B1191" s="2">
        <v>46356</v>
      </c>
      <c r="C1191" t="s">
        <v>2177</v>
      </c>
      <c r="D1191" t="s">
        <v>291</v>
      </c>
      <c r="E1191" t="s">
        <v>56</v>
      </c>
      <c r="F1191" t="s">
        <v>57</v>
      </c>
      <c r="G1191" t="s">
        <v>43</v>
      </c>
      <c r="H1191" t="s">
        <v>162</v>
      </c>
      <c r="I1191">
        <v>8</v>
      </c>
      <c r="J1191">
        <v>8400</v>
      </c>
      <c r="K1191">
        <v>4800</v>
      </c>
      <c r="L1191" t="s">
        <v>66</v>
      </c>
      <c r="M1191" t="s">
        <v>51</v>
      </c>
      <c r="N1191" t="s">
        <v>23</v>
      </c>
      <c r="O1191" t="s">
        <v>45</v>
      </c>
      <c r="P1191">
        <f>Tableau1_2[[#This Row],[Quantité]]*Tableau1_2[[#This Row],[Prix_Unitaire]]</f>
        <v>67200</v>
      </c>
      <c r="Q1191">
        <f>Tableau1_2[[#This Row],[Quantité]]*Tableau1_2[[#This Row],[Coût_Unitaire]]</f>
        <v>38400</v>
      </c>
      <c r="R1191">
        <f>Tableau1_2[[#This Row],[CA]]-Tableau1_2[[#This Row],[Cout Total]]</f>
        <v>28800</v>
      </c>
      <c r="S1191" s="4">
        <f>Tableau1_2[[#This Row],[Marge]]/Tableau1_2[[#This Row],[CA]]</f>
        <v>0.42857142857142855</v>
      </c>
      <c r="T1191" t="str">
        <f>TEXT(Tableau1_2[[#This Row],[Date]],"mmmm")</f>
        <v>novembre</v>
      </c>
    </row>
    <row r="1192" spans="1:20" x14ac:dyDescent="0.35">
      <c r="A1192" t="s">
        <v>2178</v>
      </c>
      <c r="B1192" s="2">
        <v>46274</v>
      </c>
      <c r="C1192" t="s">
        <v>240</v>
      </c>
      <c r="D1192" t="s">
        <v>1434</v>
      </c>
      <c r="E1192" t="s">
        <v>18</v>
      </c>
      <c r="F1192" t="s">
        <v>18</v>
      </c>
      <c r="G1192" t="s">
        <v>28</v>
      </c>
      <c r="H1192" t="s">
        <v>248</v>
      </c>
      <c r="I1192">
        <v>1</v>
      </c>
      <c r="J1192">
        <v>25000</v>
      </c>
      <c r="K1192">
        <v>16500</v>
      </c>
      <c r="L1192" t="s">
        <v>96</v>
      </c>
      <c r="M1192" t="s">
        <v>37</v>
      </c>
      <c r="N1192" t="s">
        <v>52</v>
      </c>
      <c r="O1192" t="s">
        <v>24</v>
      </c>
      <c r="P1192">
        <f>Tableau1_2[[#This Row],[Quantité]]*Tableau1_2[[#This Row],[Prix_Unitaire]]</f>
        <v>25000</v>
      </c>
      <c r="Q1192">
        <f>Tableau1_2[[#This Row],[Quantité]]*Tableau1_2[[#This Row],[Coût_Unitaire]]</f>
        <v>16500</v>
      </c>
      <c r="R1192">
        <f>Tableau1_2[[#This Row],[CA]]-Tableau1_2[[#This Row],[Cout Total]]</f>
        <v>8500</v>
      </c>
      <c r="S1192" s="4">
        <f>Tableau1_2[[#This Row],[Marge]]/Tableau1_2[[#This Row],[CA]]</f>
        <v>0.34</v>
      </c>
      <c r="T1192" t="str">
        <f>TEXT(Tableau1_2[[#This Row],[Date]],"mmmm")</f>
        <v>septembre</v>
      </c>
    </row>
    <row r="1193" spans="1:20" x14ac:dyDescent="0.35">
      <c r="A1193" t="s">
        <v>2179</v>
      </c>
      <c r="B1193" s="2">
        <v>46253</v>
      </c>
      <c r="C1193" t="s">
        <v>766</v>
      </c>
      <c r="D1193" t="s">
        <v>422</v>
      </c>
      <c r="E1193" t="s">
        <v>84</v>
      </c>
      <c r="F1193" t="s">
        <v>85</v>
      </c>
      <c r="G1193" t="s">
        <v>28</v>
      </c>
      <c r="H1193" t="s">
        <v>65</v>
      </c>
      <c r="I1193">
        <v>9</v>
      </c>
      <c r="J1193">
        <v>12000</v>
      </c>
      <c r="K1193">
        <v>7300</v>
      </c>
      <c r="L1193" t="s">
        <v>96</v>
      </c>
      <c r="M1193" t="s">
        <v>37</v>
      </c>
      <c r="N1193" t="s">
        <v>52</v>
      </c>
      <c r="O1193" t="s">
        <v>24</v>
      </c>
      <c r="P1193">
        <f>Tableau1_2[[#This Row],[Quantité]]*Tableau1_2[[#This Row],[Prix_Unitaire]]</f>
        <v>108000</v>
      </c>
      <c r="Q1193">
        <f>Tableau1_2[[#This Row],[Quantité]]*Tableau1_2[[#This Row],[Coût_Unitaire]]</f>
        <v>65700</v>
      </c>
      <c r="R1193">
        <f>Tableau1_2[[#This Row],[CA]]-Tableau1_2[[#This Row],[Cout Total]]</f>
        <v>42300</v>
      </c>
      <c r="S1193" s="4">
        <f>Tableau1_2[[#This Row],[Marge]]/Tableau1_2[[#This Row],[CA]]</f>
        <v>0.39166666666666666</v>
      </c>
      <c r="T1193" t="str">
        <f>TEXT(Tableau1_2[[#This Row],[Date]],"mmmm")</f>
        <v>août</v>
      </c>
    </row>
    <row r="1194" spans="1:20" x14ac:dyDescent="0.35">
      <c r="A1194" t="s">
        <v>2180</v>
      </c>
      <c r="B1194" s="2">
        <v>46370</v>
      </c>
      <c r="C1194" t="s">
        <v>580</v>
      </c>
      <c r="D1194" t="s">
        <v>391</v>
      </c>
      <c r="E1194" t="s">
        <v>18</v>
      </c>
      <c r="F1194" t="s">
        <v>18</v>
      </c>
      <c r="G1194" t="s">
        <v>34</v>
      </c>
      <c r="H1194" t="s">
        <v>35</v>
      </c>
      <c r="I1194">
        <v>5</v>
      </c>
      <c r="J1194">
        <v>55000</v>
      </c>
      <c r="K1194">
        <v>37800</v>
      </c>
      <c r="L1194" t="s">
        <v>21</v>
      </c>
      <c r="M1194" t="s">
        <v>37</v>
      </c>
      <c r="N1194" t="s">
        <v>52</v>
      </c>
      <c r="O1194" t="s">
        <v>24</v>
      </c>
      <c r="P1194">
        <f>Tableau1_2[[#This Row],[Quantité]]*Tableau1_2[[#This Row],[Prix_Unitaire]]</f>
        <v>275000</v>
      </c>
      <c r="Q1194">
        <f>Tableau1_2[[#This Row],[Quantité]]*Tableau1_2[[#This Row],[Coût_Unitaire]]</f>
        <v>189000</v>
      </c>
      <c r="R1194">
        <f>Tableau1_2[[#This Row],[CA]]-Tableau1_2[[#This Row],[Cout Total]]</f>
        <v>86000</v>
      </c>
      <c r="S1194" s="4">
        <f>Tableau1_2[[#This Row],[Marge]]/Tableau1_2[[#This Row],[CA]]</f>
        <v>0.31272727272727274</v>
      </c>
      <c r="T1194" t="str">
        <f>TEXT(Tableau1_2[[#This Row],[Date]],"mmmm")</f>
        <v>décembre</v>
      </c>
    </row>
    <row r="1195" spans="1:20" x14ac:dyDescent="0.35">
      <c r="A1195" t="s">
        <v>2181</v>
      </c>
      <c r="B1195" s="2">
        <v>46134</v>
      </c>
      <c r="C1195" t="s">
        <v>405</v>
      </c>
      <c r="D1195" t="s">
        <v>572</v>
      </c>
      <c r="E1195" t="s">
        <v>56</v>
      </c>
      <c r="F1195" t="s">
        <v>57</v>
      </c>
      <c r="G1195" t="s">
        <v>19</v>
      </c>
      <c r="H1195" t="s">
        <v>166</v>
      </c>
      <c r="I1195">
        <v>3</v>
      </c>
      <c r="J1195">
        <v>133000</v>
      </c>
      <c r="K1195">
        <v>100000</v>
      </c>
      <c r="L1195" t="s">
        <v>80</v>
      </c>
      <c r="M1195" t="s">
        <v>37</v>
      </c>
      <c r="N1195" t="s">
        <v>23</v>
      </c>
      <c r="O1195" t="s">
        <v>24</v>
      </c>
      <c r="P1195">
        <f>Tableau1_2[[#This Row],[Quantité]]*Tableau1_2[[#This Row],[Prix_Unitaire]]</f>
        <v>399000</v>
      </c>
      <c r="Q1195">
        <f>Tableau1_2[[#This Row],[Quantité]]*Tableau1_2[[#This Row],[Coût_Unitaire]]</f>
        <v>300000</v>
      </c>
      <c r="R1195">
        <f>Tableau1_2[[#This Row],[CA]]-Tableau1_2[[#This Row],[Cout Total]]</f>
        <v>99000</v>
      </c>
      <c r="S1195" s="4">
        <f>Tableau1_2[[#This Row],[Marge]]/Tableau1_2[[#This Row],[CA]]</f>
        <v>0.24812030075187969</v>
      </c>
      <c r="T1195" t="str">
        <f>TEXT(Tableau1_2[[#This Row],[Date]],"mmmm")</f>
        <v>avril</v>
      </c>
    </row>
    <row r="1196" spans="1:20" x14ac:dyDescent="0.35">
      <c r="A1196" t="s">
        <v>2182</v>
      </c>
      <c r="B1196" s="2">
        <v>46121</v>
      </c>
      <c r="C1196" t="s">
        <v>557</v>
      </c>
      <c r="D1196" t="s">
        <v>297</v>
      </c>
      <c r="E1196" t="s">
        <v>156</v>
      </c>
      <c r="F1196" t="s">
        <v>170</v>
      </c>
      <c r="G1196" t="s">
        <v>19</v>
      </c>
      <c r="H1196" t="s">
        <v>61</v>
      </c>
      <c r="I1196">
        <v>9</v>
      </c>
      <c r="J1196">
        <v>231000</v>
      </c>
      <c r="K1196">
        <v>164800</v>
      </c>
      <c r="L1196" t="s">
        <v>30</v>
      </c>
      <c r="M1196" t="s">
        <v>37</v>
      </c>
      <c r="N1196" t="s">
        <v>23</v>
      </c>
      <c r="O1196" t="s">
        <v>24</v>
      </c>
      <c r="P1196">
        <f>Tableau1_2[[#This Row],[Quantité]]*Tableau1_2[[#This Row],[Prix_Unitaire]]</f>
        <v>2079000</v>
      </c>
      <c r="Q1196">
        <f>Tableau1_2[[#This Row],[Quantité]]*Tableau1_2[[#This Row],[Coût_Unitaire]]</f>
        <v>1483200</v>
      </c>
      <c r="R1196">
        <f>Tableau1_2[[#This Row],[CA]]-Tableau1_2[[#This Row],[Cout Total]]</f>
        <v>595800</v>
      </c>
      <c r="S1196" s="4">
        <f>Tableau1_2[[#This Row],[Marge]]/Tableau1_2[[#This Row],[CA]]</f>
        <v>0.2865800865800866</v>
      </c>
      <c r="T1196" t="str">
        <f>TEXT(Tableau1_2[[#This Row],[Date]],"mmmm")</f>
        <v>avril</v>
      </c>
    </row>
    <row r="1197" spans="1:20" x14ac:dyDescent="0.35">
      <c r="A1197" t="s">
        <v>2183</v>
      </c>
      <c r="B1197" s="2">
        <v>46051</v>
      </c>
      <c r="C1197" t="s">
        <v>947</v>
      </c>
      <c r="D1197" t="s">
        <v>2184</v>
      </c>
      <c r="E1197" t="s">
        <v>156</v>
      </c>
      <c r="F1197" t="s">
        <v>157</v>
      </c>
      <c r="G1197" t="s">
        <v>43</v>
      </c>
      <c r="H1197" t="s">
        <v>44</v>
      </c>
      <c r="I1197">
        <v>5</v>
      </c>
      <c r="J1197">
        <v>15800</v>
      </c>
      <c r="K1197">
        <v>9500</v>
      </c>
      <c r="L1197" t="s">
        <v>73</v>
      </c>
      <c r="M1197" t="s">
        <v>22</v>
      </c>
      <c r="N1197" t="s">
        <v>23</v>
      </c>
      <c r="O1197" t="s">
        <v>24</v>
      </c>
      <c r="P1197">
        <f>Tableau1_2[[#This Row],[Quantité]]*Tableau1_2[[#This Row],[Prix_Unitaire]]</f>
        <v>79000</v>
      </c>
      <c r="Q1197">
        <f>Tableau1_2[[#This Row],[Quantité]]*Tableau1_2[[#This Row],[Coût_Unitaire]]</f>
        <v>47500</v>
      </c>
      <c r="R1197">
        <f>Tableau1_2[[#This Row],[CA]]-Tableau1_2[[#This Row],[Cout Total]]</f>
        <v>31500</v>
      </c>
      <c r="S1197" s="4">
        <f>Tableau1_2[[#This Row],[Marge]]/Tableau1_2[[#This Row],[CA]]</f>
        <v>0.39873417721518989</v>
      </c>
      <c r="T1197" t="str">
        <f>TEXT(Tableau1_2[[#This Row],[Date]],"mmmm")</f>
        <v>janvier</v>
      </c>
    </row>
    <row r="1198" spans="1:20" x14ac:dyDescent="0.35">
      <c r="A1198" t="s">
        <v>2185</v>
      </c>
      <c r="B1198" s="2">
        <v>46085</v>
      </c>
      <c r="C1198" t="s">
        <v>136</v>
      </c>
      <c r="D1198" t="s">
        <v>294</v>
      </c>
      <c r="E1198" t="s">
        <v>41</v>
      </c>
      <c r="F1198" t="s">
        <v>42</v>
      </c>
      <c r="G1198" t="s">
        <v>34</v>
      </c>
      <c r="H1198" t="s">
        <v>95</v>
      </c>
      <c r="I1198">
        <v>4</v>
      </c>
      <c r="J1198">
        <v>450000</v>
      </c>
      <c r="K1198">
        <v>358900</v>
      </c>
      <c r="L1198" t="s">
        <v>66</v>
      </c>
      <c r="M1198" t="s">
        <v>37</v>
      </c>
      <c r="N1198" t="s">
        <v>23</v>
      </c>
      <c r="O1198" t="s">
        <v>45</v>
      </c>
      <c r="P1198">
        <f>Tableau1_2[[#This Row],[Quantité]]*Tableau1_2[[#This Row],[Prix_Unitaire]]</f>
        <v>1800000</v>
      </c>
      <c r="Q1198">
        <f>Tableau1_2[[#This Row],[Quantité]]*Tableau1_2[[#This Row],[Coût_Unitaire]]</f>
        <v>1435600</v>
      </c>
      <c r="R1198">
        <f>Tableau1_2[[#This Row],[CA]]-Tableau1_2[[#This Row],[Cout Total]]</f>
        <v>364400</v>
      </c>
      <c r="S1198" s="4">
        <f>Tableau1_2[[#This Row],[Marge]]/Tableau1_2[[#This Row],[CA]]</f>
        <v>0.20244444444444445</v>
      </c>
      <c r="T1198" t="str">
        <f>TEXT(Tableau1_2[[#This Row],[Date]],"mmmm")</f>
        <v>mars</v>
      </c>
    </row>
    <row r="1199" spans="1:20" x14ac:dyDescent="0.35">
      <c r="A1199" t="s">
        <v>2186</v>
      </c>
      <c r="B1199" s="2">
        <v>46181</v>
      </c>
      <c r="C1199" t="s">
        <v>1653</v>
      </c>
      <c r="D1199" t="s">
        <v>636</v>
      </c>
      <c r="E1199" t="s">
        <v>84</v>
      </c>
      <c r="F1199" t="s">
        <v>85</v>
      </c>
      <c r="G1199" t="s">
        <v>43</v>
      </c>
      <c r="H1199" t="s">
        <v>49</v>
      </c>
      <c r="I1199">
        <v>6</v>
      </c>
      <c r="J1199">
        <v>9000</v>
      </c>
      <c r="K1199">
        <v>5800</v>
      </c>
      <c r="L1199" t="s">
        <v>80</v>
      </c>
      <c r="M1199" t="s">
        <v>51</v>
      </c>
      <c r="N1199" t="s">
        <v>23</v>
      </c>
      <c r="O1199" t="s">
        <v>24</v>
      </c>
      <c r="P1199">
        <f>Tableau1_2[[#This Row],[Quantité]]*Tableau1_2[[#This Row],[Prix_Unitaire]]</f>
        <v>54000</v>
      </c>
      <c r="Q1199">
        <f>Tableau1_2[[#This Row],[Quantité]]*Tableau1_2[[#This Row],[Coût_Unitaire]]</f>
        <v>34800</v>
      </c>
      <c r="R1199">
        <f>Tableau1_2[[#This Row],[CA]]-Tableau1_2[[#This Row],[Cout Total]]</f>
        <v>19200</v>
      </c>
      <c r="S1199" s="4">
        <f>Tableau1_2[[#This Row],[Marge]]/Tableau1_2[[#This Row],[CA]]</f>
        <v>0.35555555555555557</v>
      </c>
      <c r="T1199" t="str">
        <f>TEXT(Tableau1_2[[#This Row],[Date]],"mmmm")</f>
        <v>juin</v>
      </c>
    </row>
    <row r="1200" spans="1:20" x14ac:dyDescent="0.35">
      <c r="A1200" t="s">
        <v>2187</v>
      </c>
      <c r="B1200" s="2">
        <v>46081</v>
      </c>
      <c r="C1200" t="s">
        <v>562</v>
      </c>
      <c r="D1200" t="s">
        <v>1412</v>
      </c>
      <c r="E1200" t="s">
        <v>18</v>
      </c>
      <c r="F1200" t="s">
        <v>18</v>
      </c>
      <c r="G1200" t="s">
        <v>34</v>
      </c>
      <c r="H1200" t="s">
        <v>86</v>
      </c>
      <c r="I1200">
        <v>3</v>
      </c>
      <c r="J1200">
        <v>189000</v>
      </c>
      <c r="K1200">
        <v>131000</v>
      </c>
      <c r="L1200" t="s">
        <v>96</v>
      </c>
      <c r="M1200" t="s">
        <v>22</v>
      </c>
      <c r="N1200" t="s">
        <v>87</v>
      </c>
      <c r="O1200" t="s">
        <v>24</v>
      </c>
      <c r="P1200">
        <f>Tableau1_2[[#This Row],[Quantité]]*Tableau1_2[[#This Row],[Prix_Unitaire]]</f>
        <v>567000</v>
      </c>
      <c r="Q1200">
        <f>Tableau1_2[[#This Row],[Quantité]]*Tableau1_2[[#This Row],[Coût_Unitaire]]</f>
        <v>393000</v>
      </c>
      <c r="R1200">
        <f>Tableau1_2[[#This Row],[CA]]-Tableau1_2[[#This Row],[Cout Total]]</f>
        <v>174000</v>
      </c>
      <c r="S1200" s="4">
        <f>Tableau1_2[[#This Row],[Marge]]/Tableau1_2[[#This Row],[CA]]</f>
        <v>0.30687830687830686</v>
      </c>
      <c r="T1200" t="str">
        <f>TEXT(Tableau1_2[[#This Row],[Date]],"mmmm")</f>
        <v>février</v>
      </c>
    </row>
    <row r="1201" spans="1:20" x14ac:dyDescent="0.35">
      <c r="A1201" t="s">
        <v>2188</v>
      </c>
      <c r="B1201" s="2">
        <v>46054</v>
      </c>
      <c r="C1201" t="s">
        <v>427</v>
      </c>
      <c r="D1201" t="s">
        <v>1315</v>
      </c>
      <c r="E1201" t="s">
        <v>56</v>
      </c>
      <c r="F1201" t="s">
        <v>57</v>
      </c>
      <c r="G1201" t="s">
        <v>34</v>
      </c>
      <c r="H1201" t="s">
        <v>141</v>
      </c>
      <c r="I1201">
        <v>4</v>
      </c>
      <c r="J1201">
        <v>160000</v>
      </c>
      <c r="K1201">
        <v>123600</v>
      </c>
      <c r="L1201" t="s">
        <v>66</v>
      </c>
      <c r="M1201" t="s">
        <v>37</v>
      </c>
      <c r="N1201" t="s">
        <v>52</v>
      </c>
      <c r="O1201" t="s">
        <v>24</v>
      </c>
      <c r="P1201">
        <f>Tableau1_2[[#This Row],[Quantité]]*Tableau1_2[[#This Row],[Prix_Unitaire]]</f>
        <v>640000</v>
      </c>
      <c r="Q1201">
        <f>Tableau1_2[[#This Row],[Quantité]]*Tableau1_2[[#This Row],[Coût_Unitaire]]</f>
        <v>494400</v>
      </c>
      <c r="R1201">
        <f>Tableau1_2[[#This Row],[CA]]-Tableau1_2[[#This Row],[Cout Total]]</f>
        <v>145600</v>
      </c>
      <c r="S1201" s="4">
        <f>Tableau1_2[[#This Row],[Marge]]/Tableau1_2[[#This Row],[CA]]</f>
        <v>0.22750000000000001</v>
      </c>
      <c r="T1201" t="str">
        <f>TEXT(Tableau1_2[[#This Row],[Date]],"mmmm")</f>
        <v>février</v>
      </c>
    </row>
    <row r="1202" spans="1:20" x14ac:dyDescent="0.35">
      <c r="A1202" t="s">
        <v>2189</v>
      </c>
      <c r="B1202" s="2">
        <v>46218</v>
      </c>
      <c r="C1202" t="s">
        <v>1532</v>
      </c>
      <c r="D1202" t="s">
        <v>64</v>
      </c>
      <c r="E1202" t="s">
        <v>18</v>
      </c>
      <c r="F1202" t="s">
        <v>18</v>
      </c>
      <c r="G1202" t="s">
        <v>34</v>
      </c>
      <c r="H1202" t="s">
        <v>158</v>
      </c>
      <c r="I1202">
        <v>4</v>
      </c>
      <c r="J1202">
        <v>99800</v>
      </c>
      <c r="K1202">
        <v>70000</v>
      </c>
      <c r="L1202" t="s">
        <v>80</v>
      </c>
      <c r="M1202" t="s">
        <v>37</v>
      </c>
      <c r="N1202" t="s">
        <v>23</v>
      </c>
      <c r="O1202" t="s">
        <v>24</v>
      </c>
      <c r="P1202">
        <f>Tableau1_2[[#This Row],[Quantité]]*Tableau1_2[[#This Row],[Prix_Unitaire]]</f>
        <v>399200</v>
      </c>
      <c r="Q1202">
        <f>Tableau1_2[[#This Row],[Quantité]]*Tableau1_2[[#This Row],[Coût_Unitaire]]</f>
        <v>280000</v>
      </c>
      <c r="R1202">
        <f>Tableau1_2[[#This Row],[CA]]-Tableau1_2[[#This Row],[Cout Total]]</f>
        <v>119200</v>
      </c>
      <c r="S1202" s="4">
        <f>Tableau1_2[[#This Row],[Marge]]/Tableau1_2[[#This Row],[CA]]</f>
        <v>0.29859719438877758</v>
      </c>
      <c r="T1202" t="str">
        <f>TEXT(Tableau1_2[[#This Row],[Date]],"mmmm")</f>
        <v>juillet</v>
      </c>
    </row>
    <row r="1203" spans="1:20" x14ac:dyDescent="0.35">
      <c r="A1203" t="s">
        <v>2190</v>
      </c>
      <c r="B1203" s="2">
        <v>46279</v>
      </c>
      <c r="C1203" t="s">
        <v>1780</v>
      </c>
      <c r="D1203" t="s">
        <v>893</v>
      </c>
      <c r="E1203" t="s">
        <v>18</v>
      </c>
      <c r="F1203" t="s">
        <v>18</v>
      </c>
      <c r="G1203" t="s">
        <v>34</v>
      </c>
      <c r="H1203" t="s">
        <v>95</v>
      </c>
      <c r="I1203">
        <v>5</v>
      </c>
      <c r="J1203">
        <v>472500</v>
      </c>
      <c r="K1203">
        <v>370000</v>
      </c>
      <c r="L1203" t="s">
        <v>96</v>
      </c>
      <c r="M1203" t="s">
        <v>37</v>
      </c>
      <c r="N1203" t="s">
        <v>23</v>
      </c>
      <c r="O1203" t="s">
        <v>24</v>
      </c>
      <c r="P1203">
        <f>Tableau1_2[[#This Row],[Quantité]]*Tableau1_2[[#This Row],[Prix_Unitaire]]</f>
        <v>2362500</v>
      </c>
      <c r="Q1203">
        <f>Tableau1_2[[#This Row],[Quantité]]*Tableau1_2[[#This Row],[Coût_Unitaire]]</f>
        <v>1850000</v>
      </c>
      <c r="R1203">
        <f>Tableau1_2[[#This Row],[CA]]-Tableau1_2[[#This Row],[Cout Total]]</f>
        <v>512500</v>
      </c>
      <c r="S1203" s="4">
        <f>Tableau1_2[[#This Row],[Marge]]/Tableau1_2[[#This Row],[CA]]</f>
        <v>0.21693121693121692</v>
      </c>
      <c r="T1203" t="str">
        <f>TEXT(Tableau1_2[[#This Row],[Date]],"mmmm")</f>
        <v>septembre</v>
      </c>
    </row>
    <row r="1204" spans="1:20" x14ac:dyDescent="0.35">
      <c r="A1204" t="s">
        <v>2191</v>
      </c>
      <c r="B1204" s="2">
        <v>46123</v>
      </c>
      <c r="C1204" t="s">
        <v>569</v>
      </c>
      <c r="D1204" t="s">
        <v>1012</v>
      </c>
      <c r="E1204" t="s">
        <v>70</v>
      </c>
      <c r="F1204" t="s">
        <v>71</v>
      </c>
      <c r="G1204" t="s">
        <v>19</v>
      </c>
      <c r="H1204" t="s">
        <v>112</v>
      </c>
      <c r="I1204">
        <v>9</v>
      </c>
      <c r="J1204">
        <v>85000</v>
      </c>
      <c r="K1204">
        <v>62000</v>
      </c>
      <c r="L1204" t="s">
        <v>66</v>
      </c>
      <c r="M1204" t="s">
        <v>37</v>
      </c>
      <c r="N1204" t="s">
        <v>87</v>
      </c>
      <c r="O1204" t="s">
        <v>24</v>
      </c>
      <c r="P1204">
        <f>Tableau1_2[[#This Row],[Quantité]]*Tableau1_2[[#This Row],[Prix_Unitaire]]</f>
        <v>765000</v>
      </c>
      <c r="Q1204">
        <f>Tableau1_2[[#This Row],[Quantité]]*Tableau1_2[[#This Row],[Coût_Unitaire]]</f>
        <v>558000</v>
      </c>
      <c r="R1204">
        <f>Tableau1_2[[#This Row],[CA]]-Tableau1_2[[#This Row],[Cout Total]]</f>
        <v>207000</v>
      </c>
      <c r="S1204" s="4">
        <f>Tableau1_2[[#This Row],[Marge]]/Tableau1_2[[#This Row],[CA]]</f>
        <v>0.27058823529411763</v>
      </c>
      <c r="T1204" t="str">
        <f>TEXT(Tableau1_2[[#This Row],[Date]],"mmmm")</f>
        <v>avril</v>
      </c>
    </row>
    <row r="1205" spans="1:20" x14ac:dyDescent="0.35">
      <c r="A1205" t="s">
        <v>2192</v>
      </c>
      <c r="B1205" s="2">
        <v>46381</v>
      </c>
      <c r="C1205" t="s">
        <v>1040</v>
      </c>
      <c r="D1205" t="s">
        <v>1195</v>
      </c>
      <c r="E1205" t="s">
        <v>70</v>
      </c>
      <c r="F1205" t="s">
        <v>71</v>
      </c>
      <c r="G1205" t="s">
        <v>34</v>
      </c>
      <c r="H1205" t="s">
        <v>141</v>
      </c>
      <c r="I1205">
        <v>9</v>
      </c>
      <c r="J1205">
        <v>168000</v>
      </c>
      <c r="K1205">
        <v>116400</v>
      </c>
      <c r="L1205" t="s">
        <v>96</v>
      </c>
      <c r="M1205" t="s">
        <v>31</v>
      </c>
      <c r="N1205" t="s">
        <v>52</v>
      </c>
      <c r="O1205" t="s">
        <v>24</v>
      </c>
      <c r="P1205">
        <f>Tableau1_2[[#This Row],[Quantité]]*Tableau1_2[[#This Row],[Prix_Unitaire]]</f>
        <v>1512000</v>
      </c>
      <c r="Q1205">
        <f>Tableau1_2[[#This Row],[Quantité]]*Tableau1_2[[#This Row],[Coût_Unitaire]]</f>
        <v>1047600</v>
      </c>
      <c r="R1205">
        <f>Tableau1_2[[#This Row],[CA]]-Tableau1_2[[#This Row],[Cout Total]]</f>
        <v>464400</v>
      </c>
      <c r="S1205" s="4">
        <f>Tableau1_2[[#This Row],[Marge]]/Tableau1_2[[#This Row],[CA]]</f>
        <v>0.30714285714285716</v>
      </c>
      <c r="T1205" t="str">
        <f>TEXT(Tableau1_2[[#This Row],[Date]],"mmmm")</f>
        <v>décembre</v>
      </c>
    </row>
    <row r="1206" spans="1:20" x14ac:dyDescent="0.35">
      <c r="A1206" t="s">
        <v>2193</v>
      </c>
      <c r="B1206" s="2">
        <v>46077</v>
      </c>
      <c r="C1206" t="s">
        <v>1780</v>
      </c>
      <c r="D1206" t="s">
        <v>1738</v>
      </c>
      <c r="E1206" t="s">
        <v>190</v>
      </c>
      <c r="F1206" t="s">
        <v>191</v>
      </c>
      <c r="G1206" t="s">
        <v>19</v>
      </c>
      <c r="H1206" t="s">
        <v>112</v>
      </c>
      <c r="I1206">
        <v>1</v>
      </c>
      <c r="J1206">
        <v>80800</v>
      </c>
      <c r="K1206">
        <v>60100</v>
      </c>
      <c r="L1206" t="s">
        <v>66</v>
      </c>
      <c r="M1206" t="s">
        <v>37</v>
      </c>
      <c r="N1206" t="s">
        <v>23</v>
      </c>
      <c r="O1206" t="s">
        <v>24</v>
      </c>
      <c r="P1206">
        <f>Tableau1_2[[#This Row],[Quantité]]*Tableau1_2[[#This Row],[Prix_Unitaire]]</f>
        <v>80800</v>
      </c>
      <c r="Q1206">
        <f>Tableau1_2[[#This Row],[Quantité]]*Tableau1_2[[#This Row],[Coût_Unitaire]]</f>
        <v>60100</v>
      </c>
      <c r="R1206">
        <f>Tableau1_2[[#This Row],[CA]]-Tableau1_2[[#This Row],[Cout Total]]</f>
        <v>20700</v>
      </c>
      <c r="S1206" s="4">
        <f>Tableau1_2[[#This Row],[Marge]]/Tableau1_2[[#This Row],[CA]]</f>
        <v>0.25618811881188119</v>
      </c>
      <c r="T1206" t="str">
        <f>TEXT(Tableau1_2[[#This Row],[Date]],"mmmm")</f>
        <v>février</v>
      </c>
    </row>
    <row r="1207" spans="1:20" x14ac:dyDescent="0.35">
      <c r="A1207" t="s">
        <v>2194</v>
      </c>
      <c r="B1207" s="2">
        <v>46299</v>
      </c>
      <c r="C1207" t="s">
        <v>481</v>
      </c>
      <c r="D1207" t="s">
        <v>814</v>
      </c>
      <c r="E1207" t="s">
        <v>70</v>
      </c>
      <c r="F1207" t="s">
        <v>71</v>
      </c>
      <c r="G1207" t="s">
        <v>43</v>
      </c>
      <c r="H1207" t="s">
        <v>79</v>
      </c>
      <c r="I1207">
        <v>3</v>
      </c>
      <c r="J1207">
        <v>6000</v>
      </c>
      <c r="K1207">
        <v>4300</v>
      </c>
      <c r="L1207" t="s">
        <v>30</v>
      </c>
      <c r="M1207" t="s">
        <v>51</v>
      </c>
      <c r="N1207" t="s">
        <v>52</v>
      </c>
      <c r="O1207" t="s">
        <v>91</v>
      </c>
      <c r="P1207">
        <f>Tableau1_2[[#This Row],[Quantité]]*Tableau1_2[[#This Row],[Prix_Unitaire]]</f>
        <v>18000</v>
      </c>
      <c r="Q1207">
        <f>Tableau1_2[[#This Row],[Quantité]]*Tableau1_2[[#This Row],[Coût_Unitaire]]</f>
        <v>12900</v>
      </c>
      <c r="R1207">
        <f>Tableau1_2[[#This Row],[CA]]-Tableau1_2[[#This Row],[Cout Total]]</f>
        <v>5100</v>
      </c>
      <c r="S1207" s="4">
        <f>Tableau1_2[[#This Row],[Marge]]/Tableau1_2[[#This Row],[CA]]</f>
        <v>0.28333333333333333</v>
      </c>
      <c r="T1207" t="str">
        <f>TEXT(Tableau1_2[[#This Row],[Date]],"mmmm")</f>
        <v>octobre</v>
      </c>
    </row>
    <row r="1208" spans="1:20" x14ac:dyDescent="0.35">
      <c r="A1208" t="s">
        <v>2195</v>
      </c>
      <c r="B1208" s="2">
        <v>46179</v>
      </c>
      <c r="C1208" t="s">
        <v>683</v>
      </c>
      <c r="D1208" t="s">
        <v>422</v>
      </c>
      <c r="E1208" t="s">
        <v>156</v>
      </c>
      <c r="F1208" t="s">
        <v>170</v>
      </c>
      <c r="G1208" t="s">
        <v>43</v>
      </c>
      <c r="H1208" t="s">
        <v>79</v>
      </c>
      <c r="I1208">
        <v>2</v>
      </c>
      <c r="J1208">
        <v>5700</v>
      </c>
      <c r="K1208">
        <v>4300</v>
      </c>
      <c r="L1208" t="s">
        <v>66</v>
      </c>
      <c r="M1208" t="s">
        <v>31</v>
      </c>
      <c r="N1208" t="s">
        <v>23</v>
      </c>
      <c r="O1208" t="s">
        <v>24</v>
      </c>
      <c r="P1208">
        <f>Tableau1_2[[#This Row],[Quantité]]*Tableau1_2[[#This Row],[Prix_Unitaire]]</f>
        <v>11400</v>
      </c>
      <c r="Q1208">
        <f>Tableau1_2[[#This Row],[Quantité]]*Tableau1_2[[#This Row],[Coût_Unitaire]]</f>
        <v>8600</v>
      </c>
      <c r="R1208">
        <f>Tableau1_2[[#This Row],[CA]]-Tableau1_2[[#This Row],[Cout Total]]</f>
        <v>2800</v>
      </c>
      <c r="S1208" s="4">
        <f>Tableau1_2[[#This Row],[Marge]]/Tableau1_2[[#This Row],[CA]]</f>
        <v>0.24561403508771928</v>
      </c>
      <c r="T1208" t="str">
        <f>TEXT(Tableau1_2[[#This Row],[Date]],"mmmm")</f>
        <v>juin</v>
      </c>
    </row>
    <row r="1209" spans="1:20" x14ac:dyDescent="0.35">
      <c r="A1209" t="s">
        <v>2196</v>
      </c>
      <c r="B1209" s="2">
        <v>46124</v>
      </c>
      <c r="C1209" t="s">
        <v>1414</v>
      </c>
      <c r="D1209" t="s">
        <v>498</v>
      </c>
      <c r="E1209" t="s">
        <v>18</v>
      </c>
      <c r="F1209" t="s">
        <v>18</v>
      </c>
      <c r="G1209" t="s">
        <v>28</v>
      </c>
      <c r="H1209" t="s">
        <v>248</v>
      </c>
      <c r="I1209">
        <v>4</v>
      </c>
      <c r="J1209">
        <v>23800</v>
      </c>
      <c r="K1209">
        <v>16500</v>
      </c>
      <c r="L1209" t="s">
        <v>73</v>
      </c>
      <c r="M1209" t="s">
        <v>22</v>
      </c>
      <c r="N1209" t="s">
        <v>52</v>
      </c>
      <c r="O1209" t="s">
        <v>24</v>
      </c>
      <c r="P1209">
        <f>Tableau1_2[[#This Row],[Quantité]]*Tableau1_2[[#This Row],[Prix_Unitaire]]</f>
        <v>95200</v>
      </c>
      <c r="Q1209">
        <f>Tableau1_2[[#This Row],[Quantité]]*Tableau1_2[[#This Row],[Coût_Unitaire]]</f>
        <v>66000</v>
      </c>
      <c r="R1209">
        <f>Tableau1_2[[#This Row],[CA]]-Tableau1_2[[#This Row],[Cout Total]]</f>
        <v>29200</v>
      </c>
      <c r="S1209" s="4">
        <f>Tableau1_2[[#This Row],[Marge]]/Tableau1_2[[#This Row],[CA]]</f>
        <v>0.30672268907563027</v>
      </c>
      <c r="T1209" t="str">
        <f>TEXT(Tableau1_2[[#This Row],[Date]],"mmmm")</f>
        <v>avril</v>
      </c>
    </row>
    <row r="1210" spans="1:20" x14ac:dyDescent="0.35">
      <c r="A1210" t="s">
        <v>2197</v>
      </c>
      <c r="B1210" s="2">
        <v>46281</v>
      </c>
      <c r="C1210" t="s">
        <v>1715</v>
      </c>
      <c r="D1210" t="s">
        <v>321</v>
      </c>
      <c r="E1210" t="s">
        <v>77</v>
      </c>
      <c r="F1210" t="s">
        <v>78</v>
      </c>
      <c r="G1210" t="s">
        <v>34</v>
      </c>
      <c r="H1210" t="s">
        <v>141</v>
      </c>
      <c r="I1210">
        <v>4</v>
      </c>
      <c r="J1210">
        <v>160000</v>
      </c>
      <c r="K1210">
        <v>116400</v>
      </c>
      <c r="L1210" t="s">
        <v>96</v>
      </c>
      <c r="M1210" t="s">
        <v>37</v>
      </c>
      <c r="N1210" t="s">
        <v>52</v>
      </c>
      <c r="O1210" t="s">
        <v>24</v>
      </c>
      <c r="P1210">
        <f>Tableau1_2[[#This Row],[Quantité]]*Tableau1_2[[#This Row],[Prix_Unitaire]]</f>
        <v>640000</v>
      </c>
      <c r="Q1210">
        <f>Tableau1_2[[#This Row],[Quantité]]*Tableau1_2[[#This Row],[Coût_Unitaire]]</f>
        <v>465600</v>
      </c>
      <c r="R1210">
        <f>Tableau1_2[[#This Row],[CA]]-Tableau1_2[[#This Row],[Cout Total]]</f>
        <v>174400</v>
      </c>
      <c r="S1210" s="4">
        <f>Tableau1_2[[#This Row],[Marge]]/Tableau1_2[[#This Row],[CA]]</f>
        <v>0.27250000000000002</v>
      </c>
      <c r="T1210" t="str">
        <f>TEXT(Tableau1_2[[#This Row],[Date]],"mmmm")</f>
        <v>septembre</v>
      </c>
    </row>
    <row r="1211" spans="1:20" x14ac:dyDescent="0.35">
      <c r="A1211" t="s">
        <v>2198</v>
      </c>
      <c r="B1211" s="2">
        <v>46098</v>
      </c>
      <c r="C1211" t="s">
        <v>943</v>
      </c>
      <c r="D1211" t="s">
        <v>1686</v>
      </c>
      <c r="E1211" t="s">
        <v>18</v>
      </c>
      <c r="F1211" t="s">
        <v>18</v>
      </c>
      <c r="G1211" t="s">
        <v>28</v>
      </c>
      <c r="H1211" t="s">
        <v>131</v>
      </c>
      <c r="I1211">
        <v>5</v>
      </c>
      <c r="J1211">
        <v>28500</v>
      </c>
      <c r="K1211">
        <v>18400</v>
      </c>
      <c r="L1211" t="s">
        <v>80</v>
      </c>
      <c r="M1211" t="s">
        <v>51</v>
      </c>
      <c r="N1211" t="s">
        <v>23</v>
      </c>
      <c r="O1211" t="s">
        <v>24</v>
      </c>
      <c r="P1211">
        <f>Tableau1_2[[#This Row],[Quantité]]*Tableau1_2[[#This Row],[Prix_Unitaire]]</f>
        <v>142500</v>
      </c>
      <c r="Q1211">
        <f>Tableau1_2[[#This Row],[Quantité]]*Tableau1_2[[#This Row],[Coût_Unitaire]]</f>
        <v>92000</v>
      </c>
      <c r="R1211">
        <f>Tableau1_2[[#This Row],[CA]]-Tableau1_2[[#This Row],[Cout Total]]</f>
        <v>50500</v>
      </c>
      <c r="S1211" s="4">
        <f>Tableau1_2[[#This Row],[Marge]]/Tableau1_2[[#This Row],[CA]]</f>
        <v>0.35438596491228069</v>
      </c>
      <c r="T1211" t="str">
        <f>TEXT(Tableau1_2[[#This Row],[Date]],"mmmm")</f>
        <v>mars</v>
      </c>
    </row>
    <row r="1212" spans="1:20" x14ac:dyDescent="0.35">
      <c r="A1212" t="s">
        <v>2199</v>
      </c>
      <c r="B1212" s="2">
        <v>46208</v>
      </c>
      <c r="C1212" t="s">
        <v>1072</v>
      </c>
      <c r="D1212" t="s">
        <v>2152</v>
      </c>
      <c r="E1212" t="s">
        <v>41</v>
      </c>
      <c r="F1212" t="s">
        <v>42</v>
      </c>
      <c r="G1212" t="s">
        <v>34</v>
      </c>
      <c r="H1212" t="s">
        <v>141</v>
      </c>
      <c r="I1212">
        <v>6</v>
      </c>
      <c r="J1212">
        <v>152000</v>
      </c>
      <c r="K1212">
        <v>116400</v>
      </c>
      <c r="L1212" t="s">
        <v>73</v>
      </c>
      <c r="M1212" t="s">
        <v>37</v>
      </c>
      <c r="N1212" t="s">
        <v>23</v>
      </c>
      <c r="O1212" t="s">
        <v>24</v>
      </c>
      <c r="P1212">
        <f>Tableau1_2[[#This Row],[Quantité]]*Tableau1_2[[#This Row],[Prix_Unitaire]]</f>
        <v>912000</v>
      </c>
      <c r="Q1212">
        <f>Tableau1_2[[#This Row],[Quantité]]*Tableau1_2[[#This Row],[Coût_Unitaire]]</f>
        <v>698400</v>
      </c>
      <c r="R1212">
        <f>Tableau1_2[[#This Row],[CA]]-Tableau1_2[[#This Row],[Cout Total]]</f>
        <v>213600</v>
      </c>
      <c r="S1212" s="4">
        <f>Tableau1_2[[#This Row],[Marge]]/Tableau1_2[[#This Row],[CA]]</f>
        <v>0.23421052631578948</v>
      </c>
      <c r="T1212" t="str">
        <f>TEXT(Tableau1_2[[#This Row],[Date]],"mmmm")</f>
        <v>juillet</v>
      </c>
    </row>
    <row r="1213" spans="1:20" x14ac:dyDescent="0.35">
      <c r="A1213" t="s">
        <v>2200</v>
      </c>
      <c r="B1213" s="2">
        <v>46214</v>
      </c>
      <c r="C1213" t="s">
        <v>376</v>
      </c>
      <c r="D1213" t="s">
        <v>498</v>
      </c>
      <c r="E1213" t="s">
        <v>18</v>
      </c>
      <c r="F1213" t="s">
        <v>18</v>
      </c>
      <c r="G1213" t="s">
        <v>19</v>
      </c>
      <c r="H1213" t="s">
        <v>166</v>
      </c>
      <c r="I1213">
        <v>7</v>
      </c>
      <c r="J1213">
        <v>140000</v>
      </c>
      <c r="K1213">
        <v>103000</v>
      </c>
      <c r="L1213" t="s">
        <v>36</v>
      </c>
      <c r="M1213" t="s">
        <v>31</v>
      </c>
      <c r="N1213" t="s">
        <v>52</v>
      </c>
      <c r="O1213" t="s">
        <v>24</v>
      </c>
      <c r="P1213">
        <f>Tableau1_2[[#This Row],[Quantité]]*Tableau1_2[[#This Row],[Prix_Unitaire]]</f>
        <v>980000</v>
      </c>
      <c r="Q1213">
        <f>Tableau1_2[[#This Row],[Quantité]]*Tableau1_2[[#This Row],[Coût_Unitaire]]</f>
        <v>721000</v>
      </c>
      <c r="R1213">
        <f>Tableau1_2[[#This Row],[CA]]-Tableau1_2[[#This Row],[Cout Total]]</f>
        <v>259000</v>
      </c>
      <c r="S1213" s="4">
        <f>Tableau1_2[[#This Row],[Marge]]/Tableau1_2[[#This Row],[CA]]</f>
        <v>0.26428571428571429</v>
      </c>
      <c r="T1213" t="str">
        <f>TEXT(Tableau1_2[[#This Row],[Date]],"mmmm")</f>
        <v>juillet</v>
      </c>
    </row>
    <row r="1214" spans="1:20" x14ac:dyDescent="0.35">
      <c r="A1214" t="s">
        <v>2201</v>
      </c>
      <c r="B1214" s="2">
        <v>46193</v>
      </c>
      <c r="C1214" t="s">
        <v>901</v>
      </c>
      <c r="D1214" t="s">
        <v>519</v>
      </c>
      <c r="E1214" t="s">
        <v>18</v>
      </c>
      <c r="F1214" t="s">
        <v>18</v>
      </c>
      <c r="G1214" t="s">
        <v>34</v>
      </c>
      <c r="H1214" t="s">
        <v>95</v>
      </c>
      <c r="I1214">
        <v>1</v>
      </c>
      <c r="J1214">
        <v>450000</v>
      </c>
      <c r="K1214">
        <v>370000</v>
      </c>
      <c r="L1214" t="s">
        <v>73</v>
      </c>
      <c r="M1214" t="s">
        <v>51</v>
      </c>
      <c r="N1214" t="s">
        <v>52</v>
      </c>
      <c r="O1214" t="s">
        <v>24</v>
      </c>
      <c r="P1214">
        <f>Tableau1_2[[#This Row],[Quantité]]*Tableau1_2[[#This Row],[Prix_Unitaire]]</f>
        <v>450000</v>
      </c>
      <c r="Q1214">
        <f>Tableau1_2[[#This Row],[Quantité]]*Tableau1_2[[#This Row],[Coût_Unitaire]]</f>
        <v>370000</v>
      </c>
      <c r="R1214">
        <f>Tableau1_2[[#This Row],[CA]]-Tableau1_2[[#This Row],[Cout Total]]</f>
        <v>80000</v>
      </c>
      <c r="S1214" s="4">
        <f>Tableau1_2[[#This Row],[Marge]]/Tableau1_2[[#This Row],[CA]]</f>
        <v>0.17777777777777778</v>
      </c>
      <c r="T1214" t="str">
        <f>TEXT(Tableau1_2[[#This Row],[Date]],"mmmm")</f>
        <v>juin</v>
      </c>
    </row>
    <row r="1215" spans="1:20" x14ac:dyDescent="0.35">
      <c r="A1215" t="s">
        <v>2202</v>
      </c>
      <c r="B1215" s="2">
        <v>46222</v>
      </c>
      <c r="C1215" t="s">
        <v>1442</v>
      </c>
      <c r="D1215" t="s">
        <v>1628</v>
      </c>
      <c r="E1215" t="s">
        <v>77</v>
      </c>
      <c r="F1215" t="s">
        <v>78</v>
      </c>
      <c r="G1215" t="s">
        <v>43</v>
      </c>
      <c r="H1215" t="s">
        <v>44</v>
      </c>
      <c r="I1215">
        <v>1</v>
      </c>
      <c r="J1215">
        <v>15000</v>
      </c>
      <c r="K1215">
        <v>9500</v>
      </c>
      <c r="L1215" t="s">
        <v>21</v>
      </c>
      <c r="M1215" t="s">
        <v>37</v>
      </c>
      <c r="N1215" t="s">
        <v>52</v>
      </c>
      <c r="O1215" t="s">
        <v>24</v>
      </c>
      <c r="P1215">
        <f>Tableau1_2[[#This Row],[Quantité]]*Tableau1_2[[#This Row],[Prix_Unitaire]]</f>
        <v>15000</v>
      </c>
      <c r="Q1215">
        <f>Tableau1_2[[#This Row],[Quantité]]*Tableau1_2[[#This Row],[Coût_Unitaire]]</f>
        <v>9500</v>
      </c>
      <c r="R1215">
        <f>Tableau1_2[[#This Row],[CA]]-Tableau1_2[[#This Row],[Cout Total]]</f>
        <v>5500</v>
      </c>
      <c r="S1215" s="4">
        <f>Tableau1_2[[#This Row],[Marge]]/Tableau1_2[[#This Row],[CA]]</f>
        <v>0.36666666666666664</v>
      </c>
      <c r="T1215" t="str">
        <f>TEXT(Tableau1_2[[#This Row],[Date]],"mmmm")</f>
        <v>juillet</v>
      </c>
    </row>
    <row r="1216" spans="1:20" x14ac:dyDescent="0.35">
      <c r="A1216" t="s">
        <v>2203</v>
      </c>
      <c r="B1216" s="2">
        <v>46258</v>
      </c>
      <c r="C1216" t="s">
        <v>1348</v>
      </c>
      <c r="D1216" t="s">
        <v>1197</v>
      </c>
      <c r="E1216" t="s">
        <v>190</v>
      </c>
      <c r="F1216" t="s">
        <v>191</v>
      </c>
      <c r="G1216" t="s">
        <v>19</v>
      </c>
      <c r="H1216" t="s">
        <v>112</v>
      </c>
      <c r="I1216">
        <v>6</v>
      </c>
      <c r="J1216">
        <v>80800</v>
      </c>
      <c r="K1216">
        <v>60100</v>
      </c>
      <c r="L1216" t="s">
        <v>80</v>
      </c>
      <c r="M1216" t="s">
        <v>51</v>
      </c>
      <c r="N1216" t="s">
        <v>87</v>
      </c>
      <c r="O1216" t="s">
        <v>24</v>
      </c>
      <c r="P1216">
        <f>Tableau1_2[[#This Row],[Quantité]]*Tableau1_2[[#This Row],[Prix_Unitaire]]</f>
        <v>484800</v>
      </c>
      <c r="Q1216">
        <f>Tableau1_2[[#This Row],[Quantité]]*Tableau1_2[[#This Row],[Coût_Unitaire]]</f>
        <v>360600</v>
      </c>
      <c r="R1216">
        <f>Tableau1_2[[#This Row],[CA]]-Tableau1_2[[#This Row],[Cout Total]]</f>
        <v>124200</v>
      </c>
      <c r="S1216" s="4">
        <f>Tableau1_2[[#This Row],[Marge]]/Tableau1_2[[#This Row],[CA]]</f>
        <v>0.25618811881188119</v>
      </c>
      <c r="T1216" t="str">
        <f>TEXT(Tableau1_2[[#This Row],[Date]],"mmmm")</f>
        <v>août</v>
      </c>
    </row>
    <row r="1217" spans="1:20" x14ac:dyDescent="0.35">
      <c r="A1217" t="s">
        <v>2204</v>
      </c>
      <c r="B1217" s="2">
        <v>46217</v>
      </c>
      <c r="C1217" t="s">
        <v>2205</v>
      </c>
      <c r="D1217" t="s">
        <v>1405</v>
      </c>
      <c r="E1217" t="s">
        <v>156</v>
      </c>
      <c r="F1217" t="s">
        <v>170</v>
      </c>
      <c r="G1217" t="s">
        <v>19</v>
      </c>
      <c r="H1217" t="s">
        <v>112</v>
      </c>
      <c r="I1217">
        <v>8</v>
      </c>
      <c r="J1217">
        <v>85000</v>
      </c>
      <c r="K1217">
        <v>60100</v>
      </c>
      <c r="L1217" t="s">
        <v>21</v>
      </c>
      <c r="M1217" t="s">
        <v>37</v>
      </c>
      <c r="N1217" t="s">
        <v>87</v>
      </c>
      <c r="O1217" t="s">
        <v>45</v>
      </c>
      <c r="P1217">
        <f>Tableau1_2[[#This Row],[Quantité]]*Tableau1_2[[#This Row],[Prix_Unitaire]]</f>
        <v>680000</v>
      </c>
      <c r="Q1217">
        <f>Tableau1_2[[#This Row],[Quantité]]*Tableau1_2[[#This Row],[Coût_Unitaire]]</f>
        <v>480800</v>
      </c>
      <c r="R1217">
        <f>Tableau1_2[[#This Row],[CA]]-Tableau1_2[[#This Row],[Cout Total]]</f>
        <v>199200</v>
      </c>
      <c r="S1217" s="4">
        <f>Tableau1_2[[#This Row],[Marge]]/Tableau1_2[[#This Row],[CA]]</f>
        <v>0.29294117647058826</v>
      </c>
      <c r="T1217" t="str">
        <f>TEXT(Tableau1_2[[#This Row],[Date]],"mmmm")</f>
        <v>juillet</v>
      </c>
    </row>
    <row r="1218" spans="1:20" x14ac:dyDescent="0.35">
      <c r="A1218" t="s">
        <v>2206</v>
      </c>
      <c r="B1218" s="2">
        <v>46319</v>
      </c>
      <c r="C1218" t="s">
        <v>795</v>
      </c>
      <c r="D1218" t="s">
        <v>1363</v>
      </c>
      <c r="E1218" t="s">
        <v>70</v>
      </c>
      <c r="F1218" t="s">
        <v>71</v>
      </c>
      <c r="G1218" t="s">
        <v>43</v>
      </c>
      <c r="H1218" t="s">
        <v>177</v>
      </c>
      <c r="I1218">
        <v>3</v>
      </c>
      <c r="J1218">
        <v>17100</v>
      </c>
      <c r="K1218">
        <v>12100</v>
      </c>
      <c r="L1218" t="s">
        <v>80</v>
      </c>
      <c r="M1218" t="s">
        <v>31</v>
      </c>
      <c r="N1218" t="s">
        <v>52</v>
      </c>
      <c r="O1218" t="s">
        <v>24</v>
      </c>
      <c r="P1218">
        <f>Tableau1_2[[#This Row],[Quantité]]*Tableau1_2[[#This Row],[Prix_Unitaire]]</f>
        <v>51300</v>
      </c>
      <c r="Q1218">
        <f>Tableau1_2[[#This Row],[Quantité]]*Tableau1_2[[#This Row],[Coût_Unitaire]]</f>
        <v>36300</v>
      </c>
      <c r="R1218">
        <f>Tableau1_2[[#This Row],[CA]]-Tableau1_2[[#This Row],[Cout Total]]</f>
        <v>15000</v>
      </c>
      <c r="S1218" s="4">
        <f>Tableau1_2[[#This Row],[Marge]]/Tableau1_2[[#This Row],[CA]]</f>
        <v>0.29239766081871343</v>
      </c>
      <c r="T1218" t="str">
        <f>TEXT(Tableau1_2[[#This Row],[Date]],"mmmm")</f>
        <v>octobre</v>
      </c>
    </row>
    <row r="1219" spans="1:20" x14ac:dyDescent="0.35">
      <c r="A1219" t="s">
        <v>2207</v>
      </c>
      <c r="B1219" s="2">
        <v>46040</v>
      </c>
      <c r="C1219" t="s">
        <v>1047</v>
      </c>
      <c r="D1219" t="s">
        <v>165</v>
      </c>
      <c r="E1219" t="s">
        <v>18</v>
      </c>
      <c r="F1219" t="s">
        <v>18</v>
      </c>
      <c r="G1219" t="s">
        <v>19</v>
      </c>
      <c r="H1219" t="s">
        <v>166</v>
      </c>
      <c r="I1219">
        <v>1</v>
      </c>
      <c r="J1219">
        <v>140000</v>
      </c>
      <c r="K1219">
        <v>100000</v>
      </c>
      <c r="L1219" t="s">
        <v>30</v>
      </c>
      <c r="M1219" t="s">
        <v>51</v>
      </c>
      <c r="N1219" t="s">
        <v>23</v>
      </c>
      <c r="O1219" t="s">
        <v>24</v>
      </c>
      <c r="P1219">
        <f>Tableau1_2[[#This Row],[Quantité]]*Tableau1_2[[#This Row],[Prix_Unitaire]]</f>
        <v>140000</v>
      </c>
      <c r="Q1219">
        <f>Tableau1_2[[#This Row],[Quantité]]*Tableau1_2[[#This Row],[Coût_Unitaire]]</f>
        <v>100000</v>
      </c>
      <c r="R1219">
        <f>Tableau1_2[[#This Row],[CA]]-Tableau1_2[[#This Row],[Cout Total]]</f>
        <v>40000</v>
      </c>
      <c r="S1219" s="4">
        <f>Tableau1_2[[#This Row],[Marge]]/Tableau1_2[[#This Row],[CA]]</f>
        <v>0.2857142857142857</v>
      </c>
      <c r="T1219" t="str">
        <f>TEXT(Tableau1_2[[#This Row],[Date]],"mmmm")</f>
        <v>janvier</v>
      </c>
    </row>
    <row r="1220" spans="1:20" x14ac:dyDescent="0.35">
      <c r="A1220" t="s">
        <v>2208</v>
      </c>
      <c r="B1220" s="2">
        <v>46039</v>
      </c>
      <c r="C1220" t="s">
        <v>210</v>
      </c>
      <c r="D1220" t="s">
        <v>521</v>
      </c>
      <c r="E1220" t="s">
        <v>84</v>
      </c>
      <c r="F1220" t="s">
        <v>85</v>
      </c>
      <c r="G1220" t="s">
        <v>34</v>
      </c>
      <c r="H1220" t="s">
        <v>158</v>
      </c>
      <c r="I1220">
        <v>4</v>
      </c>
      <c r="J1220">
        <v>99800</v>
      </c>
      <c r="K1220">
        <v>72100</v>
      </c>
      <c r="L1220" t="s">
        <v>30</v>
      </c>
      <c r="M1220" t="s">
        <v>51</v>
      </c>
      <c r="N1220" t="s">
        <v>52</v>
      </c>
      <c r="O1220" t="s">
        <v>45</v>
      </c>
      <c r="P1220">
        <f>Tableau1_2[[#This Row],[Quantité]]*Tableau1_2[[#This Row],[Prix_Unitaire]]</f>
        <v>399200</v>
      </c>
      <c r="Q1220">
        <f>Tableau1_2[[#This Row],[Quantité]]*Tableau1_2[[#This Row],[Coût_Unitaire]]</f>
        <v>288400</v>
      </c>
      <c r="R1220">
        <f>Tableau1_2[[#This Row],[CA]]-Tableau1_2[[#This Row],[Cout Total]]</f>
        <v>110800</v>
      </c>
      <c r="S1220" s="4">
        <f>Tableau1_2[[#This Row],[Marge]]/Tableau1_2[[#This Row],[CA]]</f>
        <v>0.27755511022044088</v>
      </c>
      <c r="T1220" t="str">
        <f>TEXT(Tableau1_2[[#This Row],[Date]],"mmmm")</f>
        <v>janvier</v>
      </c>
    </row>
    <row r="1221" spans="1:20" x14ac:dyDescent="0.35">
      <c r="A1221" t="s">
        <v>2209</v>
      </c>
      <c r="B1221" s="2">
        <v>46379</v>
      </c>
      <c r="C1221" t="s">
        <v>580</v>
      </c>
      <c r="D1221" t="s">
        <v>1591</v>
      </c>
      <c r="E1221" t="s">
        <v>18</v>
      </c>
      <c r="F1221" t="s">
        <v>18</v>
      </c>
      <c r="G1221" t="s">
        <v>19</v>
      </c>
      <c r="H1221" t="s">
        <v>112</v>
      </c>
      <c r="I1221">
        <v>3</v>
      </c>
      <c r="J1221">
        <v>85000</v>
      </c>
      <c r="K1221">
        <v>63900</v>
      </c>
      <c r="L1221" t="s">
        <v>80</v>
      </c>
      <c r="M1221" t="s">
        <v>37</v>
      </c>
      <c r="N1221" t="s">
        <v>52</v>
      </c>
      <c r="O1221" t="s">
        <v>24</v>
      </c>
      <c r="P1221">
        <f>Tableau1_2[[#This Row],[Quantité]]*Tableau1_2[[#This Row],[Prix_Unitaire]]</f>
        <v>255000</v>
      </c>
      <c r="Q1221">
        <f>Tableau1_2[[#This Row],[Quantité]]*Tableau1_2[[#This Row],[Coût_Unitaire]]</f>
        <v>191700</v>
      </c>
      <c r="R1221">
        <f>Tableau1_2[[#This Row],[CA]]-Tableau1_2[[#This Row],[Cout Total]]</f>
        <v>63300</v>
      </c>
      <c r="S1221" s="4">
        <f>Tableau1_2[[#This Row],[Marge]]/Tableau1_2[[#This Row],[CA]]</f>
        <v>0.24823529411764705</v>
      </c>
      <c r="T1221" t="str">
        <f>TEXT(Tableau1_2[[#This Row],[Date]],"mmmm")</f>
        <v>décembre</v>
      </c>
    </row>
    <row r="1222" spans="1:20" x14ac:dyDescent="0.35">
      <c r="A1222" t="s">
        <v>2210</v>
      </c>
      <c r="B1222" s="2">
        <v>46181</v>
      </c>
      <c r="C1222" t="s">
        <v>2177</v>
      </c>
      <c r="D1222" t="s">
        <v>856</v>
      </c>
      <c r="E1222" t="s">
        <v>18</v>
      </c>
      <c r="F1222" t="s">
        <v>18</v>
      </c>
      <c r="G1222" t="s">
        <v>34</v>
      </c>
      <c r="H1222" t="s">
        <v>141</v>
      </c>
      <c r="I1222">
        <v>7</v>
      </c>
      <c r="J1222">
        <v>160000</v>
      </c>
      <c r="K1222">
        <v>116400</v>
      </c>
      <c r="L1222" t="s">
        <v>66</v>
      </c>
      <c r="M1222" t="s">
        <v>22</v>
      </c>
      <c r="N1222" t="s">
        <v>52</v>
      </c>
      <c r="O1222" t="s">
        <v>45</v>
      </c>
      <c r="P1222">
        <f>Tableau1_2[[#This Row],[Quantité]]*Tableau1_2[[#This Row],[Prix_Unitaire]]</f>
        <v>1120000</v>
      </c>
      <c r="Q1222">
        <f>Tableau1_2[[#This Row],[Quantité]]*Tableau1_2[[#This Row],[Coût_Unitaire]]</f>
        <v>814800</v>
      </c>
      <c r="R1222">
        <f>Tableau1_2[[#This Row],[CA]]-Tableau1_2[[#This Row],[Cout Total]]</f>
        <v>305200</v>
      </c>
      <c r="S1222" s="4">
        <f>Tableau1_2[[#This Row],[Marge]]/Tableau1_2[[#This Row],[CA]]</f>
        <v>0.27250000000000002</v>
      </c>
      <c r="T1222" t="str">
        <f>TEXT(Tableau1_2[[#This Row],[Date]],"mmmm")</f>
        <v>juin</v>
      </c>
    </row>
    <row r="1223" spans="1:20" x14ac:dyDescent="0.35">
      <c r="A1223" t="s">
        <v>2211</v>
      </c>
      <c r="B1223" s="2">
        <v>46161</v>
      </c>
      <c r="C1223" t="s">
        <v>2161</v>
      </c>
      <c r="D1223" t="s">
        <v>1021</v>
      </c>
      <c r="E1223" t="s">
        <v>56</v>
      </c>
      <c r="F1223" t="s">
        <v>57</v>
      </c>
      <c r="G1223" t="s">
        <v>19</v>
      </c>
      <c r="H1223" t="s">
        <v>166</v>
      </c>
      <c r="I1223">
        <v>10</v>
      </c>
      <c r="J1223">
        <v>147000</v>
      </c>
      <c r="K1223">
        <v>100000</v>
      </c>
      <c r="L1223" t="s">
        <v>36</v>
      </c>
      <c r="M1223" t="s">
        <v>31</v>
      </c>
      <c r="N1223" t="s">
        <v>52</v>
      </c>
      <c r="O1223" t="s">
        <v>24</v>
      </c>
      <c r="P1223">
        <f>Tableau1_2[[#This Row],[Quantité]]*Tableau1_2[[#This Row],[Prix_Unitaire]]</f>
        <v>1470000</v>
      </c>
      <c r="Q1223">
        <f>Tableau1_2[[#This Row],[Quantité]]*Tableau1_2[[#This Row],[Coût_Unitaire]]</f>
        <v>1000000</v>
      </c>
      <c r="R1223">
        <f>Tableau1_2[[#This Row],[CA]]-Tableau1_2[[#This Row],[Cout Total]]</f>
        <v>470000</v>
      </c>
      <c r="S1223" s="4">
        <f>Tableau1_2[[#This Row],[Marge]]/Tableau1_2[[#This Row],[CA]]</f>
        <v>0.31972789115646261</v>
      </c>
      <c r="T1223" t="str">
        <f>TEXT(Tableau1_2[[#This Row],[Date]],"mmmm")</f>
        <v>mai</v>
      </c>
    </row>
    <row r="1224" spans="1:20" x14ac:dyDescent="0.35">
      <c r="A1224" t="s">
        <v>2212</v>
      </c>
      <c r="B1224" s="2">
        <v>46374</v>
      </c>
      <c r="C1224" t="s">
        <v>1207</v>
      </c>
      <c r="D1224" t="s">
        <v>2213</v>
      </c>
      <c r="E1224" t="s">
        <v>156</v>
      </c>
      <c r="F1224" t="s">
        <v>170</v>
      </c>
      <c r="G1224" t="s">
        <v>43</v>
      </c>
      <c r="H1224" t="s">
        <v>44</v>
      </c>
      <c r="I1224">
        <v>7</v>
      </c>
      <c r="J1224">
        <v>15000</v>
      </c>
      <c r="K1224">
        <v>9500</v>
      </c>
      <c r="L1224" t="s">
        <v>96</v>
      </c>
      <c r="M1224" t="s">
        <v>51</v>
      </c>
      <c r="N1224" t="s">
        <v>52</v>
      </c>
      <c r="O1224" t="s">
        <v>24</v>
      </c>
      <c r="P1224">
        <f>Tableau1_2[[#This Row],[Quantité]]*Tableau1_2[[#This Row],[Prix_Unitaire]]</f>
        <v>105000</v>
      </c>
      <c r="Q1224">
        <f>Tableau1_2[[#This Row],[Quantité]]*Tableau1_2[[#This Row],[Coût_Unitaire]]</f>
        <v>66500</v>
      </c>
      <c r="R1224">
        <f>Tableau1_2[[#This Row],[CA]]-Tableau1_2[[#This Row],[Cout Total]]</f>
        <v>38500</v>
      </c>
      <c r="S1224" s="4">
        <f>Tableau1_2[[#This Row],[Marge]]/Tableau1_2[[#This Row],[CA]]</f>
        <v>0.36666666666666664</v>
      </c>
      <c r="T1224" t="str">
        <f>TEXT(Tableau1_2[[#This Row],[Date]],"mmmm")</f>
        <v>décembre</v>
      </c>
    </row>
    <row r="1225" spans="1:20" x14ac:dyDescent="0.35">
      <c r="A1225" t="s">
        <v>2214</v>
      </c>
      <c r="B1225" s="2">
        <v>46109</v>
      </c>
      <c r="C1225" t="s">
        <v>1701</v>
      </c>
      <c r="D1225" t="s">
        <v>498</v>
      </c>
      <c r="E1225" t="s">
        <v>156</v>
      </c>
      <c r="F1225" t="s">
        <v>157</v>
      </c>
      <c r="G1225" t="s">
        <v>43</v>
      </c>
      <c r="H1225" t="s">
        <v>162</v>
      </c>
      <c r="I1225">
        <v>4</v>
      </c>
      <c r="J1225">
        <v>8000</v>
      </c>
      <c r="K1225">
        <v>4800</v>
      </c>
      <c r="L1225" t="s">
        <v>30</v>
      </c>
      <c r="M1225" t="s">
        <v>22</v>
      </c>
      <c r="N1225" t="s">
        <v>87</v>
      </c>
      <c r="O1225" t="s">
        <v>91</v>
      </c>
      <c r="P1225">
        <f>Tableau1_2[[#This Row],[Quantité]]*Tableau1_2[[#This Row],[Prix_Unitaire]]</f>
        <v>32000</v>
      </c>
      <c r="Q1225">
        <f>Tableau1_2[[#This Row],[Quantité]]*Tableau1_2[[#This Row],[Coût_Unitaire]]</f>
        <v>19200</v>
      </c>
      <c r="R1225">
        <f>Tableau1_2[[#This Row],[CA]]-Tableau1_2[[#This Row],[Cout Total]]</f>
        <v>12800</v>
      </c>
      <c r="S1225" s="4">
        <f>Tableau1_2[[#This Row],[Marge]]/Tableau1_2[[#This Row],[CA]]</f>
        <v>0.4</v>
      </c>
      <c r="T1225" t="str">
        <f>TEXT(Tableau1_2[[#This Row],[Date]],"mmmm")</f>
        <v>mars</v>
      </c>
    </row>
    <row r="1226" spans="1:20" x14ac:dyDescent="0.35">
      <c r="A1226" t="s">
        <v>2215</v>
      </c>
      <c r="B1226" s="2">
        <v>46263</v>
      </c>
      <c r="C1226" t="s">
        <v>559</v>
      </c>
      <c r="D1226" t="s">
        <v>408</v>
      </c>
      <c r="E1226" t="s">
        <v>156</v>
      </c>
      <c r="F1226" t="s">
        <v>157</v>
      </c>
      <c r="G1226" t="s">
        <v>28</v>
      </c>
      <c r="H1226" t="s">
        <v>29</v>
      </c>
      <c r="I1226">
        <v>9</v>
      </c>
      <c r="J1226">
        <v>7400</v>
      </c>
      <c r="K1226">
        <v>4100</v>
      </c>
      <c r="L1226" t="s">
        <v>66</v>
      </c>
      <c r="M1226" t="s">
        <v>37</v>
      </c>
      <c r="N1226" t="s">
        <v>87</v>
      </c>
      <c r="O1226" t="s">
        <v>24</v>
      </c>
      <c r="P1226">
        <f>Tableau1_2[[#This Row],[Quantité]]*Tableau1_2[[#This Row],[Prix_Unitaire]]</f>
        <v>66600</v>
      </c>
      <c r="Q1226">
        <f>Tableau1_2[[#This Row],[Quantité]]*Tableau1_2[[#This Row],[Coût_Unitaire]]</f>
        <v>36900</v>
      </c>
      <c r="R1226">
        <f>Tableau1_2[[#This Row],[CA]]-Tableau1_2[[#This Row],[Cout Total]]</f>
        <v>29700</v>
      </c>
      <c r="S1226" s="4">
        <f>Tableau1_2[[#This Row],[Marge]]/Tableau1_2[[#This Row],[CA]]</f>
        <v>0.44594594594594594</v>
      </c>
      <c r="T1226" t="str">
        <f>TEXT(Tableau1_2[[#This Row],[Date]],"mmmm")</f>
        <v>août</v>
      </c>
    </row>
    <row r="1227" spans="1:20" x14ac:dyDescent="0.35">
      <c r="A1227" t="s">
        <v>2216</v>
      </c>
      <c r="B1227" s="2">
        <v>46078</v>
      </c>
      <c r="C1227" t="s">
        <v>234</v>
      </c>
      <c r="D1227" t="s">
        <v>94</v>
      </c>
      <c r="E1227" t="s">
        <v>156</v>
      </c>
      <c r="F1227" t="s">
        <v>157</v>
      </c>
      <c r="G1227" t="s">
        <v>34</v>
      </c>
      <c r="H1227" t="s">
        <v>86</v>
      </c>
      <c r="I1227">
        <v>2</v>
      </c>
      <c r="J1227">
        <v>180000</v>
      </c>
      <c r="K1227">
        <v>131000</v>
      </c>
      <c r="L1227" t="s">
        <v>96</v>
      </c>
      <c r="M1227" t="s">
        <v>37</v>
      </c>
      <c r="N1227" t="s">
        <v>23</v>
      </c>
      <c r="O1227" t="s">
        <v>24</v>
      </c>
      <c r="P1227">
        <f>Tableau1_2[[#This Row],[Quantité]]*Tableau1_2[[#This Row],[Prix_Unitaire]]</f>
        <v>360000</v>
      </c>
      <c r="Q1227">
        <f>Tableau1_2[[#This Row],[Quantité]]*Tableau1_2[[#This Row],[Coût_Unitaire]]</f>
        <v>262000</v>
      </c>
      <c r="R1227">
        <f>Tableau1_2[[#This Row],[CA]]-Tableau1_2[[#This Row],[Cout Total]]</f>
        <v>98000</v>
      </c>
      <c r="S1227" s="4">
        <f>Tableau1_2[[#This Row],[Marge]]/Tableau1_2[[#This Row],[CA]]</f>
        <v>0.2722222222222222</v>
      </c>
      <c r="T1227" t="str">
        <f>TEXT(Tableau1_2[[#This Row],[Date]],"mmmm")</f>
        <v>février</v>
      </c>
    </row>
    <row r="1228" spans="1:20" x14ac:dyDescent="0.35">
      <c r="A1228" t="s">
        <v>2217</v>
      </c>
      <c r="B1228" s="2">
        <v>46068</v>
      </c>
      <c r="C1228" t="s">
        <v>2218</v>
      </c>
      <c r="D1228" t="s">
        <v>2098</v>
      </c>
      <c r="E1228" t="s">
        <v>41</v>
      </c>
      <c r="F1228" t="s">
        <v>42</v>
      </c>
      <c r="G1228" t="s">
        <v>34</v>
      </c>
      <c r="H1228" t="s">
        <v>158</v>
      </c>
      <c r="I1228">
        <v>8</v>
      </c>
      <c r="J1228">
        <v>95000</v>
      </c>
      <c r="K1228">
        <v>67900</v>
      </c>
      <c r="L1228" t="s">
        <v>80</v>
      </c>
      <c r="M1228" t="s">
        <v>37</v>
      </c>
      <c r="N1228" t="s">
        <v>23</v>
      </c>
      <c r="O1228" t="s">
        <v>24</v>
      </c>
      <c r="P1228">
        <f>Tableau1_2[[#This Row],[Quantité]]*Tableau1_2[[#This Row],[Prix_Unitaire]]</f>
        <v>760000</v>
      </c>
      <c r="Q1228">
        <f>Tableau1_2[[#This Row],[Quantité]]*Tableau1_2[[#This Row],[Coût_Unitaire]]</f>
        <v>543200</v>
      </c>
      <c r="R1228">
        <f>Tableau1_2[[#This Row],[CA]]-Tableau1_2[[#This Row],[Cout Total]]</f>
        <v>216800</v>
      </c>
      <c r="S1228" s="4">
        <f>Tableau1_2[[#This Row],[Marge]]/Tableau1_2[[#This Row],[CA]]</f>
        <v>0.28526315789473683</v>
      </c>
      <c r="T1228" t="str">
        <f>TEXT(Tableau1_2[[#This Row],[Date]],"mmmm")</f>
        <v>février</v>
      </c>
    </row>
    <row r="1229" spans="1:20" x14ac:dyDescent="0.35">
      <c r="A1229" t="s">
        <v>2219</v>
      </c>
      <c r="B1229" s="2">
        <v>46236</v>
      </c>
      <c r="C1229" t="s">
        <v>1743</v>
      </c>
      <c r="D1229" t="s">
        <v>1546</v>
      </c>
      <c r="E1229" t="s">
        <v>18</v>
      </c>
      <c r="F1229" t="s">
        <v>18</v>
      </c>
      <c r="G1229" t="s">
        <v>34</v>
      </c>
      <c r="H1229" t="s">
        <v>95</v>
      </c>
      <c r="I1229">
        <v>7</v>
      </c>
      <c r="J1229">
        <v>450000</v>
      </c>
      <c r="K1229">
        <v>358900</v>
      </c>
      <c r="L1229" t="s">
        <v>96</v>
      </c>
      <c r="M1229" t="s">
        <v>51</v>
      </c>
      <c r="N1229" t="s">
        <v>87</v>
      </c>
      <c r="O1229" t="s">
        <v>45</v>
      </c>
      <c r="P1229">
        <f>Tableau1_2[[#This Row],[Quantité]]*Tableau1_2[[#This Row],[Prix_Unitaire]]</f>
        <v>3150000</v>
      </c>
      <c r="Q1229">
        <f>Tableau1_2[[#This Row],[Quantité]]*Tableau1_2[[#This Row],[Coût_Unitaire]]</f>
        <v>2512300</v>
      </c>
      <c r="R1229">
        <f>Tableau1_2[[#This Row],[CA]]-Tableau1_2[[#This Row],[Cout Total]]</f>
        <v>637700</v>
      </c>
      <c r="S1229" s="4">
        <f>Tableau1_2[[#This Row],[Marge]]/Tableau1_2[[#This Row],[CA]]</f>
        <v>0.20244444444444445</v>
      </c>
      <c r="T1229" t="str">
        <f>TEXT(Tableau1_2[[#This Row],[Date]],"mmmm")</f>
        <v>août</v>
      </c>
    </row>
    <row r="1230" spans="1:20" x14ac:dyDescent="0.35">
      <c r="A1230" t="s">
        <v>2220</v>
      </c>
      <c r="B1230" s="2">
        <v>46113</v>
      </c>
      <c r="C1230" t="s">
        <v>836</v>
      </c>
      <c r="D1230" t="s">
        <v>417</v>
      </c>
      <c r="E1230" t="s">
        <v>18</v>
      </c>
      <c r="F1230" t="s">
        <v>18</v>
      </c>
      <c r="G1230" t="s">
        <v>19</v>
      </c>
      <c r="H1230" t="s">
        <v>166</v>
      </c>
      <c r="I1230">
        <v>2</v>
      </c>
      <c r="J1230">
        <v>147000</v>
      </c>
      <c r="K1230">
        <v>100000</v>
      </c>
      <c r="L1230" t="s">
        <v>30</v>
      </c>
      <c r="M1230" t="s">
        <v>37</v>
      </c>
      <c r="N1230" t="s">
        <v>87</v>
      </c>
      <c r="O1230" t="s">
        <v>24</v>
      </c>
      <c r="P1230">
        <f>Tableau1_2[[#This Row],[Quantité]]*Tableau1_2[[#This Row],[Prix_Unitaire]]</f>
        <v>294000</v>
      </c>
      <c r="Q1230">
        <f>Tableau1_2[[#This Row],[Quantité]]*Tableau1_2[[#This Row],[Coût_Unitaire]]</f>
        <v>200000</v>
      </c>
      <c r="R1230">
        <f>Tableau1_2[[#This Row],[CA]]-Tableau1_2[[#This Row],[Cout Total]]</f>
        <v>94000</v>
      </c>
      <c r="S1230" s="4">
        <f>Tableau1_2[[#This Row],[Marge]]/Tableau1_2[[#This Row],[CA]]</f>
        <v>0.31972789115646261</v>
      </c>
      <c r="T1230" t="str">
        <f>TEXT(Tableau1_2[[#This Row],[Date]],"mmmm")</f>
        <v>avril</v>
      </c>
    </row>
    <row r="1231" spans="1:20" x14ac:dyDescent="0.35">
      <c r="A1231" t="s">
        <v>2221</v>
      </c>
      <c r="B1231" s="2">
        <v>46314</v>
      </c>
      <c r="C1231" t="s">
        <v>532</v>
      </c>
      <c r="D1231" t="s">
        <v>992</v>
      </c>
      <c r="E1231" t="s">
        <v>18</v>
      </c>
      <c r="F1231" t="s">
        <v>18</v>
      </c>
      <c r="G1231" t="s">
        <v>28</v>
      </c>
      <c r="H1231" t="s">
        <v>72</v>
      </c>
      <c r="I1231">
        <v>9</v>
      </c>
      <c r="J1231">
        <v>10500</v>
      </c>
      <c r="K1231">
        <v>6200</v>
      </c>
      <c r="L1231" t="s">
        <v>66</v>
      </c>
      <c r="M1231" t="s">
        <v>51</v>
      </c>
      <c r="N1231" t="s">
        <v>23</v>
      </c>
      <c r="O1231" t="s">
        <v>24</v>
      </c>
      <c r="P1231">
        <f>Tableau1_2[[#This Row],[Quantité]]*Tableau1_2[[#This Row],[Prix_Unitaire]]</f>
        <v>94500</v>
      </c>
      <c r="Q1231">
        <f>Tableau1_2[[#This Row],[Quantité]]*Tableau1_2[[#This Row],[Coût_Unitaire]]</f>
        <v>55800</v>
      </c>
      <c r="R1231">
        <f>Tableau1_2[[#This Row],[CA]]-Tableau1_2[[#This Row],[Cout Total]]</f>
        <v>38700</v>
      </c>
      <c r="S1231" s="4">
        <f>Tableau1_2[[#This Row],[Marge]]/Tableau1_2[[#This Row],[CA]]</f>
        <v>0.40952380952380951</v>
      </c>
      <c r="T1231" t="str">
        <f>TEXT(Tableau1_2[[#This Row],[Date]],"mmmm")</f>
        <v>octobre</v>
      </c>
    </row>
    <row r="1232" spans="1:20" x14ac:dyDescent="0.35">
      <c r="A1232" t="s">
        <v>2224</v>
      </c>
      <c r="B1232" s="2">
        <v>46350</v>
      </c>
      <c r="C1232" t="s">
        <v>962</v>
      </c>
      <c r="D1232" t="s">
        <v>1251</v>
      </c>
      <c r="E1232" t="s">
        <v>18</v>
      </c>
      <c r="F1232" t="s">
        <v>18</v>
      </c>
      <c r="G1232" t="s">
        <v>28</v>
      </c>
      <c r="H1232" t="s">
        <v>29</v>
      </c>
      <c r="I1232">
        <v>5</v>
      </c>
      <c r="J1232">
        <v>7400</v>
      </c>
      <c r="K1232">
        <v>4100</v>
      </c>
      <c r="L1232" t="s">
        <v>96</v>
      </c>
      <c r="M1232" t="s">
        <v>31</v>
      </c>
      <c r="N1232" t="s">
        <v>52</v>
      </c>
      <c r="O1232" t="s">
        <v>45</v>
      </c>
      <c r="P1232">
        <f>Tableau1_2[[#This Row],[Quantité]]*Tableau1_2[[#This Row],[Prix_Unitaire]]</f>
        <v>37000</v>
      </c>
      <c r="Q1232">
        <f>Tableau1_2[[#This Row],[Quantité]]*Tableau1_2[[#This Row],[Coût_Unitaire]]</f>
        <v>20500</v>
      </c>
      <c r="R1232">
        <f>Tableau1_2[[#This Row],[CA]]-Tableau1_2[[#This Row],[Cout Total]]</f>
        <v>16500</v>
      </c>
      <c r="S1232" s="4">
        <f>Tableau1_2[[#This Row],[Marge]]/Tableau1_2[[#This Row],[CA]]</f>
        <v>0.44594594594594594</v>
      </c>
      <c r="T1232" t="str">
        <f>TEXT(Tableau1_2[[#This Row],[Date]],"mmmm")</f>
        <v>novembre</v>
      </c>
    </row>
    <row r="1233" spans="1:20" x14ac:dyDescent="0.35">
      <c r="A1233" t="s">
        <v>2225</v>
      </c>
      <c r="B1233" s="2">
        <v>46385</v>
      </c>
      <c r="C1233" t="s">
        <v>1245</v>
      </c>
      <c r="D1233" t="s">
        <v>1297</v>
      </c>
      <c r="E1233" t="s">
        <v>18</v>
      </c>
      <c r="F1233" t="s">
        <v>18</v>
      </c>
      <c r="G1233" t="s">
        <v>28</v>
      </c>
      <c r="H1233" t="s">
        <v>72</v>
      </c>
      <c r="I1233">
        <v>7</v>
      </c>
      <c r="J1233">
        <v>9500</v>
      </c>
      <c r="K1233">
        <v>6400</v>
      </c>
      <c r="L1233" t="s">
        <v>21</v>
      </c>
      <c r="M1233" t="s">
        <v>51</v>
      </c>
      <c r="N1233" t="s">
        <v>23</v>
      </c>
      <c r="O1233" t="s">
        <v>24</v>
      </c>
      <c r="P1233">
        <f>Tableau1_2[[#This Row],[Quantité]]*Tableau1_2[[#This Row],[Prix_Unitaire]]</f>
        <v>66500</v>
      </c>
      <c r="Q1233">
        <f>Tableau1_2[[#This Row],[Quantité]]*Tableau1_2[[#This Row],[Coût_Unitaire]]</f>
        <v>44800</v>
      </c>
      <c r="R1233">
        <f>Tableau1_2[[#This Row],[CA]]-Tableau1_2[[#This Row],[Cout Total]]</f>
        <v>21700</v>
      </c>
      <c r="S1233" s="4">
        <f>Tableau1_2[[#This Row],[Marge]]/Tableau1_2[[#This Row],[CA]]</f>
        <v>0.32631578947368423</v>
      </c>
      <c r="T1233" t="str">
        <f>TEXT(Tableau1_2[[#This Row],[Date]],"mmmm")</f>
        <v>décembre</v>
      </c>
    </row>
    <row r="1234" spans="1:20" x14ac:dyDescent="0.35">
      <c r="A1234" t="s">
        <v>2226</v>
      </c>
      <c r="B1234" s="2">
        <v>46181</v>
      </c>
      <c r="C1234" t="s">
        <v>1565</v>
      </c>
      <c r="D1234" t="s">
        <v>1059</v>
      </c>
      <c r="E1234" t="s">
        <v>18</v>
      </c>
      <c r="F1234" t="s">
        <v>18</v>
      </c>
      <c r="G1234" t="s">
        <v>28</v>
      </c>
      <c r="H1234" t="s">
        <v>248</v>
      </c>
      <c r="I1234">
        <v>1</v>
      </c>
      <c r="J1234">
        <v>23800</v>
      </c>
      <c r="K1234">
        <v>15500</v>
      </c>
      <c r="L1234" t="s">
        <v>73</v>
      </c>
      <c r="M1234" t="s">
        <v>22</v>
      </c>
      <c r="N1234" t="s">
        <v>23</v>
      </c>
      <c r="O1234" t="s">
        <v>24</v>
      </c>
      <c r="P1234">
        <f>Tableau1_2[[#This Row],[Quantité]]*Tableau1_2[[#This Row],[Prix_Unitaire]]</f>
        <v>23800</v>
      </c>
      <c r="Q1234">
        <f>Tableau1_2[[#This Row],[Quantité]]*Tableau1_2[[#This Row],[Coût_Unitaire]]</f>
        <v>15500</v>
      </c>
      <c r="R1234">
        <f>Tableau1_2[[#This Row],[CA]]-Tableau1_2[[#This Row],[Cout Total]]</f>
        <v>8300</v>
      </c>
      <c r="S1234" s="4">
        <f>Tableau1_2[[#This Row],[Marge]]/Tableau1_2[[#This Row],[CA]]</f>
        <v>0.34873949579831931</v>
      </c>
      <c r="T1234" t="str">
        <f>TEXT(Tableau1_2[[#This Row],[Date]],"mmmm")</f>
        <v>juin</v>
      </c>
    </row>
    <row r="1235" spans="1:20" x14ac:dyDescent="0.35">
      <c r="A1235" t="s">
        <v>2227</v>
      </c>
      <c r="B1235" s="2">
        <v>46367</v>
      </c>
      <c r="C1235" t="s">
        <v>1481</v>
      </c>
      <c r="D1235" t="s">
        <v>779</v>
      </c>
      <c r="E1235" t="s">
        <v>156</v>
      </c>
      <c r="F1235" t="s">
        <v>170</v>
      </c>
      <c r="G1235" t="s">
        <v>34</v>
      </c>
      <c r="H1235" t="s">
        <v>158</v>
      </c>
      <c r="I1235">
        <v>6</v>
      </c>
      <c r="J1235">
        <v>90200</v>
      </c>
      <c r="K1235">
        <v>67900</v>
      </c>
      <c r="L1235" t="s">
        <v>66</v>
      </c>
      <c r="M1235" t="s">
        <v>51</v>
      </c>
      <c r="N1235" t="s">
        <v>87</v>
      </c>
      <c r="O1235" t="s">
        <v>24</v>
      </c>
      <c r="P1235">
        <f>Tableau1_2[[#This Row],[Quantité]]*Tableau1_2[[#This Row],[Prix_Unitaire]]</f>
        <v>541200</v>
      </c>
      <c r="Q1235">
        <f>Tableau1_2[[#This Row],[Quantité]]*Tableau1_2[[#This Row],[Coût_Unitaire]]</f>
        <v>407400</v>
      </c>
      <c r="R1235">
        <f>Tableau1_2[[#This Row],[CA]]-Tableau1_2[[#This Row],[Cout Total]]</f>
        <v>133800</v>
      </c>
      <c r="S1235" s="4">
        <f>Tableau1_2[[#This Row],[Marge]]/Tableau1_2[[#This Row],[CA]]</f>
        <v>0.24722838137472283</v>
      </c>
      <c r="T1235" t="str">
        <f>TEXT(Tableau1_2[[#This Row],[Date]],"mmmm")</f>
        <v>décembre</v>
      </c>
    </row>
    <row r="1236" spans="1:20" x14ac:dyDescent="0.35">
      <c r="A1236" t="s">
        <v>2228</v>
      </c>
      <c r="B1236" s="2">
        <v>46074</v>
      </c>
      <c r="C1236" t="s">
        <v>228</v>
      </c>
      <c r="D1236" t="s">
        <v>1471</v>
      </c>
      <c r="E1236" t="s">
        <v>18</v>
      </c>
      <c r="F1236" t="s">
        <v>18</v>
      </c>
      <c r="G1236" t="s">
        <v>28</v>
      </c>
      <c r="H1236" t="s">
        <v>131</v>
      </c>
      <c r="I1236">
        <v>9</v>
      </c>
      <c r="J1236">
        <v>30000</v>
      </c>
      <c r="K1236">
        <v>18400</v>
      </c>
      <c r="L1236" t="s">
        <v>36</v>
      </c>
      <c r="M1236" t="s">
        <v>31</v>
      </c>
      <c r="N1236" t="s">
        <v>23</v>
      </c>
      <c r="O1236" t="s">
        <v>24</v>
      </c>
      <c r="P1236">
        <f>Tableau1_2[[#This Row],[Quantité]]*Tableau1_2[[#This Row],[Prix_Unitaire]]</f>
        <v>270000</v>
      </c>
      <c r="Q1236">
        <f>Tableau1_2[[#This Row],[Quantité]]*Tableau1_2[[#This Row],[Coût_Unitaire]]</f>
        <v>165600</v>
      </c>
      <c r="R1236">
        <f>Tableau1_2[[#This Row],[CA]]-Tableau1_2[[#This Row],[Cout Total]]</f>
        <v>104400</v>
      </c>
      <c r="S1236" s="4">
        <f>Tableau1_2[[#This Row],[Marge]]/Tableau1_2[[#This Row],[CA]]</f>
        <v>0.38666666666666666</v>
      </c>
      <c r="T1236" t="str">
        <f>TEXT(Tableau1_2[[#This Row],[Date]],"mmmm")</f>
        <v>février</v>
      </c>
    </row>
    <row r="1237" spans="1:20" x14ac:dyDescent="0.35">
      <c r="A1237" t="s">
        <v>2229</v>
      </c>
      <c r="B1237" s="2">
        <v>46242</v>
      </c>
      <c r="C1237" t="s">
        <v>941</v>
      </c>
      <c r="D1237" t="s">
        <v>194</v>
      </c>
      <c r="E1237" t="s">
        <v>41</v>
      </c>
      <c r="F1237" t="s">
        <v>42</v>
      </c>
      <c r="G1237" t="s">
        <v>19</v>
      </c>
      <c r="H1237" t="s">
        <v>112</v>
      </c>
      <c r="I1237">
        <v>5</v>
      </c>
      <c r="J1237">
        <v>80800</v>
      </c>
      <c r="K1237">
        <v>60100</v>
      </c>
      <c r="L1237" t="s">
        <v>36</v>
      </c>
      <c r="M1237" t="s">
        <v>37</v>
      </c>
      <c r="N1237" t="s">
        <v>52</v>
      </c>
      <c r="O1237" t="s">
        <v>45</v>
      </c>
      <c r="P1237">
        <f>Tableau1_2[[#This Row],[Quantité]]*Tableau1_2[[#This Row],[Prix_Unitaire]]</f>
        <v>404000</v>
      </c>
      <c r="Q1237">
        <f>Tableau1_2[[#This Row],[Quantité]]*Tableau1_2[[#This Row],[Coût_Unitaire]]</f>
        <v>300500</v>
      </c>
      <c r="R1237">
        <f>Tableau1_2[[#This Row],[CA]]-Tableau1_2[[#This Row],[Cout Total]]</f>
        <v>103500</v>
      </c>
      <c r="S1237" s="4">
        <f>Tableau1_2[[#This Row],[Marge]]/Tableau1_2[[#This Row],[CA]]</f>
        <v>0.25618811881188119</v>
      </c>
      <c r="T1237" t="str">
        <f>TEXT(Tableau1_2[[#This Row],[Date]],"mmmm")</f>
        <v>août</v>
      </c>
    </row>
    <row r="1238" spans="1:20" x14ac:dyDescent="0.35">
      <c r="A1238" t="s">
        <v>2230</v>
      </c>
      <c r="B1238" s="2">
        <v>46130</v>
      </c>
      <c r="C1238" t="s">
        <v>347</v>
      </c>
      <c r="D1238" t="s">
        <v>549</v>
      </c>
      <c r="E1238" t="s">
        <v>18</v>
      </c>
      <c r="F1238" t="s">
        <v>18</v>
      </c>
      <c r="G1238" t="s">
        <v>34</v>
      </c>
      <c r="H1238" t="s">
        <v>35</v>
      </c>
      <c r="I1238">
        <v>6</v>
      </c>
      <c r="J1238">
        <v>57800</v>
      </c>
      <c r="K1238">
        <v>37800</v>
      </c>
      <c r="L1238" t="s">
        <v>96</v>
      </c>
      <c r="M1238" t="s">
        <v>51</v>
      </c>
      <c r="N1238" t="s">
        <v>23</v>
      </c>
      <c r="O1238" t="s">
        <v>45</v>
      </c>
      <c r="P1238">
        <f>Tableau1_2[[#This Row],[Quantité]]*Tableau1_2[[#This Row],[Prix_Unitaire]]</f>
        <v>346800</v>
      </c>
      <c r="Q1238">
        <f>Tableau1_2[[#This Row],[Quantité]]*Tableau1_2[[#This Row],[Coût_Unitaire]]</f>
        <v>226800</v>
      </c>
      <c r="R1238">
        <f>Tableau1_2[[#This Row],[CA]]-Tableau1_2[[#This Row],[Cout Total]]</f>
        <v>120000</v>
      </c>
      <c r="S1238" s="4">
        <f>Tableau1_2[[#This Row],[Marge]]/Tableau1_2[[#This Row],[CA]]</f>
        <v>0.34602076124567471</v>
      </c>
      <c r="T1238" t="str">
        <f>TEXT(Tableau1_2[[#This Row],[Date]],"mmmm")</f>
        <v>avril</v>
      </c>
    </row>
    <row r="1239" spans="1:20" x14ac:dyDescent="0.35">
      <c r="A1239" t="s">
        <v>2231</v>
      </c>
      <c r="B1239" s="2">
        <v>46249</v>
      </c>
      <c r="C1239" t="s">
        <v>896</v>
      </c>
      <c r="D1239" t="s">
        <v>244</v>
      </c>
      <c r="E1239" t="s">
        <v>190</v>
      </c>
      <c r="F1239" t="s">
        <v>191</v>
      </c>
      <c r="G1239" t="s">
        <v>34</v>
      </c>
      <c r="H1239" t="s">
        <v>86</v>
      </c>
      <c r="I1239">
        <v>2</v>
      </c>
      <c r="J1239">
        <v>180000</v>
      </c>
      <c r="K1239">
        <v>131000</v>
      </c>
      <c r="L1239" t="s">
        <v>50</v>
      </c>
      <c r="M1239" t="s">
        <v>51</v>
      </c>
      <c r="N1239" t="s">
        <v>23</v>
      </c>
      <c r="O1239" t="s">
        <v>24</v>
      </c>
      <c r="P1239">
        <f>Tableau1_2[[#This Row],[Quantité]]*Tableau1_2[[#This Row],[Prix_Unitaire]]</f>
        <v>360000</v>
      </c>
      <c r="Q1239">
        <f>Tableau1_2[[#This Row],[Quantité]]*Tableau1_2[[#This Row],[Coût_Unitaire]]</f>
        <v>262000</v>
      </c>
      <c r="R1239">
        <f>Tableau1_2[[#This Row],[CA]]-Tableau1_2[[#This Row],[Cout Total]]</f>
        <v>98000</v>
      </c>
      <c r="S1239" s="4">
        <f>Tableau1_2[[#This Row],[Marge]]/Tableau1_2[[#This Row],[CA]]</f>
        <v>0.2722222222222222</v>
      </c>
      <c r="T1239" t="str">
        <f>TEXT(Tableau1_2[[#This Row],[Date]],"mmmm")</f>
        <v>août</v>
      </c>
    </row>
    <row r="1240" spans="1:20" x14ac:dyDescent="0.35">
      <c r="A1240" t="s">
        <v>2232</v>
      </c>
      <c r="B1240" s="2">
        <v>46048</v>
      </c>
      <c r="C1240" t="s">
        <v>2233</v>
      </c>
      <c r="D1240" t="s">
        <v>1251</v>
      </c>
      <c r="E1240" t="s">
        <v>190</v>
      </c>
      <c r="F1240" t="s">
        <v>191</v>
      </c>
      <c r="G1240" t="s">
        <v>43</v>
      </c>
      <c r="H1240" t="s">
        <v>162</v>
      </c>
      <c r="I1240">
        <v>7</v>
      </c>
      <c r="J1240">
        <v>8000</v>
      </c>
      <c r="K1240">
        <v>5200</v>
      </c>
      <c r="L1240" t="s">
        <v>96</v>
      </c>
      <c r="M1240" t="s">
        <v>51</v>
      </c>
      <c r="N1240" t="s">
        <v>52</v>
      </c>
      <c r="O1240" t="s">
        <v>24</v>
      </c>
      <c r="P1240">
        <f>Tableau1_2[[#This Row],[Quantité]]*Tableau1_2[[#This Row],[Prix_Unitaire]]</f>
        <v>56000</v>
      </c>
      <c r="Q1240">
        <f>Tableau1_2[[#This Row],[Quantité]]*Tableau1_2[[#This Row],[Coût_Unitaire]]</f>
        <v>36400</v>
      </c>
      <c r="R1240">
        <f>Tableau1_2[[#This Row],[CA]]-Tableau1_2[[#This Row],[Cout Total]]</f>
        <v>19600</v>
      </c>
      <c r="S1240" s="4">
        <f>Tableau1_2[[#This Row],[Marge]]/Tableau1_2[[#This Row],[CA]]</f>
        <v>0.35</v>
      </c>
      <c r="T1240" t="str">
        <f>TEXT(Tableau1_2[[#This Row],[Date]],"mmmm")</f>
        <v>janvier</v>
      </c>
    </row>
    <row r="1241" spans="1:20" x14ac:dyDescent="0.35">
      <c r="A1241" t="s">
        <v>2234</v>
      </c>
      <c r="B1241" s="2">
        <v>46300</v>
      </c>
      <c r="C1241" t="s">
        <v>272</v>
      </c>
      <c r="D1241" t="s">
        <v>535</v>
      </c>
      <c r="E1241" t="s">
        <v>18</v>
      </c>
      <c r="F1241" t="s">
        <v>18</v>
      </c>
      <c r="G1241" t="s">
        <v>43</v>
      </c>
      <c r="H1241" t="s">
        <v>44</v>
      </c>
      <c r="I1241">
        <v>6</v>
      </c>
      <c r="J1241">
        <v>14200</v>
      </c>
      <c r="K1241">
        <v>9200</v>
      </c>
      <c r="L1241" t="s">
        <v>80</v>
      </c>
      <c r="M1241" t="s">
        <v>31</v>
      </c>
      <c r="N1241" t="s">
        <v>23</v>
      </c>
      <c r="O1241" t="s">
        <v>24</v>
      </c>
      <c r="P1241">
        <f>Tableau1_2[[#This Row],[Quantité]]*Tableau1_2[[#This Row],[Prix_Unitaire]]</f>
        <v>85200</v>
      </c>
      <c r="Q1241">
        <f>Tableau1_2[[#This Row],[Quantité]]*Tableau1_2[[#This Row],[Coût_Unitaire]]</f>
        <v>55200</v>
      </c>
      <c r="R1241">
        <f>Tableau1_2[[#This Row],[CA]]-Tableau1_2[[#This Row],[Cout Total]]</f>
        <v>30000</v>
      </c>
      <c r="S1241" s="4">
        <f>Tableau1_2[[#This Row],[Marge]]/Tableau1_2[[#This Row],[CA]]</f>
        <v>0.352112676056338</v>
      </c>
      <c r="T1241" t="str">
        <f>TEXT(Tableau1_2[[#This Row],[Date]],"mmmm")</f>
        <v>octobre</v>
      </c>
    </row>
    <row r="1242" spans="1:20" x14ac:dyDescent="0.35">
      <c r="A1242" t="s">
        <v>2235</v>
      </c>
      <c r="B1242" s="2">
        <v>46361</v>
      </c>
      <c r="C1242" t="s">
        <v>2236</v>
      </c>
      <c r="D1242" t="s">
        <v>833</v>
      </c>
      <c r="E1242" t="s">
        <v>56</v>
      </c>
      <c r="F1242" t="s">
        <v>57</v>
      </c>
      <c r="G1242" t="s">
        <v>28</v>
      </c>
      <c r="H1242" t="s">
        <v>248</v>
      </c>
      <c r="I1242">
        <v>9</v>
      </c>
      <c r="J1242">
        <v>25000</v>
      </c>
      <c r="K1242">
        <v>16500</v>
      </c>
      <c r="L1242" t="s">
        <v>66</v>
      </c>
      <c r="M1242" t="s">
        <v>22</v>
      </c>
      <c r="N1242" t="s">
        <v>23</v>
      </c>
      <c r="O1242" t="s">
        <v>91</v>
      </c>
      <c r="P1242">
        <f>Tableau1_2[[#This Row],[Quantité]]*Tableau1_2[[#This Row],[Prix_Unitaire]]</f>
        <v>225000</v>
      </c>
      <c r="Q1242">
        <f>Tableau1_2[[#This Row],[Quantité]]*Tableau1_2[[#This Row],[Coût_Unitaire]]</f>
        <v>148500</v>
      </c>
      <c r="R1242">
        <f>Tableau1_2[[#This Row],[CA]]-Tableau1_2[[#This Row],[Cout Total]]</f>
        <v>76500</v>
      </c>
      <c r="S1242" s="4">
        <f>Tableau1_2[[#This Row],[Marge]]/Tableau1_2[[#This Row],[CA]]</f>
        <v>0.34</v>
      </c>
      <c r="T1242" t="str">
        <f>TEXT(Tableau1_2[[#This Row],[Date]],"mmmm")</f>
        <v>décembre</v>
      </c>
    </row>
    <row r="1243" spans="1:20" x14ac:dyDescent="0.35">
      <c r="A1243" t="s">
        <v>2237</v>
      </c>
      <c r="B1243" s="2">
        <v>46269</v>
      </c>
      <c r="C1243" t="s">
        <v>830</v>
      </c>
      <c r="D1243" t="s">
        <v>1272</v>
      </c>
      <c r="E1243" t="s">
        <v>56</v>
      </c>
      <c r="F1243" t="s">
        <v>57</v>
      </c>
      <c r="G1243" t="s">
        <v>19</v>
      </c>
      <c r="H1243" t="s">
        <v>112</v>
      </c>
      <c r="I1243">
        <v>7</v>
      </c>
      <c r="J1243">
        <v>89200</v>
      </c>
      <c r="K1243">
        <v>62000</v>
      </c>
      <c r="L1243" t="s">
        <v>50</v>
      </c>
      <c r="M1243" t="s">
        <v>37</v>
      </c>
      <c r="N1243" t="s">
        <v>87</v>
      </c>
      <c r="O1243" t="s">
        <v>45</v>
      </c>
      <c r="P1243">
        <f>Tableau1_2[[#This Row],[Quantité]]*Tableau1_2[[#This Row],[Prix_Unitaire]]</f>
        <v>624400</v>
      </c>
      <c r="Q1243">
        <f>Tableau1_2[[#This Row],[Quantité]]*Tableau1_2[[#This Row],[Coût_Unitaire]]</f>
        <v>434000</v>
      </c>
      <c r="R1243">
        <f>Tableau1_2[[#This Row],[CA]]-Tableau1_2[[#This Row],[Cout Total]]</f>
        <v>190400</v>
      </c>
      <c r="S1243" s="4">
        <f>Tableau1_2[[#This Row],[Marge]]/Tableau1_2[[#This Row],[CA]]</f>
        <v>0.30493273542600896</v>
      </c>
      <c r="T1243" t="str">
        <f>TEXT(Tableau1_2[[#This Row],[Date]],"mmmm")</f>
        <v>septembre</v>
      </c>
    </row>
    <row r="1244" spans="1:20" x14ac:dyDescent="0.35">
      <c r="A1244" t="s">
        <v>2238</v>
      </c>
      <c r="B1244" s="2">
        <v>46215</v>
      </c>
      <c r="C1244" t="s">
        <v>179</v>
      </c>
      <c r="D1244" t="s">
        <v>1197</v>
      </c>
      <c r="E1244" t="s">
        <v>156</v>
      </c>
      <c r="F1244" t="s">
        <v>157</v>
      </c>
      <c r="G1244" t="s">
        <v>34</v>
      </c>
      <c r="H1244" t="s">
        <v>35</v>
      </c>
      <c r="I1244">
        <v>3</v>
      </c>
      <c r="J1244">
        <v>52200</v>
      </c>
      <c r="K1244">
        <v>40200</v>
      </c>
      <c r="L1244" t="s">
        <v>73</v>
      </c>
      <c r="M1244" t="s">
        <v>37</v>
      </c>
      <c r="N1244" t="s">
        <v>52</v>
      </c>
      <c r="O1244" t="s">
        <v>91</v>
      </c>
      <c r="P1244">
        <f>Tableau1_2[[#This Row],[Quantité]]*Tableau1_2[[#This Row],[Prix_Unitaire]]</f>
        <v>156600</v>
      </c>
      <c r="Q1244">
        <f>Tableau1_2[[#This Row],[Quantité]]*Tableau1_2[[#This Row],[Coût_Unitaire]]</f>
        <v>120600</v>
      </c>
      <c r="R1244">
        <f>Tableau1_2[[#This Row],[CA]]-Tableau1_2[[#This Row],[Cout Total]]</f>
        <v>36000</v>
      </c>
      <c r="S1244" s="4">
        <f>Tableau1_2[[#This Row],[Marge]]/Tableau1_2[[#This Row],[CA]]</f>
        <v>0.22988505747126436</v>
      </c>
      <c r="T1244" t="str">
        <f>TEXT(Tableau1_2[[#This Row],[Date]],"mmmm")</f>
        <v>juillet</v>
      </c>
    </row>
    <row r="1245" spans="1:20" x14ac:dyDescent="0.35">
      <c r="A1245" t="s">
        <v>2239</v>
      </c>
      <c r="B1245" s="2">
        <v>46314</v>
      </c>
      <c r="C1245" t="s">
        <v>258</v>
      </c>
      <c r="D1245" t="s">
        <v>173</v>
      </c>
      <c r="E1245" t="s">
        <v>56</v>
      </c>
      <c r="F1245" t="s">
        <v>57</v>
      </c>
      <c r="G1245" t="s">
        <v>19</v>
      </c>
      <c r="H1245" t="s">
        <v>61</v>
      </c>
      <c r="I1245">
        <v>2</v>
      </c>
      <c r="J1245">
        <v>209000</v>
      </c>
      <c r="K1245">
        <v>164800</v>
      </c>
      <c r="L1245" t="s">
        <v>21</v>
      </c>
      <c r="M1245" t="s">
        <v>51</v>
      </c>
      <c r="N1245" t="s">
        <v>23</v>
      </c>
      <c r="O1245" t="s">
        <v>24</v>
      </c>
      <c r="P1245">
        <f>Tableau1_2[[#This Row],[Quantité]]*Tableau1_2[[#This Row],[Prix_Unitaire]]</f>
        <v>418000</v>
      </c>
      <c r="Q1245">
        <f>Tableau1_2[[#This Row],[Quantité]]*Tableau1_2[[#This Row],[Coût_Unitaire]]</f>
        <v>329600</v>
      </c>
      <c r="R1245">
        <f>Tableau1_2[[#This Row],[CA]]-Tableau1_2[[#This Row],[Cout Total]]</f>
        <v>88400</v>
      </c>
      <c r="S1245" s="4">
        <f>Tableau1_2[[#This Row],[Marge]]/Tableau1_2[[#This Row],[CA]]</f>
        <v>0.21148325358851675</v>
      </c>
      <c r="T1245" t="str">
        <f>TEXT(Tableau1_2[[#This Row],[Date]],"mmmm")</f>
        <v>octobre</v>
      </c>
    </row>
    <row r="1246" spans="1:20" x14ac:dyDescent="0.35">
      <c r="A1246" t="s">
        <v>2240</v>
      </c>
      <c r="B1246" s="2">
        <v>46202</v>
      </c>
      <c r="C1246" t="s">
        <v>93</v>
      </c>
      <c r="D1246" t="s">
        <v>731</v>
      </c>
      <c r="E1246" t="s">
        <v>156</v>
      </c>
      <c r="F1246" t="s">
        <v>157</v>
      </c>
      <c r="G1246" t="s">
        <v>19</v>
      </c>
      <c r="H1246" t="s">
        <v>112</v>
      </c>
      <c r="I1246">
        <v>2</v>
      </c>
      <c r="J1246">
        <v>85000</v>
      </c>
      <c r="K1246">
        <v>62000</v>
      </c>
      <c r="L1246" t="s">
        <v>73</v>
      </c>
      <c r="M1246" t="s">
        <v>37</v>
      </c>
      <c r="N1246" t="s">
        <v>52</v>
      </c>
      <c r="O1246" t="s">
        <v>45</v>
      </c>
      <c r="P1246">
        <f>Tableau1_2[[#This Row],[Quantité]]*Tableau1_2[[#This Row],[Prix_Unitaire]]</f>
        <v>170000</v>
      </c>
      <c r="Q1246">
        <f>Tableau1_2[[#This Row],[Quantité]]*Tableau1_2[[#This Row],[Coût_Unitaire]]</f>
        <v>124000</v>
      </c>
      <c r="R1246">
        <f>Tableau1_2[[#This Row],[CA]]-Tableau1_2[[#This Row],[Cout Total]]</f>
        <v>46000</v>
      </c>
      <c r="S1246" s="4">
        <f>Tableau1_2[[#This Row],[Marge]]/Tableau1_2[[#This Row],[CA]]</f>
        <v>0.27058823529411763</v>
      </c>
      <c r="T1246" t="str">
        <f>TEXT(Tableau1_2[[#This Row],[Date]],"mmmm")</f>
        <v>juin</v>
      </c>
    </row>
    <row r="1247" spans="1:20" x14ac:dyDescent="0.35">
      <c r="A1247" t="s">
        <v>2241</v>
      </c>
      <c r="B1247" s="2">
        <v>46308</v>
      </c>
      <c r="C1247" t="s">
        <v>523</v>
      </c>
      <c r="D1247" t="s">
        <v>859</v>
      </c>
      <c r="E1247" t="s">
        <v>77</v>
      </c>
      <c r="F1247" t="s">
        <v>78</v>
      </c>
      <c r="G1247" t="s">
        <v>43</v>
      </c>
      <c r="H1247" t="s">
        <v>44</v>
      </c>
      <c r="I1247">
        <v>4</v>
      </c>
      <c r="J1247">
        <v>14200</v>
      </c>
      <c r="K1247">
        <v>9800</v>
      </c>
      <c r="L1247" t="s">
        <v>36</v>
      </c>
      <c r="M1247" t="s">
        <v>31</v>
      </c>
      <c r="N1247" t="s">
        <v>52</v>
      </c>
      <c r="O1247" t="s">
        <v>24</v>
      </c>
      <c r="P1247">
        <f>Tableau1_2[[#This Row],[Quantité]]*Tableau1_2[[#This Row],[Prix_Unitaire]]</f>
        <v>56800</v>
      </c>
      <c r="Q1247">
        <f>Tableau1_2[[#This Row],[Quantité]]*Tableau1_2[[#This Row],[Coût_Unitaire]]</f>
        <v>39200</v>
      </c>
      <c r="R1247">
        <f>Tableau1_2[[#This Row],[CA]]-Tableau1_2[[#This Row],[Cout Total]]</f>
        <v>17600</v>
      </c>
      <c r="S1247" s="4">
        <f>Tableau1_2[[#This Row],[Marge]]/Tableau1_2[[#This Row],[CA]]</f>
        <v>0.30985915492957744</v>
      </c>
      <c r="T1247" t="str">
        <f>TEXT(Tableau1_2[[#This Row],[Date]],"mmmm")</f>
        <v>octobre</v>
      </c>
    </row>
    <row r="1248" spans="1:20" x14ac:dyDescent="0.35">
      <c r="A1248" t="s">
        <v>2242</v>
      </c>
      <c r="B1248" s="2">
        <v>46214</v>
      </c>
      <c r="C1248" t="s">
        <v>1138</v>
      </c>
      <c r="D1248" t="s">
        <v>1171</v>
      </c>
      <c r="E1248" t="s">
        <v>56</v>
      </c>
      <c r="F1248" t="s">
        <v>57</v>
      </c>
      <c r="G1248" t="s">
        <v>43</v>
      </c>
      <c r="H1248" t="s">
        <v>49</v>
      </c>
      <c r="I1248">
        <v>9</v>
      </c>
      <c r="J1248">
        <v>9000</v>
      </c>
      <c r="K1248">
        <v>5600</v>
      </c>
      <c r="L1248" t="s">
        <v>21</v>
      </c>
      <c r="M1248" t="s">
        <v>37</v>
      </c>
      <c r="N1248" t="s">
        <v>23</v>
      </c>
      <c r="O1248" t="s">
        <v>24</v>
      </c>
      <c r="P1248">
        <f>Tableau1_2[[#This Row],[Quantité]]*Tableau1_2[[#This Row],[Prix_Unitaire]]</f>
        <v>81000</v>
      </c>
      <c r="Q1248">
        <f>Tableau1_2[[#This Row],[Quantité]]*Tableau1_2[[#This Row],[Coût_Unitaire]]</f>
        <v>50400</v>
      </c>
      <c r="R1248">
        <f>Tableau1_2[[#This Row],[CA]]-Tableau1_2[[#This Row],[Cout Total]]</f>
        <v>30600</v>
      </c>
      <c r="S1248" s="4">
        <f>Tableau1_2[[#This Row],[Marge]]/Tableau1_2[[#This Row],[CA]]</f>
        <v>0.37777777777777777</v>
      </c>
      <c r="T1248" t="str">
        <f>TEXT(Tableau1_2[[#This Row],[Date]],"mmmm")</f>
        <v>juillet</v>
      </c>
    </row>
    <row r="1249" spans="1:20" x14ac:dyDescent="0.35">
      <c r="A1249" t="s">
        <v>2243</v>
      </c>
      <c r="B1249" s="2">
        <v>46356</v>
      </c>
      <c r="C1249" t="s">
        <v>635</v>
      </c>
      <c r="D1249" t="s">
        <v>1942</v>
      </c>
      <c r="E1249" t="s">
        <v>190</v>
      </c>
      <c r="F1249" t="s">
        <v>191</v>
      </c>
      <c r="G1249" t="s">
        <v>34</v>
      </c>
      <c r="H1249" t="s">
        <v>35</v>
      </c>
      <c r="I1249">
        <v>9</v>
      </c>
      <c r="J1249">
        <v>55000</v>
      </c>
      <c r="K1249">
        <v>39000</v>
      </c>
      <c r="L1249" t="s">
        <v>50</v>
      </c>
      <c r="M1249" t="s">
        <v>31</v>
      </c>
      <c r="N1249" t="s">
        <v>52</v>
      </c>
      <c r="O1249" t="s">
        <v>24</v>
      </c>
      <c r="P1249">
        <f>Tableau1_2[[#This Row],[Quantité]]*Tableau1_2[[#This Row],[Prix_Unitaire]]</f>
        <v>495000</v>
      </c>
      <c r="Q1249">
        <f>Tableau1_2[[#This Row],[Quantité]]*Tableau1_2[[#This Row],[Coût_Unitaire]]</f>
        <v>351000</v>
      </c>
      <c r="R1249">
        <f>Tableau1_2[[#This Row],[CA]]-Tableau1_2[[#This Row],[Cout Total]]</f>
        <v>144000</v>
      </c>
      <c r="S1249" s="4">
        <f>Tableau1_2[[#This Row],[Marge]]/Tableau1_2[[#This Row],[CA]]</f>
        <v>0.29090909090909089</v>
      </c>
      <c r="T1249" t="str">
        <f>TEXT(Tableau1_2[[#This Row],[Date]],"mmmm")</f>
        <v>novembre</v>
      </c>
    </row>
    <row r="1250" spans="1:20" x14ac:dyDescent="0.35">
      <c r="A1250" t="s">
        <v>2244</v>
      </c>
      <c r="B1250" s="2">
        <v>46090</v>
      </c>
      <c r="C1250" t="s">
        <v>1548</v>
      </c>
      <c r="D1250" t="s">
        <v>2245</v>
      </c>
      <c r="E1250" t="s">
        <v>18</v>
      </c>
      <c r="F1250" t="s">
        <v>18</v>
      </c>
      <c r="G1250" t="s">
        <v>34</v>
      </c>
      <c r="H1250" t="s">
        <v>141</v>
      </c>
      <c r="I1250">
        <v>1</v>
      </c>
      <c r="J1250">
        <v>168000</v>
      </c>
      <c r="K1250">
        <v>123600</v>
      </c>
      <c r="L1250" t="s">
        <v>50</v>
      </c>
      <c r="M1250" t="s">
        <v>37</v>
      </c>
      <c r="N1250" t="s">
        <v>87</v>
      </c>
      <c r="O1250" t="s">
        <v>24</v>
      </c>
      <c r="P1250">
        <f>Tableau1_2[[#This Row],[Quantité]]*Tableau1_2[[#This Row],[Prix_Unitaire]]</f>
        <v>168000</v>
      </c>
      <c r="Q1250">
        <f>Tableau1_2[[#This Row],[Quantité]]*Tableau1_2[[#This Row],[Coût_Unitaire]]</f>
        <v>123600</v>
      </c>
      <c r="R1250">
        <f>Tableau1_2[[#This Row],[CA]]-Tableau1_2[[#This Row],[Cout Total]]</f>
        <v>44400</v>
      </c>
      <c r="S1250" s="4">
        <f>Tableau1_2[[#This Row],[Marge]]/Tableau1_2[[#This Row],[CA]]</f>
        <v>0.26428571428571429</v>
      </c>
      <c r="T1250" t="str">
        <f>TEXT(Tableau1_2[[#This Row],[Date]],"mmmm")</f>
        <v>mars</v>
      </c>
    </row>
    <row r="1251" spans="1:20" x14ac:dyDescent="0.35">
      <c r="A1251" t="s">
        <v>2246</v>
      </c>
      <c r="B1251" s="2">
        <v>46276</v>
      </c>
      <c r="C1251" t="s">
        <v>1463</v>
      </c>
      <c r="D1251" t="s">
        <v>565</v>
      </c>
      <c r="E1251" t="s">
        <v>156</v>
      </c>
      <c r="F1251" t="s">
        <v>170</v>
      </c>
      <c r="G1251" t="s">
        <v>28</v>
      </c>
      <c r="H1251" t="s">
        <v>248</v>
      </c>
      <c r="I1251">
        <v>10</v>
      </c>
      <c r="J1251">
        <v>23800</v>
      </c>
      <c r="K1251">
        <v>16500</v>
      </c>
      <c r="L1251" t="s">
        <v>66</v>
      </c>
      <c r="M1251" t="s">
        <v>37</v>
      </c>
      <c r="N1251" t="s">
        <v>87</v>
      </c>
      <c r="O1251" t="s">
        <v>24</v>
      </c>
      <c r="P1251">
        <f>Tableau1_2[[#This Row],[Quantité]]*Tableau1_2[[#This Row],[Prix_Unitaire]]</f>
        <v>238000</v>
      </c>
      <c r="Q1251">
        <f>Tableau1_2[[#This Row],[Quantité]]*Tableau1_2[[#This Row],[Coût_Unitaire]]</f>
        <v>165000</v>
      </c>
      <c r="R1251">
        <f>Tableau1_2[[#This Row],[CA]]-Tableau1_2[[#This Row],[Cout Total]]</f>
        <v>73000</v>
      </c>
      <c r="S1251" s="4">
        <f>Tableau1_2[[#This Row],[Marge]]/Tableau1_2[[#This Row],[CA]]</f>
        <v>0.30672268907563027</v>
      </c>
      <c r="T1251" t="str">
        <f>TEXT(Tableau1_2[[#This Row],[Date]],"mmmm")</f>
        <v>septembre</v>
      </c>
    </row>
    <row r="1252" spans="1:20" x14ac:dyDescent="0.35">
      <c r="A1252" t="s">
        <v>2247</v>
      </c>
      <c r="B1252" s="2">
        <v>46067</v>
      </c>
      <c r="C1252" t="s">
        <v>154</v>
      </c>
      <c r="D1252" t="s">
        <v>914</v>
      </c>
      <c r="E1252" t="s">
        <v>18</v>
      </c>
      <c r="F1252" t="s">
        <v>18</v>
      </c>
      <c r="G1252" t="s">
        <v>28</v>
      </c>
      <c r="H1252" t="s">
        <v>248</v>
      </c>
      <c r="I1252">
        <v>9</v>
      </c>
      <c r="J1252">
        <v>25000</v>
      </c>
      <c r="K1252">
        <v>15500</v>
      </c>
      <c r="L1252" t="s">
        <v>73</v>
      </c>
      <c r="M1252" t="s">
        <v>51</v>
      </c>
      <c r="N1252" t="s">
        <v>52</v>
      </c>
      <c r="O1252" t="s">
        <v>24</v>
      </c>
      <c r="P1252">
        <f>Tableau1_2[[#This Row],[Quantité]]*Tableau1_2[[#This Row],[Prix_Unitaire]]</f>
        <v>225000</v>
      </c>
      <c r="Q1252">
        <f>Tableau1_2[[#This Row],[Quantité]]*Tableau1_2[[#This Row],[Coût_Unitaire]]</f>
        <v>139500</v>
      </c>
      <c r="R1252">
        <f>Tableau1_2[[#This Row],[CA]]-Tableau1_2[[#This Row],[Cout Total]]</f>
        <v>85500</v>
      </c>
      <c r="S1252" s="4">
        <f>Tableau1_2[[#This Row],[Marge]]/Tableau1_2[[#This Row],[CA]]</f>
        <v>0.38</v>
      </c>
      <c r="T1252" t="str">
        <f>TEXT(Tableau1_2[[#This Row],[Date]],"mmmm")</f>
        <v>février</v>
      </c>
    </row>
    <row r="1253" spans="1:20" x14ac:dyDescent="0.35">
      <c r="A1253" t="s">
        <v>2248</v>
      </c>
      <c r="B1253" s="2">
        <v>46293</v>
      </c>
      <c r="C1253" t="s">
        <v>656</v>
      </c>
      <c r="D1253" t="s">
        <v>130</v>
      </c>
      <c r="E1253" t="s">
        <v>156</v>
      </c>
      <c r="F1253" t="s">
        <v>157</v>
      </c>
      <c r="G1253" t="s">
        <v>34</v>
      </c>
      <c r="H1253" t="s">
        <v>141</v>
      </c>
      <c r="I1253">
        <v>6</v>
      </c>
      <c r="J1253">
        <v>168000</v>
      </c>
      <c r="K1253">
        <v>116400</v>
      </c>
      <c r="L1253" t="s">
        <v>80</v>
      </c>
      <c r="M1253" t="s">
        <v>31</v>
      </c>
      <c r="N1253" t="s">
        <v>52</v>
      </c>
      <c r="O1253" t="s">
        <v>24</v>
      </c>
      <c r="P1253">
        <f>Tableau1_2[[#This Row],[Quantité]]*Tableau1_2[[#This Row],[Prix_Unitaire]]</f>
        <v>1008000</v>
      </c>
      <c r="Q1253">
        <f>Tableau1_2[[#This Row],[Quantité]]*Tableau1_2[[#This Row],[Coût_Unitaire]]</f>
        <v>698400</v>
      </c>
      <c r="R1253">
        <f>Tableau1_2[[#This Row],[CA]]-Tableau1_2[[#This Row],[Cout Total]]</f>
        <v>309600</v>
      </c>
      <c r="S1253" s="4">
        <f>Tableau1_2[[#This Row],[Marge]]/Tableau1_2[[#This Row],[CA]]</f>
        <v>0.30714285714285716</v>
      </c>
      <c r="T1253" t="str">
        <f>TEXT(Tableau1_2[[#This Row],[Date]],"mmmm")</f>
        <v>septembre</v>
      </c>
    </row>
    <row r="1254" spans="1:20" x14ac:dyDescent="0.35">
      <c r="A1254" t="s">
        <v>2249</v>
      </c>
      <c r="B1254" s="2">
        <v>46311</v>
      </c>
      <c r="C1254" t="s">
        <v>965</v>
      </c>
      <c r="D1254" t="s">
        <v>990</v>
      </c>
      <c r="E1254" t="s">
        <v>56</v>
      </c>
      <c r="F1254" t="s">
        <v>57</v>
      </c>
      <c r="G1254" t="s">
        <v>34</v>
      </c>
      <c r="H1254" t="s">
        <v>35</v>
      </c>
      <c r="I1254">
        <v>8</v>
      </c>
      <c r="J1254">
        <v>52200</v>
      </c>
      <c r="K1254">
        <v>39000</v>
      </c>
      <c r="L1254" t="s">
        <v>96</v>
      </c>
      <c r="M1254" t="s">
        <v>37</v>
      </c>
      <c r="N1254" t="s">
        <v>23</v>
      </c>
      <c r="O1254" t="s">
        <v>24</v>
      </c>
      <c r="P1254">
        <f>Tableau1_2[[#This Row],[Quantité]]*Tableau1_2[[#This Row],[Prix_Unitaire]]</f>
        <v>417600</v>
      </c>
      <c r="Q1254">
        <f>Tableau1_2[[#This Row],[Quantité]]*Tableau1_2[[#This Row],[Coût_Unitaire]]</f>
        <v>312000</v>
      </c>
      <c r="R1254">
        <f>Tableau1_2[[#This Row],[CA]]-Tableau1_2[[#This Row],[Cout Total]]</f>
        <v>105600</v>
      </c>
      <c r="S1254" s="4">
        <f>Tableau1_2[[#This Row],[Marge]]/Tableau1_2[[#This Row],[CA]]</f>
        <v>0.25287356321839083</v>
      </c>
      <c r="T1254" t="str">
        <f>TEXT(Tableau1_2[[#This Row],[Date]],"mmmm")</f>
        <v>octobre</v>
      </c>
    </row>
    <row r="1255" spans="1:20" x14ac:dyDescent="0.35">
      <c r="A1255" t="s">
        <v>2250</v>
      </c>
      <c r="B1255" s="2">
        <v>46057</v>
      </c>
      <c r="C1255" t="s">
        <v>717</v>
      </c>
      <c r="D1255" t="s">
        <v>543</v>
      </c>
      <c r="E1255" t="s">
        <v>84</v>
      </c>
      <c r="F1255" t="s">
        <v>85</v>
      </c>
      <c r="G1255" t="s">
        <v>19</v>
      </c>
      <c r="H1255" t="s">
        <v>112</v>
      </c>
      <c r="I1255">
        <v>5</v>
      </c>
      <c r="J1255">
        <v>89200</v>
      </c>
      <c r="K1255">
        <v>60100</v>
      </c>
      <c r="L1255" t="s">
        <v>80</v>
      </c>
      <c r="M1255" t="s">
        <v>51</v>
      </c>
      <c r="N1255" t="s">
        <v>23</v>
      </c>
      <c r="O1255" t="s">
        <v>24</v>
      </c>
      <c r="P1255">
        <f>Tableau1_2[[#This Row],[Quantité]]*Tableau1_2[[#This Row],[Prix_Unitaire]]</f>
        <v>446000</v>
      </c>
      <c r="Q1255">
        <f>Tableau1_2[[#This Row],[Quantité]]*Tableau1_2[[#This Row],[Coût_Unitaire]]</f>
        <v>300500</v>
      </c>
      <c r="R1255">
        <f>Tableau1_2[[#This Row],[CA]]-Tableau1_2[[#This Row],[Cout Total]]</f>
        <v>145500</v>
      </c>
      <c r="S1255" s="4">
        <f>Tableau1_2[[#This Row],[Marge]]/Tableau1_2[[#This Row],[CA]]</f>
        <v>0.32623318385650224</v>
      </c>
      <c r="T1255" t="str">
        <f>TEXT(Tableau1_2[[#This Row],[Date]],"mmmm")</f>
        <v>février</v>
      </c>
    </row>
    <row r="1256" spans="1:20" x14ac:dyDescent="0.35">
      <c r="A1256" t="s">
        <v>2251</v>
      </c>
      <c r="B1256" s="2">
        <v>46330</v>
      </c>
      <c r="C1256" t="s">
        <v>1210</v>
      </c>
      <c r="D1256" t="s">
        <v>1654</v>
      </c>
      <c r="E1256" t="s">
        <v>18</v>
      </c>
      <c r="F1256" t="s">
        <v>18</v>
      </c>
      <c r="G1256" t="s">
        <v>34</v>
      </c>
      <c r="H1256" t="s">
        <v>95</v>
      </c>
      <c r="I1256">
        <v>9</v>
      </c>
      <c r="J1256">
        <v>472500</v>
      </c>
      <c r="K1256">
        <v>370000</v>
      </c>
      <c r="L1256" t="s">
        <v>73</v>
      </c>
      <c r="M1256" t="s">
        <v>51</v>
      </c>
      <c r="N1256" t="s">
        <v>23</v>
      </c>
      <c r="O1256" t="s">
        <v>24</v>
      </c>
      <c r="P1256">
        <f>Tableau1_2[[#This Row],[Quantité]]*Tableau1_2[[#This Row],[Prix_Unitaire]]</f>
        <v>4252500</v>
      </c>
      <c r="Q1256">
        <f>Tableau1_2[[#This Row],[Quantité]]*Tableau1_2[[#This Row],[Coût_Unitaire]]</f>
        <v>3330000</v>
      </c>
      <c r="R1256">
        <f>Tableau1_2[[#This Row],[CA]]-Tableau1_2[[#This Row],[Cout Total]]</f>
        <v>922500</v>
      </c>
      <c r="S1256" s="4">
        <f>Tableau1_2[[#This Row],[Marge]]/Tableau1_2[[#This Row],[CA]]</f>
        <v>0.21693121693121692</v>
      </c>
      <c r="T1256" t="str">
        <f>TEXT(Tableau1_2[[#This Row],[Date]],"mmmm")</f>
        <v>novembre</v>
      </c>
    </row>
    <row r="1257" spans="1:20" x14ac:dyDescent="0.35">
      <c r="A1257" t="s">
        <v>2252</v>
      </c>
      <c r="B1257" s="2">
        <v>46074</v>
      </c>
      <c r="C1257" t="s">
        <v>1081</v>
      </c>
      <c r="D1257" t="s">
        <v>371</v>
      </c>
      <c r="E1257" t="s">
        <v>18</v>
      </c>
      <c r="F1257" t="s">
        <v>18</v>
      </c>
      <c r="G1257" t="s">
        <v>43</v>
      </c>
      <c r="H1257" t="s">
        <v>49</v>
      </c>
      <c r="I1257">
        <v>5</v>
      </c>
      <c r="J1257">
        <v>9400</v>
      </c>
      <c r="K1257">
        <v>5600</v>
      </c>
      <c r="L1257" t="s">
        <v>30</v>
      </c>
      <c r="M1257" t="s">
        <v>37</v>
      </c>
      <c r="N1257" t="s">
        <v>23</v>
      </c>
      <c r="O1257" t="s">
        <v>45</v>
      </c>
      <c r="P1257">
        <f>Tableau1_2[[#This Row],[Quantité]]*Tableau1_2[[#This Row],[Prix_Unitaire]]</f>
        <v>47000</v>
      </c>
      <c r="Q1257">
        <f>Tableau1_2[[#This Row],[Quantité]]*Tableau1_2[[#This Row],[Coût_Unitaire]]</f>
        <v>28000</v>
      </c>
      <c r="R1257">
        <f>Tableau1_2[[#This Row],[CA]]-Tableau1_2[[#This Row],[Cout Total]]</f>
        <v>19000</v>
      </c>
      <c r="S1257" s="4">
        <f>Tableau1_2[[#This Row],[Marge]]/Tableau1_2[[#This Row],[CA]]</f>
        <v>0.40425531914893614</v>
      </c>
      <c r="T1257" t="str">
        <f>TEXT(Tableau1_2[[#This Row],[Date]],"mmmm")</f>
        <v>février</v>
      </c>
    </row>
    <row r="1258" spans="1:20" x14ac:dyDescent="0.35">
      <c r="A1258" t="s">
        <v>2253</v>
      </c>
      <c r="B1258" s="2">
        <v>46356</v>
      </c>
      <c r="C1258" t="s">
        <v>1069</v>
      </c>
      <c r="D1258" t="s">
        <v>187</v>
      </c>
      <c r="E1258" t="s">
        <v>41</v>
      </c>
      <c r="F1258" t="s">
        <v>42</v>
      </c>
      <c r="G1258" t="s">
        <v>43</v>
      </c>
      <c r="H1258" t="s">
        <v>44</v>
      </c>
      <c r="I1258">
        <v>9</v>
      </c>
      <c r="J1258">
        <v>15000</v>
      </c>
      <c r="K1258">
        <v>9500</v>
      </c>
      <c r="L1258" t="s">
        <v>80</v>
      </c>
      <c r="M1258" t="s">
        <v>37</v>
      </c>
      <c r="N1258" t="s">
        <v>23</v>
      </c>
      <c r="O1258" t="s">
        <v>91</v>
      </c>
      <c r="P1258">
        <f>Tableau1_2[[#This Row],[Quantité]]*Tableau1_2[[#This Row],[Prix_Unitaire]]</f>
        <v>135000</v>
      </c>
      <c r="Q1258">
        <f>Tableau1_2[[#This Row],[Quantité]]*Tableau1_2[[#This Row],[Coût_Unitaire]]</f>
        <v>85500</v>
      </c>
      <c r="R1258">
        <f>Tableau1_2[[#This Row],[CA]]-Tableau1_2[[#This Row],[Cout Total]]</f>
        <v>49500</v>
      </c>
      <c r="S1258" s="4">
        <f>Tableau1_2[[#This Row],[Marge]]/Tableau1_2[[#This Row],[CA]]</f>
        <v>0.36666666666666664</v>
      </c>
      <c r="T1258" t="str">
        <f>TEXT(Tableau1_2[[#This Row],[Date]],"mmmm")</f>
        <v>novembre</v>
      </c>
    </row>
    <row r="1259" spans="1:20" x14ac:dyDescent="0.35">
      <c r="A1259" t="s">
        <v>2254</v>
      </c>
      <c r="B1259" s="2">
        <v>46084</v>
      </c>
      <c r="C1259" t="s">
        <v>609</v>
      </c>
      <c r="D1259" t="s">
        <v>1822</v>
      </c>
      <c r="E1259" t="s">
        <v>41</v>
      </c>
      <c r="F1259" t="s">
        <v>42</v>
      </c>
      <c r="G1259" t="s">
        <v>28</v>
      </c>
      <c r="H1259" t="s">
        <v>29</v>
      </c>
      <c r="I1259">
        <v>1</v>
      </c>
      <c r="J1259">
        <v>7000</v>
      </c>
      <c r="K1259">
        <v>4000</v>
      </c>
      <c r="L1259" t="s">
        <v>30</v>
      </c>
      <c r="M1259" t="s">
        <v>31</v>
      </c>
      <c r="N1259" t="s">
        <v>23</v>
      </c>
      <c r="O1259" t="s">
        <v>24</v>
      </c>
      <c r="P1259">
        <f>Tableau1_2[[#This Row],[Quantité]]*Tableau1_2[[#This Row],[Prix_Unitaire]]</f>
        <v>7000</v>
      </c>
      <c r="Q1259">
        <f>Tableau1_2[[#This Row],[Quantité]]*Tableau1_2[[#This Row],[Coût_Unitaire]]</f>
        <v>4000</v>
      </c>
      <c r="R1259">
        <f>Tableau1_2[[#This Row],[CA]]-Tableau1_2[[#This Row],[Cout Total]]</f>
        <v>3000</v>
      </c>
      <c r="S1259" s="4">
        <f>Tableau1_2[[#This Row],[Marge]]/Tableau1_2[[#This Row],[CA]]</f>
        <v>0.42857142857142855</v>
      </c>
      <c r="T1259" t="str">
        <f>TEXT(Tableau1_2[[#This Row],[Date]],"mmmm")</f>
        <v>mars</v>
      </c>
    </row>
    <row r="1260" spans="1:20" x14ac:dyDescent="0.35">
      <c r="A1260" t="s">
        <v>2255</v>
      </c>
      <c r="B1260" s="2">
        <v>46088</v>
      </c>
      <c r="C1260" t="s">
        <v>133</v>
      </c>
      <c r="D1260" t="s">
        <v>1016</v>
      </c>
      <c r="E1260" t="s">
        <v>84</v>
      </c>
      <c r="F1260" t="s">
        <v>85</v>
      </c>
      <c r="G1260" t="s">
        <v>19</v>
      </c>
      <c r="H1260" t="s">
        <v>20</v>
      </c>
      <c r="I1260">
        <v>3</v>
      </c>
      <c r="J1260">
        <v>61800</v>
      </c>
      <c r="K1260">
        <v>46400</v>
      </c>
      <c r="L1260" t="s">
        <v>80</v>
      </c>
      <c r="M1260" t="s">
        <v>51</v>
      </c>
      <c r="N1260" t="s">
        <v>23</v>
      </c>
      <c r="O1260" t="s">
        <v>24</v>
      </c>
      <c r="P1260">
        <f>Tableau1_2[[#This Row],[Quantité]]*Tableau1_2[[#This Row],[Prix_Unitaire]]</f>
        <v>185400</v>
      </c>
      <c r="Q1260">
        <f>Tableau1_2[[#This Row],[Quantité]]*Tableau1_2[[#This Row],[Coût_Unitaire]]</f>
        <v>139200</v>
      </c>
      <c r="R1260">
        <f>Tableau1_2[[#This Row],[CA]]-Tableau1_2[[#This Row],[Cout Total]]</f>
        <v>46200</v>
      </c>
      <c r="S1260" s="4">
        <f>Tableau1_2[[#This Row],[Marge]]/Tableau1_2[[#This Row],[CA]]</f>
        <v>0.24919093851132687</v>
      </c>
      <c r="T1260" t="str">
        <f>TEXT(Tableau1_2[[#This Row],[Date]],"mmmm")</f>
        <v>mars</v>
      </c>
    </row>
    <row r="1261" spans="1:20" x14ac:dyDescent="0.35">
      <c r="A1261" t="s">
        <v>2256</v>
      </c>
      <c r="B1261" s="2">
        <v>46204</v>
      </c>
      <c r="C1261" t="s">
        <v>1371</v>
      </c>
      <c r="D1261" t="s">
        <v>465</v>
      </c>
      <c r="E1261" t="s">
        <v>156</v>
      </c>
      <c r="F1261" t="s">
        <v>157</v>
      </c>
      <c r="G1261" t="s">
        <v>19</v>
      </c>
      <c r="H1261" t="s">
        <v>61</v>
      </c>
      <c r="I1261">
        <v>9</v>
      </c>
      <c r="J1261">
        <v>209000</v>
      </c>
      <c r="K1261">
        <v>155200</v>
      </c>
      <c r="L1261" t="s">
        <v>30</v>
      </c>
      <c r="M1261" t="s">
        <v>51</v>
      </c>
      <c r="N1261" t="s">
        <v>23</v>
      </c>
      <c r="O1261" t="s">
        <v>24</v>
      </c>
      <c r="P1261">
        <f>Tableau1_2[[#This Row],[Quantité]]*Tableau1_2[[#This Row],[Prix_Unitaire]]</f>
        <v>1881000</v>
      </c>
      <c r="Q1261">
        <f>Tableau1_2[[#This Row],[Quantité]]*Tableau1_2[[#This Row],[Coût_Unitaire]]</f>
        <v>1396800</v>
      </c>
      <c r="R1261">
        <f>Tableau1_2[[#This Row],[CA]]-Tableau1_2[[#This Row],[Cout Total]]</f>
        <v>484200</v>
      </c>
      <c r="S1261" s="4">
        <f>Tableau1_2[[#This Row],[Marge]]/Tableau1_2[[#This Row],[CA]]</f>
        <v>0.25741626794258371</v>
      </c>
      <c r="T1261" t="str">
        <f>TEXT(Tableau1_2[[#This Row],[Date]],"mmmm")</f>
        <v>juillet</v>
      </c>
    </row>
    <row r="1262" spans="1:20" x14ac:dyDescent="0.35">
      <c r="A1262" t="s">
        <v>2257</v>
      </c>
      <c r="B1262" s="2">
        <v>46129</v>
      </c>
      <c r="C1262" t="s">
        <v>2148</v>
      </c>
      <c r="D1262" t="s">
        <v>1375</v>
      </c>
      <c r="E1262" t="s">
        <v>41</v>
      </c>
      <c r="F1262" t="s">
        <v>42</v>
      </c>
      <c r="G1262" t="s">
        <v>34</v>
      </c>
      <c r="H1262" t="s">
        <v>141</v>
      </c>
      <c r="I1262">
        <v>10</v>
      </c>
      <c r="J1262">
        <v>152000</v>
      </c>
      <c r="K1262">
        <v>120000</v>
      </c>
      <c r="L1262" t="s">
        <v>36</v>
      </c>
      <c r="M1262" t="s">
        <v>22</v>
      </c>
      <c r="N1262" t="s">
        <v>23</v>
      </c>
      <c r="O1262" t="s">
        <v>24</v>
      </c>
      <c r="P1262">
        <f>Tableau1_2[[#This Row],[Quantité]]*Tableau1_2[[#This Row],[Prix_Unitaire]]</f>
        <v>1520000</v>
      </c>
      <c r="Q1262">
        <f>Tableau1_2[[#This Row],[Quantité]]*Tableau1_2[[#This Row],[Coût_Unitaire]]</f>
        <v>1200000</v>
      </c>
      <c r="R1262">
        <f>Tableau1_2[[#This Row],[CA]]-Tableau1_2[[#This Row],[Cout Total]]</f>
        <v>320000</v>
      </c>
      <c r="S1262" s="4">
        <f>Tableau1_2[[#This Row],[Marge]]/Tableau1_2[[#This Row],[CA]]</f>
        <v>0.21052631578947367</v>
      </c>
      <c r="T1262" t="str">
        <f>TEXT(Tableau1_2[[#This Row],[Date]],"mmmm")</f>
        <v>avril</v>
      </c>
    </row>
    <row r="1263" spans="1:20" x14ac:dyDescent="0.35">
      <c r="A1263" t="s">
        <v>2258</v>
      </c>
      <c r="B1263" s="2">
        <v>46065</v>
      </c>
      <c r="C1263" t="s">
        <v>545</v>
      </c>
      <c r="D1263" t="s">
        <v>1197</v>
      </c>
      <c r="E1263" t="s">
        <v>190</v>
      </c>
      <c r="F1263" t="s">
        <v>191</v>
      </c>
      <c r="G1263" t="s">
        <v>19</v>
      </c>
      <c r="H1263" t="s">
        <v>166</v>
      </c>
      <c r="I1263">
        <v>5</v>
      </c>
      <c r="J1263">
        <v>133000</v>
      </c>
      <c r="K1263">
        <v>97000</v>
      </c>
      <c r="L1263" t="s">
        <v>66</v>
      </c>
      <c r="M1263" t="s">
        <v>37</v>
      </c>
      <c r="N1263" t="s">
        <v>52</v>
      </c>
      <c r="O1263" t="s">
        <v>24</v>
      </c>
      <c r="P1263">
        <f>Tableau1_2[[#This Row],[Quantité]]*Tableau1_2[[#This Row],[Prix_Unitaire]]</f>
        <v>665000</v>
      </c>
      <c r="Q1263">
        <f>Tableau1_2[[#This Row],[Quantité]]*Tableau1_2[[#This Row],[Coût_Unitaire]]</f>
        <v>485000</v>
      </c>
      <c r="R1263">
        <f>Tableau1_2[[#This Row],[CA]]-Tableau1_2[[#This Row],[Cout Total]]</f>
        <v>180000</v>
      </c>
      <c r="S1263" s="4">
        <f>Tableau1_2[[#This Row],[Marge]]/Tableau1_2[[#This Row],[CA]]</f>
        <v>0.27067669172932329</v>
      </c>
      <c r="T1263" t="str">
        <f>TEXT(Tableau1_2[[#This Row],[Date]],"mmmm")</f>
        <v>février</v>
      </c>
    </row>
    <row r="1264" spans="1:20" x14ac:dyDescent="0.35">
      <c r="A1264" t="s">
        <v>2259</v>
      </c>
      <c r="B1264" s="2">
        <v>46350</v>
      </c>
      <c r="C1264" t="s">
        <v>816</v>
      </c>
      <c r="D1264" t="s">
        <v>105</v>
      </c>
      <c r="E1264" t="s">
        <v>18</v>
      </c>
      <c r="F1264" t="s">
        <v>18</v>
      </c>
      <c r="G1264" t="s">
        <v>43</v>
      </c>
      <c r="H1264" t="s">
        <v>79</v>
      </c>
      <c r="I1264">
        <v>6</v>
      </c>
      <c r="J1264">
        <v>6000</v>
      </c>
      <c r="K1264">
        <v>4200</v>
      </c>
      <c r="L1264" t="s">
        <v>50</v>
      </c>
      <c r="M1264" t="s">
        <v>22</v>
      </c>
      <c r="N1264" t="s">
        <v>23</v>
      </c>
      <c r="O1264" t="s">
        <v>24</v>
      </c>
      <c r="P1264">
        <f>Tableau1_2[[#This Row],[Quantité]]*Tableau1_2[[#This Row],[Prix_Unitaire]]</f>
        <v>36000</v>
      </c>
      <c r="Q1264">
        <f>Tableau1_2[[#This Row],[Quantité]]*Tableau1_2[[#This Row],[Coût_Unitaire]]</f>
        <v>25200</v>
      </c>
      <c r="R1264">
        <f>Tableau1_2[[#This Row],[CA]]-Tableau1_2[[#This Row],[Cout Total]]</f>
        <v>10800</v>
      </c>
      <c r="S1264" s="4">
        <f>Tableau1_2[[#This Row],[Marge]]/Tableau1_2[[#This Row],[CA]]</f>
        <v>0.3</v>
      </c>
      <c r="T1264" t="str">
        <f>TEXT(Tableau1_2[[#This Row],[Date]],"mmmm")</f>
        <v>novembre</v>
      </c>
    </row>
    <row r="1265" spans="1:20" x14ac:dyDescent="0.35">
      <c r="A1265" t="s">
        <v>2260</v>
      </c>
      <c r="B1265" s="2">
        <v>46279</v>
      </c>
      <c r="C1265" t="s">
        <v>523</v>
      </c>
      <c r="D1265" t="s">
        <v>1117</v>
      </c>
      <c r="E1265" t="s">
        <v>18</v>
      </c>
      <c r="F1265" t="s">
        <v>18</v>
      </c>
      <c r="G1265" t="s">
        <v>43</v>
      </c>
      <c r="H1265" t="s">
        <v>49</v>
      </c>
      <c r="I1265">
        <v>1</v>
      </c>
      <c r="J1265">
        <v>8600</v>
      </c>
      <c r="K1265">
        <v>6000</v>
      </c>
      <c r="L1265" t="s">
        <v>80</v>
      </c>
      <c r="M1265" t="s">
        <v>51</v>
      </c>
      <c r="N1265" t="s">
        <v>52</v>
      </c>
      <c r="O1265" t="s">
        <v>24</v>
      </c>
      <c r="P1265">
        <f>Tableau1_2[[#This Row],[Quantité]]*Tableau1_2[[#This Row],[Prix_Unitaire]]</f>
        <v>8600</v>
      </c>
      <c r="Q1265">
        <f>Tableau1_2[[#This Row],[Quantité]]*Tableau1_2[[#This Row],[Coût_Unitaire]]</f>
        <v>6000</v>
      </c>
      <c r="R1265">
        <f>Tableau1_2[[#This Row],[CA]]-Tableau1_2[[#This Row],[Cout Total]]</f>
        <v>2600</v>
      </c>
      <c r="S1265" s="4">
        <f>Tableau1_2[[#This Row],[Marge]]/Tableau1_2[[#This Row],[CA]]</f>
        <v>0.30232558139534882</v>
      </c>
      <c r="T1265" t="str">
        <f>TEXT(Tableau1_2[[#This Row],[Date]],"mmmm")</f>
        <v>septembre</v>
      </c>
    </row>
    <row r="1266" spans="1:20" x14ac:dyDescent="0.35">
      <c r="A1266" t="s">
        <v>2261</v>
      </c>
      <c r="B1266" s="2">
        <v>46210</v>
      </c>
      <c r="C1266" t="s">
        <v>101</v>
      </c>
      <c r="D1266" t="s">
        <v>629</v>
      </c>
      <c r="E1266" t="s">
        <v>190</v>
      </c>
      <c r="F1266" t="s">
        <v>191</v>
      </c>
      <c r="G1266" t="s">
        <v>34</v>
      </c>
      <c r="H1266" t="s">
        <v>158</v>
      </c>
      <c r="I1266">
        <v>9</v>
      </c>
      <c r="J1266">
        <v>95000</v>
      </c>
      <c r="K1266">
        <v>72100</v>
      </c>
      <c r="L1266" t="s">
        <v>80</v>
      </c>
      <c r="M1266" t="s">
        <v>37</v>
      </c>
      <c r="N1266" t="s">
        <v>87</v>
      </c>
      <c r="O1266" t="s">
        <v>24</v>
      </c>
      <c r="P1266">
        <f>Tableau1_2[[#This Row],[Quantité]]*Tableau1_2[[#This Row],[Prix_Unitaire]]</f>
        <v>855000</v>
      </c>
      <c r="Q1266">
        <f>Tableau1_2[[#This Row],[Quantité]]*Tableau1_2[[#This Row],[Coût_Unitaire]]</f>
        <v>648900</v>
      </c>
      <c r="R1266">
        <f>Tableau1_2[[#This Row],[CA]]-Tableau1_2[[#This Row],[Cout Total]]</f>
        <v>206100</v>
      </c>
      <c r="S1266" s="4">
        <f>Tableau1_2[[#This Row],[Marge]]/Tableau1_2[[#This Row],[CA]]</f>
        <v>0.24105263157894738</v>
      </c>
      <c r="T1266" t="str">
        <f>TEXT(Tableau1_2[[#This Row],[Date]],"mmmm")</f>
        <v>juillet</v>
      </c>
    </row>
    <row r="1267" spans="1:20" x14ac:dyDescent="0.35">
      <c r="A1267" t="s">
        <v>2262</v>
      </c>
      <c r="B1267" s="2">
        <v>46364</v>
      </c>
      <c r="C1267" t="s">
        <v>1170</v>
      </c>
      <c r="D1267" t="s">
        <v>440</v>
      </c>
      <c r="E1267" t="s">
        <v>56</v>
      </c>
      <c r="F1267" t="s">
        <v>57</v>
      </c>
      <c r="G1267" t="s">
        <v>19</v>
      </c>
      <c r="H1267" t="s">
        <v>61</v>
      </c>
      <c r="I1267">
        <v>9</v>
      </c>
      <c r="J1267">
        <v>220000</v>
      </c>
      <c r="K1267">
        <v>164800</v>
      </c>
      <c r="L1267" t="s">
        <v>30</v>
      </c>
      <c r="M1267" t="s">
        <v>51</v>
      </c>
      <c r="N1267" t="s">
        <v>23</v>
      </c>
      <c r="O1267" t="s">
        <v>24</v>
      </c>
      <c r="P1267">
        <f>Tableau1_2[[#This Row],[Quantité]]*Tableau1_2[[#This Row],[Prix_Unitaire]]</f>
        <v>1980000</v>
      </c>
      <c r="Q1267">
        <f>Tableau1_2[[#This Row],[Quantité]]*Tableau1_2[[#This Row],[Coût_Unitaire]]</f>
        <v>1483200</v>
      </c>
      <c r="R1267">
        <f>Tableau1_2[[#This Row],[CA]]-Tableau1_2[[#This Row],[Cout Total]]</f>
        <v>496800</v>
      </c>
      <c r="S1267" s="4">
        <f>Tableau1_2[[#This Row],[Marge]]/Tableau1_2[[#This Row],[CA]]</f>
        <v>0.25090909090909091</v>
      </c>
      <c r="T1267" t="str">
        <f>TEXT(Tableau1_2[[#This Row],[Date]],"mmmm")</f>
        <v>décembre</v>
      </c>
    </row>
    <row r="1268" spans="1:20" x14ac:dyDescent="0.35">
      <c r="A1268" t="s">
        <v>2263</v>
      </c>
      <c r="B1268" s="2">
        <v>46091</v>
      </c>
      <c r="C1268" t="s">
        <v>730</v>
      </c>
      <c r="D1268" t="s">
        <v>747</v>
      </c>
      <c r="E1268" t="s">
        <v>156</v>
      </c>
      <c r="F1268" t="s">
        <v>157</v>
      </c>
      <c r="G1268" t="s">
        <v>43</v>
      </c>
      <c r="H1268" t="s">
        <v>162</v>
      </c>
      <c r="I1268">
        <v>2</v>
      </c>
      <c r="J1268">
        <v>8000</v>
      </c>
      <c r="K1268">
        <v>4800</v>
      </c>
      <c r="L1268" t="s">
        <v>80</v>
      </c>
      <c r="M1268" t="s">
        <v>31</v>
      </c>
      <c r="N1268" t="s">
        <v>23</v>
      </c>
      <c r="O1268" t="s">
        <v>45</v>
      </c>
      <c r="P1268">
        <f>Tableau1_2[[#This Row],[Quantité]]*Tableau1_2[[#This Row],[Prix_Unitaire]]</f>
        <v>16000</v>
      </c>
      <c r="Q1268">
        <f>Tableau1_2[[#This Row],[Quantité]]*Tableau1_2[[#This Row],[Coût_Unitaire]]</f>
        <v>9600</v>
      </c>
      <c r="R1268">
        <f>Tableau1_2[[#This Row],[CA]]-Tableau1_2[[#This Row],[Cout Total]]</f>
        <v>6400</v>
      </c>
      <c r="S1268" s="4">
        <f>Tableau1_2[[#This Row],[Marge]]/Tableau1_2[[#This Row],[CA]]</f>
        <v>0.4</v>
      </c>
      <c r="T1268" t="str">
        <f>TEXT(Tableau1_2[[#This Row],[Date]],"mmmm")</f>
        <v>mars</v>
      </c>
    </row>
    <row r="1269" spans="1:20" x14ac:dyDescent="0.35">
      <c r="A1269" t="s">
        <v>2264</v>
      </c>
      <c r="B1269" s="2">
        <v>46097</v>
      </c>
      <c r="C1269" t="s">
        <v>1446</v>
      </c>
      <c r="D1269" t="s">
        <v>1195</v>
      </c>
      <c r="E1269" t="s">
        <v>18</v>
      </c>
      <c r="F1269" t="s">
        <v>18</v>
      </c>
      <c r="G1269" t="s">
        <v>43</v>
      </c>
      <c r="H1269" t="s">
        <v>162</v>
      </c>
      <c r="I1269">
        <v>9</v>
      </c>
      <c r="J1269">
        <v>8000</v>
      </c>
      <c r="K1269">
        <v>5200</v>
      </c>
      <c r="L1269" t="s">
        <v>30</v>
      </c>
      <c r="M1269" t="s">
        <v>37</v>
      </c>
      <c r="N1269" t="s">
        <v>87</v>
      </c>
      <c r="O1269" t="s">
        <v>24</v>
      </c>
      <c r="P1269">
        <f>Tableau1_2[[#This Row],[Quantité]]*Tableau1_2[[#This Row],[Prix_Unitaire]]</f>
        <v>72000</v>
      </c>
      <c r="Q1269">
        <f>Tableau1_2[[#This Row],[Quantité]]*Tableau1_2[[#This Row],[Coût_Unitaire]]</f>
        <v>46800</v>
      </c>
      <c r="R1269">
        <f>Tableau1_2[[#This Row],[CA]]-Tableau1_2[[#This Row],[Cout Total]]</f>
        <v>25200</v>
      </c>
      <c r="S1269" s="4">
        <f>Tableau1_2[[#This Row],[Marge]]/Tableau1_2[[#This Row],[CA]]</f>
        <v>0.35</v>
      </c>
      <c r="T1269" t="str">
        <f>TEXT(Tableau1_2[[#This Row],[Date]],"mmmm")</f>
        <v>mars</v>
      </c>
    </row>
    <row r="1270" spans="1:20" x14ac:dyDescent="0.35">
      <c r="A1270" t="s">
        <v>2265</v>
      </c>
      <c r="B1270" s="2">
        <v>46071</v>
      </c>
      <c r="C1270" t="s">
        <v>220</v>
      </c>
      <c r="D1270" t="s">
        <v>650</v>
      </c>
      <c r="E1270" t="s">
        <v>84</v>
      </c>
      <c r="F1270" t="s">
        <v>85</v>
      </c>
      <c r="G1270" t="s">
        <v>43</v>
      </c>
      <c r="H1270" t="s">
        <v>162</v>
      </c>
      <c r="I1270">
        <v>4</v>
      </c>
      <c r="J1270">
        <v>8000</v>
      </c>
      <c r="K1270">
        <v>5200</v>
      </c>
      <c r="L1270" t="s">
        <v>80</v>
      </c>
      <c r="M1270" t="s">
        <v>31</v>
      </c>
      <c r="N1270" t="s">
        <v>23</v>
      </c>
      <c r="O1270" t="s">
        <v>45</v>
      </c>
      <c r="P1270">
        <f>Tableau1_2[[#This Row],[Quantité]]*Tableau1_2[[#This Row],[Prix_Unitaire]]</f>
        <v>32000</v>
      </c>
      <c r="Q1270">
        <f>Tableau1_2[[#This Row],[Quantité]]*Tableau1_2[[#This Row],[Coût_Unitaire]]</f>
        <v>20800</v>
      </c>
      <c r="R1270">
        <f>Tableau1_2[[#This Row],[CA]]-Tableau1_2[[#This Row],[Cout Total]]</f>
        <v>11200</v>
      </c>
      <c r="S1270" s="4">
        <f>Tableau1_2[[#This Row],[Marge]]/Tableau1_2[[#This Row],[CA]]</f>
        <v>0.35</v>
      </c>
      <c r="T1270" t="str">
        <f>TEXT(Tableau1_2[[#This Row],[Date]],"mmmm")</f>
        <v>février</v>
      </c>
    </row>
    <row r="1271" spans="1:20" x14ac:dyDescent="0.35">
      <c r="A1271" t="s">
        <v>2266</v>
      </c>
      <c r="B1271" s="2">
        <v>46265</v>
      </c>
      <c r="C1271" t="s">
        <v>1416</v>
      </c>
      <c r="D1271" t="s">
        <v>1338</v>
      </c>
      <c r="E1271" t="s">
        <v>84</v>
      </c>
      <c r="F1271" t="s">
        <v>85</v>
      </c>
      <c r="G1271" t="s">
        <v>19</v>
      </c>
      <c r="H1271" t="s">
        <v>112</v>
      </c>
      <c r="I1271">
        <v>10</v>
      </c>
      <c r="J1271">
        <v>89200</v>
      </c>
      <c r="K1271">
        <v>63900</v>
      </c>
      <c r="L1271" t="s">
        <v>36</v>
      </c>
      <c r="M1271" t="s">
        <v>22</v>
      </c>
      <c r="N1271" t="s">
        <v>23</v>
      </c>
      <c r="O1271" t="s">
        <v>45</v>
      </c>
      <c r="P1271">
        <f>Tableau1_2[[#This Row],[Quantité]]*Tableau1_2[[#This Row],[Prix_Unitaire]]</f>
        <v>892000</v>
      </c>
      <c r="Q1271">
        <f>Tableau1_2[[#This Row],[Quantité]]*Tableau1_2[[#This Row],[Coût_Unitaire]]</f>
        <v>639000</v>
      </c>
      <c r="R1271">
        <f>Tableau1_2[[#This Row],[CA]]-Tableau1_2[[#This Row],[Cout Total]]</f>
        <v>253000</v>
      </c>
      <c r="S1271" s="4">
        <f>Tableau1_2[[#This Row],[Marge]]/Tableau1_2[[#This Row],[CA]]</f>
        <v>0.28363228699551568</v>
      </c>
      <c r="T1271" t="str">
        <f>TEXT(Tableau1_2[[#This Row],[Date]],"mmmm")</f>
        <v>août</v>
      </c>
    </row>
    <row r="1272" spans="1:20" x14ac:dyDescent="0.35">
      <c r="A1272" t="s">
        <v>2267</v>
      </c>
      <c r="B1272" s="2">
        <v>46122</v>
      </c>
      <c r="C1272" t="s">
        <v>952</v>
      </c>
      <c r="D1272" t="s">
        <v>1707</v>
      </c>
      <c r="E1272" t="s">
        <v>56</v>
      </c>
      <c r="F1272" t="s">
        <v>57</v>
      </c>
      <c r="G1272" t="s">
        <v>43</v>
      </c>
      <c r="H1272" t="s">
        <v>79</v>
      </c>
      <c r="I1272">
        <v>6</v>
      </c>
      <c r="J1272">
        <v>6000</v>
      </c>
      <c r="K1272">
        <v>4200</v>
      </c>
      <c r="L1272" t="s">
        <v>73</v>
      </c>
      <c r="M1272" t="s">
        <v>37</v>
      </c>
      <c r="N1272" t="s">
        <v>52</v>
      </c>
      <c r="O1272" t="s">
        <v>24</v>
      </c>
      <c r="P1272">
        <f>Tableau1_2[[#This Row],[Quantité]]*Tableau1_2[[#This Row],[Prix_Unitaire]]</f>
        <v>36000</v>
      </c>
      <c r="Q1272">
        <f>Tableau1_2[[#This Row],[Quantité]]*Tableau1_2[[#This Row],[Coût_Unitaire]]</f>
        <v>25200</v>
      </c>
      <c r="R1272">
        <f>Tableau1_2[[#This Row],[CA]]-Tableau1_2[[#This Row],[Cout Total]]</f>
        <v>10800</v>
      </c>
      <c r="S1272" s="4">
        <f>Tableau1_2[[#This Row],[Marge]]/Tableau1_2[[#This Row],[CA]]</f>
        <v>0.3</v>
      </c>
      <c r="T1272" t="str">
        <f>TEXT(Tableau1_2[[#This Row],[Date]],"mmmm")</f>
        <v>avril</v>
      </c>
    </row>
    <row r="1273" spans="1:20" x14ac:dyDescent="0.35">
      <c r="A1273" t="s">
        <v>2268</v>
      </c>
      <c r="B1273" s="2">
        <v>46283</v>
      </c>
      <c r="C1273" t="s">
        <v>896</v>
      </c>
      <c r="D1273" t="s">
        <v>76</v>
      </c>
      <c r="E1273" t="s">
        <v>190</v>
      </c>
      <c r="F1273" t="s">
        <v>191</v>
      </c>
      <c r="G1273" t="s">
        <v>28</v>
      </c>
      <c r="H1273" t="s">
        <v>248</v>
      </c>
      <c r="I1273">
        <v>5</v>
      </c>
      <c r="J1273">
        <v>26200</v>
      </c>
      <c r="K1273">
        <v>16000</v>
      </c>
      <c r="L1273" t="s">
        <v>21</v>
      </c>
      <c r="M1273" t="s">
        <v>51</v>
      </c>
      <c r="N1273" t="s">
        <v>87</v>
      </c>
      <c r="O1273" t="s">
        <v>24</v>
      </c>
      <c r="P1273">
        <f>Tableau1_2[[#This Row],[Quantité]]*Tableau1_2[[#This Row],[Prix_Unitaire]]</f>
        <v>131000</v>
      </c>
      <c r="Q1273">
        <f>Tableau1_2[[#This Row],[Quantité]]*Tableau1_2[[#This Row],[Coût_Unitaire]]</f>
        <v>80000</v>
      </c>
      <c r="R1273">
        <f>Tableau1_2[[#This Row],[CA]]-Tableau1_2[[#This Row],[Cout Total]]</f>
        <v>51000</v>
      </c>
      <c r="S1273" s="4">
        <f>Tableau1_2[[#This Row],[Marge]]/Tableau1_2[[#This Row],[CA]]</f>
        <v>0.38931297709923662</v>
      </c>
      <c r="T1273" t="str">
        <f>TEXT(Tableau1_2[[#This Row],[Date]],"mmmm")</f>
        <v>septembre</v>
      </c>
    </row>
    <row r="1274" spans="1:20" x14ac:dyDescent="0.35">
      <c r="A1274" t="s">
        <v>2269</v>
      </c>
      <c r="B1274" s="2">
        <v>46299</v>
      </c>
      <c r="C1274" t="s">
        <v>2270</v>
      </c>
      <c r="D1274" t="s">
        <v>724</v>
      </c>
      <c r="E1274" t="s">
        <v>18</v>
      </c>
      <c r="F1274" t="s">
        <v>18</v>
      </c>
      <c r="G1274" t="s">
        <v>43</v>
      </c>
      <c r="H1274" t="s">
        <v>79</v>
      </c>
      <c r="I1274">
        <v>1</v>
      </c>
      <c r="J1274">
        <v>5700</v>
      </c>
      <c r="K1274">
        <v>4100</v>
      </c>
      <c r="L1274" t="s">
        <v>50</v>
      </c>
      <c r="M1274" t="s">
        <v>37</v>
      </c>
      <c r="N1274" t="s">
        <v>52</v>
      </c>
      <c r="O1274" t="s">
        <v>24</v>
      </c>
      <c r="P1274">
        <f>Tableau1_2[[#This Row],[Quantité]]*Tableau1_2[[#This Row],[Prix_Unitaire]]</f>
        <v>5700</v>
      </c>
      <c r="Q1274">
        <f>Tableau1_2[[#This Row],[Quantité]]*Tableau1_2[[#This Row],[Coût_Unitaire]]</f>
        <v>4100</v>
      </c>
      <c r="R1274">
        <f>Tableau1_2[[#This Row],[CA]]-Tableau1_2[[#This Row],[Cout Total]]</f>
        <v>1600</v>
      </c>
      <c r="S1274" s="4">
        <f>Tableau1_2[[#This Row],[Marge]]/Tableau1_2[[#This Row],[CA]]</f>
        <v>0.2807017543859649</v>
      </c>
      <c r="T1274" t="str">
        <f>TEXT(Tableau1_2[[#This Row],[Date]],"mmmm")</f>
        <v>octobre</v>
      </c>
    </row>
    <row r="1275" spans="1:20" x14ac:dyDescent="0.35">
      <c r="A1275" t="s">
        <v>2271</v>
      </c>
      <c r="B1275" s="2">
        <v>46235</v>
      </c>
      <c r="C1275" t="s">
        <v>54</v>
      </c>
      <c r="D1275" t="s">
        <v>232</v>
      </c>
      <c r="E1275" t="s">
        <v>156</v>
      </c>
      <c r="F1275" t="s">
        <v>157</v>
      </c>
      <c r="G1275" t="s">
        <v>43</v>
      </c>
      <c r="H1275" t="s">
        <v>49</v>
      </c>
      <c r="I1275">
        <v>2</v>
      </c>
      <c r="J1275">
        <v>9000</v>
      </c>
      <c r="K1275">
        <v>6000</v>
      </c>
      <c r="L1275" t="s">
        <v>73</v>
      </c>
      <c r="M1275" t="s">
        <v>37</v>
      </c>
      <c r="N1275" t="s">
        <v>52</v>
      </c>
      <c r="O1275" t="s">
        <v>24</v>
      </c>
      <c r="P1275">
        <f>Tableau1_2[[#This Row],[Quantité]]*Tableau1_2[[#This Row],[Prix_Unitaire]]</f>
        <v>18000</v>
      </c>
      <c r="Q1275">
        <f>Tableau1_2[[#This Row],[Quantité]]*Tableau1_2[[#This Row],[Coût_Unitaire]]</f>
        <v>12000</v>
      </c>
      <c r="R1275">
        <f>Tableau1_2[[#This Row],[CA]]-Tableau1_2[[#This Row],[Cout Total]]</f>
        <v>6000</v>
      </c>
      <c r="S1275" s="4">
        <f>Tableau1_2[[#This Row],[Marge]]/Tableau1_2[[#This Row],[CA]]</f>
        <v>0.33333333333333331</v>
      </c>
      <c r="T1275" t="str">
        <f>TEXT(Tableau1_2[[#This Row],[Date]],"mmmm")</f>
        <v>août</v>
      </c>
    </row>
    <row r="1276" spans="1:20" x14ac:dyDescent="0.35">
      <c r="A1276" t="s">
        <v>2272</v>
      </c>
      <c r="B1276" s="2">
        <v>46227</v>
      </c>
      <c r="C1276" t="s">
        <v>424</v>
      </c>
      <c r="D1276" t="s">
        <v>2273</v>
      </c>
      <c r="E1276" t="s">
        <v>70</v>
      </c>
      <c r="F1276" t="s">
        <v>71</v>
      </c>
      <c r="G1276" t="s">
        <v>43</v>
      </c>
      <c r="H1276" t="s">
        <v>49</v>
      </c>
      <c r="I1276">
        <v>2</v>
      </c>
      <c r="J1276">
        <v>9000</v>
      </c>
      <c r="K1276">
        <v>6000</v>
      </c>
      <c r="L1276" t="s">
        <v>66</v>
      </c>
      <c r="M1276" t="s">
        <v>37</v>
      </c>
      <c r="N1276" t="s">
        <v>23</v>
      </c>
      <c r="O1276" t="s">
        <v>24</v>
      </c>
      <c r="P1276">
        <f>Tableau1_2[[#This Row],[Quantité]]*Tableau1_2[[#This Row],[Prix_Unitaire]]</f>
        <v>18000</v>
      </c>
      <c r="Q1276">
        <f>Tableau1_2[[#This Row],[Quantité]]*Tableau1_2[[#This Row],[Coût_Unitaire]]</f>
        <v>12000</v>
      </c>
      <c r="R1276">
        <f>Tableau1_2[[#This Row],[CA]]-Tableau1_2[[#This Row],[Cout Total]]</f>
        <v>6000</v>
      </c>
      <c r="S1276" s="4">
        <f>Tableau1_2[[#This Row],[Marge]]/Tableau1_2[[#This Row],[CA]]</f>
        <v>0.33333333333333331</v>
      </c>
      <c r="T1276" t="str">
        <f>TEXT(Tableau1_2[[#This Row],[Date]],"mmmm")</f>
        <v>juillet</v>
      </c>
    </row>
    <row r="1277" spans="1:20" x14ac:dyDescent="0.35">
      <c r="A1277" t="s">
        <v>2274</v>
      </c>
      <c r="B1277" s="2">
        <v>46316</v>
      </c>
      <c r="C1277" t="s">
        <v>825</v>
      </c>
      <c r="D1277" t="s">
        <v>846</v>
      </c>
      <c r="E1277" t="s">
        <v>56</v>
      </c>
      <c r="F1277" t="s">
        <v>57</v>
      </c>
      <c r="G1277" t="s">
        <v>34</v>
      </c>
      <c r="H1277" t="s">
        <v>158</v>
      </c>
      <c r="I1277">
        <v>8</v>
      </c>
      <c r="J1277">
        <v>90200</v>
      </c>
      <c r="K1277">
        <v>72100</v>
      </c>
      <c r="L1277" t="s">
        <v>73</v>
      </c>
      <c r="M1277" t="s">
        <v>31</v>
      </c>
      <c r="N1277" t="s">
        <v>52</v>
      </c>
      <c r="O1277" t="s">
        <v>24</v>
      </c>
      <c r="P1277">
        <f>Tableau1_2[[#This Row],[Quantité]]*Tableau1_2[[#This Row],[Prix_Unitaire]]</f>
        <v>721600</v>
      </c>
      <c r="Q1277">
        <f>Tableau1_2[[#This Row],[Quantité]]*Tableau1_2[[#This Row],[Coût_Unitaire]]</f>
        <v>576800</v>
      </c>
      <c r="R1277">
        <f>Tableau1_2[[#This Row],[CA]]-Tableau1_2[[#This Row],[Cout Total]]</f>
        <v>144800</v>
      </c>
      <c r="S1277" s="4">
        <f>Tableau1_2[[#This Row],[Marge]]/Tableau1_2[[#This Row],[CA]]</f>
        <v>0.20066518847006651</v>
      </c>
      <c r="T1277" t="str">
        <f>TEXT(Tableau1_2[[#This Row],[Date]],"mmmm")</f>
        <v>octobre</v>
      </c>
    </row>
    <row r="1278" spans="1:20" x14ac:dyDescent="0.35">
      <c r="A1278" t="s">
        <v>2275</v>
      </c>
      <c r="B1278" s="2">
        <v>46211</v>
      </c>
      <c r="C1278" t="s">
        <v>2236</v>
      </c>
      <c r="D1278" t="s">
        <v>1292</v>
      </c>
      <c r="E1278" t="s">
        <v>18</v>
      </c>
      <c r="F1278" t="s">
        <v>18</v>
      </c>
      <c r="G1278" t="s">
        <v>43</v>
      </c>
      <c r="H1278" t="s">
        <v>162</v>
      </c>
      <c r="I1278">
        <v>1</v>
      </c>
      <c r="J1278">
        <v>8400</v>
      </c>
      <c r="K1278">
        <v>5200</v>
      </c>
      <c r="L1278" t="s">
        <v>80</v>
      </c>
      <c r="M1278" t="s">
        <v>22</v>
      </c>
      <c r="N1278" t="s">
        <v>23</v>
      </c>
      <c r="O1278" t="s">
        <v>45</v>
      </c>
      <c r="P1278">
        <f>Tableau1_2[[#This Row],[Quantité]]*Tableau1_2[[#This Row],[Prix_Unitaire]]</f>
        <v>8400</v>
      </c>
      <c r="Q1278">
        <f>Tableau1_2[[#This Row],[Quantité]]*Tableau1_2[[#This Row],[Coût_Unitaire]]</f>
        <v>5200</v>
      </c>
      <c r="R1278">
        <f>Tableau1_2[[#This Row],[CA]]-Tableau1_2[[#This Row],[Cout Total]]</f>
        <v>3200</v>
      </c>
      <c r="S1278" s="4">
        <f>Tableau1_2[[#This Row],[Marge]]/Tableau1_2[[#This Row],[CA]]</f>
        <v>0.38095238095238093</v>
      </c>
      <c r="T1278" t="str">
        <f>TEXT(Tableau1_2[[#This Row],[Date]],"mmmm")</f>
        <v>juillet</v>
      </c>
    </row>
    <row r="1279" spans="1:20" x14ac:dyDescent="0.35">
      <c r="A1279" t="s">
        <v>2276</v>
      </c>
      <c r="B1279" s="2">
        <v>46143</v>
      </c>
      <c r="C1279" t="s">
        <v>1532</v>
      </c>
      <c r="D1279" t="s">
        <v>1217</v>
      </c>
      <c r="E1279" t="s">
        <v>56</v>
      </c>
      <c r="F1279" t="s">
        <v>57</v>
      </c>
      <c r="G1279" t="s">
        <v>34</v>
      </c>
      <c r="H1279" t="s">
        <v>141</v>
      </c>
      <c r="I1279">
        <v>3</v>
      </c>
      <c r="J1279">
        <v>160000</v>
      </c>
      <c r="K1279">
        <v>123600</v>
      </c>
      <c r="L1279" t="s">
        <v>50</v>
      </c>
      <c r="M1279" t="s">
        <v>37</v>
      </c>
      <c r="N1279" t="s">
        <v>52</v>
      </c>
      <c r="O1279" t="s">
        <v>91</v>
      </c>
      <c r="P1279">
        <f>Tableau1_2[[#This Row],[Quantité]]*Tableau1_2[[#This Row],[Prix_Unitaire]]</f>
        <v>480000</v>
      </c>
      <c r="Q1279">
        <f>Tableau1_2[[#This Row],[Quantité]]*Tableau1_2[[#This Row],[Coût_Unitaire]]</f>
        <v>370800</v>
      </c>
      <c r="R1279">
        <f>Tableau1_2[[#This Row],[CA]]-Tableau1_2[[#This Row],[Cout Total]]</f>
        <v>109200</v>
      </c>
      <c r="S1279" s="4">
        <f>Tableau1_2[[#This Row],[Marge]]/Tableau1_2[[#This Row],[CA]]</f>
        <v>0.22750000000000001</v>
      </c>
      <c r="T1279" t="str">
        <f>TEXT(Tableau1_2[[#This Row],[Date]],"mmmm")</f>
        <v>mai</v>
      </c>
    </row>
    <row r="1280" spans="1:20" x14ac:dyDescent="0.35">
      <c r="A1280" t="s">
        <v>2277</v>
      </c>
      <c r="B1280" s="2">
        <v>46071</v>
      </c>
      <c r="C1280" t="s">
        <v>379</v>
      </c>
      <c r="D1280" t="s">
        <v>1471</v>
      </c>
      <c r="E1280" t="s">
        <v>18</v>
      </c>
      <c r="F1280" t="s">
        <v>18</v>
      </c>
      <c r="G1280" t="s">
        <v>28</v>
      </c>
      <c r="H1280" t="s">
        <v>248</v>
      </c>
      <c r="I1280">
        <v>10</v>
      </c>
      <c r="J1280">
        <v>25000</v>
      </c>
      <c r="K1280">
        <v>16000</v>
      </c>
      <c r="L1280" t="s">
        <v>21</v>
      </c>
      <c r="M1280" t="s">
        <v>22</v>
      </c>
      <c r="N1280" t="s">
        <v>52</v>
      </c>
      <c r="O1280" t="s">
        <v>24</v>
      </c>
      <c r="P1280">
        <f>Tableau1_2[[#This Row],[Quantité]]*Tableau1_2[[#This Row],[Prix_Unitaire]]</f>
        <v>250000</v>
      </c>
      <c r="Q1280">
        <f>Tableau1_2[[#This Row],[Quantité]]*Tableau1_2[[#This Row],[Coût_Unitaire]]</f>
        <v>160000</v>
      </c>
      <c r="R1280">
        <f>Tableau1_2[[#This Row],[CA]]-Tableau1_2[[#This Row],[Cout Total]]</f>
        <v>90000</v>
      </c>
      <c r="S1280" s="4">
        <f>Tableau1_2[[#This Row],[Marge]]/Tableau1_2[[#This Row],[CA]]</f>
        <v>0.36</v>
      </c>
      <c r="T1280" t="str">
        <f>TEXT(Tableau1_2[[#This Row],[Date]],"mmmm")</f>
        <v>février</v>
      </c>
    </row>
    <row r="1281" spans="1:20" x14ac:dyDescent="0.35">
      <c r="A1281" t="s">
        <v>2278</v>
      </c>
      <c r="B1281" s="2">
        <v>46270</v>
      </c>
      <c r="C1281" t="s">
        <v>497</v>
      </c>
      <c r="D1281" t="s">
        <v>572</v>
      </c>
      <c r="E1281" t="s">
        <v>156</v>
      </c>
      <c r="F1281" t="s">
        <v>170</v>
      </c>
      <c r="G1281" t="s">
        <v>34</v>
      </c>
      <c r="H1281" t="s">
        <v>141</v>
      </c>
      <c r="I1281">
        <v>9</v>
      </c>
      <c r="J1281">
        <v>168000</v>
      </c>
      <c r="K1281">
        <v>123600</v>
      </c>
      <c r="L1281" t="s">
        <v>73</v>
      </c>
      <c r="M1281" t="s">
        <v>51</v>
      </c>
      <c r="N1281" t="s">
        <v>52</v>
      </c>
      <c r="O1281" t="s">
        <v>24</v>
      </c>
      <c r="P1281">
        <f>Tableau1_2[[#This Row],[Quantité]]*Tableau1_2[[#This Row],[Prix_Unitaire]]</f>
        <v>1512000</v>
      </c>
      <c r="Q1281">
        <f>Tableau1_2[[#This Row],[Quantité]]*Tableau1_2[[#This Row],[Coût_Unitaire]]</f>
        <v>1112400</v>
      </c>
      <c r="R1281">
        <f>Tableau1_2[[#This Row],[CA]]-Tableau1_2[[#This Row],[Cout Total]]</f>
        <v>399600</v>
      </c>
      <c r="S1281" s="4">
        <f>Tableau1_2[[#This Row],[Marge]]/Tableau1_2[[#This Row],[CA]]</f>
        <v>0.26428571428571429</v>
      </c>
      <c r="T1281" t="str">
        <f>TEXT(Tableau1_2[[#This Row],[Date]],"mmmm")</f>
        <v>septembre</v>
      </c>
    </row>
    <row r="1282" spans="1:20" x14ac:dyDescent="0.35">
      <c r="A1282" t="s">
        <v>2279</v>
      </c>
      <c r="B1282" s="2">
        <v>46130</v>
      </c>
      <c r="C1282" t="s">
        <v>518</v>
      </c>
      <c r="D1282" t="s">
        <v>1654</v>
      </c>
      <c r="E1282" t="s">
        <v>70</v>
      </c>
      <c r="F1282" t="s">
        <v>71</v>
      </c>
      <c r="G1282" t="s">
        <v>19</v>
      </c>
      <c r="H1282" t="s">
        <v>166</v>
      </c>
      <c r="I1282">
        <v>4</v>
      </c>
      <c r="J1282">
        <v>147000</v>
      </c>
      <c r="K1282">
        <v>103000</v>
      </c>
      <c r="L1282" t="s">
        <v>96</v>
      </c>
      <c r="M1282" t="s">
        <v>51</v>
      </c>
      <c r="N1282" t="s">
        <v>52</v>
      </c>
      <c r="O1282" t="s">
        <v>24</v>
      </c>
      <c r="P1282">
        <f>Tableau1_2[[#This Row],[Quantité]]*Tableau1_2[[#This Row],[Prix_Unitaire]]</f>
        <v>588000</v>
      </c>
      <c r="Q1282">
        <f>Tableau1_2[[#This Row],[Quantité]]*Tableau1_2[[#This Row],[Coût_Unitaire]]</f>
        <v>412000</v>
      </c>
      <c r="R1282">
        <f>Tableau1_2[[#This Row],[CA]]-Tableau1_2[[#This Row],[Cout Total]]</f>
        <v>176000</v>
      </c>
      <c r="S1282" s="4">
        <f>Tableau1_2[[#This Row],[Marge]]/Tableau1_2[[#This Row],[CA]]</f>
        <v>0.29931972789115646</v>
      </c>
      <c r="T1282" t="str">
        <f>TEXT(Tableau1_2[[#This Row],[Date]],"mmmm")</f>
        <v>avril</v>
      </c>
    </row>
    <row r="1283" spans="1:20" x14ac:dyDescent="0.35">
      <c r="A1283" t="s">
        <v>2280</v>
      </c>
      <c r="B1283" s="2">
        <v>46295</v>
      </c>
      <c r="C1283" t="s">
        <v>1278</v>
      </c>
      <c r="D1283" t="s">
        <v>960</v>
      </c>
      <c r="E1283" t="s">
        <v>70</v>
      </c>
      <c r="F1283" t="s">
        <v>71</v>
      </c>
      <c r="G1283" t="s">
        <v>19</v>
      </c>
      <c r="H1283" t="s">
        <v>20</v>
      </c>
      <c r="I1283">
        <v>5</v>
      </c>
      <c r="J1283">
        <v>68200</v>
      </c>
      <c r="K1283">
        <v>43600</v>
      </c>
      <c r="L1283" t="s">
        <v>66</v>
      </c>
      <c r="M1283" t="s">
        <v>22</v>
      </c>
      <c r="N1283" t="s">
        <v>23</v>
      </c>
      <c r="O1283" t="s">
        <v>91</v>
      </c>
      <c r="P1283">
        <f>Tableau1_2[[#This Row],[Quantité]]*Tableau1_2[[#This Row],[Prix_Unitaire]]</f>
        <v>341000</v>
      </c>
      <c r="Q1283">
        <f>Tableau1_2[[#This Row],[Quantité]]*Tableau1_2[[#This Row],[Coût_Unitaire]]</f>
        <v>218000</v>
      </c>
      <c r="R1283">
        <f>Tableau1_2[[#This Row],[CA]]-Tableau1_2[[#This Row],[Cout Total]]</f>
        <v>123000</v>
      </c>
      <c r="S1283" s="4">
        <f>Tableau1_2[[#This Row],[Marge]]/Tableau1_2[[#This Row],[CA]]</f>
        <v>0.36070381231671556</v>
      </c>
      <c r="T1283" t="str">
        <f>TEXT(Tableau1_2[[#This Row],[Date]],"mmmm")</f>
        <v>septembre</v>
      </c>
    </row>
    <row r="1284" spans="1:20" x14ac:dyDescent="0.35">
      <c r="A1284" t="s">
        <v>2281</v>
      </c>
      <c r="B1284" s="2">
        <v>46312</v>
      </c>
      <c r="C1284" t="s">
        <v>220</v>
      </c>
      <c r="D1284" t="s">
        <v>1120</v>
      </c>
      <c r="E1284" t="s">
        <v>18</v>
      </c>
      <c r="F1284" t="s">
        <v>18</v>
      </c>
      <c r="G1284" t="s">
        <v>43</v>
      </c>
      <c r="H1284" t="s">
        <v>79</v>
      </c>
      <c r="I1284">
        <v>9</v>
      </c>
      <c r="J1284">
        <v>6300</v>
      </c>
      <c r="K1284">
        <v>4300</v>
      </c>
      <c r="L1284" t="s">
        <v>36</v>
      </c>
      <c r="M1284" t="s">
        <v>22</v>
      </c>
      <c r="N1284" t="s">
        <v>23</v>
      </c>
      <c r="O1284" t="s">
        <v>24</v>
      </c>
      <c r="P1284">
        <f>Tableau1_2[[#This Row],[Quantité]]*Tableau1_2[[#This Row],[Prix_Unitaire]]</f>
        <v>56700</v>
      </c>
      <c r="Q1284">
        <f>Tableau1_2[[#This Row],[Quantité]]*Tableau1_2[[#This Row],[Coût_Unitaire]]</f>
        <v>38700</v>
      </c>
      <c r="R1284">
        <f>Tableau1_2[[#This Row],[CA]]-Tableau1_2[[#This Row],[Cout Total]]</f>
        <v>18000</v>
      </c>
      <c r="S1284" s="4">
        <f>Tableau1_2[[#This Row],[Marge]]/Tableau1_2[[#This Row],[CA]]</f>
        <v>0.31746031746031744</v>
      </c>
      <c r="T1284" t="str">
        <f>TEXT(Tableau1_2[[#This Row],[Date]],"mmmm")</f>
        <v>octobre</v>
      </c>
    </row>
    <row r="1285" spans="1:20" x14ac:dyDescent="0.35">
      <c r="A1285" t="s">
        <v>2282</v>
      </c>
      <c r="B1285" s="2">
        <v>46196</v>
      </c>
      <c r="C1285" t="s">
        <v>832</v>
      </c>
      <c r="D1285" t="s">
        <v>1346</v>
      </c>
      <c r="E1285" t="s">
        <v>18</v>
      </c>
      <c r="F1285" t="s">
        <v>18</v>
      </c>
      <c r="G1285" t="s">
        <v>28</v>
      </c>
      <c r="H1285" t="s">
        <v>29</v>
      </c>
      <c r="I1285">
        <v>9</v>
      </c>
      <c r="J1285">
        <v>7400</v>
      </c>
      <c r="K1285">
        <v>3900</v>
      </c>
      <c r="L1285" t="s">
        <v>50</v>
      </c>
      <c r="M1285" t="s">
        <v>37</v>
      </c>
      <c r="N1285" t="s">
        <v>52</v>
      </c>
      <c r="O1285" t="s">
        <v>91</v>
      </c>
      <c r="P1285">
        <f>Tableau1_2[[#This Row],[Quantité]]*Tableau1_2[[#This Row],[Prix_Unitaire]]</f>
        <v>66600</v>
      </c>
      <c r="Q1285">
        <f>Tableau1_2[[#This Row],[Quantité]]*Tableau1_2[[#This Row],[Coût_Unitaire]]</f>
        <v>35100</v>
      </c>
      <c r="R1285">
        <f>Tableau1_2[[#This Row],[CA]]-Tableau1_2[[#This Row],[Cout Total]]</f>
        <v>31500</v>
      </c>
      <c r="S1285" s="4">
        <f>Tableau1_2[[#This Row],[Marge]]/Tableau1_2[[#This Row],[CA]]</f>
        <v>0.47297297297297297</v>
      </c>
      <c r="T1285" t="str">
        <f>TEXT(Tableau1_2[[#This Row],[Date]],"mmmm")</f>
        <v>juin</v>
      </c>
    </row>
    <row r="1286" spans="1:20" x14ac:dyDescent="0.35">
      <c r="A1286" t="s">
        <v>2283</v>
      </c>
      <c r="B1286" s="2">
        <v>46211</v>
      </c>
      <c r="C1286" t="s">
        <v>1294</v>
      </c>
      <c r="D1286" t="s">
        <v>939</v>
      </c>
      <c r="E1286" t="s">
        <v>84</v>
      </c>
      <c r="F1286" t="s">
        <v>85</v>
      </c>
      <c r="G1286" t="s">
        <v>34</v>
      </c>
      <c r="H1286" t="s">
        <v>141</v>
      </c>
      <c r="I1286">
        <v>4</v>
      </c>
      <c r="J1286">
        <v>152000</v>
      </c>
      <c r="K1286">
        <v>116400</v>
      </c>
      <c r="L1286" t="s">
        <v>96</v>
      </c>
      <c r="M1286" t="s">
        <v>22</v>
      </c>
      <c r="N1286" t="s">
        <v>23</v>
      </c>
      <c r="O1286" t="s">
        <v>24</v>
      </c>
      <c r="P1286">
        <f>Tableau1_2[[#This Row],[Quantité]]*Tableau1_2[[#This Row],[Prix_Unitaire]]</f>
        <v>608000</v>
      </c>
      <c r="Q1286">
        <f>Tableau1_2[[#This Row],[Quantité]]*Tableau1_2[[#This Row],[Coût_Unitaire]]</f>
        <v>465600</v>
      </c>
      <c r="R1286">
        <f>Tableau1_2[[#This Row],[CA]]-Tableau1_2[[#This Row],[Cout Total]]</f>
        <v>142400</v>
      </c>
      <c r="S1286" s="4">
        <f>Tableau1_2[[#This Row],[Marge]]/Tableau1_2[[#This Row],[CA]]</f>
        <v>0.23421052631578948</v>
      </c>
      <c r="T1286" t="str">
        <f>TEXT(Tableau1_2[[#This Row],[Date]],"mmmm")</f>
        <v>juillet</v>
      </c>
    </row>
    <row r="1287" spans="1:20" x14ac:dyDescent="0.35">
      <c r="A1287" t="s">
        <v>2284</v>
      </c>
      <c r="B1287" s="2">
        <v>46055</v>
      </c>
      <c r="C1287" t="s">
        <v>811</v>
      </c>
      <c r="D1287" t="s">
        <v>555</v>
      </c>
      <c r="E1287" t="s">
        <v>77</v>
      </c>
      <c r="F1287" t="s">
        <v>78</v>
      </c>
      <c r="G1287" t="s">
        <v>28</v>
      </c>
      <c r="H1287" t="s">
        <v>131</v>
      </c>
      <c r="I1287">
        <v>2</v>
      </c>
      <c r="J1287">
        <v>31500</v>
      </c>
      <c r="K1287">
        <v>19600</v>
      </c>
      <c r="L1287" t="s">
        <v>36</v>
      </c>
      <c r="M1287" t="s">
        <v>37</v>
      </c>
      <c r="N1287" t="s">
        <v>52</v>
      </c>
      <c r="O1287" t="s">
        <v>24</v>
      </c>
      <c r="P1287">
        <f>Tableau1_2[[#This Row],[Quantité]]*Tableau1_2[[#This Row],[Prix_Unitaire]]</f>
        <v>63000</v>
      </c>
      <c r="Q1287">
        <f>Tableau1_2[[#This Row],[Quantité]]*Tableau1_2[[#This Row],[Coût_Unitaire]]</f>
        <v>39200</v>
      </c>
      <c r="R1287">
        <f>Tableau1_2[[#This Row],[CA]]-Tableau1_2[[#This Row],[Cout Total]]</f>
        <v>23800</v>
      </c>
      <c r="S1287" s="4">
        <f>Tableau1_2[[#This Row],[Marge]]/Tableau1_2[[#This Row],[CA]]</f>
        <v>0.37777777777777777</v>
      </c>
      <c r="T1287" t="str">
        <f>TEXT(Tableau1_2[[#This Row],[Date]],"mmmm")</f>
        <v>février</v>
      </c>
    </row>
    <row r="1288" spans="1:20" x14ac:dyDescent="0.35">
      <c r="A1288" t="s">
        <v>2285</v>
      </c>
      <c r="B1288" s="2">
        <v>46158</v>
      </c>
      <c r="C1288" t="s">
        <v>59</v>
      </c>
      <c r="D1288" t="s">
        <v>703</v>
      </c>
      <c r="E1288" t="s">
        <v>18</v>
      </c>
      <c r="F1288" t="s">
        <v>18</v>
      </c>
      <c r="G1288" t="s">
        <v>28</v>
      </c>
      <c r="H1288" t="s">
        <v>248</v>
      </c>
      <c r="I1288">
        <v>5</v>
      </c>
      <c r="J1288">
        <v>25000</v>
      </c>
      <c r="K1288">
        <v>16500</v>
      </c>
      <c r="L1288" t="s">
        <v>50</v>
      </c>
      <c r="M1288" t="s">
        <v>51</v>
      </c>
      <c r="N1288" t="s">
        <v>52</v>
      </c>
      <c r="O1288" t="s">
        <v>45</v>
      </c>
      <c r="P1288">
        <f>Tableau1_2[[#This Row],[Quantité]]*Tableau1_2[[#This Row],[Prix_Unitaire]]</f>
        <v>125000</v>
      </c>
      <c r="Q1288">
        <f>Tableau1_2[[#This Row],[Quantité]]*Tableau1_2[[#This Row],[Coût_Unitaire]]</f>
        <v>82500</v>
      </c>
      <c r="R1288">
        <f>Tableau1_2[[#This Row],[CA]]-Tableau1_2[[#This Row],[Cout Total]]</f>
        <v>42500</v>
      </c>
      <c r="S1288" s="4">
        <f>Tableau1_2[[#This Row],[Marge]]/Tableau1_2[[#This Row],[CA]]</f>
        <v>0.34</v>
      </c>
      <c r="T1288" t="str">
        <f>TEXT(Tableau1_2[[#This Row],[Date]],"mmmm")</f>
        <v>mai</v>
      </c>
    </row>
    <row r="1289" spans="1:20" x14ac:dyDescent="0.35">
      <c r="A1289" t="s">
        <v>2286</v>
      </c>
      <c r="B1289" s="2">
        <v>46172</v>
      </c>
      <c r="C1289" t="s">
        <v>1511</v>
      </c>
      <c r="D1289" t="s">
        <v>767</v>
      </c>
      <c r="E1289" t="s">
        <v>84</v>
      </c>
      <c r="F1289" t="s">
        <v>85</v>
      </c>
      <c r="G1289" t="s">
        <v>43</v>
      </c>
      <c r="H1289" t="s">
        <v>44</v>
      </c>
      <c r="I1289">
        <v>6</v>
      </c>
      <c r="J1289">
        <v>15000</v>
      </c>
      <c r="K1289">
        <v>9800</v>
      </c>
      <c r="L1289" t="s">
        <v>50</v>
      </c>
      <c r="M1289" t="s">
        <v>22</v>
      </c>
      <c r="N1289" t="s">
        <v>52</v>
      </c>
      <c r="O1289" t="s">
        <v>24</v>
      </c>
      <c r="P1289">
        <f>Tableau1_2[[#This Row],[Quantité]]*Tableau1_2[[#This Row],[Prix_Unitaire]]</f>
        <v>90000</v>
      </c>
      <c r="Q1289">
        <f>Tableau1_2[[#This Row],[Quantité]]*Tableau1_2[[#This Row],[Coût_Unitaire]]</f>
        <v>58800</v>
      </c>
      <c r="R1289">
        <f>Tableau1_2[[#This Row],[CA]]-Tableau1_2[[#This Row],[Cout Total]]</f>
        <v>31200</v>
      </c>
      <c r="S1289" s="4">
        <f>Tableau1_2[[#This Row],[Marge]]/Tableau1_2[[#This Row],[CA]]</f>
        <v>0.34666666666666668</v>
      </c>
      <c r="T1289" t="str">
        <f>TEXT(Tableau1_2[[#This Row],[Date]],"mmmm")</f>
        <v>mai</v>
      </c>
    </row>
    <row r="1290" spans="1:20" x14ac:dyDescent="0.35">
      <c r="A1290" t="s">
        <v>2287</v>
      </c>
      <c r="B1290" s="2">
        <v>46094</v>
      </c>
      <c r="C1290" t="s">
        <v>1253</v>
      </c>
      <c r="D1290" t="s">
        <v>479</v>
      </c>
      <c r="E1290" t="s">
        <v>190</v>
      </c>
      <c r="F1290" t="s">
        <v>191</v>
      </c>
      <c r="G1290" t="s">
        <v>34</v>
      </c>
      <c r="H1290" t="s">
        <v>158</v>
      </c>
      <c r="I1290">
        <v>2</v>
      </c>
      <c r="J1290">
        <v>95000</v>
      </c>
      <c r="K1290">
        <v>70000</v>
      </c>
      <c r="L1290" t="s">
        <v>66</v>
      </c>
      <c r="M1290" t="s">
        <v>22</v>
      </c>
      <c r="N1290" t="s">
        <v>23</v>
      </c>
      <c r="O1290" t="s">
        <v>24</v>
      </c>
      <c r="P1290">
        <f>Tableau1_2[[#This Row],[Quantité]]*Tableau1_2[[#This Row],[Prix_Unitaire]]</f>
        <v>190000</v>
      </c>
      <c r="Q1290">
        <f>Tableau1_2[[#This Row],[Quantité]]*Tableau1_2[[#This Row],[Coût_Unitaire]]</f>
        <v>140000</v>
      </c>
      <c r="R1290">
        <f>Tableau1_2[[#This Row],[CA]]-Tableau1_2[[#This Row],[Cout Total]]</f>
        <v>50000</v>
      </c>
      <c r="S1290" s="4">
        <f>Tableau1_2[[#This Row],[Marge]]/Tableau1_2[[#This Row],[CA]]</f>
        <v>0.26315789473684209</v>
      </c>
      <c r="T1290" t="str">
        <f>TEXT(Tableau1_2[[#This Row],[Date]],"mmmm")</f>
        <v>mars</v>
      </c>
    </row>
    <row r="1291" spans="1:20" x14ac:dyDescent="0.35">
      <c r="A1291" t="s">
        <v>2288</v>
      </c>
      <c r="B1291" s="2">
        <v>46296</v>
      </c>
      <c r="C1291" t="s">
        <v>275</v>
      </c>
      <c r="D1291" t="s">
        <v>779</v>
      </c>
      <c r="E1291" t="s">
        <v>18</v>
      </c>
      <c r="F1291" t="s">
        <v>18</v>
      </c>
      <c r="G1291" t="s">
        <v>34</v>
      </c>
      <c r="H1291" t="s">
        <v>141</v>
      </c>
      <c r="I1291">
        <v>6</v>
      </c>
      <c r="J1291">
        <v>160000</v>
      </c>
      <c r="K1291">
        <v>120000</v>
      </c>
      <c r="L1291" t="s">
        <v>30</v>
      </c>
      <c r="M1291" t="s">
        <v>31</v>
      </c>
      <c r="N1291" t="s">
        <v>87</v>
      </c>
      <c r="O1291" t="s">
        <v>24</v>
      </c>
      <c r="P1291">
        <f>Tableau1_2[[#This Row],[Quantité]]*Tableau1_2[[#This Row],[Prix_Unitaire]]</f>
        <v>960000</v>
      </c>
      <c r="Q1291">
        <f>Tableau1_2[[#This Row],[Quantité]]*Tableau1_2[[#This Row],[Coût_Unitaire]]</f>
        <v>720000</v>
      </c>
      <c r="R1291">
        <f>Tableau1_2[[#This Row],[CA]]-Tableau1_2[[#This Row],[Cout Total]]</f>
        <v>240000</v>
      </c>
      <c r="S1291" s="4">
        <f>Tableau1_2[[#This Row],[Marge]]/Tableau1_2[[#This Row],[CA]]</f>
        <v>0.25</v>
      </c>
      <c r="T1291" t="str">
        <f>TEXT(Tableau1_2[[#This Row],[Date]],"mmmm")</f>
        <v>octobre</v>
      </c>
    </row>
    <row r="1292" spans="1:20" x14ac:dyDescent="0.35">
      <c r="A1292" t="s">
        <v>2289</v>
      </c>
      <c r="B1292" s="2">
        <v>46103</v>
      </c>
      <c r="C1292" t="s">
        <v>532</v>
      </c>
      <c r="D1292" t="s">
        <v>986</v>
      </c>
      <c r="E1292" t="s">
        <v>70</v>
      </c>
      <c r="F1292" t="s">
        <v>71</v>
      </c>
      <c r="G1292" t="s">
        <v>43</v>
      </c>
      <c r="H1292" t="s">
        <v>49</v>
      </c>
      <c r="I1292">
        <v>1</v>
      </c>
      <c r="J1292">
        <v>9400</v>
      </c>
      <c r="K1292">
        <v>6000</v>
      </c>
      <c r="L1292" t="s">
        <v>30</v>
      </c>
      <c r="M1292" t="s">
        <v>37</v>
      </c>
      <c r="N1292" t="s">
        <v>23</v>
      </c>
      <c r="O1292" t="s">
        <v>91</v>
      </c>
      <c r="P1292">
        <f>Tableau1_2[[#This Row],[Quantité]]*Tableau1_2[[#This Row],[Prix_Unitaire]]</f>
        <v>9400</v>
      </c>
      <c r="Q1292">
        <f>Tableau1_2[[#This Row],[Quantité]]*Tableau1_2[[#This Row],[Coût_Unitaire]]</f>
        <v>6000</v>
      </c>
      <c r="R1292">
        <f>Tableau1_2[[#This Row],[CA]]-Tableau1_2[[#This Row],[Cout Total]]</f>
        <v>3400</v>
      </c>
      <c r="S1292" s="4">
        <f>Tableau1_2[[#This Row],[Marge]]/Tableau1_2[[#This Row],[CA]]</f>
        <v>0.36170212765957449</v>
      </c>
      <c r="T1292" t="str">
        <f>TEXT(Tableau1_2[[#This Row],[Date]],"mmmm")</f>
        <v>mars</v>
      </c>
    </row>
    <row r="1293" spans="1:20" x14ac:dyDescent="0.35">
      <c r="A1293" t="s">
        <v>2290</v>
      </c>
      <c r="B1293" s="2">
        <v>46141</v>
      </c>
      <c r="C1293" t="s">
        <v>489</v>
      </c>
      <c r="D1293" t="s">
        <v>417</v>
      </c>
      <c r="E1293" t="s">
        <v>56</v>
      </c>
      <c r="F1293" t="s">
        <v>57</v>
      </c>
      <c r="G1293" t="s">
        <v>28</v>
      </c>
      <c r="H1293" t="s">
        <v>29</v>
      </c>
      <c r="I1293">
        <v>10</v>
      </c>
      <c r="J1293">
        <v>7000</v>
      </c>
      <c r="K1293">
        <v>4000</v>
      </c>
      <c r="L1293" t="s">
        <v>96</v>
      </c>
      <c r="M1293" t="s">
        <v>51</v>
      </c>
      <c r="N1293" t="s">
        <v>87</v>
      </c>
      <c r="O1293" t="s">
        <v>24</v>
      </c>
      <c r="P1293">
        <f>Tableau1_2[[#This Row],[Quantité]]*Tableau1_2[[#This Row],[Prix_Unitaire]]</f>
        <v>70000</v>
      </c>
      <c r="Q1293">
        <f>Tableau1_2[[#This Row],[Quantité]]*Tableau1_2[[#This Row],[Coût_Unitaire]]</f>
        <v>40000</v>
      </c>
      <c r="R1293">
        <f>Tableau1_2[[#This Row],[CA]]-Tableau1_2[[#This Row],[Cout Total]]</f>
        <v>30000</v>
      </c>
      <c r="S1293" s="4">
        <f>Tableau1_2[[#This Row],[Marge]]/Tableau1_2[[#This Row],[CA]]</f>
        <v>0.42857142857142855</v>
      </c>
      <c r="T1293" t="str">
        <f>TEXT(Tableau1_2[[#This Row],[Date]],"mmmm")</f>
        <v>avril</v>
      </c>
    </row>
    <row r="1294" spans="1:20" x14ac:dyDescent="0.35">
      <c r="A1294" t="s">
        <v>2291</v>
      </c>
      <c r="B1294" s="2">
        <v>46296</v>
      </c>
      <c r="C1294" t="s">
        <v>1081</v>
      </c>
      <c r="D1294" t="s">
        <v>385</v>
      </c>
      <c r="E1294" t="s">
        <v>18</v>
      </c>
      <c r="F1294" t="s">
        <v>18</v>
      </c>
      <c r="G1294" t="s">
        <v>43</v>
      </c>
      <c r="H1294" t="s">
        <v>49</v>
      </c>
      <c r="I1294">
        <v>1</v>
      </c>
      <c r="J1294">
        <v>8600</v>
      </c>
      <c r="K1294">
        <v>5600</v>
      </c>
      <c r="L1294" t="s">
        <v>96</v>
      </c>
      <c r="M1294" t="s">
        <v>37</v>
      </c>
      <c r="N1294" t="s">
        <v>52</v>
      </c>
      <c r="O1294" t="s">
        <v>24</v>
      </c>
      <c r="P1294">
        <f>Tableau1_2[[#This Row],[Quantité]]*Tableau1_2[[#This Row],[Prix_Unitaire]]</f>
        <v>8600</v>
      </c>
      <c r="Q1294">
        <f>Tableau1_2[[#This Row],[Quantité]]*Tableau1_2[[#This Row],[Coût_Unitaire]]</f>
        <v>5600</v>
      </c>
      <c r="R1294">
        <f>Tableau1_2[[#This Row],[CA]]-Tableau1_2[[#This Row],[Cout Total]]</f>
        <v>3000</v>
      </c>
      <c r="S1294" s="4">
        <f>Tableau1_2[[#This Row],[Marge]]/Tableau1_2[[#This Row],[CA]]</f>
        <v>0.34883720930232559</v>
      </c>
      <c r="T1294" t="str">
        <f>TEXT(Tableau1_2[[#This Row],[Date]],"mmmm")</f>
        <v>octobre</v>
      </c>
    </row>
    <row r="1295" spans="1:20" x14ac:dyDescent="0.35">
      <c r="A1295" t="s">
        <v>2292</v>
      </c>
      <c r="B1295" s="2">
        <v>46264</v>
      </c>
      <c r="C1295" t="s">
        <v>1156</v>
      </c>
      <c r="D1295" t="s">
        <v>1059</v>
      </c>
      <c r="E1295" t="s">
        <v>190</v>
      </c>
      <c r="F1295" t="s">
        <v>191</v>
      </c>
      <c r="G1295" t="s">
        <v>43</v>
      </c>
      <c r="H1295" t="s">
        <v>79</v>
      </c>
      <c r="I1295">
        <v>5</v>
      </c>
      <c r="J1295">
        <v>5700</v>
      </c>
      <c r="K1295">
        <v>4300</v>
      </c>
      <c r="L1295" t="s">
        <v>21</v>
      </c>
      <c r="M1295" t="s">
        <v>51</v>
      </c>
      <c r="N1295" t="s">
        <v>23</v>
      </c>
      <c r="O1295" t="s">
        <v>24</v>
      </c>
      <c r="P1295">
        <f>Tableau1_2[[#This Row],[Quantité]]*Tableau1_2[[#This Row],[Prix_Unitaire]]</f>
        <v>28500</v>
      </c>
      <c r="Q1295">
        <f>Tableau1_2[[#This Row],[Quantité]]*Tableau1_2[[#This Row],[Coût_Unitaire]]</f>
        <v>21500</v>
      </c>
      <c r="R1295">
        <f>Tableau1_2[[#This Row],[CA]]-Tableau1_2[[#This Row],[Cout Total]]</f>
        <v>7000</v>
      </c>
      <c r="S1295" s="4">
        <f>Tableau1_2[[#This Row],[Marge]]/Tableau1_2[[#This Row],[CA]]</f>
        <v>0.24561403508771928</v>
      </c>
      <c r="T1295" t="str">
        <f>TEXT(Tableau1_2[[#This Row],[Date]],"mmmm")</f>
        <v>août</v>
      </c>
    </row>
    <row r="1296" spans="1:20" x14ac:dyDescent="0.35">
      <c r="A1296" t="s">
        <v>2293</v>
      </c>
      <c r="B1296" s="2">
        <v>46172</v>
      </c>
      <c r="C1296" t="s">
        <v>1632</v>
      </c>
      <c r="D1296" t="s">
        <v>540</v>
      </c>
      <c r="E1296" t="s">
        <v>156</v>
      </c>
      <c r="F1296" t="s">
        <v>157</v>
      </c>
      <c r="G1296" t="s">
        <v>28</v>
      </c>
      <c r="H1296" t="s">
        <v>72</v>
      </c>
      <c r="I1296">
        <v>6</v>
      </c>
      <c r="J1296">
        <v>10000</v>
      </c>
      <c r="K1296">
        <v>6200</v>
      </c>
      <c r="L1296" t="s">
        <v>50</v>
      </c>
      <c r="M1296" t="s">
        <v>37</v>
      </c>
      <c r="N1296" t="s">
        <v>23</v>
      </c>
      <c r="O1296" t="s">
        <v>45</v>
      </c>
      <c r="P1296">
        <f>Tableau1_2[[#This Row],[Quantité]]*Tableau1_2[[#This Row],[Prix_Unitaire]]</f>
        <v>60000</v>
      </c>
      <c r="Q1296">
        <f>Tableau1_2[[#This Row],[Quantité]]*Tableau1_2[[#This Row],[Coût_Unitaire]]</f>
        <v>37200</v>
      </c>
      <c r="R1296">
        <f>Tableau1_2[[#This Row],[CA]]-Tableau1_2[[#This Row],[Cout Total]]</f>
        <v>22800</v>
      </c>
      <c r="S1296" s="4">
        <f>Tableau1_2[[#This Row],[Marge]]/Tableau1_2[[#This Row],[CA]]</f>
        <v>0.38</v>
      </c>
      <c r="T1296" t="str">
        <f>TEXT(Tableau1_2[[#This Row],[Date]],"mmmm")</f>
        <v>mai</v>
      </c>
    </row>
    <row r="1297" spans="1:20" x14ac:dyDescent="0.35">
      <c r="A1297" t="s">
        <v>2294</v>
      </c>
      <c r="B1297" s="2">
        <v>46178</v>
      </c>
      <c r="C1297" t="s">
        <v>938</v>
      </c>
      <c r="D1297" t="s">
        <v>247</v>
      </c>
      <c r="E1297" t="s">
        <v>18</v>
      </c>
      <c r="F1297" t="s">
        <v>18</v>
      </c>
      <c r="G1297" t="s">
        <v>28</v>
      </c>
      <c r="H1297" t="s">
        <v>131</v>
      </c>
      <c r="I1297">
        <v>4</v>
      </c>
      <c r="J1297">
        <v>30000</v>
      </c>
      <c r="K1297">
        <v>19600</v>
      </c>
      <c r="L1297" t="s">
        <v>73</v>
      </c>
      <c r="M1297" t="s">
        <v>37</v>
      </c>
      <c r="N1297" t="s">
        <v>23</v>
      </c>
      <c r="O1297" t="s">
        <v>45</v>
      </c>
      <c r="P1297">
        <f>Tableau1_2[[#This Row],[Quantité]]*Tableau1_2[[#This Row],[Prix_Unitaire]]</f>
        <v>120000</v>
      </c>
      <c r="Q1297">
        <f>Tableau1_2[[#This Row],[Quantité]]*Tableau1_2[[#This Row],[Coût_Unitaire]]</f>
        <v>78400</v>
      </c>
      <c r="R1297">
        <f>Tableau1_2[[#This Row],[CA]]-Tableau1_2[[#This Row],[Cout Total]]</f>
        <v>41600</v>
      </c>
      <c r="S1297" s="4">
        <f>Tableau1_2[[#This Row],[Marge]]/Tableau1_2[[#This Row],[CA]]</f>
        <v>0.34666666666666668</v>
      </c>
      <c r="T1297" t="str">
        <f>TEXT(Tableau1_2[[#This Row],[Date]],"mmmm")</f>
        <v>juin</v>
      </c>
    </row>
    <row r="1298" spans="1:20" x14ac:dyDescent="0.35">
      <c r="A1298" t="s">
        <v>2295</v>
      </c>
      <c r="B1298" s="2">
        <v>46196</v>
      </c>
      <c r="C1298" t="s">
        <v>1414</v>
      </c>
      <c r="D1298" t="s">
        <v>241</v>
      </c>
      <c r="E1298" t="s">
        <v>84</v>
      </c>
      <c r="F1298" t="s">
        <v>85</v>
      </c>
      <c r="G1298" t="s">
        <v>43</v>
      </c>
      <c r="H1298" t="s">
        <v>162</v>
      </c>
      <c r="I1298">
        <v>10</v>
      </c>
      <c r="J1298">
        <v>8400</v>
      </c>
      <c r="K1298">
        <v>5000</v>
      </c>
      <c r="L1298" t="s">
        <v>73</v>
      </c>
      <c r="M1298" t="s">
        <v>51</v>
      </c>
      <c r="N1298" t="s">
        <v>23</v>
      </c>
      <c r="O1298" t="s">
        <v>45</v>
      </c>
      <c r="P1298">
        <f>Tableau1_2[[#This Row],[Quantité]]*Tableau1_2[[#This Row],[Prix_Unitaire]]</f>
        <v>84000</v>
      </c>
      <c r="Q1298">
        <f>Tableau1_2[[#This Row],[Quantité]]*Tableau1_2[[#This Row],[Coût_Unitaire]]</f>
        <v>50000</v>
      </c>
      <c r="R1298">
        <f>Tableau1_2[[#This Row],[CA]]-Tableau1_2[[#This Row],[Cout Total]]</f>
        <v>34000</v>
      </c>
      <c r="S1298" s="4">
        <f>Tableau1_2[[#This Row],[Marge]]/Tableau1_2[[#This Row],[CA]]</f>
        <v>0.40476190476190477</v>
      </c>
      <c r="T1298" t="str">
        <f>TEXT(Tableau1_2[[#This Row],[Date]],"mmmm")</f>
        <v>juin</v>
      </c>
    </row>
    <row r="1299" spans="1:20" x14ac:dyDescent="0.35">
      <c r="A1299" t="s">
        <v>2296</v>
      </c>
      <c r="B1299" s="2">
        <v>46204</v>
      </c>
      <c r="C1299" t="s">
        <v>2069</v>
      </c>
      <c r="D1299" t="s">
        <v>462</v>
      </c>
      <c r="E1299" t="s">
        <v>77</v>
      </c>
      <c r="F1299" t="s">
        <v>78</v>
      </c>
      <c r="G1299" t="s">
        <v>28</v>
      </c>
      <c r="H1299" t="s">
        <v>72</v>
      </c>
      <c r="I1299">
        <v>5</v>
      </c>
      <c r="J1299">
        <v>10000</v>
      </c>
      <c r="K1299">
        <v>6200</v>
      </c>
      <c r="L1299" t="s">
        <v>73</v>
      </c>
      <c r="M1299" t="s">
        <v>22</v>
      </c>
      <c r="N1299" t="s">
        <v>23</v>
      </c>
      <c r="O1299" t="s">
        <v>45</v>
      </c>
      <c r="P1299">
        <f>Tableau1_2[[#This Row],[Quantité]]*Tableau1_2[[#This Row],[Prix_Unitaire]]</f>
        <v>50000</v>
      </c>
      <c r="Q1299">
        <f>Tableau1_2[[#This Row],[Quantité]]*Tableau1_2[[#This Row],[Coût_Unitaire]]</f>
        <v>31000</v>
      </c>
      <c r="R1299">
        <f>Tableau1_2[[#This Row],[CA]]-Tableau1_2[[#This Row],[Cout Total]]</f>
        <v>19000</v>
      </c>
      <c r="S1299" s="4">
        <f>Tableau1_2[[#This Row],[Marge]]/Tableau1_2[[#This Row],[CA]]</f>
        <v>0.38</v>
      </c>
      <c r="T1299" t="str">
        <f>TEXT(Tableau1_2[[#This Row],[Date]],"mmmm")</f>
        <v>juillet</v>
      </c>
    </row>
    <row r="1300" spans="1:20" x14ac:dyDescent="0.35">
      <c r="A1300" t="s">
        <v>2297</v>
      </c>
      <c r="B1300" s="2">
        <v>46128</v>
      </c>
      <c r="C1300" t="s">
        <v>2118</v>
      </c>
      <c r="D1300" t="s">
        <v>1181</v>
      </c>
      <c r="E1300" t="s">
        <v>56</v>
      </c>
      <c r="F1300" t="s">
        <v>57</v>
      </c>
      <c r="G1300" t="s">
        <v>34</v>
      </c>
      <c r="H1300" t="s">
        <v>158</v>
      </c>
      <c r="I1300">
        <v>8</v>
      </c>
      <c r="J1300">
        <v>99800</v>
      </c>
      <c r="K1300">
        <v>72100</v>
      </c>
      <c r="L1300" t="s">
        <v>50</v>
      </c>
      <c r="M1300" t="s">
        <v>51</v>
      </c>
      <c r="N1300" t="s">
        <v>52</v>
      </c>
      <c r="O1300" t="s">
        <v>24</v>
      </c>
      <c r="P1300">
        <f>Tableau1_2[[#This Row],[Quantité]]*Tableau1_2[[#This Row],[Prix_Unitaire]]</f>
        <v>798400</v>
      </c>
      <c r="Q1300">
        <f>Tableau1_2[[#This Row],[Quantité]]*Tableau1_2[[#This Row],[Coût_Unitaire]]</f>
        <v>576800</v>
      </c>
      <c r="R1300">
        <f>Tableau1_2[[#This Row],[CA]]-Tableau1_2[[#This Row],[Cout Total]]</f>
        <v>221600</v>
      </c>
      <c r="S1300" s="4">
        <f>Tableau1_2[[#This Row],[Marge]]/Tableau1_2[[#This Row],[CA]]</f>
        <v>0.27755511022044088</v>
      </c>
      <c r="T1300" t="str">
        <f>TEXT(Tableau1_2[[#This Row],[Date]],"mmmm")</f>
        <v>avril</v>
      </c>
    </row>
    <row r="1301" spans="1:20" x14ac:dyDescent="0.35">
      <c r="A1301" t="s">
        <v>2298</v>
      </c>
      <c r="B1301" s="2">
        <v>46315</v>
      </c>
      <c r="C1301" t="s">
        <v>1780</v>
      </c>
      <c r="D1301" t="s">
        <v>55</v>
      </c>
      <c r="E1301" t="s">
        <v>18</v>
      </c>
      <c r="F1301" t="s">
        <v>18</v>
      </c>
      <c r="G1301" t="s">
        <v>43</v>
      </c>
      <c r="H1301" t="s">
        <v>177</v>
      </c>
      <c r="I1301">
        <v>6</v>
      </c>
      <c r="J1301">
        <v>18900</v>
      </c>
      <c r="K1301">
        <v>12900</v>
      </c>
      <c r="L1301" t="s">
        <v>73</v>
      </c>
      <c r="M1301" t="s">
        <v>51</v>
      </c>
      <c r="N1301" t="s">
        <v>23</v>
      </c>
      <c r="O1301" t="s">
        <v>24</v>
      </c>
      <c r="P1301">
        <f>Tableau1_2[[#This Row],[Quantité]]*Tableau1_2[[#This Row],[Prix_Unitaire]]</f>
        <v>113400</v>
      </c>
      <c r="Q1301">
        <f>Tableau1_2[[#This Row],[Quantité]]*Tableau1_2[[#This Row],[Coût_Unitaire]]</f>
        <v>77400</v>
      </c>
      <c r="R1301">
        <f>Tableau1_2[[#This Row],[CA]]-Tableau1_2[[#This Row],[Cout Total]]</f>
        <v>36000</v>
      </c>
      <c r="S1301" s="4">
        <f>Tableau1_2[[#This Row],[Marge]]/Tableau1_2[[#This Row],[CA]]</f>
        <v>0.31746031746031744</v>
      </c>
      <c r="T1301" t="str">
        <f>TEXT(Tableau1_2[[#This Row],[Date]],"mmmm")</f>
        <v>octobre</v>
      </c>
    </row>
    <row r="1302" spans="1:20" x14ac:dyDescent="0.35">
      <c r="A1302" t="s">
        <v>2299</v>
      </c>
      <c r="B1302" s="2">
        <v>46071</v>
      </c>
      <c r="C1302" t="s">
        <v>1327</v>
      </c>
      <c r="D1302" t="s">
        <v>586</v>
      </c>
      <c r="E1302" t="s">
        <v>41</v>
      </c>
      <c r="F1302" t="s">
        <v>42</v>
      </c>
      <c r="G1302" t="s">
        <v>43</v>
      </c>
      <c r="H1302" t="s">
        <v>79</v>
      </c>
      <c r="I1302">
        <v>8</v>
      </c>
      <c r="J1302">
        <v>6000</v>
      </c>
      <c r="K1302">
        <v>4300</v>
      </c>
      <c r="L1302" t="s">
        <v>30</v>
      </c>
      <c r="M1302" t="s">
        <v>22</v>
      </c>
      <c r="N1302" t="s">
        <v>52</v>
      </c>
      <c r="O1302" t="s">
        <v>24</v>
      </c>
      <c r="P1302">
        <f>Tableau1_2[[#This Row],[Quantité]]*Tableau1_2[[#This Row],[Prix_Unitaire]]</f>
        <v>48000</v>
      </c>
      <c r="Q1302">
        <f>Tableau1_2[[#This Row],[Quantité]]*Tableau1_2[[#This Row],[Coût_Unitaire]]</f>
        <v>34400</v>
      </c>
      <c r="R1302">
        <f>Tableau1_2[[#This Row],[CA]]-Tableau1_2[[#This Row],[Cout Total]]</f>
        <v>13600</v>
      </c>
      <c r="S1302" s="4">
        <f>Tableau1_2[[#This Row],[Marge]]/Tableau1_2[[#This Row],[CA]]</f>
        <v>0.28333333333333333</v>
      </c>
      <c r="T1302" t="str">
        <f>TEXT(Tableau1_2[[#This Row],[Date]],"mmmm")</f>
        <v>février</v>
      </c>
    </row>
    <row r="1303" spans="1:20" x14ac:dyDescent="0.35">
      <c r="A1303" t="s">
        <v>2300</v>
      </c>
      <c r="B1303" s="2">
        <v>46384</v>
      </c>
      <c r="C1303" t="s">
        <v>981</v>
      </c>
      <c r="D1303" t="s">
        <v>1154</v>
      </c>
      <c r="E1303" t="s">
        <v>84</v>
      </c>
      <c r="F1303" t="s">
        <v>85</v>
      </c>
      <c r="G1303" t="s">
        <v>28</v>
      </c>
      <c r="H1303" t="s">
        <v>65</v>
      </c>
      <c r="I1303">
        <v>10</v>
      </c>
      <c r="J1303">
        <v>12000</v>
      </c>
      <c r="K1303">
        <v>7500</v>
      </c>
      <c r="L1303" t="s">
        <v>73</v>
      </c>
      <c r="M1303" t="s">
        <v>31</v>
      </c>
      <c r="N1303" t="s">
        <v>23</v>
      </c>
      <c r="O1303" t="s">
        <v>24</v>
      </c>
      <c r="P1303">
        <f>Tableau1_2[[#This Row],[Quantité]]*Tableau1_2[[#This Row],[Prix_Unitaire]]</f>
        <v>120000</v>
      </c>
      <c r="Q1303">
        <f>Tableau1_2[[#This Row],[Quantité]]*Tableau1_2[[#This Row],[Coût_Unitaire]]</f>
        <v>75000</v>
      </c>
      <c r="R1303">
        <f>Tableau1_2[[#This Row],[CA]]-Tableau1_2[[#This Row],[Cout Total]]</f>
        <v>45000</v>
      </c>
      <c r="S1303" s="4">
        <f>Tableau1_2[[#This Row],[Marge]]/Tableau1_2[[#This Row],[CA]]</f>
        <v>0.375</v>
      </c>
      <c r="T1303" t="str">
        <f>TEXT(Tableau1_2[[#This Row],[Date]],"mmmm")</f>
        <v>décembre</v>
      </c>
    </row>
    <row r="1304" spans="1:20" x14ac:dyDescent="0.35">
      <c r="A1304" t="s">
        <v>2301</v>
      </c>
      <c r="B1304" s="2">
        <v>46363</v>
      </c>
      <c r="C1304" t="s">
        <v>2302</v>
      </c>
      <c r="D1304" t="s">
        <v>1311</v>
      </c>
      <c r="E1304" t="s">
        <v>56</v>
      </c>
      <c r="F1304" t="s">
        <v>57</v>
      </c>
      <c r="G1304" t="s">
        <v>34</v>
      </c>
      <c r="H1304" t="s">
        <v>158</v>
      </c>
      <c r="I1304">
        <v>4</v>
      </c>
      <c r="J1304">
        <v>90200</v>
      </c>
      <c r="K1304">
        <v>70000</v>
      </c>
      <c r="L1304" t="s">
        <v>50</v>
      </c>
      <c r="M1304" t="s">
        <v>22</v>
      </c>
      <c r="N1304" t="s">
        <v>23</v>
      </c>
      <c r="O1304" t="s">
        <v>24</v>
      </c>
      <c r="P1304">
        <f>Tableau1_2[[#This Row],[Quantité]]*Tableau1_2[[#This Row],[Prix_Unitaire]]</f>
        <v>360800</v>
      </c>
      <c r="Q1304">
        <f>Tableau1_2[[#This Row],[Quantité]]*Tableau1_2[[#This Row],[Coût_Unitaire]]</f>
        <v>280000</v>
      </c>
      <c r="R1304">
        <f>Tableau1_2[[#This Row],[CA]]-Tableau1_2[[#This Row],[Cout Total]]</f>
        <v>80800</v>
      </c>
      <c r="S1304" s="4">
        <f>Tableau1_2[[#This Row],[Marge]]/Tableau1_2[[#This Row],[CA]]</f>
        <v>0.22394678492239467</v>
      </c>
      <c r="T1304" t="str">
        <f>TEXT(Tableau1_2[[#This Row],[Date]],"mmmm")</f>
        <v>décembre</v>
      </c>
    </row>
    <row r="1305" spans="1:20" x14ac:dyDescent="0.35">
      <c r="A1305" t="s">
        <v>2303</v>
      </c>
      <c r="B1305" s="2">
        <v>46028</v>
      </c>
      <c r="C1305" t="s">
        <v>503</v>
      </c>
      <c r="D1305" t="s">
        <v>939</v>
      </c>
      <c r="E1305" t="s">
        <v>18</v>
      </c>
      <c r="F1305" t="s">
        <v>18</v>
      </c>
      <c r="G1305" t="s">
        <v>19</v>
      </c>
      <c r="H1305" t="s">
        <v>112</v>
      </c>
      <c r="I1305">
        <v>6</v>
      </c>
      <c r="J1305">
        <v>85000</v>
      </c>
      <c r="K1305">
        <v>62000</v>
      </c>
      <c r="L1305" t="s">
        <v>80</v>
      </c>
      <c r="M1305" t="s">
        <v>37</v>
      </c>
      <c r="N1305" t="s">
        <v>23</v>
      </c>
      <c r="O1305" t="s">
        <v>24</v>
      </c>
      <c r="P1305">
        <f>Tableau1_2[[#This Row],[Quantité]]*Tableau1_2[[#This Row],[Prix_Unitaire]]</f>
        <v>510000</v>
      </c>
      <c r="Q1305">
        <f>Tableau1_2[[#This Row],[Quantité]]*Tableau1_2[[#This Row],[Coût_Unitaire]]</f>
        <v>372000</v>
      </c>
      <c r="R1305">
        <f>Tableau1_2[[#This Row],[CA]]-Tableau1_2[[#This Row],[Cout Total]]</f>
        <v>138000</v>
      </c>
      <c r="S1305" s="4">
        <f>Tableau1_2[[#This Row],[Marge]]/Tableau1_2[[#This Row],[CA]]</f>
        <v>0.27058823529411763</v>
      </c>
      <c r="T1305" t="str">
        <f>TEXT(Tableau1_2[[#This Row],[Date]],"mmmm")</f>
        <v>janvier</v>
      </c>
    </row>
    <row r="1306" spans="1:20" x14ac:dyDescent="0.35">
      <c r="A1306" t="s">
        <v>2304</v>
      </c>
      <c r="B1306" s="2">
        <v>46131</v>
      </c>
      <c r="C1306" t="s">
        <v>427</v>
      </c>
      <c r="D1306" t="s">
        <v>2305</v>
      </c>
      <c r="E1306" t="s">
        <v>70</v>
      </c>
      <c r="F1306" t="s">
        <v>71</v>
      </c>
      <c r="G1306" t="s">
        <v>34</v>
      </c>
      <c r="H1306" t="s">
        <v>158</v>
      </c>
      <c r="I1306">
        <v>8</v>
      </c>
      <c r="J1306">
        <v>95000</v>
      </c>
      <c r="K1306">
        <v>67900</v>
      </c>
      <c r="L1306" t="s">
        <v>66</v>
      </c>
      <c r="M1306" t="s">
        <v>31</v>
      </c>
      <c r="N1306" t="s">
        <v>23</v>
      </c>
      <c r="O1306" t="s">
        <v>24</v>
      </c>
      <c r="P1306">
        <f>Tableau1_2[[#This Row],[Quantité]]*Tableau1_2[[#This Row],[Prix_Unitaire]]</f>
        <v>760000</v>
      </c>
      <c r="Q1306">
        <f>Tableau1_2[[#This Row],[Quantité]]*Tableau1_2[[#This Row],[Coût_Unitaire]]</f>
        <v>543200</v>
      </c>
      <c r="R1306">
        <f>Tableau1_2[[#This Row],[CA]]-Tableau1_2[[#This Row],[Cout Total]]</f>
        <v>216800</v>
      </c>
      <c r="S1306" s="4">
        <f>Tableau1_2[[#This Row],[Marge]]/Tableau1_2[[#This Row],[CA]]</f>
        <v>0.28526315789473683</v>
      </c>
      <c r="T1306" t="str">
        <f>TEXT(Tableau1_2[[#This Row],[Date]],"mmmm")</f>
        <v>avril</v>
      </c>
    </row>
    <row r="1307" spans="1:20" x14ac:dyDescent="0.35">
      <c r="A1307" t="s">
        <v>2306</v>
      </c>
      <c r="B1307" s="2">
        <v>46195</v>
      </c>
      <c r="C1307" t="s">
        <v>1541</v>
      </c>
      <c r="D1307" t="s">
        <v>572</v>
      </c>
      <c r="E1307" t="s">
        <v>77</v>
      </c>
      <c r="F1307" t="s">
        <v>78</v>
      </c>
      <c r="G1307" t="s">
        <v>43</v>
      </c>
      <c r="H1307" t="s">
        <v>177</v>
      </c>
      <c r="I1307">
        <v>1</v>
      </c>
      <c r="J1307">
        <v>18000</v>
      </c>
      <c r="K1307">
        <v>12500</v>
      </c>
      <c r="L1307" t="s">
        <v>66</v>
      </c>
      <c r="M1307" t="s">
        <v>51</v>
      </c>
      <c r="N1307" t="s">
        <v>23</v>
      </c>
      <c r="O1307" t="s">
        <v>24</v>
      </c>
      <c r="P1307">
        <f>Tableau1_2[[#This Row],[Quantité]]*Tableau1_2[[#This Row],[Prix_Unitaire]]</f>
        <v>18000</v>
      </c>
      <c r="Q1307">
        <f>Tableau1_2[[#This Row],[Quantité]]*Tableau1_2[[#This Row],[Coût_Unitaire]]</f>
        <v>12500</v>
      </c>
      <c r="R1307">
        <f>Tableau1_2[[#This Row],[CA]]-Tableau1_2[[#This Row],[Cout Total]]</f>
        <v>5500</v>
      </c>
      <c r="S1307" s="4">
        <f>Tableau1_2[[#This Row],[Marge]]/Tableau1_2[[#This Row],[CA]]</f>
        <v>0.30555555555555558</v>
      </c>
      <c r="T1307" t="str">
        <f>TEXT(Tableau1_2[[#This Row],[Date]],"mmmm")</f>
        <v>juin</v>
      </c>
    </row>
    <row r="1308" spans="1:20" x14ac:dyDescent="0.35">
      <c r="A1308" t="s">
        <v>2307</v>
      </c>
      <c r="B1308" s="2">
        <v>46053</v>
      </c>
      <c r="C1308" t="s">
        <v>1106</v>
      </c>
      <c r="D1308" t="s">
        <v>552</v>
      </c>
      <c r="E1308" t="s">
        <v>18</v>
      </c>
      <c r="F1308" t="s">
        <v>18</v>
      </c>
      <c r="G1308" t="s">
        <v>43</v>
      </c>
      <c r="H1308" t="s">
        <v>162</v>
      </c>
      <c r="I1308">
        <v>9</v>
      </c>
      <c r="J1308">
        <v>8400</v>
      </c>
      <c r="K1308">
        <v>4800</v>
      </c>
      <c r="L1308" t="s">
        <v>50</v>
      </c>
      <c r="M1308" t="s">
        <v>31</v>
      </c>
      <c r="N1308" t="s">
        <v>87</v>
      </c>
      <c r="O1308" t="s">
        <v>45</v>
      </c>
      <c r="P1308">
        <f>Tableau1_2[[#This Row],[Quantité]]*Tableau1_2[[#This Row],[Prix_Unitaire]]</f>
        <v>75600</v>
      </c>
      <c r="Q1308">
        <f>Tableau1_2[[#This Row],[Quantité]]*Tableau1_2[[#This Row],[Coût_Unitaire]]</f>
        <v>43200</v>
      </c>
      <c r="R1308">
        <f>Tableau1_2[[#This Row],[CA]]-Tableau1_2[[#This Row],[Cout Total]]</f>
        <v>32400</v>
      </c>
      <c r="S1308" s="4">
        <f>Tableau1_2[[#This Row],[Marge]]/Tableau1_2[[#This Row],[CA]]</f>
        <v>0.42857142857142855</v>
      </c>
      <c r="T1308" t="str">
        <f>TEXT(Tableau1_2[[#This Row],[Date]],"mmmm")</f>
        <v>janvier</v>
      </c>
    </row>
    <row r="1309" spans="1:20" x14ac:dyDescent="0.35">
      <c r="A1309" t="s">
        <v>2308</v>
      </c>
      <c r="B1309" s="2">
        <v>46265</v>
      </c>
      <c r="C1309" t="s">
        <v>671</v>
      </c>
      <c r="D1309" t="s">
        <v>40</v>
      </c>
      <c r="E1309" t="s">
        <v>18</v>
      </c>
      <c r="F1309" t="s">
        <v>18</v>
      </c>
      <c r="G1309" t="s">
        <v>34</v>
      </c>
      <c r="H1309" t="s">
        <v>141</v>
      </c>
      <c r="I1309">
        <v>7</v>
      </c>
      <c r="J1309">
        <v>160000</v>
      </c>
      <c r="K1309">
        <v>120000</v>
      </c>
      <c r="L1309" t="s">
        <v>73</v>
      </c>
      <c r="M1309" t="s">
        <v>31</v>
      </c>
      <c r="N1309" t="s">
        <v>52</v>
      </c>
      <c r="O1309" t="s">
        <v>45</v>
      </c>
      <c r="P1309">
        <f>Tableau1_2[[#This Row],[Quantité]]*Tableau1_2[[#This Row],[Prix_Unitaire]]</f>
        <v>1120000</v>
      </c>
      <c r="Q1309">
        <f>Tableau1_2[[#This Row],[Quantité]]*Tableau1_2[[#This Row],[Coût_Unitaire]]</f>
        <v>840000</v>
      </c>
      <c r="R1309">
        <f>Tableau1_2[[#This Row],[CA]]-Tableau1_2[[#This Row],[Cout Total]]</f>
        <v>280000</v>
      </c>
      <c r="S1309" s="4">
        <f>Tableau1_2[[#This Row],[Marge]]/Tableau1_2[[#This Row],[CA]]</f>
        <v>0.25</v>
      </c>
      <c r="T1309" t="str">
        <f>TEXT(Tableau1_2[[#This Row],[Date]],"mmmm")</f>
        <v>août</v>
      </c>
    </row>
    <row r="1310" spans="1:20" x14ac:dyDescent="0.35">
      <c r="A1310" t="s">
        <v>2309</v>
      </c>
      <c r="B1310" s="2">
        <v>46380</v>
      </c>
      <c r="C1310" t="s">
        <v>186</v>
      </c>
      <c r="D1310" t="s">
        <v>610</v>
      </c>
      <c r="E1310" t="s">
        <v>84</v>
      </c>
      <c r="F1310" t="s">
        <v>85</v>
      </c>
      <c r="G1310" t="s">
        <v>34</v>
      </c>
      <c r="H1310" t="s">
        <v>141</v>
      </c>
      <c r="I1310">
        <v>3</v>
      </c>
      <c r="J1310">
        <v>160000</v>
      </c>
      <c r="K1310">
        <v>116400</v>
      </c>
      <c r="L1310" t="s">
        <v>21</v>
      </c>
      <c r="M1310" t="s">
        <v>51</v>
      </c>
      <c r="N1310" t="s">
        <v>87</v>
      </c>
      <c r="O1310" t="s">
        <v>91</v>
      </c>
      <c r="P1310">
        <f>Tableau1_2[[#This Row],[Quantité]]*Tableau1_2[[#This Row],[Prix_Unitaire]]</f>
        <v>480000</v>
      </c>
      <c r="Q1310">
        <f>Tableau1_2[[#This Row],[Quantité]]*Tableau1_2[[#This Row],[Coût_Unitaire]]</f>
        <v>349200</v>
      </c>
      <c r="R1310">
        <f>Tableau1_2[[#This Row],[CA]]-Tableau1_2[[#This Row],[Cout Total]]</f>
        <v>130800</v>
      </c>
      <c r="S1310" s="4">
        <f>Tableau1_2[[#This Row],[Marge]]/Tableau1_2[[#This Row],[CA]]</f>
        <v>0.27250000000000002</v>
      </c>
      <c r="T1310" t="str">
        <f>TEXT(Tableau1_2[[#This Row],[Date]],"mmmm")</f>
        <v>décembre</v>
      </c>
    </row>
    <row r="1311" spans="1:20" x14ac:dyDescent="0.35">
      <c r="A1311" t="s">
        <v>2310</v>
      </c>
      <c r="B1311" s="2">
        <v>46128</v>
      </c>
      <c r="C1311" t="s">
        <v>1285</v>
      </c>
      <c r="D1311" t="s">
        <v>1654</v>
      </c>
      <c r="E1311" t="s">
        <v>84</v>
      </c>
      <c r="F1311" t="s">
        <v>85</v>
      </c>
      <c r="G1311" t="s">
        <v>28</v>
      </c>
      <c r="H1311" t="s">
        <v>131</v>
      </c>
      <c r="I1311">
        <v>10</v>
      </c>
      <c r="J1311">
        <v>30000</v>
      </c>
      <c r="K1311">
        <v>19600</v>
      </c>
      <c r="L1311" t="s">
        <v>36</v>
      </c>
      <c r="M1311" t="s">
        <v>37</v>
      </c>
      <c r="N1311" t="s">
        <v>23</v>
      </c>
      <c r="O1311" t="s">
        <v>24</v>
      </c>
      <c r="P1311">
        <f>Tableau1_2[[#This Row],[Quantité]]*Tableau1_2[[#This Row],[Prix_Unitaire]]</f>
        <v>300000</v>
      </c>
      <c r="Q1311">
        <f>Tableau1_2[[#This Row],[Quantité]]*Tableau1_2[[#This Row],[Coût_Unitaire]]</f>
        <v>196000</v>
      </c>
      <c r="R1311">
        <f>Tableau1_2[[#This Row],[CA]]-Tableau1_2[[#This Row],[Cout Total]]</f>
        <v>104000</v>
      </c>
      <c r="S1311" s="4">
        <f>Tableau1_2[[#This Row],[Marge]]/Tableau1_2[[#This Row],[CA]]</f>
        <v>0.34666666666666668</v>
      </c>
      <c r="T1311" t="str">
        <f>TEXT(Tableau1_2[[#This Row],[Date]],"mmmm")</f>
        <v>avril</v>
      </c>
    </row>
    <row r="1312" spans="1:20" x14ac:dyDescent="0.35">
      <c r="A1312" t="s">
        <v>2311</v>
      </c>
      <c r="B1312" s="2">
        <v>46250</v>
      </c>
      <c r="C1312" t="s">
        <v>580</v>
      </c>
      <c r="D1312" t="s">
        <v>950</v>
      </c>
      <c r="E1312" t="s">
        <v>156</v>
      </c>
      <c r="F1312" t="s">
        <v>170</v>
      </c>
      <c r="G1312" t="s">
        <v>19</v>
      </c>
      <c r="H1312" t="s">
        <v>112</v>
      </c>
      <c r="I1312">
        <v>6</v>
      </c>
      <c r="J1312">
        <v>85000</v>
      </c>
      <c r="K1312">
        <v>62000</v>
      </c>
      <c r="L1312" t="s">
        <v>66</v>
      </c>
      <c r="M1312" t="s">
        <v>37</v>
      </c>
      <c r="N1312" t="s">
        <v>52</v>
      </c>
      <c r="O1312" t="s">
        <v>24</v>
      </c>
      <c r="P1312">
        <f>Tableau1_2[[#This Row],[Quantité]]*Tableau1_2[[#This Row],[Prix_Unitaire]]</f>
        <v>510000</v>
      </c>
      <c r="Q1312">
        <f>Tableau1_2[[#This Row],[Quantité]]*Tableau1_2[[#This Row],[Coût_Unitaire]]</f>
        <v>372000</v>
      </c>
      <c r="R1312">
        <f>Tableau1_2[[#This Row],[CA]]-Tableau1_2[[#This Row],[Cout Total]]</f>
        <v>138000</v>
      </c>
      <c r="S1312" s="4">
        <f>Tableau1_2[[#This Row],[Marge]]/Tableau1_2[[#This Row],[CA]]</f>
        <v>0.27058823529411763</v>
      </c>
      <c r="T1312" t="str">
        <f>TEXT(Tableau1_2[[#This Row],[Date]],"mmmm")</f>
        <v>août</v>
      </c>
    </row>
    <row r="1313" spans="1:20" x14ac:dyDescent="0.35">
      <c r="A1313" t="s">
        <v>2312</v>
      </c>
      <c r="B1313" s="2">
        <v>46133</v>
      </c>
      <c r="C1313" t="s">
        <v>927</v>
      </c>
      <c r="D1313" t="s">
        <v>1221</v>
      </c>
      <c r="E1313" t="s">
        <v>18</v>
      </c>
      <c r="F1313" t="s">
        <v>18</v>
      </c>
      <c r="G1313" t="s">
        <v>43</v>
      </c>
      <c r="H1313" t="s">
        <v>49</v>
      </c>
      <c r="I1313">
        <v>10</v>
      </c>
      <c r="J1313">
        <v>9400</v>
      </c>
      <c r="K1313">
        <v>6000</v>
      </c>
      <c r="L1313" t="s">
        <v>96</v>
      </c>
      <c r="M1313" t="s">
        <v>51</v>
      </c>
      <c r="N1313" t="s">
        <v>23</v>
      </c>
      <c r="O1313" t="s">
        <v>24</v>
      </c>
      <c r="P1313">
        <f>Tableau1_2[[#This Row],[Quantité]]*Tableau1_2[[#This Row],[Prix_Unitaire]]</f>
        <v>94000</v>
      </c>
      <c r="Q1313">
        <f>Tableau1_2[[#This Row],[Quantité]]*Tableau1_2[[#This Row],[Coût_Unitaire]]</f>
        <v>60000</v>
      </c>
      <c r="R1313">
        <f>Tableau1_2[[#This Row],[CA]]-Tableau1_2[[#This Row],[Cout Total]]</f>
        <v>34000</v>
      </c>
      <c r="S1313" s="4">
        <f>Tableau1_2[[#This Row],[Marge]]/Tableau1_2[[#This Row],[CA]]</f>
        <v>0.36170212765957449</v>
      </c>
      <c r="T1313" t="str">
        <f>TEXT(Tableau1_2[[#This Row],[Date]],"mmmm")</f>
        <v>avril</v>
      </c>
    </row>
    <row r="1314" spans="1:20" x14ac:dyDescent="0.35">
      <c r="A1314" t="s">
        <v>2313</v>
      </c>
      <c r="B1314" s="2">
        <v>46169</v>
      </c>
      <c r="C1314" t="s">
        <v>164</v>
      </c>
      <c r="D1314" t="s">
        <v>453</v>
      </c>
      <c r="E1314" t="s">
        <v>70</v>
      </c>
      <c r="F1314" t="s">
        <v>71</v>
      </c>
      <c r="G1314" t="s">
        <v>34</v>
      </c>
      <c r="H1314" t="s">
        <v>35</v>
      </c>
      <c r="I1314">
        <v>8</v>
      </c>
      <c r="J1314">
        <v>55000</v>
      </c>
      <c r="K1314">
        <v>39000</v>
      </c>
      <c r="L1314" t="s">
        <v>50</v>
      </c>
      <c r="M1314" t="s">
        <v>37</v>
      </c>
      <c r="N1314" t="s">
        <v>87</v>
      </c>
      <c r="O1314" t="s">
        <v>24</v>
      </c>
      <c r="P1314">
        <f>Tableau1_2[[#This Row],[Quantité]]*Tableau1_2[[#This Row],[Prix_Unitaire]]</f>
        <v>440000</v>
      </c>
      <c r="Q1314">
        <f>Tableau1_2[[#This Row],[Quantité]]*Tableau1_2[[#This Row],[Coût_Unitaire]]</f>
        <v>312000</v>
      </c>
      <c r="R1314">
        <f>Tableau1_2[[#This Row],[CA]]-Tableau1_2[[#This Row],[Cout Total]]</f>
        <v>128000</v>
      </c>
      <c r="S1314" s="4">
        <f>Tableau1_2[[#This Row],[Marge]]/Tableau1_2[[#This Row],[CA]]</f>
        <v>0.29090909090909089</v>
      </c>
      <c r="T1314" t="str">
        <f>TEXT(Tableau1_2[[#This Row],[Date]],"mmmm")</f>
        <v>mai</v>
      </c>
    </row>
    <row r="1315" spans="1:20" x14ac:dyDescent="0.35">
      <c r="A1315" t="s">
        <v>2314</v>
      </c>
      <c r="B1315" s="2">
        <v>46134</v>
      </c>
      <c r="C1315" t="s">
        <v>783</v>
      </c>
      <c r="D1315" t="s">
        <v>869</v>
      </c>
      <c r="E1315" t="s">
        <v>156</v>
      </c>
      <c r="F1315" t="s">
        <v>170</v>
      </c>
      <c r="G1315" t="s">
        <v>19</v>
      </c>
      <c r="H1315" t="s">
        <v>166</v>
      </c>
      <c r="I1315">
        <v>1</v>
      </c>
      <c r="J1315">
        <v>147000</v>
      </c>
      <c r="K1315">
        <v>103000</v>
      </c>
      <c r="L1315" t="s">
        <v>66</v>
      </c>
      <c r="M1315" t="s">
        <v>31</v>
      </c>
      <c r="N1315" t="s">
        <v>87</v>
      </c>
      <c r="O1315" t="s">
        <v>24</v>
      </c>
      <c r="P1315">
        <f>Tableau1_2[[#This Row],[Quantité]]*Tableau1_2[[#This Row],[Prix_Unitaire]]</f>
        <v>147000</v>
      </c>
      <c r="Q1315">
        <f>Tableau1_2[[#This Row],[Quantité]]*Tableau1_2[[#This Row],[Coût_Unitaire]]</f>
        <v>103000</v>
      </c>
      <c r="R1315">
        <f>Tableau1_2[[#This Row],[CA]]-Tableau1_2[[#This Row],[Cout Total]]</f>
        <v>44000</v>
      </c>
      <c r="S1315" s="4">
        <f>Tableau1_2[[#This Row],[Marge]]/Tableau1_2[[#This Row],[CA]]</f>
        <v>0.29931972789115646</v>
      </c>
      <c r="T1315" t="str">
        <f>TEXT(Tableau1_2[[#This Row],[Date]],"mmmm")</f>
        <v>avril</v>
      </c>
    </row>
    <row r="1316" spans="1:20" x14ac:dyDescent="0.35">
      <c r="A1316" t="s">
        <v>2315</v>
      </c>
      <c r="B1316" s="2">
        <v>46186</v>
      </c>
      <c r="C1316" t="s">
        <v>1890</v>
      </c>
      <c r="D1316" t="s">
        <v>911</v>
      </c>
      <c r="E1316" t="s">
        <v>18</v>
      </c>
      <c r="F1316" t="s">
        <v>18</v>
      </c>
      <c r="G1316" t="s">
        <v>19</v>
      </c>
      <c r="H1316" t="s">
        <v>20</v>
      </c>
      <c r="I1316">
        <v>8</v>
      </c>
      <c r="J1316">
        <v>68200</v>
      </c>
      <c r="K1316">
        <v>43600</v>
      </c>
      <c r="L1316" t="s">
        <v>66</v>
      </c>
      <c r="M1316" t="s">
        <v>37</v>
      </c>
      <c r="N1316" t="s">
        <v>23</v>
      </c>
      <c r="O1316" t="s">
        <v>45</v>
      </c>
      <c r="P1316">
        <f>Tableau1_2[[#This Row],[Quantité]]*Tableau1_2[[#This Row],[Prix_Unitaire]]</f>
        <v>545600</v>
      </c>
      <c r="Q1316">
        <f>Tableau1_2[[#This Row],[Quantité]]*Tableau1_2[[#This Row],[Coût_Unitaire]]</f>
        <v>348800</v>
      </c>
      <c r="R1316">
        <f>Tableau1_2[[#This Row],[CA]]-Tableau1_2[[#This Row],[Cout Total]]</f>
        <v>196800</v>
      </c>
      <c r="S1316" s="4">
        <f>Tableau1_2[[#This Row],[Marge]]/Tableau1_2[[#This Row],[CA]]</f>
        <v>0.36070381231671556</v>
      </c>
      <c r="T1316" t="str">
        <f>TEXT(Tableau1_2[[#This Row],[Date]],"mmmm")</f>
        <v>juin</v>
      </c>
    </row>
    <row r="1317" spans="1:20" x14ac:dyDescent="0.35">
      <c r="A1317" t="s">
        <v>2316</v>
      </c>
      <c r="B1317" s="2">
        <v>46058</v>
      </c>
      <c r="C1317" t="s">
        <v>1932</v>
      </c>
      <c r="D1317" t="s">
        <v>1760</v>
      </c>
      <c r="E1317" t="s">
        <v>56</v>
      </c>
      <c r="F1317" t="s">
        <v>57</v>
      </c>
      <c r="G1317" t="s">
        <v>19</v>
      </c>
      <c r="H1317" t="s">
        <v>166</v>
      </c>
      <c r="I1317">
        <v>2</v>
      </c>
      <c r="J1317">
        <v>140000</v>
      </c>
      <c r="K1317">
        <v>103000</v>
      </c>
      <c r="L1317" t="s">
        <v>66</v>
      </c>
      <c r="M1317" t="s">
        <v>51</v>
      </c>
      <c r="N1317" t="s">
        <v>23</v>
      </c>
      <c r="O1317" t="s">
        <v>24</v>
      </c>
      <c r="P1317">
        <f>Tableau1_2[[#This Row],[Quantité]]*Tableau1_2[[#This Row],[Prix_Unitaire]]</f>
        <v>280000</v>
      </c>
      <c r="Q1317">
        <f>Tableau1_2[[#This Row],[Quantité]]*Tableau1_2[[#This Row],[Coût_Unitaire]]</f>
        <v>206000</v>
      </c>
      <c r="R1317">
        <f>Tableau1_2[[#This Row],[CA]]-Tableau1_2[[#This Row],[Cout Total]]</f>
        <v>74000</v>
      </c>
      <c r="S1317" s="4">
        <f>Tableau1_2[[#This Row],[Marge]]/Tableau1_2[[#This Row],[CA]]</f>
        <v>0.26428571428571429</v>
      </c>
      <c r="T1317" t="str">
        <f>TEXT(Tableau1_2[[#This Row],[Date]],"mmmm")</f>
        <v>février</v>
      </c>
    </row>
    <row r="1318" spans="1:20" x14ac:dyDescent="0.35">
      <c r="A1318" t="s">
        <v>2317</v>
      </c>
      <c r="B1318" s="2">
        <v>46337</v>
      </c>
      <c r="C1318" t="s">
        <v>559</v>
      </c>
      <c r="D1318" t="s">
        <v>665</v>
      </c>
      <c r="E1318" t="s">
        <v>84</v>
      </c>
      <c r="F1318" t="s">
        <v>85</v>
      </c>
      <c r="G1318" t="s">
        <v>34</v>
      </c>
      <c r="H1318" t="s">
        <v>35</v>
      </c>
      <c r="I1318">
        <v>9</v>
      </c>
      <c r="J1318">
        <v>52200</v>
      </c>
      <c r="K1318">
        <v>39000</v>
      </c>
      <c r="L1318" t="s">
        <v>73</v>
      </c>
      <c r="M1318" t="s">
        <v>31</v>
      </c>
      <c r="N1318" t="s">
        <v>87</v>
      </c>
      <c r="O1318" t="s">
        <v>24</v>
      </c>
      <c r="P1318">
        <f>Tableau1_2[[#This Row],[Quantité]]*Tableau1_2[[#This Row],[Prix_Unitaire]]</f>
        <v>469800</v>
      </c>
      <c r="Q1318">
        <f>Tableau1_2[[#This Row],[Quantité]]*Tableau1_2[[#This Row],[Coût_Unitaire]]</f>
        <v>351000</v>
      </c>
      <c r="R1318">
        <f>Tableau1_2[[#This Row],[CA]]-Tableau1_2[[#This Row],[Cout Total]]</f>
        <v>118800</v>
      </c>
      <c r="S1318" s="4">
        <f>Tableau1_2[[#This Row],[Marge]]/Tableau1_2[[#This Row],[CA]]</f>
        <v>0.25287356321839083</v>
      </c>
      <c r="T1318" t="str">
        <f>TEXT(Tableau1_2[[#This Row],[Date]],"mmmm")</f>
        <v>novembre</v>
      </c>
    </row>
    <row r="1319" spans="1:20" x14ac:dyDescent="0.35">
      <c r="A1319" t="s">
        <v>2318</v>
      </c>
      <c r="B1319" s="2">
        <v>46278</v>
      </c>
      <c r="C1319" t="s">
        <v>638</v>
      </c>
      <c r="D1319" t="s">
        <v>875</v>
      </c>
      <c r="E1319" t="s">
        <v>84</v>
      </c>
      <c r="F1319" t="s">
        <v>85</v>
      </c>
      <c r="G1319" t="s">
        <v>43</v>
      </c>
      <c r="H1319" t="s">
        <v>177</v>
      </c>
      <c r="I1319">
        <v>5</v>
      </c>
      <c r="J1319">
        <v>18000</v>
      </c>
      <c r="K1319">
        <v>12500</v>
      </c>
      <c r="L1319" t="s">
        <v>36</v>
      </c>
      <c r="M1319" t="s">
        <v>37</v>
      </c>
      <c r="N1319" t="s">
        <v>23</v>
      </c>
      <c r="O1319" t="s">
        <v>24</v>
      </c>
      <c r="P1319">
        <f>Tableau1_2[[#This Row],[Quantité]]*Tableau1_2[[#This Row],[Prix_Unitaire]]</f>
        <v>90000</v>
      </c>
      <c r="Q1319">
        <f>Tableau1_2[[#This Row],[Quantité]]*Tableau1_2[[#This Row],[Coût_Unitaire]]</f>
        <v>62500</v>
      </c>
      <c r="R1319">
        <f>Tableau1_2[[#This Row],[CA]]-Tableau1_2[[#This Row],[Cout Total]]</f>
        <v>27500</v>
      </c>
      <c r="S1319" s="4">
        <f>Tableau1_2[[#This Row],[Marge]]/Tableau1_2[[#This Row],[CA]]</f>
        <v>0.30555555555555558</v>
      </c>
      <c r="T1319" t="str">
        <f>TEXT(Tableau1_2[[#This Row],[Date]],"mmmm")</f>
        <v>septembre</v>
      </c>
    </row>
    <row r="1320" spans="1:20" x14ac:dyDescent="0.35">
      <c r="A1320" t="s">
        <v>2319</v>
      </c>
      <c r="B1320" s="2">
        <v>46084</v>
      </c>
      <c r="C1320" t="s">
        <v>2270</v>
      </c>
      <c r="D1320" t="s">
        <v>667</v>
      </c>
      <c r="E1320" t="s">
        <v>190</v>
      </c>
      <c r="F1320" t="s">
        <v>191</v>
      </c>
      <c r="G1320" t="s">
        <v>43</v>
      </c>
      <c r="H1320" t="s">
        <v>44</v>
      </c>
      <c r="I1320">
        <v>6</v>
      </c>
      <c r="J1320">
        <v>15800</v>
      </c>
      <c r="K1320">
        <v>9200</v>
      </c>
      <c r="L1320" t="s">
        <v>30</v>
      </c>
      <c r="M1320" t="s">
        <v>37</v>
      </c>
      <c r="N1320" t="s">
        <v>52</v>
      </c>
      <c r="O1320" t="s">
        <v>24</v>
      </c>
      <c r="P1320">
        <f>Tableau1_2[[#This Row],[Quantité]]*Tableau1_2[[#This Row],[Prix_Unitaire]]</f>
        <v>94800</v>
      </c>
      <c r="Q1320">
        <f>Tableau1_2[[#This Row],[Quantité]]*Tableau1_2[[#This Row],[Coût_Unitaire]]</f>
        <v>55200</v>
      </c>
      <c r="R1320">
        <f>Tableau1_2[[#This Row],[CA]]-Tableau1_2[[#This Row],[Cout Total]]</f>
        <v>39600</v>
      </c>
      <c r="S1320" s="4">
        <f>Tableau1_2[[#This Row],[Marge]]/Tableau1_2[[#This Row],[CA]]</f>
        <v>0.41772151898734178</v>
      </c>
      <c r="T1320" t="str">
        <f>TEXT(Tableau1_2[[#This Row],[Date]],"mmmm")</f>
        <v>mars</v>
      </c>
    </row>
    <row r="1321" spans="1:20" x14ac:dyDescent="0.35">
      <c r="A1321" t="s">
        <v>2320</v>
      </c>
      <c r="B1321" s="2">
        <v>46077</v>
      </c>
      <c r="C1321" t="s">
        <v>16</v>
      </c>
      <c r="D1321" t="s">
        <v>567</v>
      </c>
      <c r="E1321" t="s">
        <v>18</v>
      </c>
      <c r="F1321" t="s">
        <v>18</v>
      </c>
      <c r="G1321" t="s">
        <v>28</v>
      </c>
      <c r="H1321" t="s">
        <v>72</v>
      </c>
      <c r="I1321">
        <v>5</v>
      </c>
      <c r="J1321">
        <v>10000</v>
      </c>
      <c r="K1321">
        <v>6400</v>
      </c>
      <c r="L1321" t="s">
        <v>30</v>
      </c>
      <c r="M1321" t="s">
        <v>51</v>
      </c>
      <c r="N1321" t="s">
        <v>52</v>
      </c>
      <c r="O1321" t="s">
        <v>24</v>
      </c>
      <c r="P1321">
        <f>Tableau1_2[[#This Row],[Quantité]]*Tableau1_2[[#This Row],[Prix_Unitaire]]</f>
        <v>50000</v>
      </c>
      <c r="Q1321">
        <f>Tableau1_2[[#This Row],[Quantité]]*Tableau1_2[[#This Row],[Coût_Unitaire]]</f>
        <v>32000</v>
      </c>
      <c r="R1321">
        <f>Tableau1_2[[#This Row],[CA]]-Tableau1_2[[#This Row],[Cout Total]]</f>
        <v>18000</v>
      </c>
      <c r="S1321" s="4">
        <f>Tableau1_2[[#This Row],[Marge]]/Tableau1_2[[#This Row],[CA]]</f>
        <v>0.36</v>
      </c>
      <c r="T1321" t="str">
        <f>TEXT(Tableau1_2[[#This Row],[Date]],"mmmm")</f>
        <v>février</v>
      </c>
    </row>
    <row r="1322" spans="1:20" x14ac:dyDescent="0.35">
      <c r="A1322" t="s">
        <v>2321</v>
      </c>
      <c r="B1322" s="2">
        <v>46060</v>
      </c>
      <c r="C1322" t="s">
        <v>841</v>
      </c>
      <c r="D1322" t="s">
        <v>235</v>
      </c>
      <c r="E1322" t="s">
        <v>18</v>
      </c>
      <c r="F1322" t="s">
        <v>18</v>
      </c>
      <c r="G1322" t="s">
        <v>34</v>
      </c>
      <c r="H1322" t="s">
        <v>158</v>
      </c>
      <c r="I1322">
        <v>5</v>
      </c>
      <c r="J1322">
        <v>95000</v>
      </c>
      <c r="K1322">
        <v>70000</v>
      </c>
      <c r="L1322" t="s">
        <v>30</v>
      </c>
      <c r="M1322" t="s">
        <v>22</v>
      </c>
      <c r="N1322" t="s">
        <v>52</v>
      </c>
      <c r="O1322" t="s">
        <v>24</v>
      </c>
      <c r="P1322">
        <f>Tableau1_2[[#This Row],[Quantité]]*Tableau1_2[[#This Row],[Prix_Unitaire]]</f>
        <v>475000</v>
      </c>
      <c r="Q1322">
        <f>Tableau1_2[[#This Row],[Quantité]]*Tableau1_2[[#This Row],[Coût_Unitaire]]</f>
        <v>350000</v>
      </c>
      <c r="R1322">
        <f>Tableau1_2[[#This Row],[CA]]-Tableau1_2[[#This Row],[Cout Total]]</f>
        <v>125000</v>
      </c>
      <c r="S1322" s="4">
        <f>Tableau1_2[[#This Row],[Marge]]/Tableau1_2[[#This Row],[CA]]</f>
        <v>0.26315789473684209</v>
      </c>
      <c r="T1322" t="str">
        <f>TEXT(Tableau1_2[[#This Row],[Date]],"mmmm")</f>
        <v>février</v>
      </c>
    </row>
    <row r="1323" spans="1:20" x14ac:dyDescent="0.35">
      <c r="A1323" t="s">
        <v>2322</v>
      </c>
      <c r="B1323" s="2">
        <v>46325</v>
      </c>
      <c r="C1323" t="s">
        <v>1572</v>
      </c>
      <c r="D1323" t="s">
        <v>1591</v>
      </c>
      <c r="E1323" t="s">
        <v>156</v>
      </c>
      <c r="F1323" t="s">
        <v>157</v>
      </c>
      <c r="G1323" t="s">
        <v>19</v>
      </c>
      <c r="H1323" t="s">
        <v>61</v>
      </c>
      <c r="I1323">
        <v>8</v>
      </c>
      <c r="J1323">
        <v>220000</v>
      </c>
      <c r="K1323">
        <v>160000</v>
      </c>
      <c r="L1323" t="s">
        <v>73</v>
      </c>
      <c r="M1323" t="s">
        <v>51</v>
      </c>
      <c r="N1323" t="s">
        <v>23</v>
      </c>
      <c r="O1323" t="s">
        <v>24</v>
      </c>
      <c r="P1323">
        <f>Tableau1_2[[#This Row],[Quantité]]*Tableau1_2[[#This Row],[Prix_Unitaire]]</f>
        <v>1760000</v>
      </c>
      <c r="Q1323">
        <f>Tableau1_2[[#This Row],[Quantité]]*Tableau1_2[[#This Row],[Coût_Unitaire]]</f>
        <v>1280000</v>
      </c>
      <c r="R1323">
        <f>Tableau1_2[[#This Row],[CA]]-Tableau1_2[[#This Row],[Cout Total]]</f>
        <v>480000</v>
      </c>
      <c r="S1323" s="4">
        <f>Tableau1_2[[#This Row],[Marge]]/Tableau1_2[[#This Row],[CA]]</f>
        <v>0.27272727272727271</v>
      </c>
      <c r="T1323" t="str">
        <f>TEXT(Tableau1_2[[#This Row],[Date]],"mmmm")</f>
        <v>octobre</v>
      </c>
    </row>
    <row r="1324" spans="1:20" x14ac:dyDescent="0.35">
      <c r="A1324" t="s">
        <v>2323</v>
      </c>
      <c r="B1324" s="2">
        <v>46250</v>
      </c>
      <c r="C1324" t="s">
        <v>1148</v>
      </c>
      <c r="D1324" t="s">
        <v>889</v>
      </c>
      <c r="E1324" t="s">
        <v>77</v>
      </c>
      <c r="F1324" t="s">
        <v>78</v>
      </c>
      <c r="G1324" t="s">
        <v>43</v>
      </c>
      <c r="H1324" t="s">
        <v>79</v>
      </c>
      <c r="I1324">
        <v>7</v>
      </c>
      <c r="J1324">
        <v>6000</v>
      </c>
      <c r="K1324">
        <v>4200</v>
      </c>
      <c r="L1324" t="s">
        <v>30</v>
      </c>
      <c r="M1324" t="s">
        <v>22</v>
      </c>
      <c r="N1324" t="s">
        <v>52</v>
      </c>
      <c r="O1324" t="s">
        <v>24</v>
      </c>
      <c r="P1324">
        <f>Tableau1_2[[#This Row],[Quantité]]*Tableau1_2[[#This Row],[Prix_Unitaire]]</f>
        <v>42000</v>
      </c>
      <c r="Q1324">
        <f>Tableau1_2[[#This Row],[Quantité]]*Tableau1_2[[#This Row],[Coût_Unitaire]]</f>
        <v>29400</v>
      </c>
      <c r="R1324">
        <f>Tableau1_2[[#This Row],[CA]]-Tableau1_2[[#This Row],[Cout Total]]</f>
        <v>12600</v>
      </c>
      <c r="S1324" s="4">
        <f>Tableau1_2[[#This Row],[Marge]]/Tableau1_2[[#This Row],[CA]]</f>
        <v>0.3</v>
      </c>
      <c r="T1324" t="str">
        <f>TEXT(Tableau1_2[[#This Row],[Date]],"mmmm")</f>
        <v>août</v>
      </c>
    </row>
    <row r="1325" spans="1:20" x14ac:dyDescent="0.35">
      <c r="A1325" t="s">
        <v>2324</v>
      </c>
      <c r="B1325" s="2">
        <v>46338</v>
      </c>
      <c r="C1325" t="s">
        <v>1575</v>
      </c>
      <c r="D1325" t="s">
        <v>1638</v>
      </c>
      <c r="E1325" t="s">
        <v>18</v>
      </c>
      <c r="F1325" t="s">
        <v>18</v>
      </c>
      <c r="G1325" t="s">
        <v>19</v>
      </c>
      <c r="H1325" t="s">
        <v>20</v>
      </c>
      <c r="I1325">
        <v>6</v>
      </c>
      <c r="J1325">
        <v>65000</v>
      </c>
      <c r="K1325">
        <v>43600</v>
      </c>
      <c r="L1325" t="s">
        <v>96</v>
      </c>
      <c r="M1325" t="s">
        <v>31</v>
      </c>
      <c r="N1325" t="s">
        <v>52</v>
      </c>
      <c r="O1325" t="s">
        <v>45</v>
      </c>
      <c r="P1325">
        <f>Tableau1_2[[#This Row],[Quantité]]*Tableau1_2[[#This Row],[Prix_Unitaire]]</f>
        <v>390000</v>
      </c>
      <c r="Q1325">
        <f>Tableau1_2[[#This Row],[Quantité]]*Tableau1_2[[#This Row],[Coût_Unitaire]]</f>
        <v>261600</v>
      </c>
      <c r="R1325">
        <f>Tableau1_2[[#This Row],[CA]]-Tableau1_2[[#This Row],[Cout Total]]</f>
        <v>128400</v>
      </c>
      <c r="S1325" s="4">
        <f>Tableau1_2[[#This Row],[Marge]]/Tableau1_2[[#This Row],[CA]]</f>
        <v>0.32923076923076922</v>
      </c>
      <c r="T1325" t="str">
        <f>TEXT(Tableau1_2[[#This Row],[Date]],"mmmm")</f>
        <v>novembre</v>
      </c>
    </row>
    <row r="1326" spans="1:20" x14ac:dyDescent="0.35">
      <c r="A1326" t="s">
        <v>2325</v>
      </c>
      <c r="B1326" s="2">
        <v>46382</v>
      </c>
      <c r="C1326" t="s">
        <v>938</v>
      </c>
      <c r="D1326" t="s">
        <v>420</v>
      </c>
      <c r="E1326" t="s">
        <v>190</v>
      </c>
      <c r="F1326" t="s">
        <v>191</v>
      </c>
      <c r="G1326" t="s">
        <v>28</v>
      </c>
      <c r="H1326" t="s">
        <v>131</v>
      </c>
      <c r="I1326">
        <v>2</v>
      </c>
      <c r="J1326">
        <v>30000</v>
      </c>
      <c r="K1326">
        <v>19600</v>
      </c>
      <c r="L1326" t="s">
        <v>36</v>
      </c>
      <c r="M1326" t="s">
        <v>31</v>
      </c>
      <c r="N1326" t="s">
        <v>23</v>
      </c>
      <c r="O1326" t="s">
        <v>24</v>
      </c>
      <c r="P1326">
        <f>Tableau1_2[[#This Row],[Quantité]]*Tableau1_2[[#This Row],[Prix_Unitaire]]</f>
        <v>60000</v>
      </c>
      <c r="Q1326">
        <f>Tableau1_2[[#This Row],[Quantité]]*Tableau1_2[[#This Row],[Coût_Unitaire]]</f>
        <v>39200</v>
      </c>
      <c r="R1326">
        <f>Tableau1_2[[#This Row],[CA]]-Tableau1_2[[#This Row],[Cout Total]]</f>
        <v>20800</v>
      </c>
      <c r="S1326" s="4">
        <f>Tableau1_2[[#This Row],[Marge]]/Tableau1_2[[#This Row],[CA]]</f>
        <v>0.34666666666666668</v>
      </c>
      <c r="T1326" t="str">
        <f>TEXT(Tableau1_2[[#This Row],[Date]],"mmmm")</f>
        <v>décembre</v>
      </c>
    </row>
    <row r="1327" spans="1:20" x14ac:dyDescent="0.35">
      <c r="A1327" t="s">
        <v>2326</v>
      </c>
      <c r="B1327" s="2">
        <v>46366</v>
      </c>
      <c r="C1327" t="s">
        <v>1804</v>
      </c>
      <c r="D1327" t="s">
        <v>800</v>
      </c>
      <c r="E1327" t="s">
        <v>18</v>
      </c>
      <c r="F1327" t="s">
        <v>18</v>
      </c>
      <c r="G1327" t="s">
        <v>43</v>
      </c>
      <c r="H1327" t="s">
        <v>162</v>
      </c>
      <c r="I1327">
        <v>1</v>
      </c>
      <c r="J1327">
        <v>8000</v>
      </c>
      <c r="K1327">
        <v>5000</v>
      </c>
      <c r="L1327" t="s">
        <v>21</v>
      </c>
      <c r="M1327" t="s">
        <v>51</v>
      </c>
      <c r="N1327" t="s">
        <v>23</v>
      </c>
      <c r="O1327" t="s">
        <v>24</v>
      </c>
      <c r="P1327">
        <f>Tableau1_2[[#This Row],[Quantité]]*Tableau1_2[[#This Row],[Prix_Unitaire]]</f>
        <v>8000</v>
      </c>
      <c r="Q1327">
        <f>Tableau1_2[[#This Row],[Quantité]]*Tableau1_2[[#This Row],[Coût_Unitaire]]</f>
        <v>5000</v>
      </c>
      <c r="R1327">
        <f>Tableau1_2[[#This Row],[CA]]-Tableau1_2[[#This Row],[Cout Total]]</f>
        <v>3000</v>
      </c>
      <c r="S1327" s="4">
        <f>Tableau1_2[[#This Row],[Marge]]/Tableau1_2[[#This Row],[CA]]</f>
        <v>0.375</v>
      </c>
      <c r="T1327" t="str">
        <f>TEXT(Tableau1_2[[#This Row],[Date]],"mmmm")</f>
        <v>décembre</v>
      </c>
    </row>
    <row r="1328" spans="1:20" x14ac:dyDescent="0.35">
      <c r="A1328" t="s">
        <v>2327</v>
      </c>
      <c r="B1328" s="2">
        <v>46153</v>
      </c>
      <c r="C1328" t="s">
        <v>2328</v>
      </c>
      <c r="D1328" t="s">
        <v>988</v>
      </c>
      <c r="E1328" t="s">
        <v>18</v>
      </c>
      <c r="F1328" t="s">
        <v>18</v>
      </c>
      <c r="G1328" t="s">
        <v>34</v>
      </c>
      <c r="H1328" t="s">
        <v>158</v>
      </c>
      <c r="I1328">
        <v>5</v>
      </c>
      <c r="J1328">
        <v>90200</v>
      </c>
      <c r="K1328">
        <v>70000</v>
      </c>
      <c r="L1328" t="s">
        <v>36</v>
      </c>
      <c r="M1328" t="s">
        <v>31</v>
      </c>
      <c r="N1328" t="s">
        <v>52</v>
      </c>
      <c r="O1328" t="s">
        <v>24</v>
      </c>
      <c r="P1328">
        <f>Tableau1_2[[#This Row],[Quantité]]*Tableau1_2[[#This Row],[Prix_Unitaire]]</f>
        <v>451000</v>
      </c>
      <c r="Q1328">
        <f>Tableau1_2[[#This Row],[Quantité]]*Tableau1_2[[#This Row],[Coût_Unitaire]]</f>
        <v>350000</v>
      </c>
      <c r="R1328">
        <f>Tableau1_2[[#This Row],[CA]]-Tableau1_2[[#This Row],[Cout Total]]</f>
        <v>101000</v>
      </c>
      <c r="S1328" s="4">
        <f>Tableau1_2[[#This Row],[Marge]]/Tableau1_2[[#This Row],[CA]]</f>
        <v>0.22394678492239467</v>
      </c>
      <c r="T1328" t="str">
        <f>TEXT(Tableau1_2[[#This Row],[Date]],"mmmm")</f>
        <v>mai</v>
      </c>
    </row>
    <row r="1329" spans="1:20" x14ac:dyDescent="0.35">
      <c r="A1329" t="s">
        <v>2329</v>
      </c>
      <c r="B1329" s="2">
        <v>46179</v>
      </c>
      <c r="C1329" t="s">
        <v>1743</v>
      </c>
      <c r="D1329" t="s">
        <v>180</v>
      </c>
      <c r="E1329" t="s">
        <v>84</v>
      </c>
      <c r="F1329" t="s">
        <v>85</v>
      </c>
      <c r="G1329" t="s">
        <v>34</v>
      </c>
      <c r="H1329" t="s">
        <v>158</v>
      </c>
      <c r="I1329">
        <v>5</v>
      </c>
      <c r="J1329">
        <v>99800</v>
      </c>
      <c r="K1329">
        <v>70000</v>
      </c>
      <c r="L1329" t="s">
        <v>30</v>
      </c>
      <c r="M1329" t="s">
        <v>37</v>
      </c>
      <c r="N1329" t="s">
        <v>23</v>
      </c>
      <c r="O1329" t="s">
        <v>24</v>
      </c>
      <c r="P1329">
        <f>Tableau1_2[[#This Row],[Quantité]]*Tableau1_2[[#This Row],[Prix_Unitaire]]</f>
        <v>499000</v>
      </c>
      <c r="Q1329">
        <f>Tableau1_2[[#This Row],[Quantité]]*Tableau1_2[[#This Row],[Coût_Unitaire]]</f>
        <v>350000</v>
      </c>
      <c r="R1329">
        <f>Tableau1_2[[#This Row],[CA]]-Tableau1_2[[#This Row],[Cout Total]]</f>
        <v>149000</v>
      </c>
      <c r="S1329" s="4">
        <f>Tableau1_2[[#This Row],[Marge]]/Tableau1_2[[#This Row],[CA]]</f>
        <v>0.29859719438877758</v>
      </c>
      <c r="T1329" t="str">
        <f>TEXT(Tableau1_2[[#This Row],[Date]],"mmmm")</f>
        <v>juin</v>
      </c>
    </row>
    <row r="1330" spans="1:20" x14ac:dyDescent="0.35">
      <c r="A1330" t="s">
        <v>2330</v>
      </c>
      <c r="B1330" s="2">
        <v>46091</v>
      </c>
      <c r="C1330" t="s">
        <v>678</v>
      </c>
      <c r="D1330" t="s">
        <v>303</v>
      </c>
      <c r="E1330" t="s">
        <v>156</v>
      </c>
      <c r="F1330" t="s">
        <v>157</v>
      </c>
      <c r="G1330" t="s">
        <v>34</v>
      </c>
      <c r="H1330" t="s">
        <v>141</v>
      </c>
      <c r="I1330">
        <v>8</v>
      </c>
      <c r="J1330">
        <v>160000</v>
      </c>
      <c r="K1330">
        <v>116400</v>
      </c>
      <c r="L1330" t="s">
        <v>30</v>
      </c>
      <c r="M1330" t="s">
        <v>37</v>
      </c>
      <c r="N1330" t="s">
        <v>23</v>
      </c>
      <c r="O1330" t="s">
        <v>91</v>
      </c>
      <c r="P1330">
        <f>Tableau1_2[[#This Row],[Quantité]]*Tableau1_2[[#This Row],[Prix_Unitaire]]</f>
        <v>1280000</v>
      </c>
      <c r="Q1330">
        <f>Tableau1_2[[#This Row],[Quantité]]*Tableau1_2[[#This Row],[Coût_Unitaire]]</f>
        <v>931200</v>
      </c>
      <c r="R1330">
        <f>Tableau1_2[[#This Row],[CA]]-Tableau1_2[[#This Row],[Cout Total]]</f>
        <v>348800</v>
      </c>
      <c r="S1330" s="4">
        <f>Tableau1_2[[#This Row],[Marge]]/Tableau1_2[[#This Row],[CA]]</f>
        <v>0.27250000000000002</v>
      </c>
      <c r="T1330" t="str">
        <f>TEXT(Tableau1_2[[#This Row],[Date]],"mmmm")</f>
        <v>mars</v>
      </c>
    </row>
    <row r="1331" spans="1:20" x14ac:dyDescent="0.35">
      <c r="A1331" t="s">
        <v>2331</v>
      </c>
      <c r="B1331" s="2">
        <v>46185</v>
      </c>
      <c r="C1331" t="s">
        <v>1432</v>
      </c>
      <c r="D1331" t="s">
        <v>144</v>
      </c>
      <c r="E1331" t="s">
        <v>18</v>
      </c>
      <c r="F1331" t="s">
        <v>18</v>
      </c>
      <c r="G1331" t="s">
        <v>19</v>
      </c>
      <c r="H1331" t="s">
        <v>166</v>
      </c>
      <c r="I1331">
        <v>9</v>
      </c>
      <c r="J1331">
        <v>140000</v>
      </c>
      <c r="K1331">
        <v>103000</v>
      </c>
      <c r="L1331" t="s">
        <v>73</v>
      </c>
      <c r="M1331" t="s">
        <v>51</v>
      </c>
      <c r="N1331" t="s">
        <v>87</v>
      </c>
      <c r="O1331" t="s">
        <v>24</v>
      </c>
      <c r="P1331">
        <f>Tableau1_2[[#This Row],[Quantité]]*Tableau1_2[[#This Row],[Prix_Unitaire]]</f>
        <v>1260000</v>
      </c>
      <c r="Q1331">
        <f>Tableau1_2[[#This Row],[Quantité]]*Tableau1_2[[#This Row],[Coût_Unitaire]]</f>
        <v>927000</v>
      </c>
      <c r="R1331">
        <f>Tableau1_2[[#This Row],[CA]]-Tableau1_2[[#This Row],[Cout Total]]</f>
        <v>333000</v>
      </c>
      <c r="S1331" s="4">
        <f>Tableau1_2[[#This Row],[Marge]]/Tableau1_2[[#This Row],[CA]]</f>
        <v>0.26428571428571429</v>
      </c>
      <c r="T1331" t="str">
        <f>TEXT(Tableau1_2[[#This Row],[Date]],"mmmm")</f>
        <v>juin</v>
      </c>
    </row>
    <row r="1332" spans="1:20" x14ac:dyDescent="0.35">
      <c r="A1332" t="s">
        <v>2332</v>
      </c>
      <c r="B1332" s="2">
        <v>46201</v>
      </c>
      <c r="C1332" t="s">
        <v>1390</v>
      </c>
      <c r="D1332" t="s">
        <v>1434</v>
      </c>
      <c r="E1332" t="s">
        <v>84</v>
      </c>
      <c r="F1332" t="s">
        <v>85</v>
      </c>
      <c r="G1332" t="s">
        <v>19</v>
      </c>
      <c r="H1332" t="s">
        <v>20</v>
      </c>
      <c r="I1332">
        <v>10</v>
      </c>
      <c r="J1332">
        <v>65000</v>
      </c>
      <c r="K1332">
        <v>43600</v>
      </c>
      <c r="L1332" t="s">
        <v>96</v>
      </c>
      <c r="M1332" t="s">
        <v>51</v>
      </c>
      <c r="N1332" t="s">
        <v>87</v>
      </c>
      <c r="O1332" t="s">
        <v>24</v>
      </c>
      <c r="P1332">
        <f>Tableau1_2[[#This Row],[Quantité]]*Tableau1_2[[#This Row],[Prix_Unitaire]]</f>
        <v>650000</v>
      </c>
      <c r="Q1332">
        <f>Tableau1_2[[#This Row],[Quantité]]*Tableau1_2[[#This Row],[Coût_Unitaire]]</f>
        <v>436000</v>
      </c>
      <c r="R1332">
        <f>Tableau1_2[[#This Row],[CA]]-Tableau1_2[[#This Row],[Cout Total]]</f>
        <v>214000</v>
      </c>
      <c r="S1332" s="4">
        <f>Tableau1_2[[#This Row],[Marge]]/Tableau1_2[[#This Row],[CA]]</f>
        <v>0.32923076923076922</v>
      </c>
      <c r="T1332" t="str">
        <f>TEXT(Tableau1_2[[#This Row],[Date]],"mmmm")</f>
        <v>juin</v>
      </c>
    </row>
    <row r="1333" spans="1:20" x14ac:dyDescent="0.35">
      <c r="A1333" t="s">
        <v>2333</v>
      </c>
      <c r="B1333" s="2">
        <v>46349</v>
      </c>
      <c r="C1333" t="s">
        <v>2334</v>
      </c>
      <c r="D1333" t="s">
        <v>610</v>
      </c>
      <c r="E1333" t="s">
        <v>70</v>
      </c>
      <c r="F1333" t="s">
        <v>71</v>
      </c>
      <c r="G1333" t="s">
        <v>19</v>
      </c>
      <c r="H1333" t="s">
        <v>20</v>
      </c>
      <c r="I1333">
        <v>5</v>
      </c>
      <c r="J1333">
        <v>68200</v>
      </c>
      <c r="K1333">
        <v>45000</v>
      </c>
      <c r="L1333" t="s">
        <v>80</v>
      </c>
      <c r="M1333" t="s">
        <v>22</v>
      </c>
      <c r="N1333" t="s">
        <v>52</v>
      </c>
      <c r="O1333" t="s">
        <v>91</v>
      </c>
      <c r="P1333">
        <f>Tableau1_2[[#This Row],[Quantité]]*Tableau1_2[[#This Row],[Prix_Unitaire]]</f>
        <v>341000</v>
      </c>
      <c r="Q1333">
        <f>Tableau1_2[[#This Row],[Quantité]]*Tableau1_2[[#This Row],[Coût_Unitaire]]</f>
        <v>225000</v>
      </c>
      <c r="R1333">
        <f>Tableau1_2[[#This Row],[CA]]-Tableau1_2[[#This Row],[Cout Total]]</f>
        <v>116000</v>
      </c>
      <c r="S1333" s="4">
        <f>Tableau1_2[[#This Row],[Marge]]/Tableau1_2[[#This Row],[CA]]</f>
        <v>0.34017595307917886</v>
      </c>
      <c r="T1333" t="str">
        <f>TEXT(Tableau1_2[[#This Row],[Date]],"mmmm")</f>
        <v>novembre</v>
      </c>
    </row>
    <row r="1334" spans="1:20" x14ac:dyDescent="0.35">
      <c r="A1334" t="s">
        <v>2335</v>
      </c>
      <c r="B1334" s="2">
        <v>46271</v>
      </c>
      <c r="C1334" t="s">
        <v>753</v>
      </c>
      <c r="D1334" t="s">
        <v>203</v>
      </c>
      <c r="E1334" t="s">
        <v>56</v>
      </c>
      <c r="F1334" t="s">
        <v>57</v>
      </c>
      <c r="G1334" t="s">
        <v>34</v>
      </c>
      <c r="H1334" t="s">
        <v>86</v>
      </c>
      <c r="I1334">
        <v>4</v>
      </c>
      <c r="J1334">
        <v>180000</v>
      </c>
      <c r="K1334">
        <v>135000</v>
      </c>
      <c r="L1334" t="s">
        <v>66</v>
      </c>
      <c r="M1334" t="s">
        <v>51</v>
      </c>
      <c r="N1334" t="s">
        <v>23</v>
      </c>
      <c r="O1334" t="s">
        <v>24</v>
      </c>
      <c r="P1334">
        <f>Tableau1_2[[#This Row],[Quantité]]*Tableau1_2[[#This Row],[Prix_Unitaire]]</f>
        <v>720000</v>
      </c>
      <c r="Q1334">
        <f>Tableau1_2[[#This Row],[Quantité]]*Tableau1_2[[#This Row],[Coût_Unitaire]]</f>
        <v>540000</v>
      </c>
      <c r="R1334">
        <f>Tableau1_2[[#This Row],[CA]]-Tableau1_2[[#This Row],[Cout Total]]</f>
        <v>180000</v>
      </c>
      <c r="S1334" s="4">
        <f>Tableau1_2[[#This Row],[Marge]]/Tableau1_2[[#This Row],[CA]]</f>
        <v>0.25</v>
      </c>
      <c r="T1334" t="str">
        <f>TEXT(Tableau1_2[[#This Row],[Date]],"mmmm")</f>
        <v>septembre</v>
      </c>
    </row>
    <row r="1335" spans="1:20" x14ac:dyDescent="0.35">
      <c r="A1335" t="s">
        <v>2336</v>
      </c>
      <c r="B1335" s="2">
        <v>46370</v>
      </c>
      <c r="C1335" t="s">
        <v>850</v>
      </c>
      <c r="D1335" t="s">
        <v>2337</v>
      </c>
      <c r="E1335" t="s">
        <v>156</v>
      </c>
      <c r="F1335" t="s">
        <v>157</v>
      </c>
      <c r="G1335" t="s">
        <v>28</v>
      </c>
      <c r="H1335" t="s">
        <v>131</v>
      </c>
      <c r="I1335">
        <v>2</v>
      </c>
      <c r="J1335">
        <v>31500</v>
      </c>
      <c r="K1335">
        <v>19000</v>
      </c>
      <c r="L1335" t="s">
        <v>96</v>
      </c>
      <c r="M1335" t="s">
        <v>37</v>
      </c>
      <c r="N1335" t="s">
        <v>52</v>
      </c>
      <c r="O1335" t="s">
        <v>45</v>
      </c>
      <c r="P1335">
        <f>Tableau1_2[[#This Row],[Quantité]]*Tableau1_2[[#This Row],[Prix_Unitaire]]</f>
        <v>63000</v>
      </c>
      <c r="Q1335">
        <f>Tableau1_2[[#This Row],[Quantité]]*Tableau1_2[[#This Row],[Coût_Unitaire]]</f>
        <v>38000</v>
      </c>
      <c r="R1335">
        <f>Tableau1_2[[#This Row],[CA]]-Tableau1_2[[#This Row],[Cout Total]]</f>
        <v>25000</v>
      </c>
      <c r="S1335" s="4">
        <f>Tableau1_2[[#This Row],[Marge]]/Tableau1_2[[#This Row],[CA]]</f>
        <v>0.3968253968253968</v>
      </c>
      <c r="T1335" t="str">
        <f>TEXT(Tableau1_2[[#This Row],[Date]],"mmmm")</f>
        <v>décembre</v>
      </c>
    </row>
    <row r="1336" spans="1:20" x14ac:dyDescent="0.35">
      <c r="A1336" t="s">
        <v>2338</v>
      </c>
      <c r="B1336" s="2">
        <v>46326</v>
      </c>
      <c r="C1336" t="s">
        <v>129</v>
      </c>
      <c r="D1336" t="s">
        <v>1486</v>
      </c>
      <c r="E1336" t="s">
        <v>18</v>
      </c>
      <c r="F1336" t="s">
        <v>18</v>
      </c>
      <c r="G1336" t="s">
        <v>43</v>
      </c>
      <c r="H1336" t="s">
        <v>162</v>
      </c>
      <c r="I1336">
        <v>5</v>
      </c>
      <c r="J1336">
        <v>8400</v>
      </c>
      <c r="K1336">
        <v>5000</v>
      </c>
      <c r="L1336" t="s">
        <v>66</v>
      </c>
      <c r="M1336" t="s">
        <v>51</v>
      </c>
      <c r="N1336" t="s">
        <v>87</v>
      </c>
      <c r="O1336" t="s">
        <v>24</v>
      </c>
      <c r="P1336">
        <f>Tableau1_2[[#This Row],[Quantité]]*Tableau1_2[[#This Row],[Prix_Unitaire]]</f>
        <v>42000</v>
      </c>
      <c r="Q1336">
        <f>Tableau1_2[[#This Row],[Quantité]]*Tableau1_2[[#This Row],[Coût_Unitaire]]</f>
        <v>25000</v>
      </c>
      <c r="R1336">
        <f>Tableau1_2[[#This Row],[CA]]-Tableau1_2[[#This Row],[Cout Total]]</f>
        <v>17000</v>
      </c>
      <c r="S1336" s="4">
        <f>Tableau1_2[[#This Row],[Marge]]/Tableau1_2[[#This Row],[CA]]</f>
        <v>0.40476190476190477</v>
      </c>
      <c r="T1336" t="str">
        <f>TEXT(Tableau1_2[[#This Row],[Date]],"mmmm")</f>
        <v>octobre</v>
      </c>
    </row>
    <row r="1337" spans="1:20" x14ac:dyDescent="0.35">
      <c r="A1337" t="s">
        <v>2339</v>
      </c>
      <c r="B1337" s="2">
        <v>46266</v>
      </c>
      <c r="C1337" t="s">
        <v>1223</v>
      </c>
      <c r="D1337" t="s">
        <v>476</v>
      </c>
      <c r="E1337" t="s">
        <v>56</v>
      </c>
      <c r="F1337" t="s">
        <v>57</v>
      </c>
      <c r="G1337" t="s">
        <v>19</v>
      </c>
      <c r="H1337" t="s">
        <v>20</v>
      </c>
      <c r="I1337">
        <v>1</v>
      </c>
      <c r="J1337">
        <v>65000</v>
      </c>
      <c r="K1337">
        <v>43600</v>
      </c>
      <c r="L1337" t="s">
        <v>30</v>
      </c>
      <c r="M1337" t="s">
        <v>51</v>
      </c>
      <c r="N1337" t="s">
        <v>23</v>
      </c>
      <c r="O1337" t="s">
        <v>24</v>
      </c>
      <c r="P1337">
        <f>Tableau1_2[[#This Row],[Quantité]]*Tableau1_2[[#This Row],[Prix_Unitaire]]</f>
        <v>65000</v>
      </c>
      <c r="Q1337">
        <f>Tableau1_2[[#This Row],[Quantité]]*Tableau1_2[[#This Row],[Coût_Unitaire]]</f>
        <v>43600</v>
      </c>
      <c r="R1337">
        <f>Tableau1_2[[#This Row],[CA]]-Tableau1_2[[#This Row],[Cout Total]]</f>
        <v>21400</v>
      </c>
      <c r="S1337" s="4">
        <f>Tableau1_2[[#This Row],[Marge]]/Tableau1_2[[#This Row],[CA]]</f>
        <v>0.32923076923076922</v>
      </c>
      <c r="T1337" t="str">
        <f>TEXT(Tableau1_2[[#This Row],[Date]],"mmmm")</f>
        <v>septembre</v>
      </c>
    </row>
    <row r="1338" spans="1:20" x14ac:dyDescent="0.35">
      <c r="A1338" t="s">
        <v>2340</v>
      </c>
      <c r="B1338" s="2">
        <v>46297</v>
      </c>
      <c r="C1338" t="s">
        <v>1503</v>
      </c>
      <c r="D1338" t="s">
        <v>950</v>
      </c>
      <c r="E1338" t="s">
        <v>18</v>
      </c>
      <c r="F1338" t="s">
        <v>18</v>
      </c>
      <c r="G1338" t="s">
        <v>34</v>
      </c>
      <c r="H1338" t="s">
        <v>141</v>
      </c>
      <c r="I1338">
        <v>10</v>
      </c>
      <c r="J1338">
        <v>160000</v>
      </c>
      <c r="K1338">
        <v>120000</v>
      </c>
      <c r="L1338" t="s">
        <v>80</v>
      </c>
      <c r="M1338" t="s">
        <v>31</v>
      </c>
      <c r="N1338" t="s">
        <v>23</v>
      </c>
      <c r="O1338" t="s">
        <v>24</v>
      </c>
      <c r="P1338">
        <f>Tableau1_2[[#This Row],[Quantité]]*Tableau1_2[[#This Row],[Prix_Unitaire]]</f>
        <v>1600000</v>
      </c>
      <c r="Q1338">
        <f>Tableau1_2[[#This Row],[Quantité]]*Tableau1_2[[#This Row],[Coût_Unitaire]]</f>
        <v>1200000</v>
      </c>
      <c r="R1338">
        <f>Tableau1_2[[#This Row],[CA]]-Tableau1_2[[#This Row],[Cout Total]]</f>
        <v>400000</v>
      </c>
      <c r="S1338" s="4">
        <f>Tableau1_2[[#This Row],[Marge]]/Tableau1_2[[#This Row],[CA]]</f>
        <v>0.25</v>
      </c>
      <c r="T1338" t="str">
        <f>TEXT(Tableau1_2[[#This Row],[Date]],"mmmm")</f>
        <v>octobre</v>
      </c>
    </row>
    <row r="1339" spans="1:20" x14ac:dyDescent="0.35">
      <c r="A1339" t="s">
        <v>2341</v>
      </c>
      <c r="B1339" s="2">
        <v>46244</v>
      </c>
      <c r="C1339" t="s">
        <v>2342</v>
      </c>
      <c r="D1339" t="s">
        <v>998</v>
      </c>
      <c r="E1339" t="s">
        <v>190</v>
      </c>
      <c r="F1339" t="s">
        <v>191</v>
      </c>
      <c r="G1339" t="s">
        <v>19</v>
      </c>
      <c r="H1339" t="s">
        <v>166</v>
      </c>
      <c r="I1339">
        <v>7</v>
      </c>
      <c r="J1339">
        <v>140000</v>
      </c>
      <c r="K1339">
        <v>100000</v>
      </c>
      <c r="L1339" t="s">
        <v>21</v>
      </c>
      <c r="M1339" t="s">
        <v>31</v>
      </c>
      <c r="N1339" t="s">
        <v>87</v>
      </c>
      <c r="O1339" t="s">
        <v>45</v>
      </c>
      <c r="P1339">
        <f>Tableau1_2[[#This Row],[Quantité]]*Tableau1_2[[#This Row],[Prix_Unitaire]]</f>
        <v>980000</v>
      </c>
      <c r="Q1339">
        <f>Tableau1_2[[#This Row],[Quantité]]*Tableau1_2[[#This Row],[Coût_Unitaire]]</f>
        <v>700000</v>
      </c>
      <c r="R1339">
        <f>Tableau1_2[[#This Row],[CA]]-Tableau1_2[[#This Row],[Cout Total]]</f>
        <v>280000</v>
      </c>
      <c r="S1339" s="4">
        <f>Tableau1_2[[#This Row],[Marge]]/Tableau1_2[[#This Row],[CA]]</f>
        <v>0.2857142857142857</v>
      </c>
      <c r="T1339" t="str">
        <f>TEXT(Tableau1_2[[#This Row],[Date]],"mmmm")</f>
        <v>août</v>
      </c>
    </row>
    <row r="1340" spans="1:20" x14ac:dyDescent="0.35">
      <c r="A1340" t="s">
        <v>2343</v>
      </c>
      <c r="B1340" s="2">
        <v>46180</v>
      </c>
      <c r="C1340" t="s">
        <v>2344</v>
      </c>
      <c r="D1340" t="s">
        <v>1174</v>
      </c>
      <c r="E1340" t="s">
        <v>18</v>
      </c>
      <c r="F1340" t="s">
        <v>18</v>
      </c>
      <c r="G1340" t="s">
        <v>19</v>
      </c>
      <c r="H1340" t="s">
        <v>61</v>
      </c>
      <c r="I1340">
        <v>3</v>
      </c>
      <c r="J1340">
        <v>231000</v>
      </c>
      <c r="K1340">
        <v>155200</v>
      </c>
      <c r="L1340" t="s">
        <v>66</v>
      </c>
      <c r="M1340" t="s">
        <v>31</v>
      </c>
      <c r="N1340" t="s">
        <v>52</v>
      </c>
      <c r="O1340" t="s">
        <v>24</v>
      </c>
      <c r="P1340">
        <f>Tableau1_2[[#This Row],[Quantité]]*Tableau1_2[[#This Row],[Prix_Unitaire]]</f>
        <v>693000</v>
      </c>
      <c r="Q1340">
        <f>Tableau1_2[[#This Row],[Quantité]]*Tableau1_2[[#This Row],[Coût_Unitaire]]</f>
        <v>465600</v>
      </c>
      <c r="R1340">
        <f>Tableau1_2[[#This Row],[CA]]-Tableau1_2[[#This Row],[Cout Total]]</f>
        <v>227400</v>
      </c>
      <c r="S1340" s="4">
        <f>Tableau1_2[[#This Row],[Marge]]/Tableau1_2[[#This Row],[CA]]</f>
        <v>0.32813852813852812</v>
      </c>
      <c r="T1340" t="str">
        <f>TEXT(Tableau1_2[[#This Row],[Date]],"mmmm")</f>
        <v>juin</v>
      </c>
    </row>
    <row r="1341" spans="1:20" x14ac:dyDescent="0.35">
      <c r="A1341" t="s">
        <v>2345</v>
      </c>
      <c r="B1341" s="2">
        <v>46160</v>
      </c>
      <c r="C1341" t="s">
        <v>160</v>
      </c>
      <c r="D1341" t="s">
        <v>984</v>
      </c>
      <c r="E1341" t="s">
        <v>56</v>
      </c>
      <c r="F1341" t="s">
        <v>57</v>
      </c>
      <c r="G1341" t="s">
        <v>34</v>
      </c>
      <c r="H1341" t="s">
        <v>35</v>
      </c>
      <c r="I1341">
        <v>10</v>
      </c>
      <c r="J1341">
        <v>52200</v>
      </c>
      <c r="K1341">
        <v>40200</v>
      </c>
      <c r="L1341" t="s">
        <v>50</v>
      </c>
      <c r="M1341" t="s">
        <v>37</v>
      </c>
      <c r="N1341" t="s">
        <v>23</v>
      </c>
      <c r="O1341" t="s">
        <v>24</v>
      </c>
      <c r="P1341">
        <f>Tableau1_2[[#This Row],[Quantité]]*Tableau1_2[[#This Row],[Prix_Unitaire]]</f>
        <v>522000</v>
      </c>
      <c r="Q1341">
        <f>Tableau1_2[[#This Row],[Quantité]]*Tableau1_2[[#This Row],[Coût_Unitaire]]</f>
        <v>402000</v>
      </c>
      <c r="R1341">
        <f>Tableau1_2[[#This Row],[CA]]-Tableau1_2[[#This Row],[Cout Total]]</f>
        <v>120000</v>
      </c>
      <c r="S1341" s="4">
        <f>Tableau1_2[[#This Row],[Marge]]/Tableau1_2[[#This Row],[CA]]</f>
        <v>0.22988505747126436</v>
      </c>
      <c r="T1341" t="str">
        <f>TEXT(Tableau1_2[[#This Row],[Date]],"mmmm")</f>
        <v>mai</v>
      </c>
    </row>
    <row r="1342" spans="1:20" x14ac:dyDescent="0.35">
      <c r="A1342" t="s">
        <v>2346</v>
      </c>
      <c r="B1342" s="2">
        <v>46100</v>
      </c>
      <c r="C1342" t="s">
        <v>1653</v>
      </c>
      <c r="D1342" t="s">
        <v>854</v>
      </c>
      <c r="E1342" t="s">
        <v>56</v>
      </c>
      <c r="F1342" t="s">
        <v>57</v>
      </c>
      <c r="G1342" t="s">
        <v>43</v>
      </c>
      <c r="H1342" t="s">
        <v>177</v>
      </c>
      <c r="I1342">
        <v>1</v>
      </c>
      <c r="J1342">
        <v>17100</v>
      </c>
      <c r="K1342">
        <v>12500</v>
      </c>
      <c r="L1342" t="s">
        <v>36</v>
      </c>
      <c r="M1342" t="s">
        <v>37</v>
      </c>
      <c r="N1342" t="s">
        <v>23</v>
      </c>
      <c r="O1342" t="s">
        <v>24</v>
      </c>
      <c r="P1342">
        <f>Tableau1_2[[#This Row],[Quantité]]*Tableau1_2[[#This Row],[Prix_Unitaire]]</f>
        <v>17100</v>
      </c>
      <c r="Q1342">
        <f>Tableau1_2[[#This Row],[Quantité]]*Tableau1_2[[#This Row],[Coût_Unitaire]]</f>
        <v>12500</v>
      </c>
      <c r="R1342">
        <f>Tableau1_2[[#This Row],[CA]]-Tableau1_2[[#This Row],[Cout Total]]</f>
        <v>4600</v>
      </c>
      <c r="S1342" s="4">
        <f>Tableau1_2[[#This Row],[Marge]]/Tableau1_2[[#This Row],[CA]]</f>
        <v>0.26900584795321636</v>
      </c>
      <c r="T1342" t="str">
        <f>TEXT(Tableau1_2[[#This Row],[Date]],"mmmm")</f>
        <v>mars</v>
      </c>
    </row>
    <row r="1343" spans="1:20" x14ac:dyDescent="0.35">
      <c r="A1343" t="s">
        <v>2347</v>
      </c>
      <c r="B1343" s="2">
        <v>46239</v>
      </c>
      <c r="C1343" t="s">
        <v>364</v>
      </c>
      <c r="D1343" t="s">
        <v>1434</v>
      </c>
      <c r="E1343" t="s">
        <v>41</v>
      </c>
      <c r="F1343" t="s">
        <v>42</v>
      </c>
      <c r="G1343" t="s">
        <v>43</v>
      </c>
      <c r="H1343" t="s">
        <v>44</v>
      </c>
      <c r="I1343">
        <v>1</v>
      </c>
      <c r="J1343">
        <v>14200</v>
      </c>
      <c r="K1343">
        <v>9200</v>
      </c>
      <c r="L1343" t="s">
        <v>36</v>
      </c>
      <c r="M1343" t="s">
        <v>31</v>
      </c>
      <c r="N1343" t="s">
        <v>87</v>
      </c>
      <c r="O1343" t="s">
        <v>45</v>
      </c>
      <c r="P1343">
        <f>Tableau1_2[[#This Row],[Quantité]]*Tableau1_2[[#This Row],[Prix_Unitaire]]</f>
        <v>14200</v>
      </c>
      <c r="Q1343">
        <f>Tableau1_2[[#This Row],[Quantité]]*Tableau1_2[[#This Row],[Coût_Unitaire]]</f>
        <v>9200</v>
      </c>
      <c r="R1343">
        <f>Tableau1_2[[#This Row],[CA]]-Tableau1_2[[#This Row],[Cout Total]]</f>
        <v>5000</v>
      </c>
      <c r="S1343" s="4">
        <f>Tableau1_2[[#This Row],[Marge]]/Tableau1_2[[#This Row],[CA]]</f>
        <v>0.352112676056338</v>
      </c>
      <c r="T1343" t="str">
        <f>TEXT(Tableau1_2[[#This Row],[Date]],"mmmm")</f>
        <v>août</v>
      </c>
    </row>
    <row r="1344" spans="1:20" x14ac:dyDescent="0.35">
      <c r="A1344" t="s">
        <v>2348</v>
      </c>
      <c r="B1344" s="2">
        <v>46381</v>
      </c>
      <c r="C1344" t="s">
        <v>1245</v>
      </c>
      <c r="D1344" t="s">
        <v>1427</v>
      </c>
      <c r="E1344" t="s">
        <v>70</v>
      </c>
      <c r="F1344" t="s">
        <v>71</v>
      </c>
      <c r="G1344" t="s">
        <v>28</v>
      </c>
      <c r="H1344" t="s">
        <v>248</v>
      </c>
      <c r="I1344">
        <v>1</v>
      </c>
      <c r="J1344">
        <v>23800</v>
      </c>
      <c r="K1344">
        <v>15500</v>
      </c>
      <c r="L1344" t="s">
        <v>30</v>
      </c>
      <c r="M1344" t="s">
        <v>51</v>
      </c>
      <c r="N1344" t="s">
        <v>87</v>
      </c>
      <c r="O1344" t="s">
        <v>91</v>
      </c>
      <c r="P1344">
        <f>Tableau1_2[[#This Row],[Quantité]]*Tableau1_2[[#This Row],[Prix_Unitaire]]</f>
        <v>23800</v>
      </c>
      <c r="Q1344">
        <f>Tableau1_2[[#This Row],[Quantité]]*Tableau1_2[[#This Row],[Coût_Unitaire]]</f>
        <v>15500</v>
      </c>
      <c r="R1344">
        <f>Tableau1_2[[#This Row],[CA]]-Tableau1_2[[#This Row],[Cout Total]]</f>
        <v>8300</v>
      </c>
      <c r="S1344" s="4">
        <f>Tableau1_2[[#This Row],[Marge]]/Tableau1_2[[#This Row],[CA]]</f>
        <v>0.34873949579831931</v>
      </c>
      <c r="T1344" t="str">
        <f>TEXT(Tableau1_2[[#This Row],[Date]],"mmmm")</f>
        <v>décembre</v>
      </c>
    </row>
    <row r="1345" spans="1:20" x14ac:dyDescent="0.35">
      <c r="A1345" t="s">
        <v>2349</v>
      </c>
      <c r="B1345" s="2">
        <v>46314</v>
      </c>
      <c r="C1345" t="s">
        <v>609</v>
      </c>
      <c r="D1345" t="s">
        <v>1021</v>
      </c>
      <c r="E1345" t="s">
        <v>18</v>
      </c>
      <c r="F1345" t="s">
        <v>18</v>
      </c>
      <c r="G1345" t="s">
        <v>34</v>
      </c>
      <c r="H1345" t="s">
        <v>141</v>
      </c>
      <c r="I1345">
        <v>4</v>
      </c>
      <c r="J1345">
        <v>168000</v>
      </c>
      <c r="K1345">
        <v>116400</v>
      </c>
      <c r="L1345" t="s">
        <v>21</v>
      </c>
      <c r="M1345" t="s">
        <v>51</v>
      </c>
      <c r="N1345" t="s">
        <v>52</v>
      </c>
      <c r="O1345" t="s">
        <v>24</v>
      </c>
      <c r="P1345">
        <f>Tableau1_2[[#This Row],[Quantité]]*Tableau1_2[[#This Row],[Prix_Unitaire]]</f>
        <v>672000</v>
      </c>
      <c r="Q1345">
        <f>Tableau1_2[[#This Row],[Quantité]]*Tableau1_2[[#This Row],[Coût_Unitaire]]</f>
        <v>465600</v>
      </c>
      <c r="R1345">
        <f>Tableau1_2[[#This Row],[CA]]-Tableau1_2[[#This Row],[Cout Total]]</f>
        <v>206400</v>
      </c>
      <c r="S1345" s="4">
        <f>Tableau1_2[[#This Row],[Marge]]/Tableau1_2[[#This Row],[CA]]</f>
        <v>0.30714285714285716</v>
      </c>
      <c r="T1345" t="str">
        <f>TEXT(Tableau1_2[[#This Row],[Date]],"mmmm")</f>
        <v>octobre</v>
      </c>
    </row>
    <row r="1346" spans="1:20" x14ac:dyDescent="0.35">
      <c r="A1346" t="s">
        <v>2350</v>
      </c>
      <c r="B1346" s="2">
        <v>46119</v>
      </c>
      <c r="C1346" t="s">
        <v>143</v>
      </c>
      <c r="D1346" t="s">
        <v>462</v>
      </c>
      <c r="E1346" t="s">
        <v>18</v>
      </c>
      <c r="F1346" t="s">
        <v>18</v>
      </c>
      <c r="G1346" t="s">
        <v>34</v>
      </c>
      <c r="H1346" t="s">
        <v>141</v>
      </c>
      <c r="I1346">
        <v>1</v>
      </c>
      <c r="J1346">
        <v>152000</v>
      </c>
      <c r="K1346">
        <v>120000</v>
      </c>
      <c r="L1346" t="s">
        <v>80</v>
      </c>
      <c r="M1346" t="s">
        <v>37</v>
      </c>
      <c r="N1346" t="s">
        <v>52</v>
      </c>
      <c r="O1346" t="s">
        <v>24</v>
      </c>
      <c r="P1346">
        <f>Tableau1_2[[#This Row],[Quantité]]*Tableau1_2[[#This Row],[Prix_Unitaire]]</f>
        <v>152000</v>
      </c>
      <c r="Q1346">
        <f>Tableau1_2[[#This Row],[Quantité]]*Tableau1_2[[#This Row],[Coût_Unitaire]]</f>
        <v>120000</v>
      </c>
      <c r="R1346">
        <f>Tableau1_2[[#This Row],[CA]]-Tableau1_2[[#This Row],[Cout Total]]</f>
        <v>32000</v>
      </c>
      <c r="S1346" s="4">
        <f>Tableau1_2[[#This Row],[Marge]]/Tableau1_2[[#This Row],[CA]]</f>
        <v>0.21052631578947367</v>
      </c>
      <c r="T1346" t="str">
        <f>TEXT(Tableau1_2[[#This Row],[Date]],"mmmm")</f>
        <v>avril</v>
      </c>
    </row>
    <row r="1347" spans="1:20" x14ac:dyDescent="0.35">
      <c r="A1347" t="s">
        <v>2351</v>
      </c>
      <c r="B1347" s="2">
        <v>46277</v>
      </c>
      <c r="C1347" t="s">
        <v>1757</v>
      </c>
      <c r="D1347" t="s">
        <v>679</v>
      </c>
      <c r="E1347" t="s">
        <v>190</v>
      </c>
      <c r="F1347" t="s">
        <v>191</v>
      </c>
      <c r="G1347" t="s">
        <v>19</v>
      </c>
      <c r="H1347" t="s">
        <v>166</v>
      </c>
      <c r="I1347">
        <v>2</v>
      </c>
      <c r="J1347">
        <v>147000</v>
      </c>
      <c r="K1347">
        <v>103000</v>
      </c>
      <c r="L1347" t="s">
        <v>30</v>
      </c>
      <c r="M1347" t="s">
        <v>37</v>
      </c>
      <c r="N1347" t="s">
        <v>23</v>
      </c>
      <c r="O1347" t="s">
        <v>91</v>
      </c>
      <c r="P1347">
        <f>Tableau1_2[[#This Row],[Quantité]]*Tableau1_2[[#This Row],[Prix_Unitaire]]</f>
        <v>294000</v>
      </c>
      <c r="Q1347">
        <f>Tableau1_2[[#This Row],[Quantité]]*Tableau1_2[[#This Row],[Coût_Unitaire]]</f>
        <v>206000</v>
      </c>
      <c r="R1347">
        <f>Tableau1_2[[#This Row],[CA]]-Tableau1_2[[#This Row],[Cout Total]]</f>
        <v>88000</v>
      </c>
      <c r="S1347" s="4">
        <f>Tableau1_2[[#This Row],[Marge]]/Tableau1_2[[#This Row],[CA]]</f>
        <v>0.29931972789115646</v>
      </c>
      <c r="T1347" t="str">
        <f>TEXT(Tableau1_2[[#This Row],[Date]],"mmmm")</f>
        <v>septembre</v>
      </c>
    </row>
    <row r="1348" spans="1:20" x14ac:dyDescent="0.35">
      <c r="A1348" t="s">
        <v>2352</v>
      </c>
      <c r="B1348" s="2">
        <v>46218</v>
      </c>
      <c r="C1348" t="s">
        <v>1890</v>
      </c>
      <c r="D1348" t="s">
        <v>560</v>
      </c>
      <c r="E1348" t="s">
        <v>18</v>
      </c>
      <c r="F1348" t="s">
        <v>18</v>
      </c>
      <c r="G1348" t="s">
        <v>43</v>
      </c>
      <c r="H1348" t="s">
        <v>177</v>
      </c>
      <c r="I1348">
        <v>1</v>
      </c>
      <c r="J1348">
        <v>18000</v>
      </c>
      <c r="K1348">
        <v>12100</v>
      </c>
      <c r="L1348" t="s">
        <v>66</v>
      </c>
      <c r="M1348" t="s">
        <v>37</v>
      </c>
      <c r="N1348" t="s">
        <v>87</v>
      </c>
      <c r="O1348" t="s">
        <v>24</v>
      </c>
      <c r="P1348">
        <f>Tableau1_2[[#This Row],[Quantité]]*Tableau1_2[[#This Row],[Prix_Unitaire]]</f>
        <v>18000</v>
      </c>
      <c r="Q1348">
        <f>Tableau1_2[[#This Row],[Quantité]]*Tableau1_2[[#This Row],[Coût_Unitaire]]</f>
        <v>12100</v>
      </c>
      <c r="R1348">
        <f>Tableau1_2[[#This Row],[CA]]-Tableau1_2[[#This Row],[Cout Total]]</f>
        <v>5900</v>
      </c>
      <c r="S1348" s="4">
        <f>Tableau1_2[[#This Row],[Marge]]/Tableau1_2[[#This Row],[CA]]</f>
        <v>0.32777777777777778</v>
      </c>
      <c r="T1348" t="str">
        <f>TEXT(Tableau1_2[[#This Row],[Date]],"mmmm")</f>
        <v>juillet</v>
      </c>
    </row>
    <row r="1349" spans="1:20" x14ac:dyDescent="0.35">
      <c r="A1349" t="s">
        <v>2353</v>
      </c>
      <c r="B1349" s="2">
        <v>46168</v>
      </c>
      <c r="C1349" t="s">
        <v>934</v>
      </c>
      <c r="D1349" t="s">
        <v>552</v>
      </c>
      <c r="E1349" t="s">
        <v>18</v>
      </c>
      <c r="F1349" t="s">
        <v>18</v>
      </c>
      <c r="G1349" t="s">
        <v>34</v>
      </c>
      <c r="H1349" t="s">
        <v>95</v>
      </c>
      <c r="I1349">
        <v>8</v>
      </c>
      <c r="J1349">
        <v>450000</v>
      </c>
      <c r="K1349">
        <v>370000</v>
      </c>
      <c r="L1349" t="s">
        <v>66</v>
      </c>
      <c r="M1349" t="s">
        <v>37</v>
      </c>
      <c r="N1349" t="s">
        <v>23</v>
      </c>
      <c r="O1349" t="s">
        <v>24</v>
      </c>
      <c r="P1349">
        <f>Tableau1_2[[#This Row],[Quantité]]*Tableau1_2[[#This Row],[Prix_Unitaire]]</f>
        <v>3600000</v>
      </c>
      <c r="Q1349">
        <f>Tableau1_2[[#This Row],[Quantité]]*Tableau1_2[[#This Row],[Coût_Unitaire]]</f>
        <v>2960000</v>
      </c>
      <c r="R1349">
        <f>Tableau1_2[[#This Row],[CA]]-Tableau1_2[[#This Row],[Cout Total]]</f>
        <v>640000</v>
      </c>
      <c r="S1349" s="4">
        <f>Tableau1_2[[#This Row],[Marge]]/Tableau1_2[[#This Row],[CA]]</f>
        <v>0.17777777777777778</v>
      </c>
      <c r="T1349" t="str">
        <f>TEXT(Tableau1_2[[#This Row],[Date]],"mmmm")</f>
        <v>mai</v>
      </c>
    </row>
    <row r="1350" spans="1:20" x14ac:dyDescent="0.35">
      <c r="A1350" t="s">
        <v>2354</v>
      </c>
      <c r="B1350" s="2">
        <v>46297</v>
      </c>
      <c r="C1350" t="s">
        <v>896</v>
      </c>
      <c r="D1350" t="s">
        <v>2223</v>
      </c>
      <c r="E1350" t="s">
        <v>18</v>
      </c>
      <c r="F1350" t="s">
        <v>18</v>
      </c>
      <c r="G1350" t="s">
        <v>19</v>
      </c>
      <c r="H1350" t="s">
        <v>20</v>
      </c>
      <c r="I1350">
        <v>1</v>
      </c>
      <c r="J1350">
        <v>65000</v>
      </c>
      <c r="K1350">
        <v>46400</v>
      </c>
      <c r="L1350" t="s">
        <v>96</v>
      </c>
      <c r="M1350" t="s">
        <v>37</v>
      </c>
      <c r="N1350" t="s">
        <v>52</v>
      </c>
      <c r="O1350" t="s">
        <v>24</v>
      </c>
      <c r="P1350">
        <f>Tableau1_2[[#This Row],[Quantité]]*Tableau1_2[[#This Row],[Prix_Unitaire]]</f>
        <v>65000</v>
      </c>
      <c r="Q1350">
        <f>Tableau1_2[[#This Row],[Quantité]]*Tableau1_2[[#This Row],[Coût_Unitaire]]</f>
        <v>46400</v>
      </c>
      <c r="R1350">
        <f>Tableau1_2[[#This Row],[CA]]-Tableau1_2[[#This Row],[Cout Total]]</f>
        <v>18600</v>
      </c>
      <c r="S1350" s="4">
        <f>Tableau1_2[[#This Row],[Marge]]/Tableau1_2[[#This Row],[CA]]</f>
        <v>0.28615384615384615</v>
      </c>
      <c r="T1350" t="str">
        <f>TEXT(Tableau1_2[[#This Row],[Date]],"mmmm")</f>
        <v>octobre</v>
      </c>
    </row>
    <row r="1351" spans="1:20" x14ac:dyDescent="0.35">
      <c r="A1351" t="s">
        <v>2355</v>
      </c>
      <c r="B1351" s="2">
        <v>46269</v>
      </c>
      <c r="C1351" t="s">
        <v>1245</v>
      </c>
      <c r="D1351" t="s">
        <v>2213</v>
      </c>
      <c r="E1351" t="s">
        <v>84</v>
      </c>
      <c r="F1351" t="s">
        <v>85</v>
      </c>
      <c r="G1351" t="s">
        <v>43</v>
      </c>
      <c r="H1351" t="s">
        <v>79</v>
      </c>
      <c r="I1351">
        <v>7</v>
      </c>
      <c r="J1351">
        <v>6300</v>
      </c>
      <c r="K1351">
        <v>4200</v>
      </c>
      <c r="L1351" t="s">
        <v>73</v>
      </c>
      <c r="M1351" t="s">
        <v>22</v>
      </c>
      <c r="N1351" t="s">
        <v>23</v>
      </c>
      <c r="O1351" t="s">
        <v>91</v>
      </c>
      <c r="P1351">
        <f>Tableau1_2[[#This Row],[Quantité]]*Tableau1_2[[#This Row],[Prix_Unitaire]]</f>
        <v>44100</v>
      </c>
      <c r="Q1351">
        <f>Tableau1_2[[#This Row],[Quantité]]*Tableau1_2[[#This Row],[Coût_Unitaire]]</f>
        <v>29400</v>
      </c>
      <c r="R1351">
        <f>Tableau1_2[[#This Row],[CA]]-Tableau1_2[[#This Row],[Cout Total]]</f>
        <v>14700</v>
      </c>
      <c r="S1351" s="4">
        <f>Tableau1_2[[#This Row],[Marge]]/Tableau1_2[[#This Row],[CA]]</f>
        <v>0.33333333333333331</v>
      </c>
      <c r="T1351" t="str">
        <f>TEXT(Tableau1_2[[#This Row],[Date]],"mmmm")</f>
        <v>septembre</v>
      </c>
    </row>
    <row r="1352" spans="1:20" x14ac:dyDescent="0.35">
      <c r="A1352" t="s">
        <v>2356</v>
      </c>
      <c r="B1352" s="2">
        <v>46369</v>
      </c>
      <c r="C1352" t="s">
        <v>1140</v>
      </c>
      <c r="D1352" t="s">
        <v>2223</v>
      </c>
      <c r="E1352" t="s">
        <v>18</v>
      </c>
      <c r="F1352" t="s">
        <v>18</v>
      </c>
      <c r="G1352" t="s">
        <v>28</v>
      </c>
      <c r="H1352" t="s">
        <v>248</v>
      </c>
      <c r="I1352">
        <v>4</v>
      </c>
      <c r="J1352">
        <v>26200</v>
      </c>
      <c r="K1352">
        <v>16000</v>
      </c>
      <c r="L1352" t="s">
        <v>36</v>
      </c>
      <c r="M1352" t="s">
        <v>51</v>
      </c>
      <c r="N1352" t="s">
        <v>52</v>
      </c>
      <c r="O1352" t="s">
        <v>24</v>
      </c>
      <c r="P1352">
        <f>Tableau1_2[[#This Row],[Quantité]]*Tableau1_2[[#This Row],[Prix_Unitaire]]</f>
        <v>104800</v>
      </c>
      <c r="Q1352">
        <f>Tableau1_2[[#This Row],[Quantité]]*Tableau1_2[[#This Row],[Coût_Unitaire]]</f>
        <v>64000</v>
      </c>
      <c r="R1352">
        <f>Tableau1_2[[#This Row],[CA]]-Tableau1_2[[#This Row],[Cout Total]]</f>
        <v>40800</v>
      </c>
      <c r="S1352" s="4">
        <f>Tableau1_2[[#This Row],[Marge]]/Tableau1_2[[#This Row],[CA]]</f>
        <v>0.38931297709923662</v>
      </c>
      <c r="T1352" t="str">
        <f>TEXT(Tableau1_2[[#This Row],[Date]],"mmmm")</f>
        <v>décembre</v>
      </c>
    </row>
    <row r="1353" spans="1:20" x14ac:dyDescent="0.35">
      <c r="A1353" t="s">
        <v>2357</v>
      </c>
      <c r="B1353" s="2">
        <v>46210</v>
      </c>
      <c r="C1353" t="s">
        <v>621</v>
      </c>
      <c r="D1353" t="s">
        <v>197</v>
      </c>
      <c r="E1353" t="s">
        <v>18</v>
      </c>
      <c r="F1353" t="s">
        <v>18</v>
      </c>
      <c r="G1353" t="s">
        <v>34</v>
      </c>
      <c r="H1353" t="s">
        <v>35</v>
      </c>
      <c r="I1353">
        <v>8</v>
      </c>
      <c r="J1353">
        <v>57800</v>
      </c>
      <c r="K1353">
        <v>39000</v>
      </c>
      <c r="L1353" t="s">
        <v>80</v>
      </c>
      <c r="M1353" t="s">
        <v>51</v>
      </c>
      <c r="N1353" t="s">
        <v>52</v>
      </c>
      <c r="O1353" t="s">
        <v>24</v>
      </c>
      <c r="P1353">
        <f>Tableau1_2[[#This Row],[Quantité]]*Tableau1_2[[#This Row],[Prix_Unitaire]]</f>
        <v>462400</v>
      </c>
      <c r="Q1353">
        <f>Tableau1_2[[#This Row],[Quantité]]*Tableau1_2[[#This Row],[Coût_Unitaire]]</f>
        <v>312000</v>
      </c>
      <c r="R1353">
        <f>Tableau1_2[[#This Row],[CA]]-Tableau1_2[[#This Row],[Cout Total]]</f>
        <v>150400</v>
      </c>
      <c r="S1353" s="4">
        <f>Tableau1_2[[#This Row],[Marge]]/Tableau1_2[[#This Row],[CA]]</f>
        <v>0.32525951557093424</v>
      </c>
      <c r="T1353" t="str">
        <f>TEXT(Tableau1_2[[#This Row],[Date]],"mmmm")</f>
        <v>juillet</v>
      </c>
    </row>
    <row r="1354" spans="1:20" x14ac:dyDescent="0.35">
      <c r="A1354" t="s">
        <v>2358</v>
      </c>
      <c r="B1354" s="2">
        <v>46166</v>
      </c>
      <c r="C1354" t="s">
        <v>943</v>
      </c>
      <c r="D1354" t="s">
        <v>1375</v>
      </c>
      <c r="E1354" t="s">
        <v>77</v>
      </c>
      <c r="F1354" t="s">
        <v>78</v>
      </c>
      <c r="G1354" t="s">
        <v>19</v>
      </c>
      <c r="H1354" t="s">
        <v>112</v>
      </c>
      <c r="I1354">
        <v>1</v>
      </c>
      <c r="J1354">
        <v>85000</v>
      </c>
      <c r="K1354">
        <v>62000</v>
      </c>
      <c r="L1354" t="s">
        <v>96</v>
      </c>
      <c r="M1354" t="s">
        <v>51</v>
      </c>
      <c r="N1354" t="s">
        <v>23</v>
      </c>
      <c r="O1354" t="s">
        <v>24</v>
      </c>
      <c r="P1354">
        <f>Tableau1_2[[#This Row],[Quantité]]*Tableau1_2[[#This Row],[Prix_Unitaire]]</f>
        <v>85000</v>
      </c>
      <c r="Q1354">
        <f>Tableau1_2[[#This Row],[Quantité]]*Tableau1_2[[#This Row],[Coût_Unitaire]]</f>
        <v>62000</v>
      </c>
      <c r="R1354">
        <f>Tableau1_2[[#This Row],[CA]]-Tableau1_2[[#This Row],[Cout Total]]</f>
        <v>23000</v>
      </c>
      <c r="S1354" s="4">
        <f>Tableau1_2[[#This Row],[Marge]]/Tableau1_2[[#This Row],[CA]]</f>
        <v>0.27058823529411763</v>
      </c>
      <c r="T1354" t="str">
        <f>TEXT(Tableau1_2[[#This Row],[Date]],"mmmm")</f>
        <v>mai</v>
      </c>
    </row>
    <row r="1355" spans="1:20" x14ac:dyDescent="0.35">
      <c r="A1355" t="s">
        <v>2359</v>
      </c>
      <c r="B1355" s="2">
        <v>46328</v>
      </c>
      <c r="C1355" t="s">
        <v>1456</v>
      </c>
      <c r="D1355" t="s">
        <v>1363</v>
      </c>
      <c r="E1355" t="s">
        <v>156</v>
      </c>
      <c r="F1355" t="s">
        <v>170</v>
      </c>
      <c r="G1355" t="s">
        <v>28</v>
      </c>
      <c r="H1355" t="s">
        <v>72</v>
      </c>
      <c r="I1355">
        <v>5</v>
      </c>
      <c r="J1355">
        <v>9500</v>
      </c>
      <c r="K1355">
        <v>6000</v>
      </c>
      <c r="L1355" t="s">
        <v>36</v>
      </c>
      <c r="M1355" t="s">
        <v>51</v>
      </c>
      <c r="N1355" t="s">
        <v>87</v>
      </c>
      <c r="O1355" t="s">
        <v>91</v>
      </c>
      <c r="P1355">
        <f>Tableau1_2[[#This Row],[Quantité]]*Tableau1_2[[#This Row],[Prix_Unitaire]]</f>
        <v>47500</v>
      </c>
      <c r="Q1355">
        <f>Tableau1_2[[#This Row],[Quantité]]*Tableau1_2[[#This Row],[Coût_Unitaire]]</f>
        <v>30000</v>
      </c>
      <c r="R1355">
        <f>Tableau1_2[[#This Row],[CA]]-Tableau1_2[[#This Row],[Cout Total]]</f>
        <v>17500</v>
      </c>
      <c r="S1355" s="4">
        <f>Tableau1_2[[#This Row],[Marge]]/Tableau1_2[[#This Row],[CA]]</f>
        <v>0.36842105263157893</v>
      </c>
      <c r="T1355" t="str">
        <f>TEXT(Tableau1_2[[#This Row],[Date]],"mmmm")</f>
        <v>novembre</v>
      </c>
    </row>
    <row r="1356" spans="1:20" x14ac:dyDescent="0.35">
      <c r="A1356" t="s">
        <v>2360</v>
      </c>
      <c r="B1356" s="2">
        <v>46318</v>
      </c>
      <c r="C1356" t="s">
        <v>1018</v>
      </c>
      <c r="D1356" t="s">
        <v>476</v>
      </c>
      <c r="E1356" t="s">
        <v>56</v>
      </c>
      <c r="F1356" t="s">
        <v>57</v>
      </c>
      <c r="G1356" t="s">
        <v>34</v>
      </c>
      <c r="H1356" t="s">
        <v>158</v>
      </c>
      <c r="I1356">
        <v>10</v>
      </c>
      <c r="J1356">
        <v>95000</v>
      </c>
      <c r="K1356">
        <v>67900</v>
      </c>
      <c r="L1356" t="s">
        <v>66</v>
      </c>
      <c r="M1356" t="s">
        <v>51</v>
      </c>
      <c r="N1356" t="s">
        <v>52</v>
      </c>
      <c r="O1356" t="s">
        <v>24</v>
      </c>
      <c r="P1356">
        <f>Tableau1_2[[#This Row],[Quantité]]*Tableau1_2[[#This Row],[Prix_Unitaire]]</f>
        <v>950000</v>
      </c>
      <c r="Q1356">
        <f>Tableau1_2[[#This Row],[Quantité]]*Tableau1_2[[#This Row],[Coût_Unitaire]]</f>
        <v>679000</v>
      </c>
      <c r="R1356">
        <f>Tableau1_2[[#This Row],[CA]]-Tableau1_2[[#This Row],[Cout Total]]</f>
        <v>271000</v>
      </c>
      <c r="S1356" s="4">
        <f>Tableau1_2[[#This Row],[Marge]]/Tableau1_2[[#This Row],[CA]]</f>
        <v>0.28526315789473683</v>
      </c>
      <c r="T1356" t="str">
        <f>TEXT(Tableau1_2[[#This Row],[Date]],"mmmm")</f>
        <v>octobre</v>
      </c>
    </row>
    <row r="1357" spans="1:20" x14ac:dyDescent="0.35">
      <c r="A1357" t="s">
        <v>2361</v>
      </c>
      <c r="B1357" s="2">
        <v>46214</v>
      </c>
      <c r="C1357" t="s">
        <v>1701</v>
      </c>
      <c r="D1357" t="s">
        <v>99</v>
      </c>
      <c r="E1357" t="s">
        <v>84</v>
      </c>
      <c r="F1357" t="s">
        <v>18</v>
      </c>
      <c r="G1357" t="s">
        <v>28</v>
      </c>
      <c r="H1357" t="s">
        <v>65</v>
      </c>
      <c r="I1357">
        <v>5</v>
      </c>
      <c r="J1357">
        <v>11400</v>
      </c>
      <c r="K1357">
        <v>7300</v>
      </c>
      <c r="L1357" t="s">
        <v>21</v>
      </c>
      <c r="M1357" t="s">
        <v>37</v>
      </c>
      <c r="N1357" t="s">
        <v>87</v>
      </c>
      <c r="O1357" t="s">
        <v>24</v>
      </c>
      <c r="P1357">
        <f>Tableau1_2[[#This Row],[Quantité]]*Tableau1_2[[#This Row],[Prix_Unitaire]]</f>
        <v>57000</v>
      </c>
      <c r="Q1357">
        <f>Tableau1_2[[#This Row],[Quantité]]*Tableau1_2[[#This Row],[Coût_Unitaire]]</f>
        <v>36500</v>
      </c>
      <c r="R1357">
        <f>Tableau1_2[[#This Row],[CA]]-Tableau1_2[[#This Row],[Cout Total]]</f>
        <v>20500</v>
      </c>
      <c r="S1357" s="4">
        <f>Tableau1_2[[#This Row],[Marge]]/Tableau1_2[[#This Row],[CA]]</f>
        <v>0.35964912280701755</v>
      </c>
      <c r="T1357" t="str">
        <f>TEXT(Tableau1_2[[#This Row],[Date]],"mmmm")</f>
        <v>juillet</v>
      </c>
    </row>
    <row r="1358" spans="1:20" x14ac:dyDescent="0.35">
      <c r="A1358" t="s">
        <v>2362</v>
      </c>
      <c r="B1358" s="2">
        <v>46131</v>
      </c>
      <c r="C1358" t="s">
        <v>293</v>
      </c>
      <c r="D1358" t="s">
        <v>161</v>
      </c>
      <c r="E1358" t="s">
        <v>70</v>
      </c>
      <c r="F1358" t="s">
        <v>71</v>
      </c>
      <c r="G1358" t="s">
        <v>34</v>
      </c>
      <c r="H1358" t="s">
        <v>86</v>
      </c>
      <c r="I1358">
        <v>1</v>
      </c>
      <c r="J1358">
        <v>180000</v>
      </c>
      <c r="K1358">
        <v>139000</v>
      </c>
      <c r="L1358" t="s">
        <v>73</v>
      </c>
      <c r="M1358" t="s">
        <v>51</v>
      </c>
      <c r="N1358" t="s">
        <v>87</v>
      </c>
      <c r="O1358" t="s">
        <v>24</v>
      </c>
      <c r="P1358">
        <f>Tableau1_2[[#This Row],[Quantité]]*Tableau1_2[[#This Row],[Prix_Unitaire]]</f>
        <v>180000</v>
      </c>
      <c r="Q1358">
        <f>Tableau1_2[[#This Row],[Quantité]]*Tableau1_2[[#This Row],[Coût_Unitaire]]</f>
        <v>139000</v>
      </c>
      <c r="R1358">
        <f>Tableau1_2[[#This Row],[CA]]-Tableau1_2[[#This Row],[Cout Total]]</f>
        <v>41000</v>
      </c>
      <c r="S1358" s="4">
        <f>Tableau1_2[[#This Row],[Marge]]/Tableau1_2[[#This Row],[CA]]</f>
        <v>0.22777777777777777</v>
      </c>
      <c r="T1358" t="str">
        <f>TEXT(Tableau1_2[[#This Row],[Date]],"mmmm")</f>
        <v>avril</v>
      </c>
    </row>
    <row r="1359" spans="1:20" x14ac:dyDescent="0.35">
      <c r="A1359" t="s">
        <v>2363</v>
      </c>
      <c r="B1359" s="2">
        <v>46090</v>
      </c>
      <c r="C1359" t="s">
        <v>1026</v>
      </c>
      <c r="D1359" t="s">
        <v>1322</v>
      </c>
      <c r="E1359" t="s">
        <v>56</v>
      </c>
      <c r="F1359" t="s">
        <v>57</v>
      </c>
      <c r="G1359" t="s">
        <v>28</v>
      </c>
      <c r="H1359" t="s">
        <v>248</v>
      </c>
      <c r="I1359">
        <v>4</v>
      </c>
      <c r="J1359">
        <v>23800</v>
      </c>
      <c r="K1359">
        <v>16000</v>
      </c>
      <c r="L1359" t="s">
        <v>73</v>
      </c>
      <c r="M1359" t="s">
        <v>22</v>
      </c>
      <c r="N1359" t="s">
        <v>52</v>
      </c>
      <c r="O1359" t="s">
        <v>24</v>
      </c>
      <c r="P1359">
        <f>Tableau1_2[[#This Row],[Quantité]]*Tableau1_2[[#This Row],[Prix_Unitaire]]</f>
        <v>95200</v>
      </c>
      <c r="Q1359">
        <f>Tableau1_2[[#This Row],[Quantité]]*Tableau1_2[[#This Row],[Coût_Unitaire]]</f>
        <v>64000</v>
      </c>
      <c r="R1359">
        <f>Tableau1_2[[#This Row],[CA]]-Tableau1_2[[#This Row],[Cout Total]]</f>
        <v>31200</v>
      </c>
      <c r="S1359" s="4">
        <f>Tableau1_2[[#This Row],[Marge]]/Tableau1_2[[#This Row],[CA]]</f>
        <v>0.32773109243697479</v>
      </c>
      <c r="T1359" t="str">
        <f>TEXT(Tableau1_2[[#This Row],[Date]],"mmmm")</f>
        <v>mars</v>
      </c>
    </row>
    <row r="1360" spans="1:20" x14ac:dyDescent="0.35">
      <c r="A1360" t="s">
        <v>2364</v>
      </c>
      <c r="B1360" s="2">
        <v>46255</v>
      </c>
      <c r="C1360" t="s">
        <v>2334</v>
      </c>
      <c r="D1360" t="s">
        <v>546</v>
      </c>
      <c r="E1360" t="s">
        <v>156</v>
      </c>
      <c r="F1360" t="s">
        <v>157</v>
      </c>
      <c r="G1360" t="s">
        <v>34</v>
      </c>
      <c r="H1360" t="s">
        <v>86</v>
      </c>
      <c r="I1360">
        <v>5</v>
      </c>
      <c r="J1360">
        <v>180000</v>
      </c>
      <c r="K1360">
        <v>131000</v>
      </c>
      <c r="L1360" t="s">
        <v>21</v>
      </c>
      <c r="M1360" t="s">
        <v>37</v>
      </c>
      <c r="N1360" t="s">
        <v>23</v>
      </c>
      <c r="O1360" t="s">
        <v>24</v>
      </c>
      <c r="P1360">
        <f>Tableau1_2[[#This Row],[Quantité]]*Tableau1_2[[#This Row],[Prix_Unitaire]]</f>
        <v>900000</v>
      </c>
      <c r="Q1360">
        <f>Tableau1_2[[#This Row],[Quantité]]*Tableau1_2[[#This Row],[Coût_Unitaire]]</f>
        <v>655000</v>
      </c>
      <c r="R1360">
        <f>Tableau1_2[[#This Row],[CA]]-Tableau1_2[[#This Row],[Cout Total]]</f>
        <v>245000</v>
      </c>
      <c r="S1360" s="4">
        <f>Tableau1_2[[#This Row],[Marge]]/Tableau1_2[[#This Row],[CA]]</f>
        <v>0.2722222222222222</v>
      </c>
      <c r="T1360" t="str">
        <f>TEXT(Tableau1_2[[#This Row],[Date]],"mmmm")</f>
        <v>août</v>
      </c>
    </row>
    <row r="1361" spans="1:20" x14ac:dyDescent="0.35">
      <c r="A1361" t="s">
        <v>2365</v>
      </c>
      <c r="B1361" s="2">
        <v>46172</v>
      </c>
      <c r="C1361" t="s">
        <v>283</v>
      </c>
      <c r="D1361" t="s">
        <v>2223</v>
      </c>
      <c r="E1361" t="s">
        <v>18</v>
      </c>
      <c r="F1361" t="s">
        <v>18</v>
      </c>
      <c r="G1361" t="s">
        <v>28</v>
      </c>
      <c r="H1361" t="s">
        <v>29</v>
      </c>
      <c r="I1361">
        <v>3</v>
      </c>
      <c r="J1361">
        <v>7000</v>
      </c>
      <c r="K1361">
        <v>4100</v>
      </c>
      <c r="L1361" t="s">
        <v>36</v>
      </c>
      <c r="M1361" t="s">
        <v>37</v>
      </c>
      <c r="N1361" t="s">
        <v>52</v>
      </c>
      <c r="O1361" t="s">
        <v>24</v>
      </c>
      <c r="P1361">
        <f>Tableau1_2[[#This Row],[Quantité]]*Tableau1_2[[#This Row],[Prix_Unitaire]]</f>
        <v>21000</v>
      </c>
      <c r="Q1361">
        <f>Tableau1_2[[#This Row],[Quantité]]*Tableau1_2[[#This Row],[Coût_Unitaire]]</f>
        <v>12300</v>
      </c>
      <c r="R1361">
        <f>Tableau1_2[[#This Row],[CA]]-Tableau1_2[[#This Row],[Cout Total]]</f>
        <v>8700</v>
      </c>
      <c r="S1361" s="4">
        <f>Tableau1_2[[#This Row],[Marge]]/Tableau1_2[[#This Row],[CA]]</f>
        <v>0.41428571428571431</v>
      </c>
      <c r="T1361" t="str">
        <f>TEXT(Tableau1_2[[#This Row],[Date]],"mmmm")</f>
        <v>mai</v>
      </c>
    </row>
    <row r="1362" spans="1:20" x14ac:dyDescent="0.35">
      <c r="A1362" t="s">
        <v>2366</v>
      </c>
      <c r="B1362" s="2">
        <v>46042</v>
      </c>
      <c r="C1362" t="s">
        <v>1481</v>
      </c>
      <c r="D1362" t="s">
        <v>371</v>
      </c>
      <c r="E1362" t="s">
        <v>70</v>
      </c>
      <c r="F1362" t="s">
        <v>71</v>
      </c>
      <c r="G1362" t="s">
        <v>43</v>
      </c>
      <c r="H1362" t="s">
        <v>162</v>
      </c>
      <c r="I1362">
        <v>3</v>
      </c>
      <c r="J1362">
        <v>8400</v>
      </c>
      <c r="K1362">
        <v>5200</v>
      </c>
      <c r="L1362" t="s">
        <v>21</v>
      </c>
      <c r="M1362" t="s">
        <v>51</v>
      </c>
      <c r="N1362" t="s">
        <v>52</v>
      </c>
      <c r="O1362" t="s">
        <v>91</v>
      </c>
      <c r="P1362">
        <f>Tableau1_2[[#This Row],[Quantité]]*Tableau1_2[[#This Row],[Prix_Unitaire]]</f>
        <v>25200</v>
      </c>
      <c r="Q1362">
        <f>Tableau1_2[[#This Row],[Quantité]]*Tableau1_2[[#This Row],[Coût_Unitaire]]</f>
        <v>15600</v>
      </c>
      <c r="R1362">
        <f>Tableau1_2[[#This Row],[CA]]-Tableau1_2[[#This Row],[Cout Total]]</f>
        <v>9600</v>
      </c>
      <c r="S1362" s="4">
        <f>Tableau1_2[[#This Row],[Marge]]/Tableau1_2[[#This Row],[CA]]</f>
        <v>0.38095238095238093</v>
      </c>
      <c r="T1362" t="str">
        <f>TEXT(Tableau1_2[[#This Row],[Date]],"mmmm")</f>
        <v>janvier</v>
      </c>
    </row>
    <row r="1363" spans="1:20" x14ac:dyDescent="0.35">
      <c r="A1363" t="s">
        <v>2367</v>
      </c>
      <c r="B1363" s="2">
        <v>46294</v>
      </c>
      <c r="C1363" t="s">
        <v>774</v>
      </c>
      <c r="D1363" t="s">
        <v>317</v>
      </c>
      <c r="E1363" t="s">
        <v>70</v>
      </c>
      <c r="F1363" t="s">
        <v>71</v>
      </c>
      <c r="G1363" t="s">
        <v>28</v>
      </c>
      <c r="H1363" t="s">
        <v>131</v>
      </c>
      <c r="I1363">
        <v>5</v>
      </c>
      <c r="J1363">
        <v>30000</v>
      </c>
      <c r="K1363">
        <v>19600</v>
      </c>
      <c r="L1363" t="s">
        <v>21</v>
      </c>
      <c r="M1363" t="s">
        <v>37</v>
      </c>
      <c r="N1363" t="s">
        <v>23</v>
      </c>
      <c r="O1363" t="s">
        <v>24</v>
      </c>
      <c r="P1363">
        <f>Tableau1_2[[#This Row],[Quantité]]*Tableau1_2[[#This Row],[Prix_Unitaire]]</f>
        <v>150000</v>
      </c>
      <c r="Q1363">
        <f>Tableau1_2[[#This Row],[Quantité]]*Tableau1_2[[#This Row],[Coût_Unitaire]]</f>
        <v>98000</v>
      </c>
      <c r="R1363">
        <f>Tableau1_2[[#This Row],[CA]]-Tableau1_2[[#This Row],[Cout Total]]</f>
        <v>52000</v>
      </c>
      <c r="S1363" s="4">
        <f>Tableau1_2[[#This Row],[Marge]]/Tableau1_2[[#This Row],[CA]]</f>
        <v>0.34666666666666668</v>
      </c>
      <c r="T1363" t="str">
        <f>TEXT(Tableau1_2[[#This Row],[Date]],"mmmm")</f>
        <v>septembre</v>
      </c>
    </row>
    <row r="1364" spans="1:20" x14ac:dyDescent="0.35">
      <c r="A1364" t="s">
        <v>2368</v>
      </c>
      <c r="B1364" s="2">
        <v>46240</v>
      </c>
      <c r="C1364" t="s">
        <v>671</v>
      </c>
      <c r="D1364" t="s">
        <v>1295</v>
      </c>
      <c r="E1364" t="s">
        <v>18</v>
      </c>
      <c r="F1364" t="s">
        <v>18</v>
      </c>
      <c r="G1364" t="s">
        <v>19</v>
      </c>
      <c r="H1364" t="s">
        <v>61</v>
      </c>
      <c r="I1364">
        <v>2</v>
      </c>
      <c r="J1364">
        <v>231000</v>
      </c>
      <c r="K1364">
        <v>155200</v>
      </c>
      <c r="L1364" t="s">
        <v>80</v>
      </c>
      <c r="M1364" t="s">
        <v>31</v>
      </c>
      <c r="N1364" t="s">
        <v>52</v>
      </c>
      <c r="O1364" t="s">
        <v>24</v>
      </c>
      <c r="P1364">
        <f>Tableau1_2[[#This Row],[Quantité]]*Tableau1_2[[#This Row],[Prix_Unitaire]]</f>
        <v>462000</v>
      </c>
      <c r="Q1364">
        <f>Tableau1_2[[#This Row],[Quantité]]*Tableau1_2[[#This Row],[Coût_Unitaire]]</f>
        <v>310400</v>
      </c>
      <c r="R1364">
        <f>Tableau1_2[[#This Row],[CA]]-Tableau1_2[[#This Row],[Cout Total]]</f>
        <v>151600</v>
      </c>
      <c r="S1364" s="4">
        <f>Tableau1_2[[#This Row],[Marge]]/Tableau1_2[[#This Row],[CA]]</f>
        <v>0.32813852813852812</v>
      </c>
      <c r="T1364" t="str">
        <f>TEXT(Tableau1_2[[#This Row],[Date]],"mmmm")</f>
        <v>août</v>
      </c>
    </row>
    <row r="1365" spans="1:20" x14ac:dyDescent="0.35">
      <c r="A1365" t="s">
        <v>2369</v>
      </c>
      <c r="B1365" s="2">
        <v>46258</v>
      </c>
      <c r="C1365" t="s">
        <v>1416</v>
      </c>
      <c r="D1365" t="s">
        <v>60</v>
      </c>
      <c r="E1365" t="s">
        <v>156</v>
      </c>
      <c r="F1365" t="s">
        <v>157</v>
      </c>
      <c r="G1365" t="s">
        <v>34</v>
      </c>
      <c r="H1365" t="s">
        <v>86</v>
      </c>
      <c r="I1365">
        <v>10</v>
      </c>
      <c r="J1365">
        <v>171000</v>
      </c>
      <c r="K1365">
        <v>139000</v>
      </c>
      <c r="L1365" t="s">
        <v>66</v>
      </c>
      <c r="M1365" t="s">
        <v>37</v>
      </c>
      <c r="N1365" t="s">
        <v>23</v>
      </c>
      <c r="O1365" t="s">
        <v>24</v>
      </c>
      <c r="P1365">
        <f>Tableau1_2[[#This Row],[Quantité]]*Tableau1_2[[#This Row],[Prix_Unitaire]]</f>
        <v>1710000</v>
      </c>
      <c r="Q1365">
        <f>Tableau1_2[[#This Row],[Quantité]]*Tableau1_2[[#This Row],[Coût_Unitaire]]</f>
        <v>1390000</v>
      </c>
      <c r="R1365">
        <f>Tableau1_2[[#This Row],[CA]]-Tableau1_2[[#This Row],[Cout Total]]</f>
        <v>320000</v>
      </c>
      <c r="S1365" s="4">
        <f>Tableau1_2[[#This Row],[Marge]]/Tableau1_2[[#This Row],[CA]]</f>
        <v>0.1871345029239766</v>
      </c>
      <c r="T1365" t="str">
        <f>TEXT(Tableau1_2[[#This Row],[Date]],"mmmm")</f>
        <v>août</v>
      </c>
    </row>
    <row r="1366" spans="1:20" x14ac:dyDescent="0.35">
      <c r="A1366" t="s">
        <v>2370</v>
      </c>
      <c r="B1366" s="2">
        <v>46133</v>
      </c>
      <c r="C1366" t="s">
        <v>598</v>
      </c>
      <c r="D1366" t="s">
        <v>1691</v>
      </c>
      <c r="E1366" t="s">
        <v>41</v>
      </c>
      <c r="F1366" t="s">
        <v>42</v>
      </c>
      <c r="G1366" t="s">
        <v>28</v>
      </c>
      <c r="H1366" t="s">
        <v>29</v>
      </c>
      <c r="I1366">
        <v>1</v>
      </c>
      <c r="J1366">
        <v>6600</v>
      </c>
      <c r="K1366">
        <v>4000</v>
      </c>
      <c r="L1366" t="s">
        <v>96</v>
      </c>
      <c r="M1366" t="s">
        <v>37</v>
      </c>
      <c r="N1366" t="s">
        <v>87</v>
      </c>
      <c r="O1366" t="s">
        <v>24</v>
      </c>
      <c r="P1366">
        <f>Tableau1_2[[#This Row],[Quantité]]*Tableau1_2[[#This Row],[Prix_Unitaire]]</f>
        <v>6600</v>
      </c>
      <c r="Q1366">
        <f>Tableau1_2[[#This Row],[Quantité]]*Tableau1_2[[#This Row],[Coût_Unitaire]]</f>
        <v>4000</v>
      </c>
      <c r="R1366">
        <f>Tableau1_2[[#This Row],[CA]]-Tableau1_2[[#This Row],[Cout Total]]</f>
        <v>2600</v>
      </c>
      <c r="S1366" s="4">
        <f>Tableau1_2[[#This Row],[Marge]]/Tableau1_2[[#This Row],[CA]]</f>
        <v>0.39393939393939392</v>
      </c>
      <c r="T1366" t="str">
        <f>TEXT(Tableau1_2[[#This Row],[Date]],"mmmm")</f>
        <v>avril</v>
      </c>
    </row>
    <row r="1367" spans="1:20" x14ac:dyDescent="0.35">
      <c r="A1367" t="s">
        <v>2371</v>
      </c>
      <c r="B1367" s="2">
        <v>46254</v>
      </c>
      <c r="C1367" t="s">
        <v>497</v>
      </c>
      <c r="D1367" t="s">
        <v>332</v>
      </c>
      <c r="E1367" t="s">
        <v>18</v>
      </c>
      <c r="F1367" t="s">
        <v>18</v>
      </c>
      <c r="G1367" t="s">
        <v>19</v>
      </c>
      <c r="H1367" t="s">
        <v>166</v>
      </c>
      <c r="I1367">
        <v>3</v>
      </c>
      <c r="J1367">
        <v>140000</v>
      </c>
      <c r="K1367">
        <v>103000</v>
      </c>
      <c r="L1367" t="s">
        <v>21</v>
      </c>
      <c r="M1367" t="s">
        <v>37</v>
      </c>
      <c r="N1367" t="s">
        <v>23</v>
      </c>
      <c r="O1367" t="s">
        <v>24</v>
      </c>
      <c r="P1367">
        <f>Tableau1_2[[#This Row],[Quantité]]*Tableau1_2[[#This Row],[Prix_Unitaire]]</f>
        <v>420000</v>
      </c>
      <c r="Q1367">
        <f>Tableau1_2[[#This Row],[Quantité]]*Tableau1_2[[#This Row],[Coût_Unitaire]]</f>
        <v>309000</v>
      </c>
      <c r="R1367">
        <f>Tableau1_2[[#This Row],[CA]]-Tableau1_2[[#This Row],[Cout Total]]</f>
        <v>111000</v>
      </c>
      <c r="S1367" s="4">
        <f>Tableau1_2[[#This Row],[Marge]]/Tableau1_2[[#This Row],[CA]]</f>
        <v>0.26428571428571429</v>
      </c>
      <c r="T1367" t="str">
        <f>TEXT(Tableau1_2[[#This Row],[Date]],"mmmm")</f>
        <v>août</v>
      </c>
    </row>
    <row r="1368" spans="1:20" x14ac:dyDescent="0.35">
      <c r="A1368" t="s">
        <v>2372</v>
      </c>
      <c r="B1368" s="2">
        <v>46227</v>
      </c>
      <c r="C1368" t="s">
        <v>529</v>
      </c>
      <c r="D1368" t="s">
        <v>226</v>
      </c>
      <c r="E1368" t="s">
        <v>18</v>
      </c>
      <c r="F1368" t="s">
        <v>18</v>
      </c>
      <c r="G1368" t="s">
        <v>43</v>
      </c>
      <c r="H1368" t="s">
        <v>177</v>
      </c>
      <c r="I1368">
        <v>1</v>
      </c>
      <c r="J1368">
        <v>17100</v>
      </c>
      <c r="K1368">
        <v>12500</v>
      </c>
      <c r="L1368" t="s">
        <v>66</v>
      </c>
      <c r="M1368" t="s">
        <v>37</v>
      </c>
      <c r="N1368" t="s">
        <v>23</v>
      </c>
      <c r="O1368" t="s">
        <v>24</v>
      </c>
      <c r="P1368">
        <f>Tableau1_2[[#This Row],[Quantité]]*Tableau1_2[[#This Row],[Prix_Unitaire]]</f>
        <v>17100</v>
      </c>
      <c r="Q1368">
        <f>Tableau1_2[[#This Row],[Quantité]]*Tableau1_2[[#This Row],[Coût_Unitaire]]</f>
        <v>12500</v>
      </c>
      <c r="R1368">
        <f>Tableau1_2[[#This Row],[CA]]-Tableau1_2[[#This Row],[Cout Total]]</f>
        <v>4600</v>
      </c>
      <c r="S1368" s="4">
        <f>Tableau1_2[[#This Row],[Marge]]/Tableau1_2[[#This Row],[CA]]</f>
        <v>0.26900584795321636</v>
      </c>
      <c r="T1368" t="str">
        <f>TEXT(Tableau1_2[[#This Row],[Date]],"mmmm")</f>
        <v>juillet</v>
      </c>
    </row>
    <row r="1369" spans="1:20" x14ac:dyDescent="0.35">
      <c r="A1369" t="s">
        <v>2373</v>
      </c>
      <c r="B1369" s="2">
        <v>46034</v>
      </c>
      <c r="C1369" t="s">
        <v>927</v>
      </c>
      <c r="D1369" t="s">
        <v>1369</v>
      </c>
      <c r="E1369" t="s">
        <v>77</v>
      </c>
      <c r="F1369" t="s">
        <v>78</v>
      </c>
      <c r="G1369" t="s">
        <v>28</v>
      </c>
      <c r="H1369" t="s">
        <v>29</v>
      </c>
      <c r="I1369">
        <v>6</v>
      </c>
      <c r="J1369">
        <v>7400</v>
      </c>
      <c r="K1369">
        <v>4100</v>
      </c>
      <c r="L1369" t="s">
        <v>66</v>
      </c>
      <c r="M1369" t="s">
        <v>51</v>
      </c>
      <c r="N1369" t="s">
        <v>23</v>
      </c>
      <c r="O1369" t="s">
        <v>24</v>
      </c>
      <c r="P1369">
        <f>Tableau1_2[[#This Row],[Quantité]]*Tableau1_2[[#This Row],[Prix_Unitaire]]</f>
        <v>44400</v>
      </c>
      <c r="Q1369">
        <f>Tableau1_2[[#This Row],[Quantité]]*Tableau1_2[[#This Row],[Coût_Unitaire]]</f>
        <v>24600</v>
      </c>
      <c r="R1369">
        <f>Tableau1_2[[#This Row],[CA]]-Tableau1_2[[#This Row],[Cout Total]]</f>
        <v>19800</v>
      </c>
      <c r="S1369" s="4">
        <f>Tableau1_2[[#This Row],[Marge]]/Tableau1_2[[#This Row],[CA]]</f>
        <v>0.44594594594594594</v>
      </c>
      <c r="T1369" t="str">
        <f>TEXT(Tableau1_2[[#This Row],[Date]],"mmmm")</f>
        <v>janvier</v>
      </c>
    </row>
    <row r="1370" spans="1:20" x14ac:dyDescent="0.35">
      <c r="A1370" t="s">
        <v>2374</v>
      </c>
      <c r="B1370" s="2">
        <v>46144</v>
      </c>
      <c r="C1370" t="s">
        <v>1450</v>
      </c>
      <c r="D1370" t="s">
        <v>662</v>
      </c>
      <c r="E1370" t="s">
        <v>18</v>
      </c>
      <c r="F1370" t="s">
        <v>18</v>
      </c>
      <c r="G1370" t="s">
        <v>28</v>
      </c>
      <c r="H1370" t="s">
        <v>65</v>
      </c>
      <c r="I1370">
        <v>1</v>
      </c>
      <c r="J1370">
        <v>12000</v>
      </c>
      <c r="K1370">
        <v>7300</v>
      </c>
      <c r="L1370" t="s">
        <v>66</v>
      </c>
      <c r="M1370" t="s">
        <v>37</v>
      </c>
      <c r="N1370" t="s">
        <v>52</v>
      </c>
      <c r="O1370" t="s">
        <v>24</v>
      </c>
      <c r="P1370">
        <f>Tableau1_2[[#This Row],[Quantité]]*Tableau1_2[[#This Row],[Prix_Unitaire]]</f>
        <v>12000</v>
      </c>
      <c r="Q1370">
        <f>Tableau1_2[[#This Row],[Quantité]]*Tableau1_2[[#This Row],[Coût_Unitaire]]</f>
        <v>7300</v>
      </c>
      <c r="R1370">
        <f>Tableau1_2[[#This Row],[CA]]-Tableau1_2[[#This Row],[Cout Total]]</f>
        <v>4700</v>
      </c>
      <c r="S1370" s="4">
        <f>Tableau1_2[[#This Row],[Marge]]/Tableau1_2[[#This Row],[CA]]</f>
        <v>0.39166666666666666</v>
      </c>
      <c r="T1370" t="str">
        <f>TEXT(Tableau1_2[[#This Row],[Date]],"mmmm")</f>
        <v>mai</v>
      </c>
    </row>
    <row r="1371" spans="1:20" x14ac:dyDescent="0.35">
      <c r="A1371" t="s">
        <v>2375</v>
      </c>
      <c r="B1371" s="2">
        <v>46359</v>
      </c>
      <c r="C1371" t="s">
        <v>1237</v>
      </c>
      <c r="D1371" t="s">
        <v>149</v>
      </c>
      <c r="E1371" t="s">
        <v>77</v>
      </c>
      <c r="F1371" t="s">
        <v>78</v>
      </c>
      <c r="G1371" t="s">
        <v>34</v>
      </c>
      <c r="H1371" t="s">
        <v>141</v>
      </c>
      <c r="I1371">
        <v>10</v>
      </c>
      <c r="J1371">
        <v>168000</v>
      </c>
      <c r="K1371">
        <v>116400</v>
      </c>
      <c r="L1371" t="s">
        <v>73</v>
      </c>
      <c r="M1371" t="s">
        <v>51</v>
      </c>
      <c r="N1371" t="s">
        <v>52</v>
      </c>
      <c r="O1371" t="s">
        <v>24</v>
      </c>
      <c r="P1371">
        <f>Tableau1_2[[#This Row],[Quantité]]*Tableau1_2[[#This Row],[Prix_Unitaire]]</f>
        <v>1680000</v>
      </c>
      <c r="Q1371">
        <f>Tableau1_2[[#This Row],[Quantité]]*Tableau1_2[[#This Row],[Coût_Unitaire]]</f>
        <v>1164000</v>
      </c>
      <c r="R1371">
        <f>Tableau1_2[[#This Row],[CA]]-Tableau1_2[[#This Row],[Cout Total]]</f>
        <v>516000</v>
      </c>
      <c r="S1371" s="4">
        <f>Tableau1_2[[#This Row],[Marge]]/Tableau1_2[[#This Row],[CA]]</f>
        <v>0.30714285714285716</v>
      </c>
      <c r="T1371" t="str">
        <f>TEXT(Tableau1_2[[#This Row],[Date]],"mmmm")</f>
        <v>décembre</v>
      </c>
    </row>
    <row r="1372" spans="1:20" x14ac:dyDescent="0.35">
      <c r="A1372" t="s">
        <v>2376</v>
      </c>
      <c r="B1372" s="2">
        <v>46273</v>
      </c>
      <c r="C1372" t="s">
        <v>1170</v>
      </c>
      <c r="D1372" t="s">
        <v>1174</v>
      </c>
      <c r="E1372" t="s">
        <v>156</v>
      </c>
      <c r="F1372" t="s">
        <v>157</v>
      </c>
      <c r="G1372" t="s">
        <v>43</v>
      </c>
      <c r="H1372" t="s">
        <v>162</v>
      </c>
      <c r="I1372">
        <v>1</v>
      </c>
      <c r="J1372">
        <v>8000</v>
      </c>
      <c r="K1372">
        <v>5200</v>
      </c>
      <c r="L1372" t="s">
        <v>96</v>
      </c>
      <c r="M1372" t="s">
        <v>37</v>
      </c>
      <c r="N1372" t="s">
        <v>87</v>
      </c>
      <c r="O1372" t="s">
        <v>24</v>
      </c>
      <c r="P1372">
        <f>Tableau1_2[[#This Row],[Quantité]]*Tableau1_2[[#This Row],[Prix_Unitaire]]</f>
        <v>8000</v>
      </c>
      <c r="Q1372">
        <f>Tableau1_2[[#This Row],[Quantité]]*Tableau1_2[[#This Row],[Coût_Unitaire]]</f>
        <v>5200</v>
      </c>
      <c r="R1372">
        <f>Tableau1_2[[#This Row],[CA]]-Tableau1_2[[#This Row],[Cout Total]]</f>
        <v>2800</v>
      </c>
      <c r="S1372" s="4">
        <f>Tableau1_2[[#This Row],[Marge]]/Tableau1_2[[#This Row],[CA]]</f>
        <v>0.35</v>
      </c>
      <c r="T1372" t="str">
        <f>TEXT(Tableau1_2[[#This Row],[Date]],"mmmm")</f>
        <v>septembre</v>
      </c>
    </row>
    <row r="1373" spans="1:20" x14ac:dyDescent="0.35">
      <c r="A1373" t="s">
        <v>2377</v>
      </c>
      <c r="B1373" s="2">
        <v>46030</v>
      </c>
      <c r="C1373" t="s">
        <v>193</v>
      </c>
      <c r="D1373" t="s">
        <v>650</v>
      </c>
      <c r="E1373" t="s">
        <v>77</v>
      </c>
      <c r="F1373" t="s">
        <v>78</v>
      </c>
      <c r="G1373" t="s">
        <v>43</v>
      </c>
      <c r="H1373" t="s">
        <v>49</v>
      </c>
      <c r="I1373">
        <v>6</v>
      </c>
      <c r="J1373">
        <v>8600</v>
      </c>
      <c r="K1373">
        <v>5800</v>
      </c>
      <c r="L1373" t="s">
        <v>50</v>
      </c>
      <c r="M1373" t="s">
        <v>22</v>
      </c>
      <c r="N1373" t="s">
        <v>23</v>
      </c>
      <c r="O1373" t="s">
        <v>91</v>
      </c>
      <c r="P1373">
        <f>Tableau1_2[[#This Row],[Quantité]]*Tableau1_2[[#This Row],[Prix_Unitaire]]</f>
        <v>51600</v>
      </c>
      <c r="Q1373">
        <f>Tableau1_2[[#This Row],[Quantité]]*Tableau1_2[[#This Row],[Coût_Unitaire]]</f>
        <v>34800</v>
      </c>
      <c r="R1373">
        <f>Tableau1_2[[#This Row],[CA]]-Tableau1_2[[#This Row],[Cout Total]]</f>
        <v>16800</v>
      </c>
      <c r="S1373" s="4">
        <f>Tableau1_2[[#This Row],[Marge]]/Tableau1_2[[#This Row],[CA]]</f>
        <v>0.32558139534883723</v>
      </c>
      <c r="T1373" t="str">
        <f>TEXT(Tableau1_2[[#This Row],[Date]],"mmmm")</f>
        <v>janvier</v>
      </c>
    </row>
    <row r="1374" spans="1:20" x14ac:dyDescent="0.35">
      <c r="A1374" t="s">
        <v>2378</v>
      </c>
      <c r="B1374" s="2">
        <v>46086</v>
      </c>
      <c r="C1374" t="s">
        <v>207</v>
      </c>
      <c r="D1374" t="s">
        <v>2379</v>
      </c>
      <c r="E1374" t="s">
        <v>190</v>
      </c>
      <c r="F1374" t="s">
        <v>191</v>
      </c>
      <c r="G1374" t="s">
        <v>28</v>
      </c>
      <c r="H1374" t="s">
        <v>72</v>
      </c>
      <c r="I1374">
        <v>3</v>
      </c>
      <c r="J1374">
        <v>10000</v>
      </c>
      <c r="K1374">
        <v>6400</v>
      </c>
      <c r="L1374" t="s">
        <v>50</v>
      </c>
      <c r="M1374" t="s">
        <v>37</v>
      </c>
      <c r="N1374" t="s">
        <v>23</v>
      </c>
      <c r="O1374" t="s">
        <v>24</v>
      </c>
      <c r="P1374">
        <f>Tableau1_2[[#This Row],[Quantité]]*Tableau1_2[[#This Row],[Prix_Unitaire]]</f>
        <v>30000</v>
      </c>
      <c r="Q1374">
        <f>Tableau1_2[[#This Row],[Quantité]]*Tableau1_2[[#This Row],[Coût_Unitaire]]</f>
        <v>19200</v>
      </c>
      <c r="R1374">
        <f>Tableau1_2[[#This Row],[CA]]-Tableau1_2[[#This Row],[Cout Total]]</f>
        <v>10800</v>
      </c>
      <c r="S1374" s="4">
        <f>Tableau1_2[[#This Row],[Marge]]/Tableau1_2[[#This Row],[CA]]</f>
        <v>0.36</v>
      </c>
      <c r="T1374" t="str">
        <f>TEXT(Tableau1_2[[#This Row],[Date]],"mmmm")</f>
        <v>mars</v>
      </c>
    </row>
    <row r="1375" spans="1:20" x14ac:dyDescent="0.35">
      <c r="A1375" t="s">
        <v>2380</v>
      </c>
      <c r="B1375" s="2">
        <v>46249</v>
      </c>
      <c r="C1375" t="s">
        <v>1285</v>
      </c>
      <c r="D1375" t="s">
        <v>1267</v>
      </c>
      <c r="E1375" t="s">
        <v>18</v>
      </c>
      <c r="F1375" t="s">
        <v>18</v>
      </c>
      <c r="G1375" t="s">
        <v>34</v>
      </c>
      <c r="H1375" t="s">
        <v>141</v>
      </c>
      <c r="I1375">
        <v>7</v>
      </c>
      <c r="J1375">
        <v>160000</v>
      </c>
      <c r="K1375">
        <v>116400</v>
      </c>
      <c r="L1375" t="s">
        <v>50</v>
      </c>
      <c r="M1375" t="s">
        <v>22</v>
      </c>
      <c r="N1375" t="s">
        <v>52</v>
      </c>
      <c r="O1375" t="s">
        <v>24</v>
      </c>
      <c r="P1375">
        <f>Tableau1_2[[#This Row],[Quantité]]*Tableau1_2[[#This Row],[Prix_Unitaire]]</f>
        <v>1120000</v>
      </c>
      <c r="Q1375">
        <f>Tableau1_2[[#This Row],[Quantité]]*Tableau1_2[[#This Row],[Coût_Unitaire]]</f>
        <v>814800</v>
      </c>
      <c r="R1375">
        <f>Tableau1_2[[#This Row],[CA]]-Tableau1_2[[#This Row],[Cout Total]]</f>
        <v>305200</v>
      </c>
      <c r="S1375" s="4">
        <f>Tableau1_2[[#This Row],[Marge]]/Tableau1_2[[#This Row],[CA]]</f>
        <v>0.27250000000000002</v>
      </c>
      <c r="T1375" t="str">
        <f>TEXT(Tableau1_2[[#This Row],[Date]],"mmmm")</f>
        <v>août</v>
      </c>
    </row>
    <row r="1376" spans="1:20" x14ac:dyDescent="0.35">
      <c r="A1376" t="s">
        <v>2381</v>
      </c>
      <c r="B1376" s="2">
        <v>46322</v>
      </c>
      <c r="C1376" t="s">
        <v>1358</v>
      </c>
      <c r="D1376" t="s">
        <v>1576</v>
      </c>
      <c r="E1376" t="s">
        <v>18</v>
      </c>
      <c r="F1376" t="s">
        <v>18</v>
      </c>
      <c r="G1376" t="s">
        <v>43</v>
      </c>
      <c r="H1376" t="s">
        <v>79</v>
      </c>
      <c r="I1376">
        <v>4</v>
      </c>
      <c r="J1376">
        <v>6000</v>
      </c>
      <c r="K1376">
        <v>4300</v>
      </c>
      <c r="L1376" t="s">
        <v>50</v>
      </c>
      <c r="M1376" t="s">
        <v>37</v>
      </c>
      <c r="N1376" t="s">
        <v>87</v>
      </c>
      <c r="O1376" t="s">
        <v>24</v>
      </c>
      <c r="P1376">
        <f>Tableau1_2[[#This Row],[Quantité]]*Tableau1_2[[#This Row],[Prix_Unitaire]]</f>
        <v>24000</v>
      </c>
      <c r="Q1376">
        <f>Tableau1_2[[#This Row],[Quantité]]*Tableau1_2[[#This Row],[Coût_Unitaire]]</f>
        <v>17200</v>
      </c>
      <c r="R1376">
        <f>Tableau1_2[[#This Row],[CA]]-Tableau1_2[[#This Row],[Cout Total]]</f>
        <v>6800</v>
      </c>
      <c r="S1376" s="4">
        <f>Tableau1_2[[#This Row],[Marge]]/Tableau1_2[[#This Row],[CA]]</f>
        <v>0.28333333333333333</v>
      </c>
      <c r="T1376" t="str">
        <f>TEXT(Tableau1_2[[#This Row],[Date]],"mmmm")</f>
        <v>octobre</v>
      </c>
    </row>
    <row r="1377" spans="1:20" x14ac:dyDescent="0.35">
      <c r="A1377" t="s">
        <v>2382</v>
      </c>
      <c r="B1377" s="2">
        <v>46077</v>
      </c>
      <c r="C1377" t="s">
        <v>316</v>
      </c>
      <c r="D1377" t="s">
        <v>1927</v>
      </c>
      <c r="E1377" t="s">
        <v>190</v>
      </c>
      <c r="F1377" t="s">
        <v>191</v>
      </c>
      <c r="G1377" t="s">
        <v>34</v>
      </c>
      <c r="H1377" t="s">
        <v>95</v>
      </c>
      <c r="I1377">
        <v>3</v>
      </c>
      <c r="J1377">
        <v>450000</v>
      </c>
      <c r="K1377">
        <v>370000</v>
      </c>
      <c r="L1377" t="s">
        <v>80</v>
      </c>
      <c r="M1377" t="s">
        <v>22</v>
      </c>
      <c r="N1377" t="s">
        <v>52</v>
      </c>
      <c r="O1377" t="s">
        <v>24</v>
      </c>
      <c r="P1377">
        <f>Tableau1_2[[#This Row],[Quantité]]*Tableau1_2[[#This Row],[Prix_Unitaire]]</f>
        <v>1350000</v>
      </c>
      <c r="Q1377">
        <f>Tableau1_2[[#This Row],[Quantité]]*Tableau1_2[[#This Row],[Coût_Unitaire]]</f>
        <v>1110000</v>
      </c>
      <c r="R1377">
        <f>Tableau1_2[[#This Row],[CA]]-Tableau1_2[[#This Row],[Cout Total]]</f>
        <v>240000</v>
      </c>
      <c r="S1377" s="4">
        <f>Tableau1_2[[#This Row],[Marge]]/Tableau1_2[[#This Row],[CA]]</f>
        <v>0.17777777777777778</v>
      </c>
      <c r="T1377" t="str">
        <f>TEXT(Tableau1_2[[#This Row],[Date]],"mmmm")</f>
        <v>février</v>
      </c>
    </row>
    <row r="1378" spans="1:20" x14ac:dyDescent="0.35">
      <c r="A1378" t="s">
        <v>2383</v>
      </c>
      <c r="B1378" s="2">
        <v>46361</v>
      </c>
      <c r="C1378" t="s">
        <v>2384</v>
      </c>
      <c r="D1378" t="s">
        <v>1741</v>
      </c>
      <c r="E1378" t="s">
        <v>18</v>
      </c>
      <c r="F1378" t="s">
        <v>18</v>
      </c>
      <c r="G1378" t="s">
        <v>34</v>
      </c>
      <c r="H1378" t="s">
        <v>95</v>
      </c>
      <c r="I1378">
        <v>3</v>
      </c>
      <c r="J1378">
        <v>427500</v>
      </c>
      <c r="K1378">
        <v>358900</v>
      </c>
      <c r="L1378" t="s">
        <v>30</v>
      </c>
      <c r="M1378" t="s">
        <v>51</v>
      </c>
      <c r="N1378" t="s">
        <v>52</v>
      </c>
      <c r="O1378" t="s">
        <v>24</v>
      </c>
      <c r="P1378">
        <f>Tableau1_2[[#This Row],[Quantité]]*Tableau1_2[[#This Row],[Prix_Unitaire]]</f>
        <v>1282500</v>
      </c>
      <c r="Q1378">
        <f>Tableau1_2[[#This Row],[Quantité]]*Tableau1_2[[#This Row],[Coût_Unitaire]]</f>
        <v>1076700</v>
      </c>
      <c r="R1378">
        <f>Tableau1_2[[#This Row],[CA]]-Tableau1_2[[#This Row],[Cout Total]]</f>
        <v>205800</v>
      </c>
      <c r="S1378" s="4">
        <f>Tableau1_2[[#This Row],[Marge]]/Tableau1_2[[#This Row],[CA]]</f>
        <v>0.16046783625730995</v>
      </c>
      <c r="T1378" t="str">
        <f>TEXT(Tableau1_2[[#This Row],[Date]],"mmmm")</f>
        <v>décembre</v>
      </c>
    </row>
    <row r="1379" spans="1:20" x14ac:dyDescent="0.35">
      <c r="A1379" t="s">
        <v>2385</v>
      </c>
      <c r="B1379" s="2">
        <v>46313</v>
      </c>
      <c r="C1379" t="s">
        <v>1887</v>
      </c>
      <c r="D1379" t="s">
        <v>1633</v>
      </c>
      <c r="E1379" t="s">
        <v>18</v>
      </c>
      <c r="F1379" t="s">
        <v>18</v>
      </c>
      <c r="G1379" t="s">
        <v>28</v>
      </c>
      <c r="H1379" t="s">
        <v>65</v>
      </c>
      <c r="I1379">
        <v>6</v>
      </c>
      <c r="J1379">
        <v>12000</v>
      </c>
      <c r="K1379">
        <v>7700</v>
      </c>
      <c r="L1379" t="s">
        <v>36</v>
      </c>
      <c r="M1379" t="s">
        <v>37</v>
      </c>
      <c r="N1379" t="s">
        <v>87</v>
      </c>
      <c r="O1379" t="s">
        <v>24</v>
      </c>
      <c r="P1379">
        <f>Tableau1_2[[#This Row],[Quantité]]*Tableau1_2[[#This Row],[Prix_Unitaire]]</f>
        <v>72000</v>
      </c>
      <c r="Q1379">
        <f>Tableau1_2[[#This Row],[Quantité]]*Tableau1_2[[#This Row],[Coût_Unitaire]]</f>
        <v>46200</v>
      </c>
      <c r="R1379">
        <f>Tableau1_2[[#This Row],[CA]]-Tableau1_2[[#This Row],[Cout Total]]</f>
        <v>25800</v>
      </c>
      <c r="S1379" s="4">
        <f>Tableau1_2[[#This Row],[Marge]]/Tableau1_2[[#This Row],[CA]]</f>
        <v>0.35833333333333334</v>
      </c>
      <c r="T1379" t="str">
        <f>TEXT(Tableau1_2[[#This Row],[Date]],"mmmm")</f>
        <v>octobre</v>
      </c>
    </row>
    <row r="1380" spans="1:20" x14ac:dyDescent="0.35">
      <c r="A1380" t="s">
        <v>2386</v>
      </c>
      <c r="B1380" s="2">
        <v>46084</v>
      </c>
      <c r="C1380" t="s">
        <v>1047</v>
      </c>
      <c r="D1380" t="s">
        <v>184</v>
      </c>
      <c r="E1380" t="s">
        <v>18</v>
      </c>
      <c r="F1380" t="s">
        <v>18</v>
      </c>
      <c r="G1380" t="s">
        <v>19</v>
      </c>
      <c r="H1380" t="s">
        <v>166</v>
      </c>
      <c r="I1380">
        <v>3</v>
      </c>
      <c r="J1380">
        <v>140000</v>
      </c>
      <c r="K1380">
        <v>100000</v>
      </c>
      <c r="L1380" t="s">
        <v>21</v>
      </c>
      <c r="M1380" t="s">
        <v>31</v>
      </c>
      <c r="N1380" t="s">
        <v>52</v>
      </c>
      <c r="O1380" t="s">
        <v>24</v>
      </c>
      <c r="P1380">
        <f>Tableau1_2[[#This Row],[Quantité]]*Tableau1_2[[#This Row],[Prix_Unitaire]]</f>
        <v>420000</v>
      </c>
      <c r="Q1380">
        <f>Tableau1_2[[#This Row],[Quantité]]*Tableau1_2[[#This Row],[Coût_Unitaire]]</f>
        <v>300000</v>
      </c>
      <c r="R1380">
        <f>Tableau1_2[[#This Row],[CA]]-Tableau1_2[[#This Row],[Cout Total]]</f>
        <v>120000</v>
      </c>
      <c r="S1380" s="4">
        <f>Tableau1_2[[#This Row],[Marge]]/Tableau1_2[[#This Row],[CA]]</f>
        <v>0.2857142857142857</v>
      </c>
      <c r="T1380" t="str">
        <f>TEXT(Tableau1_2[[#This Row],[Date]],"mmmm")</f>
        <v>mars</v>
      </c>
    </row>
    <row r="1381" spans="1:20" x14ac:dyDescent="0.35">
      <c r="A1381" t="s">
        <v>2387</v>
      </c>
      <c r="B1381" s="2">
        <v>46122</v>
      </c>
      <c r="C1381" t="s">
        <v>664</v>
      </c>
      <c r="D1381" t="s">
        <v>105</v>
      </c>
      <c r="E1381" t="s">
        <v>70</v>
      </c>
      <c r="F1381" t="s">
        <v>71</v>
      </c>
      <c r="G1381" t="s">
        <v>19</v>
      </c>
      <c r="H1381" t="s">
        <v>166</v>
      </c>
      <c r="I1381">
        <v>6</v>
      </c>
      <c r="J1381">
        <v>133000</v>
      </c>
      <c r="K1381">
        <v>103000</v>
      </c>
      <c r="L1381" t="s">
        <v>66</v>
      </c>
      <c r="M1381" t="s">
        <v>37</v>
      </c>
      <c r="N1381" t="s">
        <v>87</v>
      </c>
      <c r="O1381" t="s">
        <v>24</v>
      </c>
      <c r="P1381">
        <f>Tableau1_2[[#This Row],[Quantité]]*Tableau1_2[[#This Row],[Prix_Unitaire]]</f>
        <v>798000</v>
      </c>
      <c r="Q1381">
        <f>Tableau1_2[[#This Row],[Quantité]]*Tableau1_2[[#This Row],[Coût_Unitaire]]</f>
        <v>618000</v>
      </c>
      <c r="R1381">
        <f>Tableau1_2[[#This Row],[CA]]-Tableau1_2[[#This Row],[Cout Total]]</f>
        <v>180000</v>
      </c>
      <c r="S1381" s="4">
        <f>Tableau1_2[[#This Row],[Marge]]/Tableau1_2[[#This Row],[CA]]</f>
        <v>0.22556390977443608</v>
      </c>
      <c r="T1381" t="str">
        <f>TEXT(Tableau1_2[[#This Row],[Date]],"mmmm")</f>
        <v>avril</v>
      </c>
    </row>
    <row r="1382" spans="1:20" x14ac:dyDescent="0.35">
      <c r="A1382" t="s">
        <v>2388</v>
      </c>
      <c r="B1382" s="2">
        <v>46058</v>
      </c>
      <c r="C1382" t="s">
        <v>645</v>
      </c>
      <c r="D1382" t="s">
        <v>470</v>
      </c>
      <c r="E1382" t="s">
        <v>156</v>
      </c>
      <c r="F1382" t="s">
        <v>170</v>
      </c>
      <c r="G1382" t="s">
        <v>28</v>
      </c>
      <c r="H1382" t="s">
        <v>248</v>
      </c>
      <c r="I1382">
        <v>5</v>
      </c>
      <c r="J1382">
        <v>23800</v>
      </c>
      <c r="K1382">
        <v>16000</v>
      </c>
      <c r="L1382" t="s">
        <v>96</v>
      </c>
      <c r="M1382" t="s">
        <v>51</v>
      </c>
      <c r="N1382" t="s">
        <v>23</v>
      </c>
      <c r="O1382" t="s">
        <v>91</v>
      </c>
      <c r="P1382">
        <f>Tableau1_2[[#This Row],[Quantité]]*Tableau1_2[[#This Row],[Prix_Unitaire]]</f>
        <v>119000</v>
      </c>
      <c r="Q1382">
        <f>Tableau1_2[[#This Row],[Quantité]]*Tableau1_2[[#This Row],[Coût_Unitaire]]</f>
        <v>80000</v>
      </c>
      <c r="R1382">
        <f>Tableau1_2[[#This Row],[CA]]-Tableau1_2[[#This Row],[Cout Total]]</f>
        <v>39000</v>
      </c>
      <c r="S1382" s="4">
        <f>Tableau1_2[[#This Row],[Marge]]/Tableau1_2[[#This Row],[CA]]</f>
        <v>0.32773109243697479</v>
      </c>
      <c r="T1382" t="str">
        <f>TEXT(Tableau1_2[[#This Row],[Date]],"mmmm")</f>
        <v>février</v>
      </c>
    </row>
    <row r="1383" spans="1:20" x14ac:dyDescent="0.35">
      <c r="A1383" t="s">
        <v>2389</v>
      </c>
      <c r="B1383" s="2">
        <v>46060</v>
      </c>
      <c r="C1383" t="s">
        <v>943</v>
      </c>
      <c r="D1383" t="s">
        <v>731</v>
      </c>
      <c r="E1383" t="s">
        <v>18</v>
      </c>
      <c r="F1383" t="s">
        <v>18</v>
      </c>
      <c r="G1383" t="s">
        <v>43</v>
      </c>
      <c r="H1383" t="s">
        <v>177</v>
      </c>
      <c r="I1383">
        <v>1</v>
      </c>
      <c r="J1383">
        <v>18000</v>
      </c>
      <c r="K1383">
        <v>12500</v>
      </c>
      <c r="L1383" t="s">
        <v>80</v>
      </c>
      <c r="M1383" t="s">
        <v>37</v>
      </c>
      <c r="N1383" t="s">
        <v>23</v>
      </c>
      <c r="O1383" t="s">
        <v>91</v>
      </c>
      <c r="P1383">
        <f>Tableau1_2[[#This Row],[Quantité]]*Tableau1_2[[#This Row],[Prix_Unitaire]]</f>
        <v>18000</v>
      </c>
      <c r="Q1383">
        <f>Tableau1_2[[#This Row],[Quantité]]*Tableau1_2[[#This Row],[Coût_Unitaire]]</f>
        <v>12500</v>
      </c>
      <c r="R1383">
        <f>Tableau1_2[[#This Row],[CA]]-Tableau1_2[[#This Row],[Cout Total]]</f>
        <v>5500</v>
      </c>
      <c r="S1383" s="4">
        <f>Tableau1_2[[#This Row],[Marge]]/Tableau1_2[[#This Row],[CA]]</f>
        <v>0.30555555555555558</v>
      </c>
      <c r="T1383" t="str">
        <f>TEXT(Tableau1_2[[#This Row],[Date]],"mmmm")</f>
        <v>février</v>
      </c>
    </row>
    <row r="1384" spans="1:20" x14ac:dyDescent="0.35">
      <c r="A1384" t="s">
        <v>2390</v>
      </c>
      <c r="B1384" s="2">
        <v>46111</v>
      </c>
      <c r="C1384" t="s">
        <v>805</v>
      </c>
      <c r="D1384" t="s">
        <v>2008</v>
      </c>
      <c r="E1384" t="s">
        <v>77</v>
      </c>
      <c r="F1384" t="s">
        <v>78</v>
      </c>
      <c r="G1384" t="s">
        <v>34</v>
      </c>
      <c r="H1384" t="s">
        <v>158</v>
      </c>
      <c r="I1384">
        <v>8</v>
      </c>
      <c r="J1384">
        <v>95000</v>
      </c>
      <c r="K1384">
        <v>70000</v>
      </c>
      <c r="L1384" t="s">
        <v>36</v>
      </c>
      <c r="M1384" t="s">
        <v>37</v>
      </c>
      <c r="N1384" t="s">
        <v>23</v>
      </c>
      <c r="O1384" t="s">
        <v>91</v>
      </c>
      <c r="P1384">
        <f>Tableau1_2[[#This Row],[Quantité]]*Tableau1_2[[#This Row],[Prix_Unitaire]]</f>
        <v>760000</v>
      </c>
      <c r="Q1384">
        <f>Tableau1_2[[#This Row],[Quantité]]*Tableau1_2[[#This Row],[Coût_Unitaire]]</f>
        <v>560000</v>
      </c>
      <c r="R1384">
        <f>Tableau1_2[[#This Row],[CA]]-Tableau1_2[[#This Row],[Cout Total]]</f>
        <v>200000</v>
      </c>
      <c r="S1384" s="4">
        <f>Tableau1_2[[#This Row],[Marge]]/Tableau1_2[[#This Row],[CA]]</f>
        <v>0.26315789473684209</v>
      </c>
      <c r="T1384" t="str">
        <f>TEXT(Tableau1_2[[#This Row],[Date]],"mmmm")</f>
        <v>mars</v>
      </c>
    </row>
    <row r="1385" spans="1:20" x14ac:dyDescent="0.35">
      <c r="A1385" t="s">
        <v>2391</v>
      </c>
      <c r="B1385" s="2">
        <v>46373</v>
      </c>
      <c r="C1385" t="s">
        <v>1673</v>
      </c>
      <c r="D1385" t="s">
        <v>781</v>
      </c>
      <c r="E1385" t="s">
        <v>18</v>
      </c>
      <c r="F1385" t="s">
        <v>18</v>
      </c>
      <c r="G1385" t="s">
        <v>43</v>
      </c>
      <c r="H1385" t="s">
        <v>44</v>
      </c>
      <c r="I1385">
        <v>8</v>
      </c>
      <c r="J1385">
        <v>14200</v>
      </c>
      <c r="K1385">
        <v>9800</v>
      </c>
      <c r="L1385" t="s">
        <v>96</v>
      </c>
      <c r="M1385" t="s">
        <v>31</v>
      </c>
      <c r="N1385" t="s">
        <v>23</v>
      </c>
      <c r="O1385" t="s">
        <v>24</v>
      </c>
      <c r="P1385">
        <f>Tableau1_2[[#This Row],[Quantité]]*Tableau1_2[[#This Row],[Prix_Unitaire]]</f>
        <v>113600</v>
      </c>
      <c r="Q1385">
        <f>Tableau1_2[[#This Row],[Quantité]]*Tableau1_2[[#This Row],[Coût_Unitaire]]</f>
        <v>78400</v>
      </c>
      <c r="R1385">
        <f>Tableau1_2[[#This Row],[CA]]-Tableau1_2[[#This Row],[Cout Total]]</f>
        <v>35200</v>
      </c>
      <c r="S1385" s="4">
        <f>Tableau1_2[[#This Row],[Marge]]/Tableau1_2[[#This Row],[CA]]</f>
        <v>0.30985915492957744</v>
      </c>
      <c r="T1385" t="str">
        <f>TEXT(Tableau1_2[[#This Row],[Date]],"mmmm")</f>
        <v>décembre</v>
      </c>
    </row>
    <row r="1386" spans="1:20" x14ac:dyDescent="0.35">
      <c r="A1386" t="s">
        <v>2392</v>
      </c>
      <c r="B1386" s="2">
        <v>46259</v>
      </c>
      <c r="C1386" t="s">
        <v>123</v>
      </c>
      <c r="D1386" t="s">
        <v>1982</v>
      </c>
      <c r="E1386" t="s">
        <v>18</v>
      </c>
      <c r="F1386" t="s">
        <v>18</v>
      </c>
      <c r="G1386" t="s">
        <v>34</v>
      </c>
      <c r="H1386" t="s">
        <v>35</v>
      </c>
      <c r="I1386">
        <v>3</v>
      </c>
      <c r="J1386">
        <v>52200</v>
      </c>
      <c r="K1386">
        <v>37800</v>
      </c>
      <c r="L1386" t="s">
        <v>36</v>
      </c>
      <c r="M1386" t="s">
        <v>22</v>
      </c>
      <c r="N1386" t="s">
        <v>87</v>
      </c>
      <c r="O1386" t="s">
        <v>24</v>
      </c>
      <c r="P1386">
        <f>Tableau1_2[[#This Row],[Quantité]]*Tableau1_2[[#This Row],[Prix_Unitaire]]</f>
        <v>156600</v>
      </c>
      <c r="Q1386">
        <f>Tableau1_2[[#This Row],[Quantité]]*Tableau1_2[[#This Row],[Coût_Unitaire]]</f>
        <v>113400</v>
      </c>
      <c r="R1386">
        <f>Tableau1_2[[#This Row],[CA]]-Tableau1_2[[#This Row],[Cout Total]]</f>
        <v>43200</v>
      </c>
      <c r="S1386" s="4">
        <f>Tableau1_2[[#This Row],[Marge]]/Tableau1_2[[#This Row],[CA]]</f>
        <v>0.27586206896551724</v>
      </c>
      <c r="T1386" t="str">
        <f>TEXT(Tableau1_2[[#This Row],[Date]],"mmmm")</f>
        <v>août</v>
      </c>
    </row>
    <row r="1387" spans="1:20" x14ac:dyDescent="0.35">
      <c r="A1387" t="s">
        <v>2393</v>
      </c>
      <c r="B1387" s="2">
        <v>46243</v>
      </c>
      <c r="C1387" t="s">
        <v>2124</v>
      </c>
      <c r="D1387" t="s">
        <v>1315</v>
      </c>
      <c r="E1387" t="s">
        <v>18</v>
      </c>
      <c r="F1387" t="s">
        <v>18</v>
      </c>
      <c r="G1387" t="s">
        <v>19</v>
      </c>
      <c r="H1387" t="s">
        <v>20</v>
      </c>
      <c r="I1387">
        <v>3</v>
      </c>
      <c r="J1387">
        <v>65000</v>
      </c>
      <c r="K1387">
        <v>46400</v>
      </c>
      <c r="L1387" t="s">
        <v>30</v>
      </c>
      <c r="M1387" t="s">
        <v>22</v>
      </c>
      <c r="N1387" t="s">
        <v>23</v>
      </c>
      <c r="O1387" t="s">
        <v>24</v>
      </c>
      <c r="P1387">
        <f>Tableau1_2[[#This Row],[Quantité]]*Tableau1_2[[#This Row],[Prix_Unitaire]]</f>
        <v>195000</v>
      </c>
      <c r="Q1387">
        <f>Tableau1_2[[#This Row],[Quantité]]*Tableau1_2[[#This Row],[Coût_Unitaire]]</f>
        <v>139200</v>
      </c>
      <c r="R1387">
        <f>Tableau1_2[[#This Row],[CA]]-Tableau1_2[[#This Row],[Cout Total]]</f>
        <v>55800</v>
      </c>
      <c r="S1387" s="4">
        <f>Tableau1_2[[#This Row],[Marge]]/Tableau1_2[[#This Row],[CA]]</f>
        <v>0.28615384615384615</v>
      </c>
      <c r="T1387" t="str">
        <f>TEXT(Tableau1_2[[#This Row],[Date]],"mmmm")</f>
        <v>août</v>
      </c>
    </row>
    <row r="1388" spans="1:20" x14ac:dyDescent="0.35">
      <c r="A1388" t="s">
        <v>2394</v>
      </c>
      <c r="B1388" s="2">
        <v>46126</v>
      </c>
      <c r="C1388" t="s">
        <v>290</v>
      </c>
      <c r="D1388" t="s">
        <v>356</v>
      </c>
      <c r="E1388" t="s">
        <v>18</v>
      </c>
      <c r="F1388" t="s">
        <v>18</v>
      </c>
      <c r="G1388" t="s">
        <v>43</v>
      </c>
      <c r="H1388" t="s">
        <v>44</v>
      </c>
      <c r="I1388">
        <v>7</v>
      </c>
      <c r="J1388">
        <v>15000</v>
      </c>
      <c r="K1388">
        <v>9500</v>
      </c>
      <c r="L1388" t="s">
        <v>21</v>
      </c>
      <c r="M1388" t="s">
        <v>51</v>
      </c>
      <c r="N1388" t="s">
        <v>23</v>
      </c>
      <c r="O1388" t="s">
        <v>24</v>
      </c>
      <c r="P1388">
        <f>Tableau1_2[[#This Row],[Quantité]]*Tableau1_2[[#This Row],[Prix_Unitaire]]</f>
        <v>105000</v>
      </c>
      <c r="Q1388">
        <f>Tableau1_2[[#This Row],[Quantité]]*Tableau1_2[[#This Row],[Coût_Unitaire]]</f>
        <v>66500</v>
      </c>
      <c r="R1388">
        <f>Tableau1_2[[#This Row],[CA]]-Tableau1_2[[#This Row],[Cout Total]]</f>
        <v>38500</v>
      </c>
      <c r="S1388" s="4">
        <f>Tableau1_2[[#This Row],[Marge]]/Tableau1_2[[#This Row],[CA]]</f>
        <v>0.36666666666666664</v>
      </c>
      <c r="T1388" t="str">
        <f>TEXT(Tableau1_2[[#This Row],[Date]],"mmmm")</f>
        <v>avril</v>
      </c>
    </row>
    <row r="1389" spans="1:20" x14ac:dyDescent="0.35">
      <c r="A1389" t="s">
        <v>2395</v>
      </c>
      <c r="B1389" s="2">
        <v>46185</v>
      </c>
      <c r="C1389" t="s">
        <v>1253</v>
      </c>
      <c r="D1389" t="s">
        <v>856</v>
      </c>
      <c r="E1389" t="s">
        <v>77</v>
      </c>
      <c r="F1389" t="s">
        <v>78</v>
      </c>
      <c r="G1389" t="s">
        <v>34</v>
      </c>
      <c r="H1389" t="s">
        <v>35</v>
      </c>
      <c r="I1389">
        <v>6</v>
      </c>
      <c r="J1389">
        <v>52200</v>
      </c>
      <c r="K1389">
        <v>37800</v>
      </c>
      <c r="L1389" t="s">
        <v>80</v>
      </c>
      <c r="M1389" t="s">
        <v>37</v>
      </c>
      <c r="N1389" t="s">
        <v>23</v>
      </c>
      <c r="O1389" t="s">
        <v>24</v>
      </c>
      <c r="P1389">
        <f>Tableau1_2[[#This Row],[Quantité]]*Tableau1_2[[#This Row],[Prix_Unitaire]]</f>
        <v>313200</v>
      </c>
      <c r="Q1389">
        <f>Tableau1_2[[#This Row],[Quantité]]*Tableau1_2[[#This Row],[Coût_Unitaire]]</f>
        <v>226800</v>
      </c>
      <c r="R1389">
        <f>Tableau1_2[[#This Row],[CA]]-Tableau1_2[[#This Row],[Cout Total]]</f>
        <v>86400</v>
      </c>
      <c r="S1389" s="4">
        <f>Tableau1_2[[#This Row],[Marge]]/Tableau1_2[[#This Row],[CA]]</f>
        <v>0.27586206896551724</v>
      </c>
      <c r="T1389" t="str">
        <f>TEXT(Tableau1_2[[#This Row],[Date]],"mmmm")</f>
        <v>juin</v>
      </c>
    </row>
    <row r="1390" spans="1:20" x14ac:dyDescent="0.35">
      <c r="A1390" t="s">
        <v>2396</v>
      </c>
      <c r="B1390" s="2">
        <v>46187</v>
      </c>
      <c r="C1390" t="s">
        <v>246</v>
      </c>
      <c r="D1390" t="s">
        <v>939</v>
      </c>
      <c r="E1390" t="s">
        <v>56</v>
      </c>
      <c r="F1390" t="s">
        <v>57</v>
      </c>
      <c r="G1390" t="s">
        <v>34</v>
      </c>
      <c r="H1390" t="s">
        <v>141</v>
      </c>
      <c r="I1390">
        <v>6</v>
      </c>
      <c r="J1390">
        <v>152000</v>
      </c>
      <c r="K1390">
        <v>123600</v>
      </c>
      <c r="L1390" t="s">
        <v>21</v>
      </c>
      <c r="M1390" t="s">
        <v>37</v>
      </c>
      <c r="N1390" t="s">
        <v>23</v>
      </c>
      <c r="O1390" t="s">
        <v>24</v>
      </c>
      <c r="P1390">
        <f>Tableau1_2[[#This Row],[Quantité]]*Tableau1_2[[#This Row],[Prix_Unitaire]]</f>
        <v>912000</v>
      </c>
      <c r="Q1390">
        <f>Tableau1_2[[#This Row],[Quantité]]*Tableau1_2[[#This Row],[Coût_Unitaire]]</f>
        <v>741600</v>
      </c>
      <c r="R1390">
        <f>Tableau1_2[[#This Row],[CA]]-Tableau1_2[[#This Row],[Cout Total]]</f>
        <v>170400</v>
      </c>
      <c r="S1390" s="4">
        <f>Tableau1_2[[#This Row],[Marge]]/Tableau1_2[[#This Row],[CA]]</f>
        <v>0.18684210526315789</v>
      </c>
      <c r="T1390" t="str">
        <f>TEXT(Tableau1_2[[#This Row],[Date]],"mmmm")</f>
        <v>juin</v>
      </c>
    </row>
    <row r="1391" spans="1:20" x14ac:dyDescent="0.35">
      <c r="A1391" t="s">
        <v>2397</v>
      </c>
      <c r="B1391" s="2">
        <v>46139</v>
      </c>
      <c r="C1391" t="s">
        <v>1869</v>
      </c>
      <c r="D1391" t="s">
        <v>535</v>
      </c>
      <c r="E1391" t="s">
        <v>41</v>
      </c>
      <c r="F1391" t="s">
        <v>42</v>
      </c>
      <c r="G1391" t="s">
        <v>34</v>
      </c>
      <c r="H1391" t="s">
        <v>86</v>
      </c>
      <c r="I1391">
        <v>2</v>
      </c>
      <c r="J1391">
        <v>180000</v>
      </c>
      <c r="K1391">
        <v>131000</v>
      </c>
      <c r="L1391" t="s">
        <v>50</v>
      </c>
      <c r="M1391" t="s">
        <v>51</v>
      </c>
      <c r="N1391" t="s">
        <v>87</v>
      </c>
      <c r="O1391" t="s">
        <v>91</v>
      </c>
      <c r="P1391">
        <f>Tableau1_2[[#This Row],[Quantité]]*Tableau1_2[[#This Row],[Prix_Unitaire]]</f>
        <v>360000</v>
      </c>
      <c r="Q1391">
        <f>Tableau1_2[[#This Row],[Quantité]]*Tableau1_2[[#This Row],[Coût_Unitaire]]</f>
        <v>262000</v>
      </c>
      <c r="R1391">
        <f>Tableau1_2[[#This Row],[CA]]-Tableau1_2[[#This Row],[Cout Total]]</f>
        <v>98000</v>
      </c>
      <c r="S1391" s="4">
        <f>Tableau1_2[[#This Row],[Marge]]/Tableau1_2[[#This Row],[CA]]</f>
        <v>0.2722222222222222</v>
      </c>
      <c r="T1391" t="str">
        <f>TEXT(Tableau1_2[[#This Row],[Date]],"mmmm")</f>
        <v>avril</v>
      </c>
    </row>
    <row r="1392" spans="1:20" x14ac:dyDescent="0.35">
      <c r="A1392" t="s">
        <v>2398</v>
      </c>
      <c r="B1392" s="2">
        <v>46190</v>
      </c>
      <c r="C1392" t="s">
        <v>1353</v>
      </c>
      <c r="D1392" t="s">
        <v>391</v>
      </c>
      <c r="E1392" t="s">
        <v>84</v>
      </c>
      <c r="F1392" t="s">
        <v>85</v>
      </c>
      <c r="G1392" t="s">
        <v>43</v>
      </c>
      <c r="H1392" t="s">
        <v>49</v>
      </c>
      <c r="I1392">
        <v>2</v>
      </c>
      <c r="J1392">
        <v>9000</v>
      </c>
      <c r="K1392">
        <v>5600</v>
      </c>
      <c r="L1392" t="s">
        <v>73</v>
      </c>
      <c r="M1392" t="s">
        <v>37</v>
      </c>
      <c r="N1392" t="s">
        <v>23</v>
      </c>
      <c r="O1392" t="s">
        <v>45</v>
      </c>
      <c r="P1392">
        <f>Tableau1_2[[#This Row],[Quantité]]*Tableau1_2[[#This Row],[Prix_Unitaire]]</f>
        <v>18000</v>
      </c>
      <c r="Q1392">
        <f>Tableau1_2[[#This Row],[Quantité]]*Tableau1_2[[#This Row],[Coût_Unitaire]]</f>
        <v>11200</v>
      </c>
      <c r="R1392">
        <f>Tableau1_2[[#This Row],[CA]]-Tableau1_2[[#This Row],[Cout Total]]</f>
        <v>6800</v>
      </c>
      <c r="S1392" s="4">
        <f>Tableau1_2[[#This Row],[Marge]]/Tableau1_2[[#This Row],[CA]]</f>
        <v>0.37777777777777777</v>
      </c>
      <c r="T1392" t="str">
        <f>TEXT(Tableau1_2[[#This Row],[Date]],"mmmm")</f>
        <v>juin</v>
      </c>
    </row>
    <row r="1393" spans="1:20" x14ac:dyDescent="0.35">
      <c r="A1393" t="s">
        <v>2399</v>
      </c>
      <c r="B1393" s="2">
        <v>46350</v>
      </c>
      <c r="C1393" t="s">
        <v>645</v>
      </c>
      <c r="D1393" t="s">
        <v>800</v>
      </c>
      <c r="E1393" t="s">
        <v>41</v>
      </c>
      <c r="F1393" t="s">
        <v>42</v>
      </c>
      <c r="G1393" t="s">
        <v>34</v>
      </c>
      <c r="H1393" t="s">
        <v>86</v>
      </c>
      <c r="I1393">
        <v>2</v>
      </c>
      <c r="J1393">
        <v>180000</v>
      </c>
      <c r="K1393">
        <v>139000</v>
      </c>
      <c r="L1393" t="s">
        <v>36</v>
      </c>
      <c r="M1393" t="s">
        <v>51</v>
      </c>
      <c r="N1393" t="s">
        <v>23</v>
      </c>
      <c r="O1393" t="s">
        <v>24</v>
      </c>
      <c r="P1393">
        <f>Tableau1_2[[#This Row],[Quantité]]*Tableau1_2[[#This Row],[Prix_Unitaire]]</f>
        <v>360000</v>
      </c>
      <c r="Q1393">
        <f>Tableau1_2[[#This Row],[Quantité]]*Tableau1_2[[#This Row],[Coût_Unitaire]]</f>
        <v>278000</v>
      </c>
      <c r="R1393">
        <f>Tableau1_2[[#This Row],[CA]]-Tableau1_2[[#This Row],[Cout Total]]</f>
        <v>82000</v>
      </c>
      <c r="S1393" s="4">
        <f>Tableau1_2[[#This Row],[Marge]]/Tableau1_2[[#This Row],[CA]]</f>
        <v>0.22777777777777777</v>
      </c>
      <c r="T1393" t="str">
        <f>TEXT(Tableau1_2[[#This Row],[Date]],"mmmm")</f>
        <v>novembre</v>
      </c>
    </row>
    <row r="1394" spans="1:20" x14ac:dyDescent="0.35">
      <c r="A1394" t="s">
        <v>2400</v>
      </c>
      <c r="B1394" s="2">
        <v>46198</v>
      </c>
      <c r="C1394" t="s">
        <v>1386</v>
      </c>
      <c r="D1394" t="s">
        <v>988</v>
      </c>
      <c r="E1394" t="s">
        <v>18</v>
      </c>
      <c r="F1394" t="s">
        <v>18</v>
      </c>
      <c r="G1394" t="s">
        <v>34</v>
      </c>
      <c r="H1394" t="s">
        <v>86</v>
      </c>
      <c r="I1394">
        <v>7</v>
      </c>
      <c r="J1394">
        <v>180000</v>
      </c>
      <c r="K1394">
        <v>131000</v>
      </c>
      <c r="L1394" t="s">
        <v>36</v>
      </c>
      <c r="M1394" t="s">
        <v>37</v>
      </c>
      <c r="N1394" t="s">
        <v>23</v>
      </c>
      <c r="O1394" t="s">
        <v>24</v>
      </c>
      <c r="P1394">
        <f>Tableau1_2[[#This Row],[Quantité]]*Tableau1_2[[#This Row],[Prix_Unitaire]]</f>
        <v>1260000</v>
      </c>
      <c r="Q1394">
        <f>Tableau1_2[[#This Row],[Quantité]]*Tableau1_2[[#This Row],[Coût_Unitaire]]</f>
        <v>917000</v>
      </c>
      <c r="R1394">
        <f>Tableau1_2[[#This Row],[CA]]-Tableau1_2[[#This Row],[Cout Total]]</f>
        <v>343000</v>
      </c>
      <c r="S1394" s="4">
        <f>Tableau1_2[[#This Row],[Marge]]/Tableau1_2[[#This Row],[CA]]</f>
        <v>0.2722222222222222</v>
      </c>
      <c r="T1394" t="str">
        <f>TEXT(Tableau1_2[[#This Row],[Date]],"mmmm")</f>
        <v>juin</v>
      </c>
    </row>
    <row r="1395" spans="1:20" x14ac:dyDescent="0.35">
      <c r="A1395" t="s">
        <v>2401</v>
      </c>
      <c r="B1395" s="2">
        <v>46133</v>
      </c>
      <c r="C1395" t="s">
        <v>2118</v>
      </c>
      <c r="D1395" t="s">
        <v>187</v>
      </c>
      <c r="E1395" t="s">
        <v>18</v>
      </c>
      <c r="F1395" t="s">
        <v>18</v>
      </c>
      <c r="G1395" t="s">
        <v>19</v>
      </c>
      <c r="H1395" t="s">
        <v>61</v>
      </c>
      <c r="I1395">
        <v>4</v>
      </c>
      <c r="J1395">
        <v>209000</v>
      </c>
      <c r="K1395">
        <v>155200</v>
      </c>
      <c r="L1395" t="s">
        <v>73</v>
      </c>
      <c r="M1395" t="s">
        <v>22</v>
      </c>
      <c r="N1395" t="s">
        <v>87</v>
      </c>
      <c r="O1395" t="s">
        <v>45</v>
      </c>
      <c r="P1395">
        <f>Tableau1_2[[#This Row],[Quantité]]*Tableau1_2[[#This Row],[Prix_Unitaire]]</f>
        <v>836000</v>
      </c>
      <c r="Q1395">
        <f>Tableau1_2[[#This Row],[Quantité]]*Tableau1_2[[#This Row],[Coût_Unitaire]]</f>
        <v>620800</v>
      </c>
      <c r="R1395">
        <f>Tableau1_2[[#This Row],[CA]]-Tableau1_2[[#This Row],[Cout Total]]</f>
        <v>215200</v>
      </c>
      <c r="S1395" s="4">
        <f>Tableau1_2[[#This Row],[Marge]]/Tableau1_2[[#This Row],[CA]]</f>
        <v>0.25741626794258371</v>
      </c>
      <c r="T1395" t="str">
        <f>TEXT(Tableau1_2[[#This Row],[Date]],"mmmm")</f>
        <v>avril</v>
      </c>
    </row>
    <row r="1396" spans="1:20" x14ac:dyDescent="0.35">
      <c r="A1396" t="s">
        <v>2402</v>
      </c>
      <c r="B1396" s="2">
        <v>46375</v>
      </c>
      <c r="C1396" t="s">
        <v>2403</v>
      </c>
      <c r="D1396" t="s">
        <v>601</v>
      </c>
      <c r="E1396" t="s">
        <v>190</v>
      </c>
      <c r="F1396" t="s">
        <v>191</v>
      </c>
      <c r="G1396" t="s">
        <v>19</v>
      </c>
      <c r="H1396" t="s">
        <v>166</v>
      </c>
      <c r="I1396">
        <v>9</v>
      </c>
      <c r="J1396">
        <v>147000</v>
      </c>
      <c r="K1396">
        <v>103000</v>
      </c>
      <c r="L1396" t="s">
        <v>36</v>
      </c>
      <c r="M1396" t="s">
        <v>37</v>
      </c>
      <c r="N1396" t="s">
        <v>23</v>
      </c>
      <c r="O1396" t="s">
        <v>24</v>
      </c>
      <c r="P1396">
        <f>Tableau1_2[[#This Row],[Quantité]]*Tableau1_2[[#This Row],[Prix_Unitaire]]</f>
        <v>1323000</v>
      </c>
      <c r="Q1396">
        <f>Tableau1_2[[#This Row],[Quantité]]*Tableau1_2[[#This Row],[Coût_Unitaire]]</f>
        <v>927000</v>
      </c>
      <c r="R1396">
        <f>Tableau1_2[[#This Row],[CA]]-Tableau1_2[[#This Row],[Cout Total]]</f>
        <v>396000</v>
      </c>
      <c r="S1396" s="4">
        <f>Tableau1_2[[#This Row],[Marge]]/Tableau1_2[[#This Row],[CA]]</f>
        <v>0.29931972789115646</v>
      </c>
      <c r="T1396" t="str">
        <f>TEXT(Tableau1_2[[#This Row],[Date]],"mmmm")</f>
        <v>décembre</v>
      </c>
    </row>
    <row r="1397" spans="1:20" x14ac:dyDescent="0.35">
      <c r="A1397" t="s">
        <v>2404</v>
      </c>
      <c r="B1397" s="2">
        <v>46172</v>
      </c>
      <c r="C1397" t="s">
        <v>497</v>
      </c>
      <c r="D1397" t="s">
        <v>636</v>
      </c>
      <c r="E1397" t="s">
        <v>41</v>
      </c>
      <c r="F1397" t="s">
        <v>42</v>
      </c>
      <c r="G1397" t="s">
        <v>28</v>
      </c>
      <c r="H1397" t="s">
        <v>248</v>
      </c>
      <c r="I1397">
        <v>7</v>
      </c>
      <c r="J1397">
        <v>23800</v>
      </c>
      <c r="K1397">
        <v>16000</v>
      </c>
      <c r="L1397" t="s">
        <v>80</v>
      </c>
      <c r="M1397" t="s">
        <v>51</v>
      </c>
      <c r="N1397" t="s">
        <v>23</v>
      </c>
      <c r="O1397" t="s">
        <v>24</v>
      </c>
      <c r="P1397">
        <f>Tableau1_2[[#This Row],[Quantité]]*Tableau1_2[[#This Row],[Prix_Unitaire]]</f>
        <v>166600</v>
      </c>
      <c r="Q1397">
        <f>Tableau1_2[[#This Row],[Quantité]]*Tableau1_2[[#This Row],[Coût_Unitaire]]</f>
        <v>112000</v>
      </c>
      <c r="R1397">
        <f>Tableau1_2[[#This Row],[CA]]-Tableau1_2[[#This Row],[Cout Total]]</f>
        <v>54600</v>
      </c>
      <c r="S1397" s="4">
        <f>Tableau1_2[[#This Row],[Marge]]/Tableau1_2[[#This Row],[CA]]</f>
        <v>0.32773109243697479</v>
      </c>
      <c r="T1397" t="str">
        <f>TEXT(Tableau1_2[[#This Row],[Date]],"mmmm")</f>
        <v>mai</v>
      </c>
    </row>
    <row r="1398" spans="1:20" x14ac:dyDescent="0.35">
      <c r="A1398" t="s">
        <v>2405</v>
      </c>
      <c r="B1398" s="2">
        <v>46198</v>
      </c>
      <c r="C1398" t="s">
        <v>1743</v>
      </c>
      <c r="D1398" t="s">
        <v>535</v>
      </c>
      <c r="E1398" t="s">
        <v>18</v>
      </c>
      <c r="F1398" t="s">
        <v>18</v>
      </c>
      <c r="G1398" t="s">
        <v>43</v>
      </c>
      <c r="H1398" t="s">
        <v>177</v>
      </c>
      <c r="I1398">
        <v>6</v>
      </c>
      <c r="J1398">
        <v>17100</v>
      </c>
      <c r="K1398">
        <v>12500</v>
      </c>
      <c r="L1398" t="s">
        <v>73</v>
      </c>
      <c r="M1398" t="s">
        <v>37</v>
      </c>
      <c r="N1398" t="s">
        <v>87</v>
      </c>
      <c r="O1398" t="s">
        <v>24</v>
      </c>
      <c r="P1398">
        <f>Tableau1_2[[#This Row],[Quantité]]*Tableau1_2[[#This Row],[Prix_Unitaire]]</f>
        <v>102600</v>
      </c>
      <c r="Q1398">
        <f>Tableau1_2[[#This Row],[Quantité]]*Tableau1_2[[#This Row],[Coût_Unitaire]]</f>
        <v>75000</v>
      </c>
      <c r="R1398">
        <f>Tableau1_2[[#This Row],[CA]]-Tableau1_2[[#This Row],[Cout Total]]</f>
        <v>27600</v>
      </c>
      <c r="S1398" s="4">
        <f>Tableau1_2[[#This Row],[Marge]]/Tableau1_2[[#This Row],[CA]]</f>
        <v>0.26900584795321636</v>
      </c>
      <c r="T1398" t="str">
        <f>TEXT(Tableau1_2[[#This Row],[Date]],"mmmm")</f>
        <v>juin</v>
      </c>
    </row>
    <row r="1399" spans="1:20" x14ac:dyDescent="0.35">
      <c r="A1399" t="s">
        <v>2406</v>
      </c>
      <c r="B1399" s="2">
        <v>46265</v>
      </c>
      <c r="C1399" t="s">
        <v>264</v>
      </c>
      <c r="D1399" t="s">
        <v>1023</v>
      </c>
      <c r="E1399" t="s">
        <v>18</v>
      </c>
      <c r="F1399" t="s">
        <v>18</v>
      </c>
      <c r="G1399" t="s">
        <v>34</v>
      </c>
      <c r="H1399" t="s">
        <v>95</v>
      </c>
      <c r="I1399">
        <v>6</v>
      </c>
      <c r="J1399">
        <v>427500</v>
      </c>
      <c r="K1399">
        <v>358900</v>
      </c>
      <c r="L1399" t="s">
        <v>80</v>
      </c>
      <c r="M1399" t="s">
        <v>51</v>
      </c>
      <c r="N1399" t="s">
        <v>23</v>
      </c>
      <c r="O1399" t="s">
        <v>24</v>
      </c>
      <c r="P1399">
        <f>Tableau1_2[[#This Row],[Quantité]]*Tableau1_2[[#This Row],[Prix_Unitaire]]</f>
        <v>2565000</v>
      </c>
      <c r="Q1399">
        <f>Tableau1_2[[#This Row],[Quantité]]*Tableau1_2[[#This Row],[Coût_Unitaire]]</f>
        <v>2153400</v>
      </c>
      <c r="R1399">
        <f>Tableau1_2[[#This Row],[CA]]-Tableau1_2[[#This Row],[Cout Total]]</f>
        <v>411600</v>
      </c>
      <c r="S1399" s="4">
        <f>Tableau1_2[[#This Row],[Marge]]/Tableau1_2[[#This Row],[CA]]</f>
        <v>0.16046783625730995</v>
      </c>
      <c r="T1399" t="str">
        <f>TEXT(Tableau1_2[[#This Row],[Date]],"mmmm")</f>
        <v>août</v>
      </c>
    </row>
    <row r="1400" spans="1:20" x14ac:dyDescent="0.35">
      <c r="A1400" t="s">
        <v>2407</v>
      </c>
      <c r="B1400" s="2">
        <v>46225</v>
      </c>
      <c r="C1400" t="s">
        <v>557</v>
      </c>
      <c r="D1400" t="s">
        <v>789</v>
      </c>
      <c r="E1400" t="s">
        <v>156</v>
      </c>
      <c r="F1400" t="s">
        <v>157</v>
      </c>
      <c r="G1400" t="s">
        <v>34</v>
      </c>
      <c r="H1400" t="s">
        <v>141</v>
      </c>
      <c r="I1400">
        <v>8</v>
      </c>
      <c r="J1400">
        <v>152000</v>
      </c>
      <c r="K1400">
        <v>120000</v>
      </c>
      <c r="L1400" t="s">
        <v>50</v>
      </c>
      <c r="M1400" t="s">
        <v>22</v>
      </c>
      <c r="N1400" t="s">
        <v>52</v>
      </c>
      <c r="O1400" t="s">
        <v>24</v>
      </c>
      <c r="P1400">
        <f>Tableau1_2[[#This Row],[Quantité]]*Tableau1_2[[#This Row],[Prix_Unitaire]]</f>
        <v>1216000</v>
      </c>
      <c r="Q1400">
        <f>Tableau1_2[[#This Row],[Quantité]]*Tableau1_2[[#This Row],[Coût_Unitaire]]</f>
        <v>960000</v>
      </c>
      <c r="R1400">
        <f>Tableau1_2[[#This Row],[CA]]-Tableau1_2[[#This Row],[Cout Total]]</f>
        <v>256000</v>
      </c>
      <c r="S1400" s="4">
        <f>Tableau1_2[[#This Row],[Marge]]/Tableau1_2[[#This Row],[CA]]</f>
        <v>0.21052631578947367</v>
      </c>
      <c r="T1400" t="str">
        <f>TEXT(Tableau1_2[[#This Row],[Date]],"mmmm")</f>
        <v>juillet</v>
      </c>
    </row>
    <row r="1401" spans="1:20" x14ac:dyDescent="0.35">
      <c r="A1401" t="s">
        <v>2408</v>
      </c>
      <c r="B1401" s="2">
        <v>46049</v>
      </c>
      <c r="C1401" t="s">
        <v>545</v>
      </c>
      <c r="D1401" t="s">
        <v>1179</v>
      </c>
      <c r="E1401" t="s">
        <v>41</v>
      </c>
      <c r="F1401" t="s">
        <v>42</v>
      </c>
      <c r="G1401" t="s">
        <v>43</v>
      </c>
      <c r="H1401" t="s">
        <v>162</v>
      </c>
      <c r="I1401">
        <v>5</v>
      </c>
      <c r="J1401">
        <v>8000</v>
      </c>
      <c r="K1401">
        <v>5200</v>
      </c>
      <c r="L1401" t="s">
        <v>21</v>
      </c>
      <c r="M1401" t="s">
        <v>37</v>
      </c>
      <c r="N1401" t="s">
        <v>52</v>
      </c>
      <c r="O1401" t="s">
        <v>91</v>
      </c>
      <c r="P1401">
        <f>Tableau1_2[[#This Row],[Quantité]]*Tableau1_2[[#This Row],[Prix_Unitaire]]</f>
        <v>40000</v>
      </c>
      <c r="Q1401">
        <f>Tableau1_2[[#This Row],[Quantité]]*Tableau1_2[[#This Row],[Coût_Unitaire]]</f>
        <v>26000</v>
      </c>
      <c r="R1401">
        <f>Tableau1_2[[#This Row],[CA]]-Tableau1_2[[#This Row],[Cout Total]]</f>
        <v>14000</v>
      </c>
      <c r="S1401" s="4">
        <f>Tableau1_2[[#This Row],[Marge]]/Tableau1_2[[#This Row],[CA]]</f>
        <v>0.35</v>
      </c>
      <c r="T1401" t="str">
        <f>TEXT(Tableau1_2[[#This Row],[Date]],"mmmm")</f>
        <v>janvier</v>
      </c>
    </row>
    <row r="1402" spans="1:20" x14ac:dyDescent="0.35">
      <c r="A1402" t="s">
        <v>2409</v>
      </c>
      <c r="B1402" s="2">
        <v>46378</v>
      </c>
      <c r="C1402" t="s">
        <v>240</v>
      </c>
      <c r="D1402" t="s">
        <v>514</v>
      </c>
      <c r="E1402" t="s">
        <v>18</v>
      </c>
      <c r="F1402" t="s">
        <v>18</v>
      </c>
      <c r="G1402" t="s">
        <v>28</v>
      </c>
      <c r="H1402" t="s">
        <v>65</v>
      </c>
      <c r="I1402">
        <v>9</v>
      </c>
      <c r="J1402">
        <v>12000</v>
      </c>
      <c r="K1402">
        <v>7700</v>
      </c>
      <c r="L1402" t="s">
        <v>96</v>
      </c>
      <c r="M1402" t="s">
        <v>51</v>
      </c>
      <c r="N1402" t="s">
        <v>52</v>
      </c>
      <c r="O1402" t="s">
        <v>24</v>
      </c>
      <c r="P1402">
        <f>Tableau1_2[[#This Row],[Quantité]]*Tableau1_2[[#This Row],[Prix_Unitaire]]</f>
        <v>108000</v>
      </c>
      <c r="Q1402">
        <f>Tableau1_2[[#This Row],[Quantité]]*Tableau1_2[[#This Row],[Coût_Unitaire]]</f>
        <v>69300</v>
      </c>
      <c r="R1402">
        <f>Tableau1_2[[#This Row],[CA]]-Tableau1_2[[#This Row],[Cout Total]]</f>
        <v>38700</v>
      </c>
      <c r="S1402" s="4">
        <f>Tableau1_2[[#This Row],[Marge]]/Tableau1_2[[#This Row],[CA]]</f>
        <v>0.35833333333333334</v>
      </c>
      <c r="T1402" t="str">
        <f>TEXT(Tableau1_2[[#This Row],[Date]],"mmmm")</f>
        <v>décembre</v>
      </c>
    </row>
    <row r="1403" spans="1:20" x14ac:dyDescent="0.35">
      <c r="A1403" t="s">
        <v>2410</v>
      </c>
      <c r="B1403" s="2">
        <v>46189</v>
      </c>
      <c r="C1403" t="s">
        <v>1446</v>
      </c>
      <c r="D1403" t="s">
        <v>442</v>
      </c>
      <c r="E1403" t="s">
        <v>156</v>
      </c>
      <c r="F1403" t="s">
        <v>157</v>
      </c>
      <c r="G1403" t="s">
        <v>34</v>
      </c>
      <c r="H1403" t="s">
        <v>35</v>
      </c>
      <c r="I1403">
        <v>9</v>
      </c>
      <c r="J1403">
        <v>52200</v>
      </c>
      <c r="K1403">
        <v>37800</v>
      </c>
      <c r="L1403" t="s">
        <v>96</v>
      </c>
      <c r="M1403" t="s">
        <v>31</v>
      </c>
      <c r="N1403" t="s">
        <v>23</v>
      </c>
      <c r="O1403" t="s">
        <v>45</v>
      </c>
      <c r="P1403">
        <f>Tableau1_2[[#This Row],[Quantité]]*Tableau1_2[[#This Row],[Prix_Unitaire]]</f>
        <v>469800</v>
      </c>
      <c r="Q1403">
        <f>Tableau1_2[[#This Row],[Quantité]]*Tableau1_2[[#This Row],[Coût_Unitaire]]</f>
        <v>340200</v>
      </c>
      <c r="R1403">
        <f>Tableau1_2[[#This Row],[CA]]-Tableau1_2[[#This Row],[Cout Total]]</f>
        <v>129600</v>
      </c>
      <c r="S1403" s="4">
        <f>Tableau1_2[[#This Row],[Marge]]/Tableau1_2[[#This Row],[CA]]</f>
        <v>0.27586206896551724</v>
      </c>
      <c r="T1403" t="str">
        <f>TEXT(Tableau1_2[[#This Row],[Date]],"mmmm")</f>
        <v>juin</v>
      </c>
    </row>
    <row r="1404" spans="1:20" x14ac:dyDescent="0.35">
      <c r="A1404" t="s">
        <v>2411</v>
      </c>
      <c r="B1404" s="2">
        <v>46278</v>
      </c>
      <c r="C1404" t="s">
        <v>788</v>
      </c>
      <c r="D1404" t="s">
        <v>533</v>
      </c>
      <c r="E1404" t="s">
        <v>190</v>
      </c>
      <c r="F1404" t="s">
        <v>191</v>
      </c>
      <c r="G1404" t="s">
        <v>43</v>
      </c>
      <c r="H1404" t="s">
        <v>49</v>
      </c>
      <c r="I1404">
        <v>2</v>
      </c>
      <c r="J1404">
        <v>9400</v>
      </c>
      <c r="K1404">
        <v>5600</v>
      </c>
      <c r="L1404" t="s">
        <v>50</v>
      </c>
      <c r="M1404" t="s">
        <v>37</v>
      </c>
      <c r="N1404" t="s">
        <v>23</v>
      </c>
      <c r="O1404" t="s">
        <v>45</v>
      </c>
      <c r="P1404">
        <f>Tableau1_2[[#This Row],[Quantité]]*Tableau1_2[[#This Row],[Prix_Unitaire]]</f>
        <v>18800</v>
      </c>
      <c r="Q1404">
        <f>Tableau1_2[[#This Row],[Quantité]]*Tableau1_2[[#This Row],[Coût_Unitaire]]</f>
        <v>11200</v>
      </c>
      <c r="R1404">
        <f>Tableau1_2[[#This Row],[CA]]-Tableau1_2[[#This Row],[Cout Total]]</f>
        <v>7600</v>
      </c>
      <c r="S1404" s="4">
        <f>Tableau1_2[[#This Row],[Marge]]/Tableau1_2[[#This Row],[CA]]</f>
        <v>0.40425531914893614</v>
      </c>
      <c r="T1404" t="str">
        <f>TEXT(Tableau1_2[[#This Row],[Date]],"mmmm")</f>
        <v>septembre</v>
      </c>
    </row>
    <row r="1405" spans="1:20" x14ac:dyDescent="0.35">
      <c r="A1405" t="s">
        <v>2412</v>
      </c>
      <c r="B1405" s="2">
        <v>46276</v>
      </c>
      <c r="C1405" t="s">
        <v>228</v>
      </c>
      <c r="D1405" t="s">
        <v>1484</v>
      </c>
      <c r="E1405" t="s">
        <v>18</v>
      </c>
      <c r="F1405" t="s">
        <v>18</v>
      </c>
      <c r="G1405" t="s">
        <v>43</v>
      </c>
      <c r="H1405" t="s">
        <v>162</v>
      </c>
      <c r="I1405">
        <v>2</v>
      </c>
      <c r="J1405">
        <v>7600</v>
      </c>
      <c r="K1405">
        <v>5200</v>
      </c>
      <c r="L1405" t="s">
        <v>36</v>
      </c>
      <c r="M1405" t="s">
        <v>31</v>
      </c>
      <c r="N1405" t="s">
        <v>23</v>
      </c>
      <c r="O1405" t="s">
        <v>24</v>
      </c>
      <c r="P1405">
        <f>Tableau1_2[[#This Row],[Quantité]]*Tableau1_2[[#This Row],[Prix_Unitaire]]</f>
        <v>15200</v>
      </c>
      <c r="Q1405">
        <f>Tableau1_2[[#This Row],[Quantité]]*Tableau1_2[[#This Row],[Coût_Unitaire]]</f>
        <v>10400</v>
      </c>
      <c r="R1405">
        <f>Tableau1_2[[#This Row],[CA]]-Tableau1_2[[#This Row],[Cout Total]]</f>
        <v>4800</v>
      </c>
      <c r="S1405" s="4">
        <f>Tableau1_2[[#This Row],[Marge]]/Tableau1_2[[#This Row],[CA]]</f>
        <v>0.31578947368421051</v>
      </c>
      <c r="T1405" t="str">
        <f>TEXT(Tableau1_2[[#This Row],[Date]],"mmmm")</f>
        <v>septembre</v>
      </c>
    </row>
    <row r="1406" spans="1:20" x14ac:dyDescent="0.35">
      <c r="A1406" t="s">
        <v>2413</v>
      </c>
      <c r="B1406" s="2">
        <v>46149</v>
      </c>
      <c r="C1406" t="s">
        <v>1842</v>
      </c>
      <c r="D1406" t="s">
        <v>115</v>
      </c>
      <c r="E1406" t="s">
        <v>41</v>
      </c>
      <c r="F1406" t="s">
        <v>42</v>
      </c>
      <c r="G1406" t="s">
        <v>19</v>
      </c>
      <c r="H1406" t="s">
        <v>20</v>
      </c>
      <c r="I1406">
        <v>2</v>
      </c>
      <c r="J1406">
        <v>65000</v>
      </c>
      <c r="K1406">
        <v>46400</v>
      </c>
      <c r="L1406" t="s">
        <v>50</v>
      </c>
      <c r="M1406" t="s">
        <v>37</v>
      </c>
      <c r="N1406" t="s">
        <v>87</v>
      </c>
      <c r="O1406" t="s">
        <v>24</v>
      </c>
      <c r="P1406">
        <f>Tableau1_2[[#This Row],[Quantité]]*Tableau1_2[[#This Row],[Prix_Unitaire]]</f>
        <v>130000</v>
      </c>
      <c r="Q1406">
        <f>Tableau1_2[[#This Row],[Quantité]]*Tableau1_2[[#This Row],[Coût_Unitaire]]</f>
        <v>92800</v>
      </c>
      <c r="R1406">
        <f>Tableau1_2[[#This Row],[CA]]-Tableau1_2[[#This Row],[Cout Total]]</f>
        <v>37200</v>
      </c>
      <c r="S1406" s="4">
        <f>Tableau1_2[[#This Row],[Marge]]/Tableau1_2[[#This Row],[CA]]</f>
        <v>0.28615384615384615</v>
      </c>
      <c r="T1406" t="str">
        <f>TEXT(Tableau1_2[[#This Row],[Date]],"mmmm")</f>
        <v>mai</v>
      </c>
    </row>
    <row r="1407" spans="1:20" x14ac:dyDescent="0.35">
      <c r="A1407" t="s">
        <v>2414</v>
      </c>
      <c r="B1407" s="2">
        <v>46050</v>
      </c>
      <c r="C1407" t="s">
        <v>916</v>
      </c>
      <c r="D1407" t="s">
        <v>262</v>
      </c>
      <c r="E1407" t="s">
        <v>84</v>
      </c>
      <c r="F1407" t="s">
        <v>85</v>
      </c>
      <c r="G1407" t="s">
        <v>19</v>
      </c>
      <c r="H1407" t="s">
        <v>112</v>
      </c>
      <c r="I1407">
        <v>5</v>
      </c>
      <c r="J1407">
        <v>85000</v>
      </c>
      <c r="K1407">
        <v>60100</v>
      </c>
      <c r="L1407" t="s">
        <v>50</v>
      </c>
      <c r="M1407" t="s">
        <v>51</v>
      </c>
      <c r="N1407" t="s">
        <v>87</v>
      </c>
      <c r="O1407" t="s">
        <v>24</v>
      </c>
      <c r="P1407">
        <f>Tableau1_2[[#This Row],[Quantité]]*Tableau1_2[[#This Row],[Prix_Unitaire]]</f>
        <v>425000</v>
      </c>
      <c r="Q1407">
        <f>Tableau1_2[[#This Row],[Quantité]]*Tableau1_2[[#This Row],[Coût_Unitaire]]</f>
        <v>300500</v>
      </c>
      <c r="R1407">
        <f>Tableau1_2[[#This Row],[CA]]-Tableau1_2[[#This Row],[Cout Total]]</f>
        <v>124500</v>
      </c>
      <c r="S1407" s="4">
        <f>Tableau1_2[[#This Row],[Marge]]/Tableau1_2[[#This Row],[CA]]</f>
        <v>0.29294117647058826</v>
      </c>
      <c r="T1407" t="str">
        <f>TEXT(Tableau1_2[[#This Row],[Date]],"mmmm")</f>
        <v>janvier</v>
      </c>
    </row>
    <row r="1408" spans="1:20" x14ac:dyDescent="0.35">
      <c r="A1408" t="s">
        <v>2415</v>
      </c>
      <c r="B1408" s="2">
        <v>46053</v>
      </c>
      <c r="C1408" t="s">
        <v>793</v>
      </c>
      <c r="D1408" t="s">
        <v>2416</v>
      </c>
      <c r="E1408" t="s">
        <v>190</v>
      </c>
      <c r="F1408" t="s">
        <v>191</v>
      </c>
      <c r="G1408" t="s">
        <v>34</v>
      </c>
      <c r="H1408" t="s">
        <v>86</v>
      </c>
      <c r="I1408">
        <v>5</v>
      </c>
      <c r="J1408">
        <v>189000</v>
      </c>
      <c r="K1408">
        <v>135000</v>
      </c>
      <c r="L1408" t="s">
        <v>80</v>
      </c>
      <c r="M1408" t="s">
        <v>31</v>
      </c>
      <c r="N1408" t="s">
        <v>87</v>
      </c>
      <c r="O1408" t="s">
        <v>24</v>
      </c>
      <c r="P1408">
        <f>Tableau1_2[[#This Row],[Quantité]]*Tableau1_2[[#This Row],[Prix_Unitaire]]</f>
        <v>945000</v>
      </c>
      <c r="Q1408">
        <f>Tableau1_2[[#This Row],[Quantité]]*Tableau1_2[[#This Row],[Coût_Unitaire]]</f>
        <v>675000</v>
      </c>
      <c r="R1408">
        <f>Tableau1_2[[#This Row],[CA]]-Tableau1_2[[#This Row],[Cout Total]]</f>
        <v>270000</v>
      </c>
      <c r="S1408" s="4">
        <f>Tableau1_2[[#This Row],[Marge]]/Tableau1_2[[#This Row],[CA]]</f>
        <v>0.2857142857142857</v>
      </c>
      <c r="T1408" t="str">
        <f>TEXT(Tableau1_2[[#This Row],[Date]],"mmmm")</f>
        <v>janvier</v>
      </c>
    </row>
    <row r="1409" spans="1:20" x14ac:dyDescent="0.35">
      <c r="A1409" t="s">
        <v>2417</v>
      </c>
      <c r="B1409" s="2">
        <v>46300</v>
      </c>
      <c r="C1409" t="s">
        <v>1302</v>
      </c>
      <c r="D1409" t="s">
        <v>1087</v>
      </c>
      <c r="E1409" t="s">
        <v>77</v>
      </c>
      <c r="F1409" t="s">
        <v>78</v>
      </c>
      <c r="G1409" t="s">
        <v>43</v>
      </c>
      <c r="H1409" t="s">
        <v>79</v>
      </c>
      <c r="I1409">
        <v>4</v>
      </c>
      <c r="J1409">
        <v>6000</v>
      </c>
      <c r="K1409">
        <v>4100</v>
      </c>
      <c r="L1409" t="s">
        <v>36</v>
      </c>
      <c r="M1409" t="s">
        <v>37</v>
      </c>
      <c r="N1409" t="s">
        <v>52</v>
      </c>
      <c r="O1409" t="s">
        <v>24</v>
      </c>
      <c r="P1409">
        <f>Tableau1_2[[#This Row],[Quantité]]*Tableau1_2[[#This Row],[Prix_Unitaire]]</f>
        <v>24000</v>
      </c>
      <c r="Q1409">
        <f>Tableau1_2[[#This Row],[Quantité]]*Tableau1_2[[#This Row],[Coût_Unitaire]]</f>
        <v>16400</v>
      </c>
      <c r="R1409">
        <f>Tableau1_2[[#This Row],[CA]]-Tableau1_2[[#This Row],[Cout Total]]</f>
        <v>7600</v>
      </c>
      <c r="S1409" s="4">
        <f>Tableau1_2[[#This Row],[Marge]]/Tableau1_2[[#This Row],[CA]]</f>
        <v>0.31666666666666665</v>
      </c>
      <c r="T1409" t="str">
        <f>TEXT(Tableau1_2[[#This Row],[Date]],"mmmm")</f>
        <v>octobre</v>
      </c>
    </row>
    <row r="1410" spans="1:20" x14ac:dyDescent="0.35">
      <c r="A1410" t="s">
        <v>2418</v>
      </c>
      <c r="B1410" s="2">
        <v>46240</v>
      </c>
      <c r="C1410" t="s">
        <v>475</v>
      </c>
      <c r="D1410" t="s">
        <v>1559</v>
      </c>
      <c r="E1410" t="s">
        <v>70</v>
      </c>
      <c r="F1410" t="s">
        <v>71</v>
      </c>
      <c r="G1410" t="s">
        <v>34</v>
      </c>
      <c r="H1410" t="s">
        <v>141</v>
      </c>
      <c r="I1410">
        <v>7</v>
      </c>
      <c r="J1410">
        <v>168000</v>
      </c>
      <c r="K1410">
        <v>116400</v>
      </c>
      <c r="L1410" t="s">
        <v>80</v>
      </c>
      <c r="M1410" t="s">
        <v>51</v>
      </c>
      <c r="N1410" t="s">
        <v>23</v>
      </c>
      <c r="O1410" t="s">
        <v>24</v>
      </c>
      <c r="P1410">
        <f>Tableau1_2[[#This Row],[Quantité]]*Tableau1_2[[#This Row],[Prix_Unitaire]]</f>
        <v>1176000</v>
      </c>
      <c r="Q1410">
        <f>Tableau1_2[[#This Row],[Quantité]]*Tableau1_2[[#This Row],[Coût_Unitaire]]</f>
        <v>814800</v>
      </c>
      <c r="R1410">
        <f>Tableau1_2[[#This Row],[CA]]-Tableau1_2[[#This Row],[Cout Total]]</f>
        <v>361200</v>
      </c>
      <c r="S1410" s="4">
        <f>Tableau1_2[[#This Row],[Marge]]/Tableau1_2[[#This Row],[CA]]</f>
        <v>0.30714285714285716</v>
      </c>
      <c r="T1410" t="str">
        <f>TEXT(Tableau1_2[[#This Row],[Date]],"mmmm")</f>
        <v>août</v>
      </c>
    </row>
    <row r="1411" spans="1:20" x14ac:dyDescent="0.35">
      <c r="A1411" t="s">
        <v>2419</v>
      </c>
      <c r="B1411" s="2">
        <v>46320</v>
      </c>
      <c r="C1411" t="s">
        <v>2115</v>
      </c>
      <c r="D1411" t="s">
        <v>524</v>
      </c>
      <c r="E1411" t="s">
        <v>18</v>
      </c>
      <c r="F1411" t="s">
        <v>18</v>
      </c>
      <c r="G1411" t="s">
        <v>34</v>
      </c>
      <c r="H1411" t="s">
        <v>35</v>
      </c>
      <c r="I1411">
        <v>7</v>
      </c>
      <c r="J1411">
        <v>55000</v>
      </c>
      <c r="K1411">
        <v>39000</v>
      </c>
      <c r="L1411" t="s">
        <v>50</v>
      </c>
      <c r="M1411" t="s">
        <v>37</v>
      </c>
      <c r="N1411" t="s">
        <v>52</v>
      </c>
      <c r="O1411" t="s">
        <v>24</v>
      </c>
      <c r="P1411">
        <f>Tableau1_2[[#This Row],[Quantité]]*Tableau1_2[[#This Row],[Prix_Unitaire]]</f>
        <v>385000</v>
      </c>
      <c r="Q1411">
        <f>Tableau1_2[[#This Row],[Quantité]]*Tableau1_2[[#This Row],[Coût_Unitaire]]</f>
        <v>273000</v>
      </c>
      <c r="R1411">
        <f>Tableau1_2[[#This Row],[CA]]-Tableau1_2[[#This Row],[Cout Total]]</f>
        <v>112000</v>
      </c>
      <c r="S1411" s="4">
        <f>Tableau1_2[[#This Row],[Marge]]/Tableau1_2[[#This Row],[CA]]</f>
        <v>0.29090909090909089</v>
      </c>
      <c r="T1411" t="str">
        <f>TEXT(Tableau1_2[[#This Row],[Date]],"mmmm")</f>
        <v>octobre</v>
      </c>
    </row>
    <row r="1412" spans="1:20" x14ac:dyDescent="0.35">
      <c r="A1412" t="s">
        <v>2420</v>
      </c>
      <c r="B1412" s="2">
        <v>46096</v>
      </c>
      <c r="C1412" t="s">
        <v>148</v>
      </c>
      <c r="D1412" t="s">
        <v>1272</v>
      </c>
      <c r="E1412" t="s">
        <v>190</v>
      </c>
      <c r="F1412" t="s">
        <v>191</v>
      </c>
      <c r="G1412" t="s">
        <v>43</v>
      </c>
      <c r="H1412" t="s">
        <v>49</v>
      </c>
      <c r="I1412">
        <v>10</v>
      </c>
      <c r="J1412">
        <v>9000</v>
      </c>
      <c r="K1412">
        <v>5800</v>
      </c>
      <c r="L1412" t="s">
        <v>73</v>
      </c>
      <c r="M1412" t="s">
        <v>31</v>
      </c>
      <c r="N1412" t="s">
        <v>52</v>
      </c>
      <c r="O1412" t="s">
        <v>24</v>
      </c>
      <c r="P1412">
        <f>Tableau1_2[[#This Row],[Quantité]]*Tableau1_2[[#This Row],[Prix_Unitaire]]</f>
        <v>90000</v>
      </c>
      <c r="Q1412">
        <f>Tableau1_2[[#This Row],[Quantité]]*Tableau1_2[[#This Row],[Coût_Unitaire]]</f>
        <v>58000</v>
      </c>
      <c r="R1412">
        <f>Tableau1_2[[#This Row],[CA]]-Tableau1_2[[#This Row],[Cout Total]]</f>
        <v>32000</v>
      </c>
      <c r="S1412" s="4">
        <f>Tableau1_2[[#This Row],[Marge]]/Tableau1_2[[#This Row],[CA]]</f>
        <v>0.35555555555555557</v>
      </c>
      <c r="T1412" t="str">
        <f>TEXT(Tableau1_2[[#This Row],[Date]],"mmmm")</f>
        <v>mars</v>
      </c>
    </row>
    <row r="1413" spans="1:20" x14ac:dyDescent="0.35">
      <c r="A1413" t="s">
        <v>2421</v>
      </c>
      <c r="B1413" s="2">
        <v>46069</v>
      </c>
      <c r="C1413" t="s">
        <v>1307</v>
      </c>
      <c r="D1413" t="s">
        <v>442</v>
      </c>
      <c r="E1413" t="s">
        <v>190</v>
      </c>
      <c r="F1413" t="s">
        <v>191</v>
      </c>
      <c r="G1413" t="s">
        <v>19</v>
      </c>
      <c r="H1413" t="s">
        <v>20</v>
      </c>
      <c r="I1413">
        <v>7</v>
      </c>
      <c r="J1413">
        <v>68200</v>
      </c>
      <c r="K1413">
        <v>43600</v>
      </c>
      <c r="L1413" t="s">
        <v>66</v>
      </c>
      <c r="M1413" t="s">
        <v>37</v>
      </c>
      <c r="N1413" t="s">
        <v>23</v>
      </c>
      <c r="O1413" t="s">
        <v>24</v>
      </c>
      <c r="P1413">
        <f>Tableau1_2[[#This Row],[Quantité]]*Tableau1_2[[#This Row],[Prix_Unitaire]]</f>
        <v>477400</v>
      </c>
      <c r="Q1413">
        <f>Tableau1_2[[#This Row],[Quantité]]*Tableau1_2[[#This Row],[Coût_Unitaire]]</f>
        <v>305200</v>
      </c>
      <c r="R1413">
        <f>Tableau1_2[[#This Row],[CA]]-Tableau1_2[[#This Row],[Cout Total]]</f>
        <v>172200</v>
      </c>
      <c r="S1413" s="4">
        <f>Tableau1_2[[#This Row],[Marge]]/Tableau1_2[[#This Row],[CA]]</f>
        <v>0.36070381231671556</v>
      </c>
      <c r="T1413" t="str">
        <f>TEXT(Tableau1_2[[#This Row],[Date]],"mmmm")</f>
        <v>février</v>
      </c>
    </row>
    <row r="1414" spans="1:20" x14ac:dyDescent="0.35">
      <c r="A1414" t="s">
        <v>2422</v>
      </c>
      <c r="B1414" s="2">
        <v>46364</v>
      </c>
      <c r="C1414" t="s">
        <v>1302</v>
      </c>
      <c r="D1414" t="s">
        <v>514</v>
      </c>
      <c r="E1414" t="s">
        <v>18</v>
      </c>
      <c r="F1414" t="s">
        <v>18</v>
      </c>
      <c r="G1414" t="s">
        <v>43</v>
      </c>
      <c r="H1414" t="s">
        <v>49</v>
      </c>
      <c r="I1414">
        <v>7</v>
      </c>
      <c r="J1414">
        <v>9000</v>
      </c>
      <c r="K1414">
        <v>6000</v>
      </c>
      <c r="L1414" t="s">
        <v>21</v>
      </c>
      <c r="M1414" t="s">
        <v>22</v>
      </c>
      <c r="N1414" t="s">
        <v>23</v>
      </c>
      <c r="O1414" t="s">
        <v>24</v>
      </c>
      <c r="P1414">
        <f>Tableau1_2[[#This Row],[Quantité]]*Tableau1_2[[#This Row],[Prix_Unitaire]]</f>
        <v>63000</v>
      </c>
      <c r="Q1414">
        <f>Tableau1_2[[#This Row],[Quantité]]*Tableau1_2[[#This Row],[Coût_Unitaire]]</f>
        <v>42000</v>
      </c>
      <c r="R1414">
        <f>Tableau1_2[[#This Row],[CA]]-Tableau1_2[[#This Row],[Cout Total]]</f>
        <v>21000</v>
      </c>
      <c r="S1414" s="4">
        <f>Tableau1_2[[#This Row],[Marge]]/Tableau1_2[[#This Row],[CA]]</f>
        <v>0.33333333333333331</v>
      </c>
      <c r="T1414" t="str">
        <f>TEXT(Tableau1_2[[#This Row],[Date]],"mmmm")</f>
        <v>décembre</v>
      </c>
    </row>
    <row r="1415" spans="1:20" x14ac:dyDescent="0.35">
      <c r="A1415" t="s">
        <v>2423</v>
      </c>
      <c r="B1415" s="2">
        <v>46305</v>
      </c>
      <c r="C1415" t="s">
        <v>642</v>
      </c>
      <c r="D1415" t="s">
        <v>1077</v>
      </c>
      <c r="E1415" t="s">
        <v>41</v>
      </c>
      <c r="F1415" t="s">
        <v>42</v>
      </c>
      <c r="G1415" t="s">
        <v>34</v>
      </c>
      <c r="H1415" t="s">
        <v>158</v>
      </c>
      <c r="I1415">
        <v>6</v>
      </c>
      <c r="J1415">
        <v>90200</v>
      </c>
      <c r="K1415">
        <v>67900</v>
      </c>
      <c r="L1415" t="s">
        <v>96</v>
      </c>
      <c r="M1415" t="s">
        <v>37</v>
      </c>
      <c r="N1415" t="s">
        <v>87</v>
      </c>
      <c r="O1415" t="s">
        <v>24</v>
      </c>
      <c r="P1415">
        <f>Tableau1_2[[#This Row],[Quantité]]*Tableau1_2[[#This Row],[Prix_Unitaire]]</f>
        <v>541200</v>
      </c>
      <c r="Q1415">
        <f>Tableau1_2[[#This Row],[Quantité]]*Tableau1_2[[#This Row],[Coût_Unitaire]]</f>
        <v>407400</v>
      </c>
      <c r="R1415">
        <f>Tableau1_2[[#This Row],[CA]]-Tableau1_2[[#This Row],[Cout Total]]</f>
        <v>133800</v>
      </c>
      <c r="S1415" s="4">
        <f>Tableau1_2[[#This Row],[Marge]]/Tableau1_2[[#This Row],[CA]]</f>
        <v>0.24722838137472283</v>
      </c>
      <c r="T1415" t="str">
        <f>TEXT(Tableau1_2[[#This Row],[Date]],"mmmm")</f>
        <v>octobre</v>
      </c>
    </row>
    <row r="1416" spans="1:20" x14ac:dyDescent="0.35">
      <c r="A1416" t="s">
        <v>2424</v>
      </c>
      <c r="B1416" s="2">
        <v>46097</v>
      </c>
      <c r="C1416" t="s">
        <v>1007</v>
      </c>
      <c r="D1416" t="s">
        <v>351</v>
      </c>
      <c r="E1416" t="s">
        <v>18</v>
      </c>
      <c r="F1416" t="s">
        <v>18</v>
      </c>
      <c r="G1416" t="s">
        <v>43</v>
      </c>
      <c r="H1416" t="s">
        <v>44</v>
      </c>
      <c r="I1416">
        <v>6</v>
      </c>
      <c r="J1416">
        <v>14200</v>
      </c>
      <c r="K1416">
        <v>9500</v>
      </c>
      <c r="L1416" t="s">
        <v>36</v>
      </c>
      <c r="M1416" t="s">
        <v>37</v>
      </c>
      <c r="N1416" t="s">
        <v>87</v>
      </c>
      <c r="O1416" t="s">
        <v>24</v>
      </c>
      <c r="P1416">
        <f>Tableau1_2[[#This Row],[Quantité]]*Tableau1_2[[#This Row],[Prix_Unitaire]]</f>
        <v>85200</v>
      </c>
      <c r="Q1416">
        <f>Tableau1_2[[#This Row],[Quantité]]*Tableau1_2[[#This Row],[Coût_Unitaire]]</f>
        <v>57000</v>
      </c>
      <c r="R1416">
        <f>Tableau1_2[[#This Row],[CA]]-Tableau1_2[[#This Row],[Cout Total]]</f>
        <v>28200</v>
      </c>
      <c r="S1416" s="4">
        <f>Tableau1_2[[#This Row],[Marge]]/Tableau1_2[[#This Row],[CA]]</f>
        <v>0.33098591549295775</v>
      </c>
      <c r="T1416" t="str">
        <f>TEXT(Tableau1_2[[#This Row],[Date]],"mmmm")</f>
        <v>mars</v>
      </c>
    </row>
    <row r="1417" spans="1:20" x14ac:dyDescent="0.35">
      <c r="A1417" t="s">
        <v>2425</v>
      </c>
      <c r="B1417" s="2">
        <v>46068</v>
      </c>
      <c r="C1417" t="s">
        <v>2021</v>
      </c>
      <c r="D1417" t="s">
        <v>546</v>
      </c>
      <c r="E1417" t="s">
        <v>18</v>
      </c>
      <c r="F1417" t="s">
        <v>18</v>
      </c>
      <c r="G1417" t="s">
        <v>34</v>
      </c>
      <c r="H1417" t="s">
        <v>141</v>
      </c>
      <c r="I1417">
        <v>2</v>
      </c>
      <c r="J1417">
        <v>160000</v>
      </c>
      <c r="K1417">
        <v>123600</v>
      </c>
      <c r="L1417" t="s">
        <v>50</v>
      </c>
      <c r="M1417" t="s">
        <v>37</v>
      </c>
      <c r="N1417" t="s">
        <v>23</v>
      </c>
      <c r="O1417" t="s">
        <v>91</v>
      </c>
      <c r="P1417">
        <f>Tableau1_2[[#This Row],[Quantité]]*Tableau1_2[[#This Row],[Prix_Unitaire]]</f>
        <v>320000</v>
      </c>
      <c r="Q1417">
        <f>Tableau1_2[[#This Row],[Quantité]]*Tableau1_2[[#This Row],[Coût_Unitaire]]</f>
        <v>247200</v>
      </c>
      <c r="R1417">
        <f>Tableau1_2[[#This Row],[CA]]-Tableau1_2[[#This Row],[Cout Total]]</f>
        <v>72800</v>
      </c>
      <c r="S1417" s="4">
        <f>Tableau1_2[[#This Row],[Marge]]/Tableau1_2[[#This Row],[CA]]</f>
        <v>0.22750000000000001</v>
      </c>
      <c r="T1417" t="str">
        <f>TEXT(Tableau1_2[[#This Row],[Date]],"mmmm")</f>
        <v>février</v>
      </c>
    </row>
    <row r="1418" spans="1:20" x14ac:dyDescent="0.35">
      <c r="A1418" t="s">
        <v>2426</v>
      </c>
      <c r="B1418" s="2">
        <v>46257</v>
      </c>
      <c r="C1418" t="s">
        <v>927</v>
      </c>
      <c r="D1418" t="s">
        <v>709</v>
      </c>
      <c r="E1418" t="s">
        <v>156</v>
      </c>
      <c r="F1418" t="s">
        <v>170</v>
      </c>
      <c r="G1418" t="s">
        <v>28</v>
      </c>
      <c r="H1418" t="s">
        <v>29</v>
      </c>
      <c r="I1418">
        <v>3</v>
      </c>
      <c r="J1418">
        <v>7000</v>
      </c>
      <c r="K1418">
        <v>3900</v>
      </c>
      <c r="L1418" t="s">
        <v>96</v>
      </c>
      <c r="M1418" t="s">
        <v>37</v>
      </c>
      <c r="N1418" t="s">
        <v>23</v>
      </c>
      <c r="O1418" t="s">
        <v>24</v>
      </c>
      <c r="P1418">
        <f>Tableau1_2[[#This Row],[Quantité]]*Tableau1_2[[#This Row],[Prix_Unitaire]]</f>
        <v>21000</v>
      </c>
      <c r="Q1418">
        <f>Tableau1_2[[#This Row],[Quantité]]*Tableau1_2[[#This Row],[Coût_Unitaire]]</f>
        <v>11700</v>
      </c>
      <c r="R1418">
        <f>Tableau1_2[[#This Row],[CA]]-Tableau1_2[[#This Row],[Cout Total]]</f>
        <v>9300</v>
      </c>
      <c r="S1418" s="4">
        <f>Tableau1_2[[#This Row],[Marge]]/Tableau1_2[[#This Row],[CA]]</f>
        <v>0.44285714285714284</v>
      </c>
      <c r="T1418" t="str">
        <f>TEXT(Tableau1_2[[#This Row],[Date]],"mmmm")</f>
        <v>août</v>
      </c>
    </row>
    <row r="1419" spans="1:20" x14ac:dyDescent="0.35">
      <c r="A1419" t="s">
        <v>2427</v>
      </c>
      <c r="B1419" s="2">
        <v>46109</v>
      </c>
      <c r="C1419" t="s">
        <v>497</v>
      </c>
      <c r="D1419" t="s">
        <v>560</v>
      </c>
      <c r="E1419" t="s">
        <v>77</v>
      </c>
      <c r="F1419" t="s">
        <v>78</v>
      </c>
      <c r="G1419" t="s">
        <v>34</v>
      </c>
      <c r="H1419" t="s">
        <v>86</v>
      </c>
      <c r="I1419">
        <v>4</v>
      </c>
      <c r="J1419">
        <v>189000</v>
      </c>
      <c r="K1419">
        <v>139000</v>
      </c>
      <c r="L1419" t="s">
        <v>50</v>
      </c>
      <c r="M1419" t="s">
        <v>37</v>
      </c>
      <c r="N1419" t="s">
        <v>23</v>
      </c>
      <c r="O1419" t="s">
        <v>24</v>
      </c>
      <c r="P1419">
        <f>Tableau1_2[[#This Row],[Quantité]]*Tableau1_2[[#This Row],[Prix_Unitaire]]</f>
        <v>756000</v>
      </c>
      <c r="Q1419">
        <f>Tableau1_2[[#This Row],[Quantité]]*Tableau1_2[[#This Row],[Coût_Unitaire]]</f>
        <v>556000</v>
      </c>
      <c r="R1419">
        <f>Tableau1_2[[#This Row],[CA]]-Tableau1_2[[#This Row],[Cout Total]]</f>
        <v>200000</v>
      </c>
      <c r="S1419" s="4">
        <f>Tableau1_2[[#This Row],[Marge]]/Tableau1_2[[#This Row],[CA]]</f>
        <v>0.26455026455026454</v>
      </c>
      <c r="T1419" t="str">
        <f>TEXT(Tableau1_2[[#This Row],[Date]],"mmmm")</f>
        <v>mars</v>
      </c>
    </row>
    <row r="1420" spans="1:20" x14ac:dyDescent="0.35">
      <c r="A1420" t="s">
        <v>2428</v>
      </c>
      <c r="B1420" s="2">
        <v>46178</v>
      </c>
      <c r="C1420" t="s">
        <v>903</v>
      </c>
      <c r="D1420" t="s">
        <v>800</v>
      </c>
      <c r="E1420" t="s">
        <v>84</v>
      </c>
      <c r="F1420" t="s">
        <v>85</v>
      </c>
      <c r="G1420" t="s">
        <v>28</v>
      </c>
      <c r="H1420" t="s">
        <v>65</v>
      </c>
      <c r="I1420">
        <v>4</v>
      </c>
      <c r="J1420">
        <v>12000</v>
      </c>
      <c r="K1420">
        <v>7500</v>
      </c>
      <c r="L1420" t="s">
        <v>21</v>
      </c>
      <c r="M1420" t="s">
        <v>37</v>
      </c>
      <c r="N1420" t="s">
        <v>23</v>
      </c>
      <c r="O1420" t="s">
        <v>24</v>
      </c>
      <c r="P1420">
        <f>Tableau1_2[[#This Row],[Quantité]]*Tableau1_2[[#This Row],[Prix_Unitaire]]</f>
        <v>48000</v>
      </c>
      <c r="Q1420">
        <f>Tableau1_2[[#This Row],[Quantité]]*Tableau1_2[[#This Row],[Coût_Unitaire]]</f>
        <v>30000</v>
      </c>
      <c r="R1420">
        <f>Tableau1_2[[#This Row],[CA]]-Tableau1_2[[#This Row],[Cout Total]]</f>
        <v>18000</v>
      </c>
      <c r="S1420" s="4">
        <f>Tableau1_2[[#This Row],[Marge]]/Tableau1_2[[#This Row],[CA]]</f>
        <v>0.375</v>
      </c>
      <c r="T1420" t="str">
        <f>TEXT(Tableau1_2[[#This Row],[Date]],"mmmm")</f>
        <v>juin</v>
      </c>
    </row>
    <row r="1421" spans="1:20" x14ac:dyDescent="0.35">
      <c r="A1421" t="s">
        <v>2429</v>
      </c>
      <c r="B1421" s="2">
        <v>46297</v>
      </c>
      <c r="C1421" t="s">
        <v>2430</v>
      </c>
      <c r="D1421" t="s">
        <v>208</v>
      </c>
      <c r="E1421" t="s">
        <v>84</v>
      </c>
      <c r="F1421" t="s">
        <v>85</v>
      </c>
      <c r="G1421" t="s">
        <v>28</v>
      </c>
      <c r="H1421" t="s">
        <v>248</v>
      </c>
      <c r="I1421">
        <v>10</v>
      </c>
      <c r="J1421">
        <v>26200</v>
      </c>
      <c r="K1421">
        <v>16500</v>
      </c>
      <c r="L1421" t="s">
        <v>50</v>
      </c>
      <c r="M1421" t="s">
        <v>37</v>
      </c>
      <c r="N1421" t="s">
        <v>87</v>
      </c>
      <c r="O1421" t="s">
        <v>45</v>
      </c>
      <c r="P1421">
        <f>Tableau1_2[[#This Row],[Quantité]]*Tableau1_2[[#This Row],[Prix_Unitaire]]</f>
        <v>262000</v>
      </c>
      <c r="Q1421">
        <f>Tableau1_2[[#This Row],[Quantité]]*Tableau1_2[[#This Row],[Coût_Unitaire]]</f>
        <v>165000</v>
      </c>
      <c r="R1421">
        <f>Tableau1_2[[#This Row],[CA]]-Tableau1_2[[#This Row],[Cout Total]]</f>
        <v>97000</v>
      </c>
      <c r="S1421" s="4">
        <f>Tableau1_2[[#This Row],[Marge]]/Tableau1_2[[#This Row],[CA]]</f>
        <v>0.37022900763358779</v>
      </c>
      <c r="T1421" t="str">
        <f>TEXT(Tableau1_2[[#This Row],[Date]],"mmmm")</f>
        <v>octobre</v>
      </c>
    </row>
    <row r="1422" spans="1:20" x14ac:dyDescent="0.35">
      <c r="A1422" t="s">
        <v>2431</v>
      </c>
      <c r="B1422" s="2">
        <v>46267</v>
      </c>
      <c r="C1422" t="s">
        <v>2432</v>
      </c>
      <c r="D1422" t="s">
        <v>676</v>
      </c>
      <c r="E1422" t="s">
        <v>156</v>
      </c>
      <c r="F1422" t="s">
        <v>157</v>
      </c>
      <c r="G1422" t="s">
        <v>34</v>
      </c>
      <c r="H1422" t="s">
        <v>95</v>
      </c>
      <c r="I1422">
        <v>10</v>
      </c>
      <c r="J1422">
        <v>450000</v>
      </c>
      <c r="K1422">
        <v>358900</v>
      </c>
      <c r="L1422" t="s">
        <v>50</v>
      </c>
      <c r="M1422" t="s">
        <v>31</v>
      </c>
      <c r="N1422" t="s">
        <v>87</v>
      </c>
      <c r="O1422" t="s">
        <v>24</v>
      </c>
      <c r="P1422">
        <f>Tableau1_2[[#This Row],[Quantité]]*Tableau1_2[[#This Row],[Prix_Unitaire]]</f>
        <v>4500000</v>
      </c>
      <c r="Q1422">
        <f>Tableau1_2[[#This Row],[Quantité]]*Tableau1_2[[#This Row],[Coût_Unitaire]]</f>
        <v>3589000</v>
      </c>
      <c r="R1422">
        <f>Tableau1_2[[#This Row],[CA]]-Tableau1_2[[#This Row],[Cout Total]]</f>
        <v>911000</v>
      </c>
      <c r="S1422" s="4">
        <f>Tableau1_2[[#This Row],[Marge]]/Tableau1_2[[#This Row],[CA]]</f>
        <v>0.20244444444444445</v>
      </c>
      <c r="T1422" t="str">
        <f>TEXT(Tableau1_2[[#This Row],[Date]],"mmmm")</f>
        <v>septembre</v>
      </c>
    </row>
    <row r="1423" spans="1:20" x14ac:dyDescent="0.35">
      <c r="A1423" t="s">
        <v>2433</v>
      </c>
      <c r="B1423" s="2">
        <v>46208</v>
      </c>
      <c r="C1423" t="s">
        <v>624</v>
      </c>
      <c r="D1423" t="s">
        <v>2434</v>
      </c>
      <c r="E1423" t="s">
        <v>156</v>
      </c>
      <c r="F1423" t="s">
        <v>157</v>
      </c>
      <c r="G1423" t="s">
        <v>34</v>
      </c>
      <c r="H1423" t="s">
        <v>158</v>
      </c>
      <c r="I1423">
        <v>4</v>
      </c>
      <c r="J1423">
        <v>95000</v>
      </c>
      <c r="K1423">
        <v>72100</v>
      </c>
      <c r="L1423" t="s">
        <v>30</v>
      </c>
      <c r="M1423" t="s">
        <v>37</v>
      </c>
      <c r="N1423" t="s">
        <v>52</v>
      </c>
      <c r="O1423" t="s">
        <v>24</v>
      </c>
      <c r="P1423">
        <f>Tableau1_2[[#This Row],[Quantité]]*Tableau1_2[[#This Row],[Prix_Unitaire]]</f>
        <v>380000</v>
      </c>
      <c r="Q1423">
        <f>Tableau1_2[[#This Row],[Quantité]]*Tableau1_2[[#This Row],[Coût_Unitaire]]</f>
        <v>288400</v>
      </c>
      <c r="R1423">
        <f>Tableau1_2[[#This Row],[CA]]-Tableau1_2[[#This Row],[Cout Total]]</f>
        <v>91600</v>
      </c>
      <c r="S1423" s="4">
        <f>Tableau1_2[[#This Row],[Marge]]/Tableau1_2[[#This Row],[CA]]</f>
        <v>0.24105263157894738</v>
      </c>
      <c r="T1423" t="str">
        <f>TEXT(Tableau1_2[[#This Row],[Date]],"mmmm")</f>
        <v>juillet</v>
      </c>
    </row>
    <row r="1424" spans="1:20" x14ac:dyDescent="0.35">
      <c r="A1424" t="s">
        <v>2435</v>
      </c>
      <c r="B1424" s="2">
        <v>46346</v>
      </c>
      <c r="C1424" t="s">
        <v>2342</v>
      </c>
      <c r="D1424" t="s">
        <v>1021</v>
      </c>
      <c r="E1424" t="s">
        <v>41</v>
      </c>
      <c r="F1424" t="s">
        <v>42</v>
      </c>
      <c r="G1424" t="s">
        <v>34</v>
      </c>
      <c r="H1424" t="s">
        <v>35</v>
      </c>
      <c r="I1424">
        <v>10</v>
      </c>
      <c r="J1424">
        <v>52200</v>
      </c>
      <c r="K1424">
        <v>40200</v>
      </c>
      <c r="L1424" t="s">
        <v>66</v>
      </c>
      <c r="M1424" t="s">
        <v>37</v>
      </c>
      <c r="N1424" t="s">
        <v>23</v>
      </c>
      <c r="O1424" t="s">
        <v>24</v>
      </c>
      <c r="P1424">
        <f>Tableau1_2[[#This Row],[Quantité]]*Tableau1_2[[#This Row],[Prix_Unitaire]]</f>
        <v>522000</v>
      </c>
      <c r="Q1424">
        <f>Tableau1_2[[#This Row],[Quantité]]*Tableau1_2[[#This Row],[Coût_Unitaire]]</f>
        <v>402000</v>
      </c>
      <c r="R1424">
        <f>Tableau1_2[[#This Row],[CA]]-Tableau1_2[[#This Row],[Cout Total]]</f>
        <v>120000</v>
      </c>
      <c r="S1424" s="4">
        <f>Tableau1_2[[#This Row],[Marge]]/Tableau1_2[[#This Row],[CA]]</f>
        <v>0.22988505747126436</v>
      </c>
      <c r="T1424" t="str">
        <f>TEXT(Tableau1_2[[#This Row],[Date]],"mmmm")</f>
        <v>novembre</v>
      </c>
    </row>
    <row r="1425" spans="1:20" x14ac:dyDescent="0.35">
      <c r="A1425" t="s">
        <v>2436</v>
      </c>
      <c r="B1425" s="2">
        <v>46132</v>
      </c>
      <c r="C1425" t="s">
        <v>326</v>
      </c>
      <c r="D1425" t="s">
        <v>1484</v>
      </c>
      <c r="E1425" t="s">
        <v>70</v>
      </c>
      <c r="F1425" t="s">
        <v>71</v>
      </c>
      <c r="G1425" t="s">
        <v>34</v>
      </c>
      <c r="H1425" t="s">
        <v>95</v>
      </c>
      <c r="I1425">
        <v>2</v>
      </c>
      <c r="J1425">
        <v>472500</v>
      </c>
      <c r="K1425">
        <v>358900</v>
      </c>
      <c r="L1425" t="s">
        <v>96</v>
      </c>
      <c r="M1425" t="s">
        <v>51</v>
      </c>
      <c r="N1425" t="s">
        <v>87</v>
      </c>
      <c r="O1425" t="s">
        <v>24</v>
      </c>
      <c r="P1425">
        <f>Tableau1_2[[#This Row],[Quantité]]*Tableau1_2[[#This Row],[Prix_Unitaire]]</f>
        <v>945000</v>
      </c>
      <c r="Q1425">
        <f>Tableau1_2[[#This Row],[Quantité]]*Tableau1_2[[#This Row],[Coût_Unitaire]]</f>
        <v>717800</v>
      </c>
      <c r="R1425">
        <f>Tableau1_2[[#This Row],[CA]]-Tableau1_2[[#This Row],[Cout Total]]</f>
        <v>227200</v>
      </c>
      <c r="S1425" s="4">
        <f>Tableau1_2[[#This Row],[Marge]]/Tableau1_2[[#This Row],[CA]]</f>
        <v>0.24042328042328043</v>
      </c>
      <c r="T1425" t="str">
        <f>TEXT(Tableau1_2[[#This Row],[Date]],"mmmm")</f>
        <v>avril</v>
      </c>
    </row>
    <row r="1426" spans="1:20" x14ac:dyDescent="0.35">
      <c r="A1426" t="s">
        <v>2437</v>
      </c>
      <c r="B1426" s="2">
        <v>46192</v>
      </c>
      <c r="C1426" t="s">
        <v>952</v>
      </c>
      <c r="D1426" t="s">
        <v>144</v>
      </c>
      <c r="E1426" t="s">
        <v>41</v>
      </c>
      <c r="F1426" t="s">
        <v>42</v>
      </c>
      <c r="G1426" t="s">
        <v>34</v>
      </c>
      <c r="H1426" t="s">
        <v>95</v>
      </c>
      <c r="I1426">
        <v>3</v>
      </c>
      <c r="J1426">
        <v>450000</v>
      </c>
      <c r="K1426">
        <v>358900</v>
      </c>
      <c r="L1426" t="s">
        <v>21</v>
      </c>
      <c r="M1426" t="s">
        <v>37</v>
      </c>
      <c r="N1426" t="s">
        <v>87</v>
      </c>
      <c r="O1426" t="s">
        <v>24</v>
      </c>
      <c r="P1426">
        <f>Tableau1_2[[#This Row],[Quantité]]*Tableau1_2[[#This Row],[Prix_Unitaire]]</f>
        <v>1350000</v>
      </c>
      <c r="Q1426">
        <f>Tableau1_2[[#This Row],[Quantité]]*Tableau1_2[[#This Row],[Coût_Unitaire]]</f>
        <v>1076700</v>
      </c>
      <c r="R1426">
        <f>Tableau1_2[[#This Row],[CA]]-Tableau1_2[[#This Row],[Cout Total]]</f>
        <v>273300</v>
      </c>
      <c r="S1426" s="4">
        <f>Tableau1_2[[#This Row],[Marge]]/Tableau1_2[[#This Row],[CA]]</f>
        <v>0.20244444444444445</v>
      </c>
      <c r="T1426" t="str">
        <f>TEXT(Tableau1_2[[#This Row],[Date]],"mmmm")</f>
        <v>juin</v>
      </c>
    </row>
    <row r="1427" spans="1:20" x14ac:dyDescent="0.35">
      <c r="A1427" t="s">
        <v>2438</v>
      </c>
      <c r="B1427" s="2">
        <v>46140</v>
      </c>
      <c r="C1427" t="s">
        <v>795</v>
      </c>
      <c r="D1427" t="s">
        <v>345</v>
      </c>
      <c r="E1427" t="s">
        <v>70</v>
      </c>
      <c r="F1427" t="s">
        <v>71</v>
      </c>
      <c r="G1427" t="s">
        <v>43</v>
      </c>
      <c r="H1427" t="s">
        <v>44</v>
      </c>
      <c r="I1427">
        <v>5</v>
      </c>
      <c r="J1427">
        <v>14200</v>
      </c>
      <c r="K1427">
        <v>9800</v>
      </c>
      <c r="L1427" t="s">
        <v>66</v>
      </c>
      <c r="M1427" t="s">
        <v>51</v>
      </c>
      <c r="N1427" t="s">
        <v>52</v>
      </c>
      <c r="O1427" t="s">
        <v>24</v>
      </c>
      <c r="P1427">
        <f>Tableau1_2[[#This Row],[Quantité]]*Tableau1_2[[#This Row],[Prix_Unitaire]]</f>
        <v>71000</v>
      </c>
      <c r="Q1427">
        <f>Tableau1_2[[#This Row],[Quantité]]*Tableau1_2[[#This Row],[Coût_Unitaire]]</f>
        <v>49000</v>
      </c>
      <c r="R1427">
        <f>Tableau1_2[[#This Row],[CA]]-Tableau1_2[[#This Row],[Cout Total]]</f>
        <v>22000</v>
      </c>
      <c r="S1427" s="4">
        <f>Tableau1_2[[#This Row],[Marge]]/Tableau1_2[[#This Row],[CA]]</f>
        <v>0.30985915492957744</v>
      </c>
      <c r="T1427" t="str">
        <f>TEXT(Tableau1_2[[#This Row],[Date]],"mmmm")</f>
        <v>avril</v>
      </c>
    </row>
    <row r="1428" spans="1:20" x14ac:dyDescent="0.35">
      <c r="A1428" t="s">
        <v>2439</v>
      </c>
      <c r="B1428" s="2">
        <v>46197</v>
      </c>
      <c r="C1428" t="s">
        <v>2440</v>
      </c>
      <c r="D1428" t="s">
        <v>99</v>
      </c>
      <c r="E1428" t="s">
        <v>156</v>
      </c>
      <c r="F1428" t="s">
        <v>157</v>
      </c>
      <c r="G1428" t="s">
        <v>19</v>
      </c>
      <c r="H1428" t="s">
        <v>20</v>
      </c>
      <c r="I1428">
        <v>10</v>
      </c>
      <c r="J1428">
        <v>68200</v>
      </c>
      <c r="K1428">
        <v>43600</v>
      </c>
      <c r="L1428" t="s">
        <v>50</v>
      </c>
      <c r="M1428" t="s">
        <v>31</v>
      </c>
      <c r="N1428" t="s">
        <v>87</v>
      </c>
      <c r="O1428" t="s">
        <v>24</v>
      </c>
      <c r="P1428">
        <f>Tableau1_2[[#This Row],[Quantité]]*Tableau1_2[[#This Row],[Prix_Unitaire]]</f>
        <v>682000</v>
      </c>
      <c r="Q1428">
        <f>Tableau1_2[[#This Row],[Quantité]]*Tableau1_2[[#This Row],[Coût_Unitaire]]</f>
        <v>436000</v>
      </c>
      <c r="R1428">
        <f>Tableau1_2[[#This Row],[CA]]-Tableau1_2[[#This Row],[Cout Total]]</f>
        <v>246000</v>
      </c>
      <c r="S1428" s="4">
        <f>Tableau1_2[[#This Row],[Marge]]/Tableau1_2[[#This Row],[CA]]</f>
        <v>0.36070381231671556</v>
      </c>
      <c r="T1428" t="str">
        <f>TEXT(Tableau1_2[[#This Row],[Date]],"mmmm")</f>
        <v>juin</v>
      </c>
    </row>
    <row r="1429" spans="1:20" x14ac:dyDescent="0.35">
      <c r="A1429" t="s">
        <v>2441</v>
      </c>
      <c r="B1429" s="2">
        <v>46277</v>
      </c>
      <c r="C1429" t="s">
        <v>484</v>
      </c>
      <c r="D1429" t="s">
        <v>1052</v>
      </c>
      <c r="E1429" t="s">
        <v>156</v>
      </c>
      <c r="F1429" t="s">
        <v>157</v>
      </c>
      <c r="G1429" t="s">
        <v>28</v>
      </c>
      <c r="H1429" t="s">
        <v>131</v>
      </c>
      <c r="I1429">
        <v>8</v>
      </c>
      <c r="J1429">
        <v>30000</v>
      </c>
      <c r="K1429">
        <v>18400</v>
      </c>
      <c r="L1429" t="s">
        <v>73</v>
      </c>
      <c r="M1429" t="s">
        <v>22</v>
      </c>
      <c r="N1429" t="s">
        <v>52</v>
      </c>
      <c r="O1429" t="s">
        <v>24</v>
      </c>
      <c r="P1429">
        <f>Tableau1_2[[#This Row],[Quantité]]*Tableau1_2[[#This Row],[Prix_Unitaire]]</f>
        <v>240000</v>
      </c>
      <c r="Q1429">
        <f>Tableau1_2[[#This Row],[Quantité]]*Tableau1_2[[#This Row],[Coût_Unitaire]]</f>
        <v>147200</v>
      </c>
      <c r="R1429">
        <f>Tableau1_2[[#This Row],[CA]]-Tableau1_2[[#This Row],[Cout Total]]</f>
        <v>92800</v>
      </c>
      <c r="S1429" s="4">
        <f>Tableau1_2[[#This Row],[Marge]]/Tableau1_2[[#This Row],[CA]]</f>
        <v>0.38666666666666666</v>
      </c>
      <c r="T1429" t="str">
        <f>TEXT(Tableau1_2[[#This Row],[Date]],"mmmm")</f>
        <v>septembre</v>
      </c>
    </row>
    <row r="1430" spans="1:20" x14ac:dyDescent="0.35">
      <c r="A1430" t="s">
        <v>2442</v>
      </c>
      <c r="B1430" s="2">
        <v>46314</v>
      </c>
      <c r="C1430" t="s">
        <v>1572</v>
      </c>
      <c r="D1430" t="s">
        <v>2443</v>
      </c>
      <c r="E1430" t="s">
        <v>56</v>
      </c>
      <c r="F1430" t="s">
        <v>57</v>
      </c>
      <c r="G1430" t="s">
        <v>19</v>
      </c>
      <c r="H1430" t="s">
        <v>166</v>
      </c>
      <c r="I1430">
        <v>9</v>
      </c>
      <c r="J1430">
        <v>140000</v>
      </c>
      <c r="K1430">
        <v>97000</v>
      </c>
      <c r="L1430" t="s">
        <v>73</v>
      </c>
      <c r="M1430" t="s">
        <v>31</v>
      </c>
      <c r="N1430" t="s">
        <v>23</v>
      </c>
      <c r="O1430" t="s">
        <v>91</v>
      </c>
      <c r="P1430">
        <f>Tableau1_2[[#This Row],[Quantité]]*Tableau1_2[[#This Row],[Prix_Unitaire]]</f>
        <v>1260000</v>
      </c>
      <c r="Q1430">
        <f>Tableau1_2[[#This Row],[Quantité]]*Tableau1_2[[#This Row],[Coût_Unitaire]]</f>
        <v>873000</v>
      </c>
      <c r="R1430">
        <f>Tableau1_2[[#This Row],[CA]]-Tableau1_2[[#This Row],[Cout Total]]</f>
        <v>387000</v>
      </c>
      <c r="S1430" s="4">
        <f>Tableau1_2[[#This Row],[Marge]]/Tableau1_2[[#This Row],[CA]]</f>
        <v>0.30714285714285716</v>
      </c>
      <c r="T1430" t="str">
        <f>TEXT(Tableau1_2[[#This Row],[Date]],"mmmm")</f>
        <v>octobre</v>
      </c>
    </row>
    <row r="1431" spans="1:20" x14ac:dyDescent="0.35">
      <c r="A1431" t="s">
        <v>2444</v>
      </c>
      <c r="B1431" s="2">
        <v>46218</v>
      </c>
      <c r="C1431" t="s">
        <v>2445</v>
      </c>
      <c r="D1431" t="s">
        <v>988</v>
      </c>
      <c r="E1431" t="s">
        <v>156</v>
      </c>
      <c r="F1431" t="s">
        <v>170</v>
      </c>
      <c r="G1431" t="s">
        <v>43</v>
      </c>
      <c r="H1431" t="s">
        <v>44</v>
      </c>
      <c r="I1431">
        <v>5</v>
      </c>
      <c r="J1431">
        <v>14200</v>
      </c>
      <c r="K1431">
        <v>9500</v>
      </c>
      <c r="L1431" t="s">
        <v>21</v>
      </c>
      <c r="M1431" t="s">
        <v>37</v>
      </c>
      <c r="N1431" t="s">
        <v>23</v>
      </c>
      <c r="O1431" t="s">
        <v>24</v>
      </c>
      <c r="P1431">
        <f>Tableau1_2[[#This Row],[Quantité]]*Tableau1_2[[#This Row],[Prix_Unitaire]]</f>
        <v>71000</v>
      </c>
      <c r="Q1431">
        <f>Tableau1_2[[#This Row],[Quantité]]*Tableau1_2[[#This Row],[Coût_Unitaire]]</f>
        <v>47500</v>
      </c>
      <c r="R1431">
        <f>Tableau1_2[[#This Row],[CA]]-Tableau1_2[[#This Row],[Cout Total]]</f>
        <v>23500</v>
      </c>
      <c r="S1431" s="4">
        <f>Tableau1_2[[#This Row],[Marge]]/Tableau1_2[[#This Row],[CA]]</f>
        <v>0.33098591549295775</v>
      </c>
      <c r="T1431" t="str">
        <f>TEXT(Tableau1_2[[#This Row],[Date]],"mmmm")</f>
        <v>juillet</v>
      </c>
    </row>
    <row r="1432" spans="1:20" x14ac:dyDescent="0.35">
      <c r="A1432" t="s">
        <v>2446</v>
      </c>
      <c r="B1432" s="2">
        <v>46128</v>
      </c>
      <c r="C1432" t="s">
        <v>1243</v>
      </c>
      <c r="D1432" t="s">
        <v>950</v>
      </c>
      <c r="E1432" t="s">
        <v>41</v>
      </c>
      <c r="F1432" t="s">
        <v>42</v>
      </c>
      <c r="G1432" t="s">
        <v>43</v>
      </c>
      <c r="H1432" t="s">
        <v>177</v>
      </c>
      <c r="I1432">
        <v>10</v>
      </c>
      <c r="J1432">
        <v>18000</v>
      </c>
      <c r="K1432">
        <v>12500</v>
      </c>
      <c r="L1432" t="s">
        <v>66</v>
      </c>
      <c r="M1432" t="s">
        <v>37</v>
      </c>
      <c r="N1432" t="s">
        <v>52</v>
      </c>
      <c r="O1432" t="s">
        <v>24</v>
      </c>
      <c r="P1432">
        <f>Tableau1_2[[#This Row],[Quantité]]*Tableau1_2[[#This Row],[Prix_Unitaire]]</f>
        <v>180000</v>
      </c>
      <c r="Q1432">
        <f>Tableau1_2[[#This Row],[Quantité]]*Tableau1_2[[#This Row],[Coût_Unitaire]]</f>
        <v>125000</v>
      </c>
      <c r="R1432">
        <f>Tableau1_2[[#This Row],[CA]]-Tableau1_2[[#This Row],[Cout Total]]</f>
        <v>55000</v>
      </c>
      <c r="S1432" s="4">
        <f>Tableau1_2[[#This Row],[Marge]]/Tableau1_2[[#This Row],[CA]]</f>
        <v>0.30555555555555558</v>
      </c>
      <c r="T1432" t="str">
        <f>TEXT(Tableau1_2[[#This Row],[Date]],"mmmm")</f>
        <v>avril</v>
      </c>
    </row>
    <row r="1433" spans="1:20" x14ac:dyDescent="0.35">
      <c r="A1433" t="s">
        <v>2447</v>
      </c>
      <c r="B1433" s="2">
        <v>46141</v>
      </c>
      <c r="C1433" t="s">
        <v>1890</v>
      </c>
      <c r="D1433" t="s">
        <v>1947</v>
      </c>
      <c r="E1433" t="s">
        <v>18</v>
      </c>
      <c r="F1433" t="s">
        <v>18</v>
      </c>
      <c r="G1433" t="s">
        <v>34</v>
      </c>
      <c r="H1433" t="s">
        <v>141</v>
      </c>
      <c r="I1433">
        <v>10</v>
      </c>
      <c r="J1433">
        <v>168000</v>
      </c>
      <c r="K1433">
        <v>123600</v>
      </c>
      <c r="L1433" t="s">
        <v>66</v>
      </c>
      <c r="M1433" t="s">
        <v>51</v>
      </c>
      <c r="N1433" t="s">
        <v>52</v>
      </c>
      <c r="O1433" t="s">
        <v>24</v>
      </c>
      <c r="P1433">
        <f>Tableau1_2[[#This Row],[Quantité]]*Tableau1_2[[#This Row],[Prix_Unitaire]]</f>
        <v>1680000</v>
      </c>
      <c r="Q1433">
        <f>Tableau1_2[[#This Row],[Quantité]]*Tableau1_2[[#This Row],[Coût_Unitaire]]</f>
        <v>1236000</v>
      </c>
      <c r="R1433">
        <f>Tableau1_2[[#This Row],[CA]]-Tableau1_2[[#This Row],[Cout Total]]</f>
        <v>444000</v>
      </c>
      <c r="S1433" s="4">
        <f>Tableau1_2[[#This Row],[Marge]]/Tableau1_2[[#This Row],[CA]]</f>
        <v>0.26428571428571429</v>
      </c>
      <c r="T1433" t="str">
        <f>TEXT(Tableau1_2[[#This Row],[Date]],"mmmm")</f>
        <v>avril</v>
      </c>
    </row>
    <row r="1434" spans="1:20" x14ac:dyDescent="0.35">
      <c r="A1434" t="s">
        <v>2448</v>
      </c>
      <c r="B1434" s="2">
        <v>46145</v>
      </c>
      <c r="C1434" t="s">
        <v>2403</v>
      </c>
      <c r="D1434" t="s">
        <v>1303</v>
      </c>
      <c r="E1434" t="s">
        <v>190</v>
      </c>
      <c r="F1434" t="s">
        <v>191</v>
      </c>
      <c r="G1434" t="s">
        <v>34</v>
      </c>
      <c r="H1434" t="s">
        <v>35</v>
      </c>
      <c r="I1434">
        <v>4</v>
      </c>
      <c r="J1434">
        <v>52200</v>
      </c>
      <c r="K1434">
        <v>37800</v>
      </c>
      <c r="L1434" t="s">
        <v>73</v>
      </c>
      <c r="M1434" t="s">
        <v>51</v>
      </c>
      <c r="N1434" t="s">
        <v>52</v>
      </c>
      <c r="O1434" t="s">
        <v>24</v>
      </c>
      <c r="P1434">
        <f>Tableau1_2[[#This Row],[Quantité]]*Tableau1_2[[#This Row],[Prix_Unitaire]]</f>
        <v>208800</v>
      </c>
      <c r="Q1434">
        <f>Tableau1_2[[#This Row],[Quantité]]*Tableau1_2[[#This Row],[Coût_Unitaire]]</f>
        <v>151200</v>
      </c>
      <c r="R1434">
        <f>Tableau1_2[[#This Row],[CA]]-Tableau1_2[[#This Row],[Cout Total]]</f>
        <v>57600</v>
      </c>
      <c r="S1434" s="4">
        <f>Tableau1_2[[#This Row],[Marge]]/Tableau1_2[[#This Row],[CA]]</f>
        <v>0.27586206896551724</v>
      </c>
      <c r="T1434" t="str">
        <f>TEXT(Tableau1_2[[#This Row],[Date]],"mmmm")</f>
        <v>mai</v>
      </c>
    </row>
    <row r="1435" spans="1:20" x14ac:dyDescent="0.35">
      <c r="A1435" t="s">
        <v>2449</v>
      </c>
      <c r="B1435" s="2">
        <v>46305</v>
      </c>
      <c r="C1435" t="s">
        <v>1033</v>
      </c>
      <c r="D1435" t="s">
        <v>1691</v>
      </c>
      <c r="E1435" t="s">
        <v>77</v>
      </c>
      <c r="F1435" t="s">
        <v>78</v>
      </c>
      <c r="G1435" t="s">
        <v>34</v>
      </c>
      <c r="H1435" t="s">
        <v>95</v>
      </c>
      <c r="I1435">
        <v>8</v>
      </c>
      <c r="J1435">
        <v>427500</v>
      </c>
      <c r="K1435">
        <v>370000</v>
      </c>
      <c r="L1435" t="s">
        <v>36</v>
      </c>
      <c r="M1435" t="s">
        <v>37</v>
      </c>
      <c r="N1435" t="s">
        <v>52</v>
      </c>
      <c r="O1435" t="s">
        <v>45</v>
      </c>
      <c r="P1435">
        <f>Tableau1_2[[#This Row],[Quantité]]*Tableau1_2[[#This Row],[Prix_Unitaire]]</f>
        <v>3420000</v>
      </c>
      <c r="Q1435">
        <f>Tableau1_2[[#This Row],[Quantité]]*Tableau1_2[[#This Row],[Coût_Unitaire]]</f>
        <v>2960000</v>
      </c>
      <c r="R1435">
        <f>Tableau1_2[[#This Row],[CA]]-Tableau1_2[[#This Row],[Cout Total]]</f>
        <v>460000</v>
      </c>
      <c r="S1435" s="4">
        <f>Tableau1_2[[#This Row],[Marge]]/Tableau1_2[[#This Row],[CA]]</f>
        <v>0.13450292397660818</v>
      </c>
      <c r="T1435" t="str">
        <f>TEXT(Tableau1_2[[#This Row],[Date]],"mmmm")</f>
        <v>octobre</v>
      </c>
    </row>
    <row r="1436" spans="1:20" x14ac:dyDescent="0.35">
      <c r="A1436" t="s">
        <v>2450</v>
      </c>
      <c r="B1436" s="2">
        <v>46223</v>
      </c>
      <c r="C1436" t="s">
        <v>820</v>
      </c>
      <c r="D1436" t="s">
        <v>2451</v>
      </c>
      <c r="E1436" t="s">
        <v>156</v>
      </c>
      <c r="F1436" t="s">
        <v>170</v>
      </c>
      <c r="G1436" t="s">
        <v>43</v>
      </c>
      <c r="H1436" t="s">
        <v>162</v>
      </c>
      <c r="I1436">
        <v>6</v>
      </c>
      <c r="J1436">
        <v>8000</v>
      </c>
      <c r="K1436">
        <v>5200</v>
      </c>
      <c r="L1436" t="s">
        <v>50</v>
      </c>
      <c r="M1436" t="s">
        <v>31</v>
      </c>
      <c r="N1436" t="s">
        <v>52</v>
      </c>
      <c r="O1436" t="s">
        <v>24</v>
      </c>
      <c r="P1436">
        <f>Tableau1_2[[#This Row],[Quantité]]*Tableau1_2[[#This Row],[Prix_Unitaire]]</f>
        <v>48000</v>
      </c>
      <c r="Q1436">
        <f>Tableau1_2[[#This Row],[Quantité]]*Tableau1_2[[#This Row],[Coût_Unitaire]]</f>
        <v>31200</v>
      </c>
      <c r="R1436">
        <f>Tableau1_2[[#This Row],[CA]]-Tableau1_2[[#This Row],[Cout Total]]</f>
        <v>16800</v>
      </c>
      <c r="S1436" s="4">
        <f>Tableau1_2[[#This Row],[Marge]]/Tableau1_2[[#This Row],[CA]]</f>
        <v>0.35</v>
      </c>
      <c r="T1436" t="str">
        <f>TEXT(Tableau1_2[[#This Row],[Date]],"mmmm")</f>
        <v>juillet</v>
      </c>
    </row>
    <row r="1437" spans="1:20" x14ac:dyDescent="0.35">
      <c r="A1437" t="s">
        <v>2452</v>
      </c>
      <c r="B1437" s="2">
        <v>46206</v>
      </c>
      <c r="C1437" t="s">
        <v>358</v>
      </c>
      <c r="D1437" t="s">
        <v>672</v>
      </c>
      <c r="E1437" t="s">
        <v>84</v>
      </c>
      <c r="F1437" t="s">
        <v>85</v>
      </c>
      <c r="G1437" t="s">
        <v>43</v>
      </c>
      <c r="H1437" t="s">
        <v>79</v>
      </c>
      <c r="I1437">
        <v>8</v>
      </c>
      <c r="J1437">
        <v>6000</v>
      </c>
      <c r="K1437">
        <v>4100</v>
      </c>
      <c r="L1437" t="s">
        <v>73</v>
      </c>
      <c r="M1437" t="s">
        <v>37</v>
      </c>
      <c r="N1437" t="s">
        <v>23</v>
      </c>
      <c r="O1437" t="s">
        <v>91</v>
      </c>
      <c r="P1437">
        <f>Tableau1_2[[#This Row],[Quantité]]*Tableau1_2[[#This Row],[Prix_Unitaire]]</f>
        <v>48000</v>
      </c>
      <c r="Q1437">
        <f>Tableau1_2[[#This Row],[Quantité]]*Tableau1_2[[#This Row],[Coût_Unitaire]]</f>
        <v>32800</v>
      </c>
      <c r="R1437">
        <f>Tableau1_2[[#This Row],[CA]]-Tableau1_2[[#This Row],[Cout Total]]</f>
        <v>15200</v>
      </c>
      <c r="S1437" s="4">
        <f>Tableau1_2[[#This Row],[Marge]]/Tableau1_2[[#This Row],[CA]]</f>
        <v>0.31666666666666665</v>
      </c>
      <c r="T1437" t="str">
        <f>TEXT(Tableau1_2[[#This Row],[Date]],"mmmm")</f>
        <v>juillet</v>
      </c>
    </row>
    <row r="1438" spans="1:20" x14ac:dyDescent="0.35">
      <c r="A1438" t="s">
        <v>2453</v>
      </c>
      <c r="B1438" s="2">
        <v>46251</v>
      </c>
      <c r="C1438" t="s">
        <v>510</v>
      </c>
      <c r="D1438" t="s">
        <v>1839</v>
      </c>
      <c r="E1438" t="s">
        <v>77</v>
      </c>
      <c r="F1438" t="s">
        <v>78</v>
      </c>
      <c r="G1438" t="s">
        <v>34</v>
      </c>
      <c r="H1438" t="s">
        <v>141</v>
      </c>
      <c r="I1438">
        <v>7</v>
      </c>
      <c r="J1438">
        <v>168000</v>
      </c>
      <c r="K1438">
        <v>116400</v>
      </c>
      <c r="L1438" t="s">
        <v>73</v>
      </c>
      <c r="M1438" t="s">
        <v>22</v>
      </c>
      <c r="N1438" t="s">
        <v>23</v>
      </c>
      <c r="O1438" t="s">
        <v>24</v>
      </c>
      <c r="P1438">
        <f>Tableau1_2[[#This Row],[Quantité]]*Tableau1_2[[#This Row],[Prix_Unitaire]]</f>
        <v>1176000</v>
      </c>
      <c r="Q1438">
        <f>Tableau1_2[[#This Row],[Quantité]]*Tableau1_2[[#This Row],[Coût_Unitaire]]</f>
        <v>814800</v>
      </c>
      <c r="R1438">
        <f>Tableau1_2[[#This Row],[CA]]-Tableau1_2[[#This Row],[Cout Total]]</f>
        <v>361200</v>
      </c>
      <c r="S1438" s="4">
        <f>Tableau1_2[[#This Row],[Marge]]/Tableau1_2[[#This Row],[CA]]</f>
        <v>0.30714285714285716</v>
      </c>
      <c r="T1438" t="str">
        <f>TEXT(Tableau1_2[[#This Row],[Date]],"mmmm")</f>
        <v>août</v>
      </c>
    </row>
    <row r="1439" spans="1:20" x14ac:dyDescent="0.35">
      <c r="A1439" t="s">
        <v>2454</v>
      </c>
      <c r="B1439" s="2">
        <v>46029</v>
      </c>
      <c r="C1439" t="s">
        <v>136</v>
      </c>
      <c r="D1439" t="s">
        <v>880</v>
      </c>
      <c r="E1439" t="s">
        <v>156</v>
      </c>
      <c r="F1439" t="s">
        <v>157</v>
      </c>
      <c r="G1439" t="s">
        <v>43</v>
      </c>
      <c r="H1439" t="s">
        <v>79</v>
      </c>
      <c r="I1439">
        <v>2</v>
      </c>
      <c r="J1439">
        <v>6300</v>
      </c>
      <c r="K1439">
        <v>4100</v>
      </c>
      <c r="L1439" t="s">
        <v>73</v>
      </c>
      <c r="M1439" t="s">
        <v>37</v>
      </c>
      <c r="N1439" t="s">
        <v>52</v>
      </c>
      <c r="O1439" t="s">
        <v>24</v>
      </c>
      <c r="P1439">
        <f>Tableau1_2[[#This Row],[Quantité]]*Tableau1_2[[#This Row],[Prix_Unitaire]]</f>
        <v>12600</v>
      </c>
      <c r="Q1439">
        <f>Tableau1_2[[#This Row],[Quantité]]*Tableau1_2[[#This Row],[Coût_Unitaire]]</f>
        <v>8200</v>
      </c>
      <c r="R1439">
        <f>Tableau1_2[[#This Row],[CA]]-Tableau1_2[[#This Row],[Cout Total]]</f>
        <v>4400</v>
      </c>
      <c r="S1439" s="4">
        <f>Tableau1_2[[#This Row],[Marge]]/Tableau1_2[[#This Row],[CA]]</f>
        <v>0.34920634920634919</v>
      </c>
      <c r="T1439" t="str">
        <f>TEXT(Tableau1_2[[#This Row],[Date]],"mmmm")</f>
        <v>janvier</v>
      </c>
    </row>
    <row r="1440" spans="1:20" x14ac:dyDescent="0.35">
      <c r="A1440" t="s">
        <v>2455</v>
      </c>
      <c r="B1440" s="2">
        <v>46284</v>
      </c>
      <c r="C1440" t="s">
        <v>1747</v>
      </c>
      <c r="D1440" t="s">
        <v>194</v>
      </c>
      <c r="E1440" t="s">
        <v>18</v>
      </c>
      <c r="F1440" t="s">
        <v>18</v>
      </c>
      <c r="G1440" t="s">
        <v>43</v>
      </c>
      <c r="H1440" t="s">
        <v>44</v>
      </c>
      <c r="I1440">
        <v>5</v>
      </c>
      <c r="J1440">
        <v>15800</v>
      </c>
      <c r="K1440">
        <v>9200</v>
      </c>
      <c r="L1440" t="s">
        <v>30</v>
      </c>
      <c r="M1440" t="s">
        <v>22</v>
      </c>
      <c r="N1440" t="s">
        <v>23</v>
      </c>
      <c r="O1440" t="s">
        <v>24</v>
      </c>
      <c r="P1440">
        <f>Tableau1_2[[#This Row],[Quantité]]*Tableau1_2[[#This Row],[Prix_Unitaire]]</f>
        <v>79000</v>
      </c>
      <c r="Q1440">
        <f>Tableau1_2[[#This Row],[Quantité]]*Tableau1_2[[#This Row],[Coût_Unitaire]]</f>
        <v>46000</v>
      </c>
      <c r="R1440">
        <f>Tableau1_2[[#This Row],[CA]]-Tableau1_2[[#This Row],[Cout Total]]</f>
        <v>33000</v>
      </c>
      <c r="S1440" s="4">
        <f>Tableau1_2[[#This Row],[Marge]]/Tableau1_2[[#This Row],[CA]]</f>
        <v>0.41772151898734178</v>
      </c>
      <c r="T1440" t="str">
        <f>TEXT(Tableau1_2[[#This Row],[Date]],"mmmm")</f>
        <v>septembre</v>
      </c>
    </row>
    <row r="1441" spans="1:20" x14ac:dyDescent="0.35">
      <c r="A1441" t="s">
        <v>2456</v>
      </c>
      <c r="B1441" s="2">
        <v>46170</v>
      </c>
      <c r="C1441" t="s">
        <v>2457</v>
      </c>
      <c r="D1441" t="s">
        <v>435</v>
      </c>
      <c r="E1441" t="s">
        <v>18</v>
      </c>
      <c r="F1441" t="s">
        <v>18</v>
      </c>
      <c r="G1441" t="s">
        <v>19</v>
      </c>
      <c r="H1441" t="s">
        <v>112</v>
      </c>
      <c r="I1441">
        <v>4</v>
      </c>
      <c r="J1441">
        <v>80800</v>
      </c>
      <c r="K1441">
        <v>60100</v>
      </c>
      <c r="L1441" t="s">
        <v>80</v>
      </c>
      <c r="M1441" t="s">
        <v>51</v>
      </c>
      <c r="N1441" t="s">
        <v>52</v>
      </c>
      <c r="O1441" t="s">
        <v>24</v>
      </c>
      <c r="P1441">
        <f>Tableau1_2[[#This Row],[Quantité]]*Tableau1_2[[#This Row],[Prix_Unitaire]]</f>
        <v>323200</v>
      </c>
      <c r="Q1441">
        <f>Tableau1_2[[#This Row],[Quantité]]*Tableau1_2[[#This Row],[Coût_Unitaire]]</f>
        <v>240400</v>
      </c>
      <c r="R1441">
        <f>Tableau1_2[[#This Row],[CA]]-Tableau1_2[[#This Row],[Cout Total]]</f>
        <v>82800</v>
      </c>
      <c r="S1441" s="4">
        <f>Tableau1_2[[#This Row],[Marge]]/Tableau1_2[[#This Row],[CA]]</f>
        <v>0.25618811881188119</v>
      </c>
      <c r="T1441" t="str">
        <f>TEXT(Tableau1_2[[#This Row],[Date]],"mmmm")</f>
        <v>mai</v>
      </c>
    </row>
    <row r="1442" spans="1:20" x14ac:dyDescent="0.35">
      <c r="A1442" t="s">
        <v>2458</v>
      </c>
      <c r="B1442" s="2">
        <v>46384</v>
      </c>
      <c r="C1442" t="s">
        <v>1064</v>
      </c>
      <c r="D1442" t="s">
        <v>1783</v>
      </c>
      <c r="E1442" t="s">
        <v>18</v>
      </c>
      <c r="F1442" t="s">
        <v>18</v>
      </c>
      <c r="G1442" t="s">
        <v>19</v>
      </c>
      <c r="H1442" t="s">
        <v>20</v>
      </c>
      <c r="I1442">
        <v>5</v>
      </c>
      <c r="J1442">
        <v>65000</v>
      </c>
      <c r="K1442">
        <v>45000</v>
      </c>
      <c r="L1442" t="s">
        <v>36</v>
      </c>
      <c r="M1442" t="s">
        <v>31</v>
      </c>
      <c r="N1442" t="s">
        <v>87</v>
      </c>
      <c r="O1442" t="s">
        <v>24</v>
      </c>
      <c r="P1442">
        <f>Tableau1_2[[#This Row],[Quantité]]*Tableau1_2[[#This Row],[Prix_Unitaire]]</f>
        <v>325000</v>
      </c>
      <c r="Q1442">
        <f>Tableau1_2[[#This Row],[Quantité]]*Tableau1_2[[#This Row],[Coût_Unitaire]]</f>
        <v>225000</v>
      </c>
      <c r="R1442">
        <f>Tableau1_2[[#This Row],[CA]]-Tableau1_2[[#This Row],[Cout Total]]</f>
        <v>100000</v>
      </c>
      <c r="S1442" s="4">
        <f>Tableau1_2[[#This Row],[Marge]]/Tableau1_2[[#This Row],[CA]]</f>
        <v>0.30769230769230771</v>
      </c>
      <c r="T1442" t="str">
        <f>TEXT(Tableau1_2[[#This Row],[Date]],"mmmm")</f>
        <v>décembre</v>
      </c>
    </row>
    <row r="1443" spans="1:20" x14ac:dyDescent="0.35">
      <c r="A1443" t="s">
        <v>2459</v>
      </c>
      <c r="B1443" s="2">
        <v>46167</v>
      </c>
      <c r="C1443" t="s">
        <v>1879</v>
      </c>
      <c r="D1443" t="s">
        <v>1338</v>
      </c>
      <c r="E1443" t="s">
        <v>18</v>
      </c>
      <c r="F1443" t="s">
        <v>18</v>
      </c>
      <c r="G1443" t="s">
        <v>34</v>
      </c>
      <c r="H1443" t="s">
        <v>158</v>
      </c>
      <c r="I1443">
        <v>3</v>
      </c>
      <c r="J1443">
        <v>95000</v>
      </c>
      <c r="K1443">
        <v>72100</v>
      </c>
      <c r="L1443" t="s">
        <v>50</v>
      </c>
      <c r="M1443" t="s">
        <v>31</v>
      </c>
      <c r="N1443" t="s">
        <v>23</v>
      </c>
      <c r="O1443" t="s">
        <v>24</v>
      </c>
      <c r="P1443">
        <f>Tableau1_2[[#This Row],[Quantité]]*Tableau1_2[[#This Row],[Prix_Unitaire]]</f>
        <v>285000</v>
      </c>
      <c r="Q1443">
        <f>Tableau1_2[[#This Row],[Quantité]]*Tableau1_2[[#This Row],[Coût_Unitaire]]</f>
        <v>216300</v>
      </c>
      <c r="R1443">
        <f>Tableau1_2[[#This Row],[CA]]-Tableau1_2[[#This Row],[Cout Total]]</f>
        <v>68700</v>
      </c>
      <c r="S1443" s="4">
        <f>Tableau1_2[[#This Row],[Marge]]/Tableau1_2[[#This Row],[CA]]</f>
        <v>0.24105263157894738</v>
      </c>
      <c r="T1443" t="str">
        <f>TEXT(Tableau1_2[[#This Row],[Date]],"mmmm")</f>
        <v>mai</v>
      </c>
    </row>
    <row r="1444" spans="1:20" x14ac:dyDescent="0.35">
      <c r="A1444" t="s">
        <v>2460</v>
      </c>
      <c r="B1444" s="2">
        <v>46036</v>
      </c>
      <c r="C1444" t="s">
        <v>2233</v>
      </c>
      <c r="D1444" t="s">
        <v>2461</v>
      </c>
      <c r="E1444" t="s">
        <v>18</v>
      </c>
      <c r="F1444" t="s">
        <v>18</v>
      </c>
      <c r="G1444" t="s">
        <v>34</v>
      </c>
      <c r="H1444" t="s">
        <v>141</v>
      </c>
      <c r="I1444">
        <v>2</v>
      </c>
      <c r="J1444">
        <v>160000</v>
      </c>
      <c r="K1444">
        <v>123600</v>
      </c>
      <c r="L1444" t="s">
        <v>66</v>
      </c>
      <c r="M1444" t="s">
        <v>51</v>
      </c>
      <c r="N1444" t="s">
        <v>87</v>
      </c>
      <c r="O1444" t="s">
        <v>24</v>
      </c>
      <c r="P1444">
        <f>Tableau1_2[[#This Row],[Quantité]]*Tableau1_2[[#This Row],[Prix_Unitaire]]</f>
        <v>320000</v>
      </c>
      <c r="Q1444">
        <f>Tableau1_2[[#This Row],[Quantité]]*Tableau1_2[[#This Row],[Coût_Unitaire]]</f>
        <v>247200</v>
      </c>
      <c r="R1444">
        <f>Tableau1_2[[#This Row],[CA]]-Tableau1_2[[#This Row],[Cout Total]]</f>
        <v>72800</v>
      </c>
      <c r="S1444" s="4">
        <f>Tableau1_2[[#This Row],[Marge]]/Tableau1_2[[#This Row],[CA]]</f>
        <v>0.22750000000000001</v>
      </c>
      <c r="T1444" t="str">
        <f>TEXT(Tableau1_2[[#This Row],[Date]],"mmmm")</f>
        <v>janvier</v>
      </c>
    </row>
    <row r="1445" spans="1:20" x14ac:dyDescent="0.35">
      <c r="A1445" t="s">
        <v>2462</v>
      </c>
      <c r="B1445" s="2">
        <v>46259</v>
      </c>
      <c r="C1445" t="s">
        <v>1358</v>
      </c>
      <c r="D1445" t="s">
        <v>189</v>
      </c>
      <c r="E1445" t="s">
        <v>77</v>
      </c>
      <c r="F1445" t="s">
        <v>78</v>
      </c>
      <c r="G1445" t="s">
        <v>34</v>
      </c>
      <c r="H1445" t="s">
        <v>86</v>
      </c>
      <c r="I1445">
        <v>5</v>
      </c>
      <c r="J1445">
        <v>180000</v>
      </c>
      <c r="K1445">
        <v>135000</v>
      </c>
      <c r="L1445" t="s">
        <v>80</v>
      </c>
      <c r="M1445" t="s">
        <v>22</v>
      </c>
      <c r="N1445" t="s">
        <v>23</v>
      </c>
      <c r="O1445" t="s">
        <v>91</v>
      </c>
      <c r="P1445">
        <f>Tableau1_2[[#This Row],[Quantité]]*Tableau1_2[[#This Row],[Prix_Unitaire]]</f>
        <v>900000</v>
      </c>
      <c r="Q1445">
        <f>Tableau1_2[[#This Row],[Quantité]]*Tableau1_2[[#This Row],[Coût_Unitaire]]</f>
        <v>675000</v>
      </c>
      <c r="R1445">
        <f>Tableau1_2[[#This Row],[CA]]-Tableau1_2[[#This Row],[Cout Total]]</f>
        <v>225000</v>
      </c>
      <c r="S1445" s="4">
        <f>Tableau1_2[[#This Row],[Marge]]/Tableau1_2[[#This Row],[CA]]</f>
        <v>0.25</v>
      </c>
      <c r="T1445" t="str">
        <f>TEXT(Tableau1_2[[#This Row],[Date]],"mmmm")</f>
        <v>août</v>
      </c>
    </row>
    <row r="1446" spans="1:20" x14ac:dyDescent="0.35">
      <c r="A1446" t="s">
        <v>2463</v>
      </c>
      <c r="B1446" s="2">
        <v>46025</v>
      </c>
      <c r="C1446" t="s">
        <v>1223</v>
      </c>
      <c r="D1446" t="s">
        <v>94</v>
      </c>
      <c r="E1446" t="s">
        <v>18</v>
      </c>
      <c r="F1446" t="s">
        <v>18</v>
      </c>
      <c r="G1446" t="s">
        <v>34</v>
      </c>
      <c r="H1446" t="s">
        <v>86</v>
      </c>
      <c r="I1446">
        <v>7</v>
      </c>
      <c r="J1446">
        <v>180000</v>
      </c>
      <c r="K1446">
        <v>139000</v>
      </c>
      <c r="L1446" t="s">
        <v>73</v>
      </c>
      <c r="M1446" t="s">
        <v>22</v>
      </c>
      <c r="N1446" t="s">
        <v>52</v>
      </c>
      <c r="O1446" t="s">
        <v>24</v>
      </c>
      <c r="P1446">
        <f>Tableau1_2[[#This Row],[Quantité]]*Tableau1_2[[#This Row],[Prix_Unitaire]]</f>
        <v>1260000</v>
      </c>
      <c r="Q1446">
        <f>Tableau1_2[[#This Row],[Quantité]]*Tableau1_2[[#This Row],[Coût_Unitaire]]</f>
        <v>973000</v>
      </c>
      <c r="R1446">
        <f>Tableau1_2[[#This Row],[CA]]-Tableau1_2[[#This Row],[Cout Total]]</f>
        <v>287000</v>
      </c>
      <c r="S1446" s="4">
        <f>Tableau1_2[[#This Row],[Marge]]/Tableau1_2[[#This Row],[CA]]</f>
        <v>0.22777777777777777</v>
      </c>
      <c r="T1446" t="str">
        <f>TEXT(Tableau1_2[[#This Row],[Date]],"mmmm")</f>
        <v>janvier</v>
      </c>
    </row>
    <row r="1447" spans="1:20" x14ac:dyDescent="0.35">
      <c r="A1447" t="s">
        <v>2464</v>
      </c>
      <c r="B1447" s="2">
        <v>46086</v>
      </c>
      <c r="C1447" t="s">
        <v>2011</v>
      </c>
      <c r="D1447" t="s">
        <v>1741</v>
      </c>
      <c r="E1447" t="s">
        <v>18</v>
      </c>
      <c r="F1447" t="s">
        <v>18</v>
      </c>
      <c r="G1447" t="s">
        <v>28</v>
      </c>
      <c r="H1447" t="s">
        <v>248</v>
      </c>
      <c r="I1447">
        <v>4</v>
      </c>
      <c r="J1447">
        <v>26200</v>
      </c>
      <c r="K1447">
        <v>16500</v>
      </c>
      <c r="L1447" t="s">
        <v>80</v>
      </c>
      <c r="M1447" t="s">
        <v>22</v>
      </c>
      <c r="N1447" t="s">
        <v>52</v>
      </c>
      <c r="O1447" t="s">
        <v>24</v>
      </c>
      <c r="P1447">
        <f>Tableau1_2[[#This Row],[Quantité]]*Tableau1_2[[#This Row],[Prix_Unitaire]]</f>
        <v>104800</v>
      </c>
      <c r="Q1447">
        <f>Tableau1_2[[#This Row],[Quantité]]*Tableau1_2[[#This Row],[Coût_Unitaire]]</f>
        <v>66000</v>
      </c>
      <c r="R1447">
        <f>Tableau1_2[[#This Row],[CA]]-Tableau1_2[[#This Row],[Cout Total]]</f>
        <v>38800</v>
      </c>
      <c r="S1447" s="4">
        <f>Tableau1_2[[#This Row],[Marge]]/Tableau1_2[[#This Row],[CA]]</f>
        <v>0.37022900763358779</v>
      </c>
      <c r="T1447" t="str">
        <f>TEXT(Tableau1_2[[#This Row],[Date]],"mmmm")</f>
        <v>mars</v>
      </c>
    </row>
    <row r="1448" spans="1:20" x14ac:dyDescent="0.35">
      <c r="A1448" t="s">
        <v>2465</v>
      </c>
      <c r="B1448" s="2">
        <v>46274</v>
      </c>
      <c r="C1448" t="s">
        <v>2466</v>
      </c>
      <c r="D1448" t="s">
        <v>1338</v>
      </c>
      <c r="E1448" t="s">
        <v>18</v>
      </c>
      <c r="F1448" t="s">
        <v>18</v>
      </c>
      <c r="G1448" t="s">
        <v>19</v>
      </c>
      <c r="H1448" t="s">
        <v>61</v>
      </c>
      <c r="I1448">
        <v>10</v>
      </c>
      <c r="J1448">
        <v>220000</v>
      </c>
      <c r="K1448">
        <v>164800</v>
      </c>
      <c r="L1448" t="s">
        <v>21</v>
      </c>
      <c r="M1448" t="s">
        <v>51</v>
      </c>
      <c r="N1448" t="s">
        <v>23</v>
      </c>
      <c r="O1448" t="s">
        <v>45</v>
      </c>
      <c r="P1448">
        <f>Tableau1_2[[#This Row],[Quantité]]*Tableau1_2[[#This Row],[Prix_Unitaire]]</f>
        <v>2200000</v>
      </c>
      <c r="Q1448">
        <f>Tableau1_2[[#This Row],[Quantité]]*Tableau1_2[[#This Row],[Coût_Unitaire]]</f>
        <v>1648000</v>
      </c>
      <c r="R1448">
        <f>Tableau1_2[[#This Row],[CA]]-Tableau1_2[[#This Row],[Cout Total]]</f>
        <v>552000</v>
      </c>
      <c r="S1448" s="4">
        <f>Tableau1_2[[#This Row],[Marge]]/Tableau1_2[[#This Row],[CA]]</f>
        <v>0.25090909090909091</v>
      </c>
      <c r="T1448" t="str">
        <f>TEXT(Tableau1_2[[#This Row],[Date]],"mmmm")</f>
        <v>septembre</v>
      </c>
    </row>
    <row r="1449" spans="1:20" x14ac:dyDescent="0.35">
      <c r="A1449" t="s">
        <v>2467</v>
      </c>
      <c r="B1449" s="2">
        <v>46155</v>
      </c>
      <c r="C1449" t="s">
        <v>503</v>
      </c>
      <c r="D1449" t="s">
        <v>1228</v>
      </c>
      <c r="E1449" t="s">
        <v>84</v>
      </c>
      <c r="F1449" t="s">
        <v>85</v>
      </c>
      <c r="G1449" t="s">
        <v>43</v>
      </c>
      <c r="H1449" t="s">
        <v>79</v>
      </c>
      <c r="I1449">
        <v>4</v>
      </c>
      <c r="J1449">
        <v>5700</v>
      </c>
      <c r="K1449">
        <v>4300</v>
      </c>
      <c r="L1449" t="s">
        <v>21</v>
      </c>
      <c r="M1449" t="s">
        <v>37</v>
      </c>
      <c r="N1449" t="s">
        <v>87</v>
      </c>
      <c r="O1449" t="s">
        <v>24</v>
      </c>
      <c r="P1449">
        <f>Tableau1_2[[#This Row],[Quantité]]*Tableau1_2[[#This Row],[Prix_Unitaire]]</f>
        <v>22800</v>
      </c>
      <c r="Q1449">
        <f>Tableau1_2[[#This Row],[Quantité]]*Tableau1_2[[#This Row],[Coût_Unitaire]]</f>
        <v>17200</v>
      </c>
      <c r="R1449">
        <f>Tableau1_2[[#This Row],[CA]]-Tableau1_2[[#This Row],[Cout Total]]</f>
        <v>5600</v>
      </c>
      <c r="S1449" s="4">
        <f>Tableau1_2[[#This Row],[Marge]]/Tableau1_2[[#This Row],[CA]]</f>
        <v>0.24561403508771928</v>
      </c>
      <c r="T1449" t="str">
        <f>TEXT(Tableau1_2[[#This Row],[Date]],"mmmm")</f>
        <v>mai</v>
      </c>
    </row>
    <row r="1450" spans="1:20" x14ac:dyDescent="0.35">
      <c r="A1450" t="s">
        <v>2468</v>
      </c>
      <c r="B1450" s="2">
        <v>46384</v>
      </c>
      <c r="C1450" t="s">
        <v>645</v>
      </c>
      <c r="D1450" t="s">
        <v>121</v>
      </c>
      <c r="E1450" t="s">
        <v>18</v>
      </c>
      <c r="F1450" t="s">
        <v>18</v>
      </c>
      <c r="G1450" t="s">
        <v>34</v>
      </c>
      <c r="H1450" t="s">
        <v>95</v>
      </c>
      <c r="I1450">
        <v>7</v>
      </c>
      <c r="J1450">
        <v>472500</v>
      </c>
      <c r="K1450">
        <v>370000</v>
      </c>
      <c r="L1450" t="s">
        <v>66</v>
      </c>
      <c r="M1450" t="s">
        <v>51</v>
      </c>
      <c r="N1450" t="s">
        <v>87</v>
      </c>
      <c r="O1450" t="s">
        <v>24</v>
      </c>
      <c r="P1450">
        <f>Tableau1_2[[#This Row],[Quantité]]*Tableau1_2[[#This Row],[Prix_Unitaire]]</f>
        <v>3307500</v>
      </c>
      <c r="Q1450">
        <f>Tableau1_2[[#This Row],[Quantité]]*Tableau1_2[[#This Row],[Coût_Unitaire]]</f>
        <v>2590000</v>
      </c>
      <c r="R1450">
        <f>Tableau1_2[[#This Row],[CA]]-Tableau1_2[[#This Row],[Cout Total]]</f>
        <v>717500</v>
      </c>
      <c r="S1450" s="4">
        <f>Tableau1_2[[#This Row],[Marge]]/Tableau1_2[[#This Row],[CA]]</f>
        <v>0.21693121693121692</v>
      </c>
      <c r="T1450" t="str">
        <f>TEXT(Tableau1_2[[#This Row],[Date]],"mmmm")</f>
        <v>décembre</v>
      </c>
    </row>
    <row r="1451" spans="1:20" x14ac:dyDescent="0.35">
      <c r="A1451" t="s">
        <v>2469</v>
      </c>
      <c r="B1451" s="2">
        <v>46289</v>
      </c>
      <c r="C1451" t="s">
        <v>1356</v>
      </c>
      <c r="D1451" t="s">
        <v>468</v>
      </c>
      <c r="E1451" t="s">
        <v>18</v>
      </c>
      <c r="F1451" t="s">
        <v>18</v>
      </c>
      <c r="G1451" t="s">
        <v>43</v>
      </c>
      <c r="H1451" t="s">
        <v>79</v>
      </c>
      <c r="I1451">
        <v>8</v>
      </c>
      <c r="J1451">
        <v>6300</v>
      </c>
      <c r="K1451">
        <v>4300</v>
      </c>
      <c r="L1451" t="s">
        <v>96</v>
      </c>
      <c r="M1451" t="s">
        <v>37</v>
      </c>
      <c r="N1451" t="s">
        <v>52</v>
      </c>
      <c r="O1451" t="s">
        <v>24</v>
      </c>
      <c r="P1451">
        <f>Tableau1_2[[#This Row],[Quantité]]*Tableau1_2[[#This Row],[Prix_Unitaire]]</f>
        <v>50400</v>
      </c>
      <c r="Q1451">
        <f>Tableau1_2[[#This Row],[Quantité]]*Tableau1_2[[#This Row],[Coût_Unitaire]]</f>
        <v>34400</v>
      </c>
      <c r="R1451">
        <f>Tableau1_2[[#This Row],[CA]]-Tableau1_2[[#This Row],[Cout Total]]</f>
        <v>16000</v>
      </c>
      <c r="S1451" s="4">
        <f>Tableau1_2[[#This Row],[Marge]]/Tableau1_2[[#This Row],[CA]]</f>
        <v>0.31746031746031744</v>
      </c>
      <c r="T1451" t="str">
        <f>TEXT(Tableau1_2[[#This Row],[Date]],"mmmm")</f>
        <v>septembre</v>
      </c>
    </row>
    <row r="1452" spans="1:20" x14ac:dyDescent="0.35">
      <c r="A1452" t="s">
        <v>2470</v>
      </c>
      <c r="B1452" s="2">
        <v>46147</v>
      </c>
      <c r="C1452" t="s">
        <v>600</v>
      </c>
      <c r="D1452" t="s">
        <v>340</v>
      </c>
      <c r="E1452" t="s">
        <v>84</v>
      </c>
      <c r="F1452" t="s">
        <v>85</v>
      </c>
      <c r="G1452" t="s">
        <v>43</v>
      </c>
      <c r="H1452" t="s">
        <v>79</v>
      </c>
      <c r="I1452">
        <v>8</v>
      </c>
      <c r="J1452">
        <v>5700</v>
      </c>
      <c r="K1452">
        <v>4200</v>
      </c>
      <c r="L1452" t="s">
        <v>96</v>
      </c>
      <c r="M1452" t="s">
        <v>51</v>
      </c>
      <c r="N1452" t="s">
        <v>52</v>
      </c>
      <c r="O1452" t="s">
        <v>24</v>
      </c>
      <c r="P1452">
        <f>Tableau1_2[[#This Row],[Quantité]]*Tableau1_2[[#This Row],[Prix_Unitaire]]</f>
        <v>45600</v>
      </c>
      <c r="Q1452">
        <f>Tableau1_2[[#This Row],[Quantité]]*Tableau1_2[[#This Row],[Coût_Unitaire]]</f>
        <v>33600</v>
      </c>
      <c r="R1452">
        <f>Tableau1_2[[#This Row],[CA]]-Tableau1_2[[#This Row],[Cout Total]]</f>
        <v>12000</v>
      </c>
      <c r="S1452" s="4">
        <f>Tableau1_2[[#This Row],[Marge]]/Tableau1_2[[#This Row],[CA]]</f>
        <v>0.26315789473684209</v>
      </c>
      <c r="T1452" t="str">
        <f>TEXT(Tableau1_2[[#This Row],[Date]],"mmmm")</f>
        <v>mai</v>
      </c>
    </row>
    <row r="1453" spans="1:20" x14ac:dyDescent="0.35">
      <c r="A1453" t="s">
        <v>2471</v>
      </c>
      <c r="B1453" s="2">
        <v>46140</v>
      </c>
      <c r="C1453" t="s">
        <v>2432</v>
      </c>
      <c r="D1453" t="s">
        <v>988</v>
      </c>
      <c r="E1453" t="s">
        <v>70</v>
      </c>
      <c r="F1453" t="s">
        <v>71</v>
      </c>
      <c r="G1453" t="s">
        <v>28</v>
      </c>
      <c r="H1453" t="s">
        <v>65</v>
      </c>
      <c r="I1453">
        <v>1</v>
      </c>
      <c r="J1453">
        <v>12000</v>
      </c>
      <c r="K1453">
        <v>7700</v>
      </c>
      <c r="L1453" t="s">
        <v>73</v>
      </c>
      <c r="M1453" t="s">
        <v>51</v>
      </c>
      <c r="N1453" t="s">
        <v>52</v>
      </c>
      <c r="O1453" t="s">
        <v>24</v>
      </c>
      <c r="P1453">
        <f>Tableau1_2[[#This Row],[Quantité]]*Tableau1_2[[#This Row],[Prix_Unitaire]]</f>
        <v>12000</v>
      </c>
      <c r="Q1453">
        <f>Tableau1_2[[#This Row],[Quantité]]*Tableau1_2[[#This Row],[Coût_Unitaire]]</f>
        <v>7700</v>
      </c>
      <c r="R1453">
        <f>Tableau1_2[[#This Row],[CA]]-Tableau1_2[[#This Row],[Cout Total]]</f>
        <v>4300</v>
      </c>
      <c r="S1453" s="4">
        <f>Tableau1_2[[#This Row],[Marge]]/Tableau1_2[[#This Row],[CA]]</f>
        <v>0.35833333333333334</v>
      </c>
      <c r="T1453" t="str">
        <f>TEXT(Tableau1_2[[#This Row],[Date]],"mmmm")</f>
        <v>avril</v>
      </c>
    </row>
    <row r="1454" spans="1:20" x14ac:dyDescent="0.35">
      <c r="A1454" t="s">
        <v>2472</v>
      </c>
      <c r="B1454" s="2">
        <v>46124</v>
      </c>
      <c r="C1454" t="s">
        <v>366</v>
      </c>
      <c r="D1454" t="s">
        <v>676</v>
      </c>
      <c r="E1454" t="s">
        <v>41</v>
      </c>
      <c r="F1454" t="s">
        <v>42</v>
      </c>
      <c r="G1454" t="s">
        <v>34</v>
      </c>
      <c r="H1454" t="s">
        <v>141</v>
      </c>
      <c r="I1454">
        <v>6</v>
      </c>
      <c r="J1454">
        <v>168000</v>
      </c>
      <c r="K1454">
        <v>123600</v>
      </c>
      <c r="L1454" t="s">
        <v>66</v>
      </c>
      <c r="M1454" t="s">
        <v>31</v>
      </c>
      <c r="N1454" t="s">
        <v>87</v>
      </c>
      <c r="O1454" t="s">
        <v>24</v>
      </c>
      <c r="P1454">
        <f>Tableau1_2[[#This Row],[Quantité]]*Tableau1_2[[#This Row],[Prix_Unitaire]]</f>
        <v>1008000</v>
      </c>
      <c r="Q1454">
        <f>Tableau1_2[[#This Row],[Quantité]]*Tableau1_2[[#This Row],[Coût_Unitaire]]</f>
        <v>741600</v>
      </c>
      <c r="R1454">
        <f>Tableau1_2[[#This Row],[CA]]-Tableau1_2[[#This Row],[Cout Total]]</f>
        <v>266400</v>
      </c>
      <c r="S1454" s="4">
        <f>Tableau1_2[[#This Row],[Marge]]/Tableau1_2[[#This Row],[CA]]</f>
        <v>0.26428571428571429</v>
      </c>
      <c r="T1454" t="str">
        <f>TEXT(Tableau1_2[[#This Row],[Date]],"mmmm")</f>
        <v>avril</v>
      </c>
    </row>
    <row r="1455" spans="1:20" x14ac:dyDescent="0.35">
      <c r="A1455" t="s">
        <v>2473</v>
      </c>
      <c r="B1455" s="2">
        <v>46361</v>
      </c>
      <c r="C1455" t="s">
        <v>222</v>
      </c>
      <c r="D1455" t="s">
        <v>435</v>
      </c>
      <c r="E1455" t="s">
        <v>190</v>
      </c>
      <c r="F1455" t="s">
        <v>191</v>
      </c>
      <c r="G1455" t="s">
        <v>34</v>
      </c>
      <c r="H1455" t="s">
        <v>141</v>
      </c>
      <c r="I1455">
        <v>6</v>
      </c>
      <c r="J1455">
        <v>160000</v>
      </c>
      <c r="K1455">
        <v>116400</v>
      </c>
      <c r="L1455" t="s">
        <v>96</v>
      </c>
      <c r="M1455" t="s">
        <v>31</v>
      </c>
      <c r="N1455" t="s">
        <v>23</v>
      </c>
      <c r="O1455" t="s">
        <v>24</v>
      </c>
      <c r="P1455">
        <f>Tableau1_2[[#This Row],[Quantité]]*Tableau1_2[[#This Row],[Prix_Unitaire]]</f>
        <v>960000</v>
      </c>
      <c r="Q1455">
        <f>Tableau1_2[[#This Row],[Quantité]]*Tableau1_2[[#This Row],[Coût_Unitaire]]</f>
        <v>698400</v>
      </c>
      <c r="R1455">
        <f>Tableau1_2[[#This Row],[CA]]-Tableau1_2[[#This Row],[Cout Total]]</f>
        <v>261600</v>
      </c>
      <c r="S1455" s="4">
        <f>Tableau1_2[[#This Row],[Marge]]/Tableau1_2[[#This Row],[CA]]</f>
        <v>0.27250000000000002</v>
      </c>
      <c r="T1455" t="str">
        <f>TEXT(Tableau1_2[[#This Row],[Date]],"mmmm")</f>
        <v>décembre</v>
      </c>
    </row>
    <row r="1456" spans="1:20" x14ac:dyDescent="0.35">
      <c r="A1456" t="s">
        <v>2474</v>
      </c>
      <c r="B1456" s="2">
        <v>46183</v>
      </c>
      <c r="C1456" t="s">
        <v>908</v>
      </c>
      <c r="D1456" t="s">
        <v>287</v>
      </c>
      <c r="E1456" t="s">
        <v>156</v>
      </c>
      <c r="F1456" t="s">
        <v>170</v>
      </c>
      <c r="G1456" t="s">
        <v>34</v>
      </c>
      <c r="H1456" t="s">
        <v>95</v>
      </c>
      <c r="I1456">
        <v>8</v>
      </c>
      <c r="J1456">
        <v>427500</v>
      </c>
      <c r="K1456">
        <v>358900</v>
      </c>
      <c r="L1456" t="s">
        <v>50</v>
      </c>
      <c r="M1456" t="s">
        <v>37</v>
      </c>
      <c r="N1456" t="s">
        <v>23</v>
      </c>
      <c r="O1456" t="s">
        <v>45</v>
      </c>
      <c r="P1456">
        <f>Tableau1_2[[#This Row],[Quantité]]*Tableau1_2[[#This Row],[Prix_Unitaire]]</f>
        <v>3420000</v>
      </c>
      <c r="Q1456">
        <f>Tableau1_2[[#This Row],[Quantité]]*Tableau1_2[[#This Row],[Coût_Unitaire]]</f>
        <v>2871200</v>
      </c>
      <c r="R1456">
        <f>Tableau1_2[[#This Row],[CA]]-Tableau1_2[[#This Row],[Cout Total]]</f>
        <v>548800</v>
      </c>
      <c r="S1456" s="4">
        <f>Tableau1_2[[#This Row],[Marge]]/Tableau1_2[[#This Row],[CA]]</f>
        <v>0.16046783625730995</v>
      </c>
      <c r="T1456" t="str">
        <f>TEXT(Tableau1_2[[#This Row],[Date]],"mmmm")</f>
        <v>juin</v>
      </c>
    </row>
    <row r="1457" spans="1:20" x14ac:dyDescent="0.35">
      <c r="A1457" t="s">
        <v>2475</v>
      </c>
      <c r="B1457" s="2">
        <v>46225</v>
      </c>
      <c r="C1457" t="s">
        <v>1162</v>
      </c>
      <c r="D1457" t="s">
        <v>1542</v>
      </c>
      <c r="E1457" t="s">
        <v>18</v>
      </c>
      <c r="F1457" t="s">
        <v>18</v>
      </c>
      <c r="G1457" t="s">
        <v>34</v>
      </c>
      <c r="H1457" t="s">
        <v>86</v>
      </c>
      <c r="I1457">
        <v>8</v>
      </c>
      <c r="J1457">
        <v>180000</v>
      </c>
      <c r="K1457">
        <v>135000</v>
      </c>
      <c r="L1457" t="s">
        <v>50</v>
      </c>
      <c r="M1457" t="s">
        <v>37</v>
      </c>
      <c r="N1457" t="s">
        <v>23</v>
      </c>
      <c r="O1457" t="s">
        <v>24</v>
      </c>
      <c r="P1457">
        <f>Tableau1_2[[#This Row],[Quantité]]*Tableau1_2[[#This Row],[Prix_Unitaire]]</f>
        <v>1440000</v>
      </c>
      <c r="Q1457">
        <f>Tableau1_2[[#This Row],[Quantité]]*Tableau1_2[[#This Row],[Coût_Unitaire]]</f>
        <v>1080000</v>
      </c>
      <c r="R1457">
        <f>Tableau1_2[[#This Row],[CA]]-Tableau1_2[[#This Row],[Cout Total]]</f>
        <v>360000</v>
      </c>
      <c r="S1457" s="4">
        <f>Tableau1_2[[#This Row],[Marge]]/Tableau1_2[[#This Row],[CA]]</f>
        <v>0.25</v>
      </c>
      <c r="T1457" t="str">
        <f>TEXT(Tableau1_2[[#This Row],[Date]],"mmmm")</f>
        <v>juillet</v>
      </c>
    </row>
    <row r="1458" spans="1:20" x14ac:dyDescent="0.35">
      <c r="A1458" t="s">
        <v>2476</v>
      </c>
      <c r="B1458" s="2">
        <v>46094</v>
      </c>
      <c r="C1458" t="s">
        <v>2031</v>
      </c>
      <c r="D1458" t="s">
        <v>1628</v>
      </c>
      <c r="E1458" t="s">
        <v>190</v>
      </c>
      <c r="F1458" t="s">
        <v>191</v>
      </c>
      <c r="G1458" t="s">
        <v>19</v>
      </c>
      <c r="H1458" t="s">
        <v>166</v>
      </c>
      <c r="I1458">
        <v>8</v>
      </c>
      <c r="J1458">
        <v>147000</v>
      </c>
      <c r="K1458">
        <v>100000</v>
      </c>
      <c r="L1458" t="s">
        <v>21</v>
      </c>
      <c r="M1458" t="s">
        <v>37</v>
      </c>
      <c r="N1458" t="s">
        <v>52</v>
      </c>
      <c r="O1458" t="s">
        <v>24</v>
      </c>
      <c r="P1458">
        <f>Tableau1_2[[#This Row],[Quantité]]*Tableau1_2[[#This Row],[Prix_Unitaire]]</f>
        <v>1176000</v>
      </c>
      <c r="Q1458">
        <f>Tableau1_2[[#This Row],[Quantité]]*Tableau1_2[[#This Row],[Coût_Unitaire]]</f>
        <v>800000</v>
      </c>
      <c r="R1458">
        <f>Tableau1_2[[#This Row],[CA]]-Tableau1_2[[#This Row],[Cout Total]]</f>
        <v>376000</v>
      </c>
      <c r="S1458" s="4">
        <f>Tableau1_2[[#This Row],[Marge]]/Tableau1_2[[#This Row],[CA]]</f>
        <v>0.31972789115646261</v>
      </c>
      <c r="T1458" t="str">
        <f>TEXT(Tableau1_2[[#This Row],[Date]],"mmmm")</f>
        <v>mars</v>
      </c>
    </row>
    <row r="1459" spans="1:20" x14ac:dyDescent="0.35">
      <c r="A1459" t="s">
        <v>2477</v>
      </c>
      <c r="B1459" s="2">
        <v>46239</v>
      </c>
      <c r="C1459" t="s">
        <v>486</v>
      </c>
      <c r="D1459" t="s">
        <v>764</v>
      </c>
      <c r="E1459" t="s">
        <v>156</v>
      </c>
      <c r="F1459" t="s">
        <v>157</v>
      </c>
      <c r="G1459" t="s">
        <v>43</v>
      </c>
      <c r="H1459" t="s">
        <v>44</v>
      </c>
      <c r="I1459">
        <v>1</v>
      </c>
      <c r="J1459">
        <v>15800</v>
      </c>
      <c r="K1459">
        <v>9200</v>
      </c>
      <c r="L1459" t="s">
        <v>30</v>
      </c>
      <c r="M1459" t="s">
        <v>22</v>
      </c>
      <c r="N1459" t="s">
        <v>23</v>
      </c>
      <c r="O1459" t="s">
        <v>24</v>
      </c>
      <c r="P1459">
        <f>Tableau1_2[[#This Row],[Quantité]]*Tableau1_2[[#This Row],[Prix_Unitaire]]</f>
        <v>15800</v>
      </c>
      <c r="Q1459">
        <f>Tableau1_2[[#This Row],[Quantité]]*Tableau1_2[[#This Row],[Coût_Unitaire]]</f>
        <v>9200</v>
      </c>
      <c r="R1459">
        <f>Tableau1_2[[#This Row],[CA]]-Tableau1_2[[#This Row],[Cout Total]]</f>
        <v>6600</v>
      </c>
      <c r="S1459" s="4">
        <f>Tableau1_2[[#This Row],[Marge]]/Tableau1_2[[#This Row],[CA]]</f>
        <v>0.41772151898734178</v>
      </c>
      <c r="T1459" t="str">
        <f>TEXT(Tableau1_2[[#This Row],[Date]],"mmmm")</f>
        <v>août</v>
      </c>
    </row>
    <row r="1460" spans="1:20" x14ac:dyDescent="0.35">
      <c r="A1460" t="s">
        <v>2478</v>
      </c>
      <c r="B1460" s="2">
        <v>46086</v>
      </c>
      <c r="C1460" t="s">
        <v>98</v>
      </c>
      <c r="D1460" t="s">
        <v>1542</v>
      </c>
      <c r="E1460" t="s">
        <v>156</v>
      </c>
      <c r="F1460" t="s">
        <v>170</v>
      </c>
      <c r="G1460" t="s">
        <v>19</v>
      </c>
      <c r="H1460" t="s">
        <v>166</v>
      </c>
      <c r="I1460">
        <v>9</v>
      </c>
      <c r="J1460">
        <v>133000</v>
      </c>
      <c r="K1460">
        <v>97000</v>
      </c>
      <c r="L1460" t="s">
        <v>80</v>
      </c>
      <c r="M1460" t="s">
        <v>22</v>
      </c>
      <c r="N1460" t="s">
        <v>87</v>
      </c>
      <c r="O1460" t="s">
        <v>91</v>
      </c>
      <c r="P1460">
        <f>Tableau1_2[[#This Row],[Quantité]]*Tableau1_2[[#This Row],[Prix_Unitaire]]</f>
        <v>1197000</v>
      </c>
      <c r="Q1460">
        <f>Tableau1_2[[#This Row],[Quantité]]*Tableau1_2[[#This Row],[Coût_Unitaire]]</f>
        <v>873000</v>
      </c>
      <c r="R1460">
        <f>Tableau1_2[[#This Row],[CA]]-Tableau1_2[[#This Row],[Cout Total]]</f>
        <v>324000</v>
      </c>
      <c r="S1460" s="4">
        <f>Tableau1_2[[#This Row],[Marge]]/Tableau1_2[[#This Row],[CA]]</f>
        <v>0.27067669172932329</v>
      </c>
      <c r="T1460" t="str">
        <f>TEXT(Tableau1_2[[#This Row],[Date]],"mmmm")</f>
        <v>mars</v>
      </c>
    </row>
    <row r="1461" spans="1:20" x14ac:dyDescent="0.35">
      <c r="A1461" t="s">
        <v>2479</v>
      </c>
      <c r="B1461" s="2">
        <v>46206</v>
      </c>
      <c r="C1461" t="s">
        <v>769</v>
      </c>
      <c r="D1461" t="s">
        <v>1369</v>
      </c>
      <c r="E1461" t="s">
        <v>41</v>
      </c>
      <c r="F1461" t="s">
        <v>42</v>
      </c>
      <c r="G1461" t="s">
        <v>28</v>
      </c>
      <c r="H1461" t="s">
        <v>131</v>
      </c>
      <c r="I1461">
        <v>2</v>
      </c>
      <c r="J1461">
        <v>30000</v>
      </c>
      <c r="K1461">
        <v>19600</v>
      </c>
      <c r="L1461" t="s">
        <v>80</v>
      </c>
      <c r="M1461" t="s">
        <v>37</v>
      </c>
      <c r="N1461" t="s">
        <v>23</v>
      </c>
      <c r="O1461" t="s">
        <v>91</v>
      </c>
      <c r="P1461">
        <f>Tableau1_2[[#This Row],[Quantité]]*Tableau1_2[[#This Row],[Prix_Unitaire]]</f>
        <v>60000</v>
      </c>
      <c r="Q1461">
        <f>Tableau1_2[[#This Row],[Quantité]]*Tableau1_2[[#This Row],[Coût_Unitaire]]</f>
        <v>39200</v>
      </c>
      <c r="R1461">
        <f>Tableau1_2[[#This Row],[CA]]-Tableau1_2[[#This Row],[Cout Total]]</f>
        <v>20800</v>
      </c>
      <c r="S1461" s="4">
        <f>Tableau1_2[[#This Row],[Marge]]/Tableau1_2[[#This Row],[CA]]</f>
        <v>0.34666666666666668</v>
      </c>
      <c r="T1461" t="str">
        <f>TEXT(Tableau1_2[[#This Row],[Date]],"mmmm")</f>
        <v>juillet</v>
      </c>
    </row>
    <row r="1462" spans="1:20" x14ac:dyDescent="0.35">
      <c r="A1462" t="s">
        <v>2480</v>
      </c>
      <c r="B1462" s="2">
        <v>46117</v>
      </c>
      <c r="C1462" t="s">
        <v>702</v>
      </c>
      <c r="D1462" t="s">
        <v>476</v>
      </c>
      <c r="E1462" t="s">
        <v>18</v>
      </c>
      <c r="F1462" t="s">
        <v>18</v>
      </c>
      <c r="G1462" t="s">
        <v>28</v>
      </c>
      <c r="H1462" t="s">
        <v>131</v>
      </c>
      <c r="I1462">
        <v>4</v>
      </c>
      <c r="J1462">
        <v>30000</v>
      </c>
      <c r="K1462">
        <v>19000</v>
      </c>
      <c r="L1462" t="s">
        <v>96</v>
      </c>
      <c r="M1462" t="s">
        <v>31</v>
      </c>
      <c r="N1462" t="s">
        <v>23</v>
      </c>
      <c r="O1462" t="s">
        <v>91</v>
      </c>
      <c r="P1462">
        <f>Tableau1_2[[#This Row],[Quantité]]*Tableau1_2[[#This Row],[Prix_Unitaire]]</f>
        <v>120000</v>
      </c>
      <c r="Q1462">
        <f>Tableau1_2[[#This Row],[Quantité]]*Tableau1_2[[#This Row],[Coût_Unitaire]]</f>
        <v>76000</v>
      </c>
      <c r="R1462">
        <f>Tableau1_2[[#This Row],[CA]]-Tableau1_2[[#This Row],[Cout Total]]</f>
        <v>44000</v>
      </c>
      <c r="S1462" s="4">
        <f>Tableau1_2[[#This Row],[Marge]]/Tableau1_2[[#This Row],[CA]]</f>
        <v>0.36666666666666664</v>
      </c>
      <c r="T1462" t="str">
        <f>TEXT(Tableau1_2[[#This Row],[Date]],"mmmm")</f>
        <v>avril</v>
      </c>
    </row>
    <row r="1463" spans="1:20" x14ac:dyDescent="0.35">
      <c r="A1463" t="s">
        <v>2481</v>
      </c>
      <c r="B1463" s="2">
        <v>46191</v>
      </c>
      <c r="C1463" t="s">
        <v>1143</v>
      </c>
      <c r="D1463" t="s">
        <v>1031</v>
      </c>
      <c r="E1463" t="s">
        <v>18</v>
      </c>
      <c r="F1463" t="s">
        <v>18</v>
      </c>
      <c r="G1463" t="s">
        <v>34</v>
      </c>
      <c r="H1463" t="s">
        <v>141</v>
      </c>
      <c r="I1463">
        <v>7</v>
      </c>
      <c r="J1463">
        <v>168000</v>
      </c>
      <c r="K1463">
        <v>120000</v>
      </c>
      <c r="L1463" t="s">
        <v>73</v>
      </c>
      <c r="M1463" t="s">
        <v>31</v>
      </c>
      <c r="N1463" t="s">
        <v>87</v>
      </c>
      <c r="O1463" t="s">
        <v>24</v>
      </c>
      <c r="P1463">
        <f>Tableau1_2[[#This Row],[Quantité]]*Tableau1_2[[#This Row],[Prix_Unitaire]]</f>
        <v>1176000</v>
      </c>
      <c r="Q1463">
        <f>Tableau1_2[[#This Row],[Quantité]]*Tableau1_2[[#This Row],[Coût_Unitaire]]</f>
        <v>840000</v>
      </c>
      <c r="R1463">
        <f>Tableau1_2[[#This Row],[CA]]-Tableau1_2[[#This Row],[Cout Total]]</f>
        <v>336000</v>
      </c>
      <c r="S1463" s="4">
        <f>Tableau1_2[[#This Row],[Marge]]/Tableau1_2[[#This Row],[CA]]</f>
        <v>0.2857142857142857</v>
      </c>
      <c r="T1463" t="str">
        <f>TEXT(Tableau1_2[[#This Row],[Date]],"mmmm")</f>
        <v>juin</v>
      </c>
    </row>
    <row r="1464" spans="1:20" x14ac:dyDescent="0.35">
      <c r="A1464" t="s">
        <v>2482</v>
      </c>
      <c r="B1464" s="2">
        <v>46048</v>
      </c>
      <c r="C1464" t="s">
        <v>410</v>
      </c>
      <c r="D1464" t="s">
        <v>1258</v>
      </c>
      <c r="E1464" t="s">
        <v>18</v>
      </c>
      <c r="F1464" t="s">
        <v>18</v>
      </c>
      <c r="G1464" t="s">
        <v>43</v>
      </c>
      <c r="H1464" t="s">
        <v>79</v>
      </c>
      <c r="I1464">
        <v>3</v>
      </c>
      <c r="J1464">
        <v>6000</v>
      </c>
      <c r="K1464">
        <v>4300</v>
      </c>
      <c r="L1464" t="s">
        <v>30</v>
      </c>
      <c r="M1464" t="s">
        <v>31</v>
      </c>
      <c r="N1464" t="s">
        <v>87</v>
      </c>
      <c r="O1464" t="s">
        <v>24</v>
      </c>
      <c r="P1464">
        <f>Tableau1_2[[#This Row],[Quantité]]*Tableau1_2[[#This Row],[Prix_Unitaire]]</f>
        <v>18000</v>
      </c>
      <c r="Q1464">
        <f>Tableau1_2[[#This Row],[Quantité]]*Tableau1_2[[#This Row],[Coût_Unitaire]]</f>
        <v>12900</v>
      </c>
      <c r="R1464">
        <f>Tableau1_2[[#This Row],[CA]]-Tableau1_2[[#This Row],[Cout Total]]</f>
        <v>5100</v>
      </c>
      <c r="S1464" s="4">
        <f>Tableau1_2[[#This Row],[Marge]]/Tableau1_2[[#This Row],[CA]]</f>
        <v>0.28333333333333333</v>
      </c>
      <c r="T1464" t="str">
        <f>TEXT(Tableau1_2[[#This Row],[Date]],"mmmm")</f>
        <v>janvier</v>
      </c>
    </row>
    <row r="1465" spans="1:20" x14ac:dyDescent="0.35">
      <c r="A1465" t="s">
        <v>2483</v>
      </c>
      <c r="B1465" s="2">
        <v>46079</v>
      </c>
      <c r="C1465" t="s">
        <v>559</v>
      </c>
      <c r="D1465" t="s">
        <v>1034</v>
      </c>
      <c r="E1465" t="s">
        <v>84</v>
      </c>
      <c r="F1465" t="s">
        <v>85</v>
      </c>
      <c r="G1465" t="s">
        <v>34</v>
      </c>
      <c r="H1465" t="s">
        <v>86</v>
      </c>
      <c r="I1465">
        <v>2</v>
      </c>
      <c r="J1465">
        <v>171000</v>
      </c>
      <c r="K1465">
        <v>139000</v>
      </c>
      <c r="L1465" t="s">
        <v>50</v>
      </c>
      <c r="M1465" t="s">
        <v>22</v>
      </c>
      <c r="N1465" t="s">
        <v>23</v>
      </c>
      <c r="O1465" t="s">
        <v>24</v>
      </c>
      <c r="P1465">
        <f>Tableau1_2[[#This Row],[Quantité]]*Tableau1_2[[#This Row],[Prix_Unitaire]]</f>
        <v>342000</v>
      </c>
      <c r="Q1465">
        <f>Tableau1_2[[#This Row],[Quantité]]*Tableau1_2[[#This Row],[Coût_Unitaire]]</f>
        <v>278000</v>
      </c>
      <c r="R1465">
        <f>Tableau1_2[[#This Row],[CA]]-Tableau1_2[[#This Row],[Cout Total]]</f>
        <v>64000</v>
      </c>
      <c r="S1465" s="4">
        <f>Tableau1_2[[#This Row],[Marge]]/Tableau1_2[[#This Row],[CA]]</f>
        <v>0.1871345029239766</v>
      </c>
      <c r="T1465" t="str">
        <f>TEXT(Tableau1_2[[#This Row],[Date]],"mmmm")</f>
        <v>février</v>
      </c>
    </row>
    <row r="1466" spans="1:20" x14ac:dyDescent="0.35">
      <c r="A1466" t="s">
        <v>2484</v>
      </c>
      <c r="B1466" s="2">
        <v>46268</v>
      </c>
      <c r="C1466" t="s">
        <v>344</v>
      </c>
      <c r="D1466" t="s">
        <v>27</v>
      </c>
      <c r="E1466" t="s">
        <v>77</v>
      </c>
      <c r="F1466" t="s">
        <v>78</v>
      </c>
      <c r="G1466" t="s">
        <v>43</v>
      </c>
      <c r="H1466" t="s">
        <v>44</v>
      </c>
      <c r="I1466">
        <v>7</v>
      </c>
      <c r="J1466">
        <v>15000</v>
      </c>
      <c r="K1466">
        <v>9200</v>
      </c>
      <c r="L1466" t="s">
        <v>80</v>
      </c>
      <c r="M1466" t="s">
        <v>37</v>
      </c>
      <c r="N1466" t="s">
        <v>23</v>
      </c>
      <c r="O1466" t="s">
        <v>24</v>
      </c>
      <c r="P1466">
        <f>Tableau1_2[[#This Row],[Quantité]]*Tableau1_2[[#This Row],[Prix_Unitaire]]</f>
        <v>105000</v>
      </c>
      <c r="Q1466">
        <f>Tableau1_2[[#This Row],[Quantité]]*Tableau1_2[[#This Row],[Coût_Unitaire]]</f>
        <v>64400</v>
      </c>
      <c r="R1466">
        <f>Tableau1_2[[#This Row],[CA]]-Tableau1_2[[#This Row],[Cout Total]]</f>
        <v>40600</v>
      </c>
      <c r="S1466" s="4">
        <f>Tableau1_2[[#This Row],[Marge]]/Tableau1_2[[#This Row],[CA]]</f>
        <v>0.38666666666666666</v>
      </c>
      <c r="T1466" t="str">
        <f>TEXT(Tableau1_2[[#This Row],[Date]],"mmmm")</f>
        <v>septembre</v>
      </c>
    </row>
    <row r="1467" spans="1:20" x14ac:dyDescent="0.35">
      <c r="A1467" t="s">
        <v>2485</v>
      </c>
      <c r="B1467" s="2">
        <v>46232</v>
      </c>
      <c r="C1467" t="s">
        <v>1226</v>
      </c>
      <c r="D1467" t="s">
        <v>102</v>
      </c>
      <c r="E1467" t="s">
        <v>18</v>
      </c>
      <c r="F1467" t="s">
        <v>18</v>
      </c>
      <c r="G1467" t="s">
        <v>34</v>
      </c>
      <c r="H1467" t="s">
        <v>86</v>
      </c>
      <c r="I1467">
        <v>8</v>
      </c>
      <c r="J1467">
        <v>189000</v>
      </c>
      <c r="K1467">
        <v>139000</v>
      </c>
      <c r="L1467" t="s">
        <v>66</v>
      </c>
      <c r="M1467" t="s">
        <v>51</v>
      </c>
      <c r="N1467" t="s">
        <v>87</v>
      </c>
      <c r="O1467" t="s">
        <v>91</v>
      </c>
      <c r="P1467">
        <f>Tableau1_2[[#This Row],[Quantité]]*Tableau1_2[[#This Row],[Prix_Unitaire]]</f>
        <v>1512000</v>
      </c>
      <c r="Q1467">
        <f>Tableau1_2[[#This Row],[Quantité]]*Tableau1_2[[#This Row],[Coût_Unitaire]]</f>
        <v>1112000</v>
      </c>
      <c r="R1467">
        <f>Tableau1_2[[#This Row],[CA]]-Tableau1_2[[#This Row],[Cout Total]]</f>
        <v>400000</v>
      </c>
      <c r="S1467" s="4">
        <f>Tableau1_2[[#This Row],[Marge]]/Tableau1_2[[#This Row],[CA]]</f>
        <v>0.26455026455026454</v>
      </c>
      <c r="T1467" t="str">
        <f>TEXT(Tableau1_2[[#This Row],[Date]],"mmmm")</f>
        <v>juillet</v>
      </c>
    </row>
    <row r="1468" spans="1:20" x14ac:dyDescent="0.35">
      <c r="A1468" t="s">
        <v>2486</v>
      </c>
      <c r="B1468" s="2">
        <v>46206</v>
      </c>
      <c r="C1468" t="s">
        <v>234</v>
      </c>
      <c r="D1468" t="s">
        <v>1420</v>
      </c>
      <c r="E1468" t="s">
        <v>18</v>
      </c>
      <c r="F1468" t="s">
        <v>18</v>
      </c>
      <c r="G1468" t="s">
        <v>34</v>
      </c>
      <c r="H1468" t="s">
        <v>141</v>
      </c>
      <c r="I1468">
        <v>5</v>
      </c>
      <c r="J1468">
        <v>152000</v>
      </c>
      <c r="K1468">
        <v>123600</v>
      </c>
      <c r="L1468" t="s">
        <v>96</v>
      </c>
      <c r="M1468" t="s">
        <v>31</v>
      </c>
      <c r="N1468" t="s">
        <v>23</v>
      </c>
      <c r="O1468" t="s">
        <v>91</v>
      </c>
      <c r="P1468">
        <f>Tableau1_2[[#This Row],[Quantité]]*Tableau1_2[[#This Row],[Prix_Unitaire]]</f>
        <v>760000</v>
      </c>
      <c r="Q1468">
        <f>Tableau1_2[[#This Row],[Quantité]]*Tableau1_2[[#This Row],[Coût_Unitaire]]</f>
        <v>618000</v>
      </c>
      <c r="R1468">
        <f>Tableau1_2[[#This Row],[CA]]-Tableau1_2[[#This Row],[Cout Total]]</f>
        <v>142000</v>
      </c>
      <c r="S1468" s="4">
        <f>Tableau1_2[[#This Row],[Marge]]/Tableau1_2[[#This Row],[CA]]</f>
        <v>0.18684210526315789</v>
      </c>
      <c r="T1468" t="str">
        <f>TEXT(Tableau1_2[[#This Row],[Date]],"mmmm")</f>
        <v>juillet</v>
      </c>
    </row>
    <row r="1469" spans="1:20" x14ac:dyDescent="0.35">
      <c r="A1469" t="s">
        <v>2487</v>
      </c>
      <c r="B1469" s="2">
        <v>46075</v>
      </c>
      <c r="C1469" t="s">
        <v>832</v>
      </c>
      <c r="D1469" t="s">
        <v>267</v>
      </c>
      <c r="E1469" t="s">
        <v>77</v>
      </c>
      <c r="F1469" t="s">
        <v>78</v>
      </c>
      <c r="G1469" t="s">
        <v>19</v>
      </c>
      <c r="H1469" t="s">
        <v>20</v>
      </c>
      <c r="I1469">
        <v>2</v>
      </c>
      <c r="J1469">
        <v>68200</v>
      </c>
      <c r="K1469">
        <v>45000</v>
      </c>
      <c r="L1469" t="s">
        <v>73</v>
      </c>
      <c r="M1469" t="s">
        <v>37</v>
      </c>
      <c r="N1469" t="s">
        <v>23</v>
      </c>
      <c r="O1469" t="s">
        <v>24</v>
      </c>
      <c r="P1469">
        <f>Tableau1_2[[#This Row],[Quantité]]*Tableau1_2[[#This Row],[Prix_Unitaire]]</f>
        <v>136400</v>
      </c>
      <c r="Q1469">
        <f>Tableau1_2[[#This Row],[Quantité]]*Tableau1_2[[#This Row],[Coût_Unitaire]]</f>
        <v>90000</v>
      </c>
      <c r="R1469">
        <f>Tableau1_2[[#This Row],[CA]]-Tableau1_2[[#This Row],[Cout Total]]</f>
        <v>46400</v>
      </c>
      <c r="S1469" s="4">
        <f>Tableau1_2[[#This Row],[Marge]]/Tableau1_2[[#This Row],[CA]]</f>
        <v>0.34017595307917886</v>
      </c>
      <c r="T1469" t="str">
        <f>TEXT(Tableau1_2[[#This Row],[Date]],"mmmm")</f>
        <v>février</v>
      </c>
    </row>
    <row r="1470" spans="1:20" x14ac:dyDescent="0.35">
      <c r="A1470" t="s">
        <v>2488</v>
      </c>
      <c r="B1470" s="2">
        <v>46337</v>
      </c>
      <c r="C1470" t="s">
        <v>2489</v>
      </c>
      <c r="D1470" t="s">
        <v>1783</v>
      </c>
      <c r="E1470" t="s">
        <v>18</v>
      </c>
      <c r="F1470" t="s">
        <v>18</v>
      </c>
      <c r="G1470" t="s">
        <v>19</v>
      </c>
      <c r="H1470" t="s">
        <v>112</v>
      </c>
      <c r="I1470">
        <v>6</v>
      </c>
      <c r="J1470">
        <v>80800</v>
      </c>
      <c r="K1470">
        <v>62000</v>
      </c>
      <c r="L1470" t="s">
        <v>36</v>
      </c>
      <c r="M1470" t="s">
        <v>31</v>
      </c>
      <c r="N1470" t="s">
        <v>23</v>
      </c>
      <c r="O1470" t="s">
        <v>91</v>
      </c>
      <c r="P1470">
        <f>Tableau1_2[[#This Row],[Quantité]]*Tableau1_2[[#This Row],[Prix_Unitaire]]</f>
        <v>484800</v>
      </c>
      <c r="Q1470">
        <f>Tableau1_2[[#This Row],[Quantité]]*Tableau1_2[[#This Row],[Coût_Unitaire]]</f>
        <v>372000</v>
      </c>
      <c r="R1470">
        <f>Tableau1_2[[#This Row],[CA]]-Tableau1_2[[#This Row],[Cout Total]]</f>
        <v>112800</v>
      </c>
      <c r="S1470" s="4">
        <f>Tableau1_2[[#This Row],[Marge]]/Tableau1_2[[#This Row],[CA]]</f>
        <v>0.23267326732673269</v>
      </c>
      <c r="T1470" t="str">
        <f>TEXT(Tableau1_2[[#This Row],[Date]],"mmmm")</f>
        <v>novembre</v>
      </c>
    </row>
    <row r="1471" spans="1:20" x14ac:dyDescent="0.35">
      <c r="A1471" t="s">
        <v>2490</v>
      </c>
      <c r="B1471" s="2">
        <v>46154</v>
      </c>
      <c r="C1471" t="s">
        <v>1887</v>
      </c>
      <c r="D1471" t="s">
        <v>1839</v>
      </c>
      <c r="E1471" t="s">
        <v>41</v>
      </c>
      <c r="F1471" t="s">
        <v>42</v>
      </c>
      <c r="G1471" t="s">
        <v>28</v>
      </c>
      <c r="H1471" t="s">
        <v>131</v>
      </c>
      <c r="I1471">
        <v>3</v>
      </c>
      <c r="J1471">
        <v>30000</v>
      </c>
      <c r="K1471">
        <v>19000</v>
      </c>
      <c r="L1471" t="s">
        <v>50</v>
      </c>
      <c r="M1471" t="s">
        <v>37</v>
      </c>
      <c r="N1471" t="s">
        <v>23</v>
      </c>
      <c r="O1471" t="s">
        <v>24</v>
      </c>
      <c r="P1471">
        <f>Tableau1_2[[#This Row],[Quantité]]*Tableau1_2[[#This Row],[Prix_Unitaire]]</f>
        <v>90000</v>
      </c>
      <c r="Q1471">
        <f>Tableau1_2[[#This Row],[Quantité]]*Tableau1_2[[#This Row],[Coût_Unitaire]]</f>
        <v>57000</v>
      </c>
      <c r="R1471">
        <f>Tableau1_2[[#This Row],[CA]]-Tableau1_2[[#This Row],[Cout Total]]</f>
        <v>33000</v>
      </c>
      <c r="S1471" s="4">
        <f>Tableau1_2[[#This Row],[Marge]]/Tableau1_2[[#This Row],[CA]]</f>
        <v>0.36666666666666664</v>
      </c>
      <c r="T1471" t="str">
        <f>TEXT(Tableau1_2[[#This Row],[Date]],"mmmm")</f>
        <v>mai</v>
      </c>
    </row>
    <row r="1472" spans="1:20" x14ac:dyDescent="0.35">
      <c r="A1472" t="s">
        <v>2491</v>
      </c>
      <c r="B1472" s="2">
        <v>46222</v>
      </c>
      <c r="C1472" t="s">
        <v>816</v>
      </c>
      <c r="D1472" t="s">
        <v>1717</v>
      </c>
      <c r="E1472" t="s">
        <v>18</v>
      </c>
      <c r="F1472" t="s">
        <v>18</v>
      </c>
      <c r="G1472" t="s">
        <v>34</v>
      </c>
      <c r="H1472" t="s">
        <v>35</v>
      </c>
      <c r="I1472">
        <v>4</v>
      </c>
      <c r="J1472">
        <v>57800</v>
      </c>
      <c r="K1472">
        <v>39000</v>
      </c>
      <c r="L1472" t="s">
        <v>30</v>
      </c>
      <c r="M1472" t="s">
        <v>51</v>
      </c>
      <c r="N1472" t="s">
        <v>52</v>
      </c>
      <c r="O1472" t="s">
        <v>45</v>
      </c>
      <c r="P1472">
        <f>Tableau1_2[[#This Row],[Quantité]]*Tableau1_2[[#This Row],[Prix_Unitaire]]</f>
        <v>231200</v>
      </c>
      <c r="Q1472">
        <f>Tableau1_2[[#This Row],[Quantité]]*Tableau1_2[[#This Row],[Coût_Unitaire]]</f>
        <v>156000</v>
      </c>
      <c r="R1472">
        <f>Tableau1_2[[#This Row],[CA]]-Tableau1_2[[#This Row],[Cout Total]]</f>
        <v>75200</v>
      </c>
      <c r="S1472" s="4">
        <f>Tableau1_2[[#This Row],[Marge]]/Tableau1_2[[#This Row],[CA]]</f>
        <v>0.32525951557093424</v>
      </c>
      <c r="T1472" t="str">
        <f>TEXT(Tableau1_2[[#This Row],[Date]],"mmmm")</f>
        <v>juillet</v>
      </c>
    </row>
    <row r="1473" spans="1:20" x14ac:dyDescent="0.35">
      <c r="A1473" t="s">
        <v>2492</v>
      </c>
      <c r="B1473" s="2">
        <v>46158</v>
      </c>
      <c r="C1473" t="s">
        <v>314</v>
      </c>
      <c r="D1473" t="s">
        <v>1343</v>
      </c>
      <c r="E1473" t="s">
        <v>41</v>
      </c>
      <c r="F1473" t="s">
        <v>42</v>
      </c>
      <c r="G1473" t="s">
        <v>43</v>
      </c>
      <c r="H1473" t="s">
        <v>44</v>
      </c>
      <c r="I1473">
        <v>7</v>
      </c>
      <c r="J1473">
        <v>15800</v>
      </c>
      <c r="K1473">
        <v>9800</v>
      </c>
      <c r="L1473" t="s">
        <v>73</v>
      </c>
      <c r="M1473" t="s">
        <v>51</v>
      </c>
      <c r="N1473" t="s">
        <v>87</v>
      </c>
      <c r="O1473" t="s">
        <v>24</v>
      </c>
      <c r="P1473">
        <f>Tableau1_2[[#This Row],[Quantité]]*Tableau1_2[[#This Row],[Prix_Unitaire]]</f>
        <v>110600</v>
      </c>
      <c r="Q1473">
        <f>Tableau1_2[[#This Row],[Quantité]]*Tableau1_2[[#This Row],[Coût_Unitaire]]</f>
        <v>68600</v>
      </c>
      <c r="R1473">
        <f>Tableau1_2[[#This Row],[CA]]-Tableau1_2[[#This Row],[Cout Total]]</f>
        <v>42000</v>
      </c>
      <c r="S1473" s="4">
        <f>Tableau1_2[[#This Row],[Marge]]/Tableau1_2[[#This Row],[CA]]</f>
        <v>0.379746835443038</v>
      </c>
      <c r="T1473" t="str">
        <f>TEXT(Tableau1_2[[#This Row],[Date]],"mmmm")</f>
        <v>mai</v>
      </c>
    </row>
    <row r="1474" spans="1:20" x14ac:dyDescent="0.35">
      <c r="A1474" t="s">
        <v>2493</v>
      </c>
      <c r="B1474" s="2">
        <v>46126</v>
      </c>
      <c r="C1474" t="s">
        <v>123</v>
      </c>
      <c r="D1474" t="s">
        <v>2056</v>
      </c>
      <c r="E1474" t="s">
        <v>18</v>
      </c>
      <c r="F1474" t="s">
        <v>18</v>
      </c>
      <c r="G1474" t="s">
        <v>34</v>
      </c>
      <c r="H1474" t="s">
        <v>86</v>
      </c>
      <c r="I1474">
        <v>10</v>
      </c>
      <c r="J1474">
        <v>180000</v>
      </c>
      <c r="K1474">
        <v>139000</v>
      </c>
      <c r="L1474" t="s">
        <v>21</v>
      </c>
      <c r="M1474" t="s">
        <v>51</v>
      </c>
      <c r="N1474" t="s">
        <v>23</v>
      </c>
      <c r="O1474" t="s">
        <v>24</v>
      </c>
      <c r="P1474">
        <f>Tableau1_2[[#This Row],[Quantité]]*Tableau1_2[[#This Row],[Prix_Unitaire]]</f>
        <v>1800000</v>
      </c>
      <c r="Q1474">
        <f>Tableau1_2[[#This Row],[Quantité]]*Tableau1_2[[#This Row],[Coût_Unitaire]]</f>
        <v>1390000</v>
      </c>
      <c r="R1474">
        <f>Tableau1_2[[#This Row],[CA]]-Tableau1_2[[#This Row],[Cout Total]]</f>
        <v>410000</v>
      </c>
      <c r="S1474" s="4">
        <f>Tableau1_2[[#This Row],[Marge]]/Tableau1_2[[#This Row],[CA]]</f>
        <v>0.22777777777777777</v>
      </c>
      <c r="T1474" t="str">
        <f>TEXT(Tableau1_2[[#This Row],[Date]],"mmmm")</f>
        <v>avril</v>
      </c>
    </row>
    <row r="1475" spans="1:20" x14ac:dyDescent="0.35">
      <c r="A1475" t="s">
        <v>2494</v>
      </c>
      <c r="B1475" s="2">
        <v>46376</v>
      </c>
      <c r="C1475" t="s">
        <v>1148</v>
      </c>
      <c r="D1475" t="s">
        <v>2495</v>
      </c>
      <c r="E1475" t="s">
        <v>18</v>
      </c>
      <c r="F1475" t="s">
        <v>18</v>
      </c>
      <c r="G1475" t="s">
        <v>19</v>
      </c>
      <c r="H1475" t="s">
        <v>20</v>
      </c>
      <c r="I1475">
        <v>4</v>
      </c>
      <c r="J1475">
        <v>65000</v>
      </c>
      <c r="K1475">
        <v>43600</v>
      </c>
      <c r="L1475" t="s">
        <v>36</v>
      </c>
      <c r="M1475" t="s">
        <v>31</v>
      </c>
      <c r="N1475" t="s">
        <v>23</v>
      </c>
      <c r="O1475" t="s">
        <v>24</v>
      </c>
      <c r="P1475">
        <f>Tableau1_2[[#This Row],[Quantité]]*Tableau1_2[[#This Row],[Prix_Unitaire]]</f>
        <v>260000</v>
      </c>
      <c r="Q1475">
        <f>Tableau1_2[[#This Row],[Quantité]]*Tableau1_2[[#This Row],[Coût_Unitaire]]</f>
        <v>174400</v>
      </c>
      <c r="R1475">
        <f>Tableau1_2[[#This Row],[CA]]-Tableau1_2[[#This Row],[Cout Total]]</f>
        <v>85600</v>
      </c>
      <c r="S1475" s="4">
        <f>Tableau1_2[[#This Row],[Marge]]/Tableau1_2[[#This Row],[CA]]</f>
        <v>0.32923076923076922</v>
      </c>
      <c r="T1475" t="str">
        <f>TEXT(Tableau1_2[[#This Row],[Date]],"mmmm")</f>
        <v>décembre</v>
      </c>
    </row>
    <row r="1476" spans="1:20" x14ac:dyDescent="0.35">
      <c r="A1476" t="s">
        <v>2496</v>
      </c>
      <c r="B1476" s="2">
        <v>46225</v>
      </c>
      <c r="C1476" t="s">
        <v>2432</v>
      </c>
      <c r="D1476" t="s">
        <v>447</v>
      </c>
      <c r="E1476" t="s">
        <v>156</v>
      </c>
      <c r="F1476" t="s">
        <v>157</v>
      </c>
      <c r="G1476" t="s">
        <v>34</v>
      </c>
      <c r="H1476" t="s">
        <v>86</v>
      </c>
      <c r="I1476">
        <v>5</v>
      </c>
      <c r="J1476">
        <v>180000</v>
      </c>
      <c r="K1476">
        <v>131000</v>
      </c>
      <c r="L1476" t="s">
        <v>96</v>
      </c>
      <c r="M1476" t="s">
        <v>51</v>
      </c>
      <c r="N1476" t="s">
        <v>23</v>
      </c>
      <c r="O1476" t="s">
        <v>24</v>
      </c>
      <c r="P1476">
        <f>Tableau1_2[[#This Row],[Quantité]]*Tableau1_2[[#This Row],[Prix_Unitaire]]</f>
        <v>900000</v>
      </c>
      <c r="Q1476">
        <f>Tableau1_2[[#This Row],[Quantité]]*Tableau1_2[[#This Row],[Coût_Unitaire]]</f>
        <v>655000</v>
      </c>
      <c r="R1476">
        <f>Tableau1_2[[#This Row],[CA]]-Tableau1_2[[#This Row],[Cout Total]]</f>
        <v>245000</v>
      </c>
      <c r="S1476" s="4">
        <f>Tableau1_2[[#This Row],[Marge]]/Tableau1_2[[#This Row],[CA]]</f>
        <v>0.2722222222222222</v>
      </c>
      <c r="T1476" t="str">
        <f>TEXT(Tableau1_2[[#This Row],[Date]],"mmmm")</f>
        <v>juillet</v>
      </c>
    </row>
    <row r="1477" spans="1:20" x14ac:dyDescent="0.35">
      <c r="A1477" t="s">
        <v>2497</v>
      </c>
      <c r="B1477" s="2">
        <v>46341</v>
      </c>
      <c r="C1477" t="s">
        <v>2498</v>
      </c>
      <c r="D1477" t="s">
        <v>743</v>
      </c>
      <c r="E1477" t="s">
        <v>156</v>
      </c>
      <c r="F1477" t="s">
        <v>157</v>
      </c>
      <c r="G1477" t="s">
        <v>43</v>
      </c>
      <c r="H1477" t="s">
        <v>44</v>
      </c>
      <c r="I1477">
        <v>7</v>
      </c>
      <c r="J1477">
        <v>15800</v>
      </c>
      <c r="K1477">
        <v>9800</v>
      </c>
      <c r="L1477" t="s">
        <v>73</v>
      </c>
      <c r="M1477" t="s">
        <v>51</v>
      </c>
      <c r="N1477" t="s">
        <v>23</v>
      </c>
      <c r="O1477" t="s">
        <v>24</v>
      </c>
      <c r="P1477">
        <f>Tableau1_2[[#This Row],[Quantité]]*Tableau1_2[[#This Row],[Prix_Unitaire]]</f>
        <v>110600</v>
      </c>
      <c r="Q1477">
        <f>Tableau1_2[[#This Row],[Quantité]]*Tableau1_2[[#This Row],[Coût_Unitaire]]</f>
        <v>68600</v>
      </c>
      <c r="R1477">
        <f>Tableau1_2[[#This Row],[CA]]-Tableau1_2[[#This Row],[Cout Total]]</f>
        <v>42000</v>
      </c>
      <c r="S1477" s="4">
        <f>Tableau1_2[[#This Row],[Marge]]/Tableau1_2[[#This Row],[CA]]</f>
        <v>0.379746835443038</v>
      </c>
      <c r="T1477" t="str">
        <f>TEXT(Tableau1_2[[#This Row],[Date]],"mmmm")</f>
        <v>novembre</v>
      </c>
    </row>
    <row r="1478" spans="1:20" x14ac:dyDescent="0.35">
      <c r="A1478" t="s">
        <v>2499</v>
      </c>
      <c r="B1478" s="2">
        <v>46080</v>
      </c>
      <c r="C1478" t="s">
        <v>1164</v>
      </c>
      <c r="D1478" t="s">
        <v>1295</v>
      </c>
      <c r="E1478" t="s">
        <v>77</v>
      </c>
      <c r="F1478" t="s">
        <v>78</v>
      </c>
      <c r="G1478" t="s">
        <v>34</v>
      </c>
      <c r="H1478" t="s">
        <v>95</v>
      </c>
      <c r="I1478">
        <v>5</v>
      </c>
      <c r="J1478">
        <v>450000</v>
      </c>
      <c r="K1478">
        <v>358900</v>
      </c>
      <c r="L1478" t="s">
        <v>21</v>
      </c>
      <c r="M1478" t="s">
        <v>37</v>
      </c>
      <c r="N1478" t="s">
        <v>23</v>
      </c>
      <c r="O1478" t="s">
        <v>45</v>
      </c>
      <c r="P1478">
        <f>Tableau1_2[[#This Row],[Quantité]]*Tableau1_2[[#This Row],[Prix_Unitaire]]</f>
        <v>2250000</v>
      </c>
      <c r="Q1478">
        <f>Tableau1_2[[#This Row],[Quantité]]*Tableau1_2[[#This Row],[Coût_Unitaire]]</f>
        <v>1794500</v>
      </c>
      <c r="R1478">
        <f>Tableau1_2[[#This Row],[CA]]-Tableau1_2[[#This Row],[Cout Total]]</f>
        <v>455500</v>
      </c>
      <c r="S1478" s="4">
        <f>Tableau1_2[[#This Row],[Marge]]/Tableau1_2[[#This Row],[CA]]</f>
        <v>0.20244444444444445</v>
      </c>
      <c r="T1478" t="str">
        <f>TEXT(Tableau1_2[[#This Row],[Date]],"mmmm")</f>
        <v>février</v>
      </c>
    </row>
    <row r="1479" spans="1:20" x14ac:dyDescent="0.35">
      <c r="A1479" t="s">
        <v>2500</v>
      </c>
      <c r="B1479" s="2">
        <v>46184</v>
      </c>
      <c r="C1479" t="s">
        <v>1005</v>
      </c>
      <c r="D1479" t="s">
        <v>1913</v>
      </c>
      <c r="E1479" t="s">
        <v>41</v>
      </c>
      <c r="F1479" t="s">
        <v>42</v>
      </c>
      <c r="G1479" t="s">
        <v>34</v>
      </c>
      <c r="H1479" t="s">
        <v>141</v>
      </c>
      <c r="I1479">
        <v>4</v>
      </c>
      <c r="J1479">
        <v>152000</v>
      </c>
      <c r="K1479">
        <v>123600</v>
      </c>
      <c r="L1479" t="s">
        <v>36</v>
      </c>
      <c r="M1479" t="s">
        <v>22</v>
      </c>
      <c r="N1479" t="s">
        <v>52</v>
      </c>
      <c r="O1479" t="s">
        <v>24</v>
      </c>
      <c r="P1479">
        <f>Tableau1_2[[#This Row],[Quantité]]*Tableau1_2[[#This Row],[Prix_Unitaire]]</f>
        <v>608000</v>
      </c>
      <c r="Q1479">
        <f>Tableau1_2[[#This Row],[Quantité]]*Tableau1_2[[#This Row],[Coût_Unitaire]]</f>
        <v>494400</v>
      </c>
      <c r="R1479">
        <f>Tableau1_2[[#This Row],[CA]]-Tableau1_2[[#This Row],[Cout Total]]</f>
        <v>113600</v>
      </c>
      <c r="S1479" s="4">
        <f>Tableau1_2[[#This Row],[Marge]]/Tableau1_2[[#This Row],[CA]]</f>
        <v>0.18684210526315789</v>
      </c>
      <c r="T1479" t="str">
        <f>TEXT(Tableau1_2[[#This Row],[Date]],"mmmm")</f>
        <v>juin</v>
      </c>
    </row>
    <row r="1480" spans="1:20" x14ac:dyDescent="0.35">
      <c r="A1480" t="s">
        <v>2501</v>
      </c>
      <c r="B1480" s="2">
        <v>46152</v>
      </c>
      <c r="C1480" t="s">
        <v>234</v>
      </c>
      <c r="D1480" t="s">
        <v>76</v>
      </c>
      <c r="E1480" t="s">
        <v>56</v>
      </c>
      <c r="F1480" t="s">
        <v>57</v>
      </c>
      <c r="G1480" t="s">
        <v>34</v>
      </c>
      <c r="H1480" t="s">
        <v>141</v>
      </c>
      <c r="I1480">
        <v>7</v>
      </c>
      <c r="J1480">
        <v>168000</v>
      </c>
      <c r="K1480">
        <v>120000</v>
      </c>
      <c r="L1480" t="s">
        <v>73</v>
      </c>
      <c r="M1480" t="s">
        <v>51</v>
      </c>
      <c r="N1480" t="s">
        <v>23</v>
      </c>
      <c r="O1480" t="s">
        <v>24</v>
      </c>
      <c r="P1480">
        <f>Tableau1_2[[#This Row],[Quantité]]*Tableau1_2[[#This Row],[Prix_Unitaire]]</f>
        <v>1176000</v>
      </c>
      <c r="Q1480">
        <f>Tableau1_2[[#This Row],[Quantité]]*Tableau1_2[[#This Row],[Coût_Unitaire]]</f>
        <v>840000</v>
      </c>
      <c r="R1480">
        <f>Tableau1_2[[#This Row],[CA]]-Tableau1_2[[#This Row],[Cout Total]]</f>
        <v>336000</v>
      </c>
      <c r="S1480" s="4">
        <f>Tableau1_2[[#This Row],[Marge]]/Tableau1_2[[#This Row],[CA]]</f>
        <v>0.2857142857142857</v>
      </c>
      <c r="T1480" t="str">
        <f>TEXT(Tableau1_2[[#This Row],[Date]],"mmmm")</f>
        <v>mai</v>
      </c>
    </row>
    <row r="1481" spans="1:20" x14ac:dyDescent="0.35">
      <c r="A1481" t="s">
        <v>2502</v>
      </c>
      <c r="B1481" s="2">
        <v>46136</v>
      </c>
      <c r="C1481" t="s">
        <v>2503</v>
      </c>
      <c r="D1481" t="s">
        <v>1126</v>
      </c>
      <c r="E1481" t="s">
        <v>77</v>
      </c>
      <c r="F1481" t="s">
        <v>78</v>
      </c>
      <c r="G1481" t="s">
        <v>34</v>
      </c>
      <c r="H1481" t="s">
        <v>35</v>
      </c>
      <c r="I1481">
        <v>1</v>
      </c>
      <c r="J1481">
        <v>52200</v>
      </c>
      <c r="K1481">
        <v>40200</v>
      </c>
      <c r="L1481" t="s">
        <v>36</v>
      </c>
      <c r="M1481" t="s">
        <v>37</v>
      </c>
      <c r="N1481" t="s">
        <v>23</v>
      </c>
      <c r="O1481" t="s">
        <v>24</v>
      </c>
      <c r="P1481">
        <f>Tableau1_2[[#This Row],[Quantité]]*Tableau1_2[[#This Row],[Prix_Unitaire]]</f>
        <v>52200</v>
      </c>
      <c r="Q1481">
        <f>Tableau1_2[[#This Row],[Quantité]]*Tableau1_2[[#This Row],[Coût_Unitaire]]</f>
        <v>40200</v>
      </c>
      <c r="R1481">
        <f>Tableau1_2[[#This Row],[CA]]-Tableau1_2[[#This Row],[Cout Total]]</f>
        <v>12000</v>
      </c>
      <c r="S1481" s="4">
        <f>Tableau1_2[[#This Row],[Marge]]/Tableau1_2[[#This Row],[CA]]</f>
        <v>0.22988505747126436</v>
      </c>
      <c r="T1481" t="str">
        <f>TEXT(Tableau1_2[[#This Row],[Date]],"mmmm")</f>
        <v>avril</v>
      </c>
    </row>
    <row r="1482" spans="1:20" x14ac:dyDescent="0.35">
      <c r="A1482" t="s">
        <v>2504</v>
      </c>
      <c r="B1482" s="2">
        <v>46255</v>
      </c>
      <c r="C1482" t="s">
        <v>319</v>
      </c>
      <c r="D1482" t="s">
        <v>1251</v>
      </c>
      <c r="E1482" t="s">
        <v>56</v>
      </c>
      <c r="F1482" t="s">
        <v>57</v>
      </c>
      <c r="G1482" t="s">
        <v>34</v>
      </c>
      <c r="H1482" t="s">
        <v>35</v>
      </c>
      <c r="I1482">
        <v>1</v>
      </c>
      <c r="J1482">
        <v>55000</v>
      </c>
      <c r="K1482">
        <v>39000</v>
      </c>
      <c r="L1482" t="s">
        <v>66</v>
      </c>
      <c r="M1482" t="s">
        <v>37</v>
      </c>
      <c r="N1482" t="s">
        <v>23</v>
      </c>
      <c r="O1482" t="s">
        <v>24</v>
      </c>
      <c r="P1482">
        <f>Tableau1_2[[#This Row],[Quantité]]*Tableau1_2[[#This Row],[Prix_Unitaire]]</f>
        <v>55000</v>
      </c>
      <c r="Q1482">
        <f>Tableau1_2[[#This Row],[Quantité]]*Tableau1_2[[#This Row],[Coût_Unitaire]]</f>
        <v>39000</v>
      </c>
      <c r="R1482">
        <f>Tableau1_2[[#This Row],[CA]]-Tableau1_2[[#This Row],[Cout Total]]</f>
        <v>16000</v>
      </c>
      <c r="S1482" s="4">
        <f>Tableau1_2[[#This Row],[Marge]]/Tableau1_2[[#This Row],[CA]]</f>
        <v>0.29090909090909089</v>
      </c>
      <c r="T1482" t="str">
        <f>TEXT(Tableau1_2[[#This Row],[Date]],"mmmm")</f>
        <v>août</v>
      </c>
    </row>
    <row r="1483" spans="1:20" x14ac:dyDescent="0.35">
      <c r="A1483" t="s">
        <v>2505</v>
      </c>
      <c r="B1483" s="2">
        <v>46112</v>
      </c>
      <c r="C1483" t="s">
        <v>2498</v>
      </c>
      <c r="D1483" t="s">
        <v>250</v>
      </c>
      <c r="E1483" t="s">
        <v>56</v>
      </c>
      <c r="F1483" t="s">
        <v>57</v>
      </c>
      <c r="G1483" t="s">
        <v>34</v>
      </c>
      <c r="H1483" t="s">
        <v>86</v>
      </c>
      <c r="I1483">
        <v>7</v>
      </c>
      <c r="J1483">
        <v>171000</v>
      </c>
      <c r="K1483">
        <v>131000</v>
      </c>
      <c r="L1483" t="s">
        <v>30</v>
      </c>
      <c r="M1483" t="s">
        <v>51</v>
      </c>
      <c r="N1483" t="s">
        <v>23</v>
      </c>
      <c r="O1483" t="s">
        <v>24</v>
      </c>
      <c r="P1483">
        <f>Tableau1_2[[#This Row],[Quantité]]*Tableau1_2[[#This Row],[Prix_Unitaire]]</f>
        <v>1197000</v>
      </c>
      <c r="Q1483">
        <f>Tableau1_2[[#This Row],[Quantité]]*Tableau1_2[[#This Row],[Coût_Unitaire]]</f>
        <v>917000</v>
      </c>
      <c r="R1483">
        <f>Tableau1_2[[#This Row],[CA]]-Tableau1_2[[#This Row],[Cout Total]]</f>
        <v>280000</v>
      </c>
      <c r="S1483" s="4">
        <f>Tableau1_2[[#This Row],[Marge]]/Tableau1_2[[#This Row],[CA]]</f>
        <v>0.23391812865497075</v>
      </c>
      <c r="T1483" t="str">
        <f>TEXT(Tableau1_2[[#This Row],[Date]],"mmmm")</f>
        <v>mars</v>
      </c>
    </row>
    <row r="1484" spans="1:20" x14ac:dyDescent="0.35">
      <c r="A1484" t="s">
        <v>2506</v>
      </c>
      <c r="B1484" s="2">
        <v>46227</v>
      </c>
      <c r="C1484" t="s">
        <v>1424</v>
      </c>
      <c r="D1484" t="s">
        <v>521</v>
      </c>
      <c r="E1484" t="s">
        <v>18</v>
      </c>
      <c r="F1484" t="s">
        <v>18</v>
      </c>
      <c r="G1484" t="s">
        <v>19</v>
      </c>
      <c r="H1484" t="s">
        <v>166</v>
      </c>
      <c r="I1484">
        <v>4</v>
      </c>
      <c r="J1484">
        <v>147000</v>
      </c>
      <c r="K1484">
        <v>100000</v>
      </c>
      <c r="L1484" t="s">
        <v>66</v>
      </c>
      <c r="M1484" t="s">
        <v>37</v>
      </c>
      <c r="N1484" t="s">
        <v>52</v>
      </c>
      <c r="O1484" t="s">
        <v>24</v>
      </c>
      <c r="P1484">
        <f>Tableau1_2[[#This Row],[Quantité]]*Tableau1_2[[#This Row],[Prix_Unitaire]]</f>
        <v>588000</v>
      </c>
      <c r="Q1484">
        <f>Tableau1_2[[#This Row],[Quantité]]*Tableau1_2[[#This Row],[Coût_Unitaire]]</f>
        <v>400000</v>
      </c>
      <c r="R1484">
        <f>Tableau1_2[[#This Row],[CA]]-Tableau1_2[[#This Row],[Cout Total]]</f>
        <v>188000</v>
      </c>
      <c r="S1484" s="4">
        <f>Tableau1_2[[#This Row],[Marge]]/Tableau1_2[[#This Row],[CA]]</f>
        <v>0.31972789115646261</v>
      </c>
      <c r="T1484" t="str">
        <f>TEXT(Tableau1_2[[#This Row],[Date]],"mmmm")</f>
        <v>juillet</v>
      </c>
    </row>
    <row r="1485" spans="1:20" x14ac:dyDescent="0.35">
      <c r="A1485" t="s">
        <v>2507</v>
      </c>
      <c r="B1485" s="2">
        <v>46152</v>
      </c>
      <c r="C1485" t="s">
        <v>1185</v>
      </c>
      <c r="D1485" t="s">
        <v>1181</v>
      </c>
      <c r="E1485" t="s">
        <v>190</v>
      </c>
      <c r="F1485" t="s">
        <v>191</v>
      </c>
      <c r="G1485" t="s">
        <v>19</v>
      </c>
      <c r="H1485" t="s">
        <v>112</v>
      </c>
      <c r="I1485">
        <v>7</v>
      </c>
      <c r="J1485">
        <v>85000</v>
      </c>
      <c r="K1485">
        <v>62000</v>
      </c>
      <c r="L1485" t="s">
        <v>30</v>
      </c>
      <c r="M1485" t="s">
        <v>37</v>
      </c>
      <c r="N1485" t="s">
        <v>87</v>
      </c>
      <c r="O1485" t="s">
        <v>24</v>
      </c>
      <c r="P1485">
        <f>Tableau1_2[[#This Row],[Quantité]]*Tableau1_2[[#This Row],[Prix_Unitaire]]</f>
        <v>595000</v>
      </c>
      <c r="Q1485">
        <f>Tableau1_2[[#This Row],[Quantité]]*Tableau1_2[[#This Row],[Coût_Unitaire]]</f>
        <v>434000</v>
      </c>
      <c r="R1485">
        <f>Tableau1_2[[#This Row],[CA]]-Tableau1_2[[#This Row],[Cout Total]]</f>
        <v>161000</v>
      </c>
      <c r="S1485" s="4">
        <f>Tableau1_2[[#This Row],[Marge]]/Tableau1_2[[#This Row],[CA]]</f>
        <v>0.27058823529411763</v>
      </c>
      <c r="T1485" t="str">
        <f>TEXT(Tableau1_2[[#This Row],[Date]],"mmmm")</f>
        <v>mai</v>
      </c>
    </row>
    <row r="1486" spans="1:20" x14ac:dyDescent="0.35">
      <c r="A1486" t="s">
        <v>2508</v>
      </c>
      <c r="B1486" s="2">
        <v>46093</v>
      </c>
      <c r="C1486" t="s">
        <v>2509</v>
      </c>
      <c r="D1486" t="s">
        <v>814</v>
      </c>
      <c r="E1486" t="s">
        <v>18</v>
      </c>
      <c r="F1486" t="s">
        <v>18</v>
      </c>
      <c r="G1486" t="s">
        <v>19</v>
      </c>
      <c r="H1486" t="s">
        <v>112</v>
      </c>
      <c r="I1486">
        <v>3</v>
      </c>
      <c r="J1486">
        <v>85000</v>
      </c>
      <c r="K1486">
        <v>63900</v>
      </c>
      <c r="L1486" t="s">
        <v>36</v>
      </c>
      <c r="M1486" t="s">
        <v>51</v>
      </c>
      <c r="N1486" t="s">
        <v>52</v>
      </c>
      <c r="O1486" t="s">
        <v>24</v>
      </c>
      <c r="P1486">
        <f>Tableau1_2[[#This Row],[Quantité]]*Tableau1_2[[#This Row],[Prix_Unitaire]]</f>
        <v>255000</v>
      </c>
      <c r="Q1486">
        <f>Tableau1_2[[#This Row],[Quantité]]*Tableau1_2[[#This Row],[Coût_Unitaire]]</f>
        <v>191700</v>
      </c>
      <c r="R1486">
        <f>Tableau1_2[[#This Row],[CA]]-Tableau1_2[[#This Row],[Cout Total]]</f>
        <v>63300</v>
      </c>
      <c r="S1486" s="4">
        <f>Tableau1_2[[#This Row],[Marge]]/Tableau1_2[[#This Row],[CA]]</f>
        <v>0.24823529411764705</v>
      </c>
      <c r="T1486" t="str">
        <f>TEXT(Tableau1_2[[#This Row],[Date]],"mmmm")</f>
        <v>mars</v>
      </c>
    </row>
    <row r="1487" spans="1:20" x14ac:dyDescent="0.35">
      <c r="A1487" t="s">
        <v>2510</v>
      </c>
      <c r="B1487" s="2">
        <v>46184</v>
      </c>
      <c r="C1487" t="s">
        <v>2432</v>
      </c>
      <c r="D1487" t="s">
        <v>738</v>
      </c>
      <c r="E1487" t="s">
        <v>18</v>
      </c>
      <c r="F1487" t="s">
        <v>18</v>
      </c>
      <c r="G1487" t="s">
        <v>19</v>
      </c>
      <c r="H1487" t="s">
        <v>166</v>
      </c>
      <c r="I1487">
        <v>9</v>
      </c>
      <c r="J1487">
        <v>140000</v>
      </c>
      <c r="K1487">
        <v>97000</v>
      </c>
      <c r="L1487" t="s">
        <v>73</v>
      </c>
      <c r="M1487" t="s">
        <v>37</v>
      </c>
      <c r="N1487" t="s">
        <v>52</v>
      </c>
      <c r="O1487" t="s">
        <v>91</v>
      </c>
      <c r="P1487">
        <f>Tableau1_2[[#This Row],[Quantité]]*Tableau1_2[[#This Row],[Prix_Unitaire]]</f>
        <v>1260000</v>
      </c>
      <c r="Q1487">
        <f>Tableau1_2[[#This Row],[Quantité]]*Tableau1_2[[#This Row],[Coût_Unitaire]]</f>
        <v>873000</v>
      </c>
      <c r="R1487">
        <f>Tableau1_2[[#This Row],[CA]]-Tableau1_2[[#This Row],[Cout Total]]</f>
        <v>387000</v>
      </c>
      <c r="S1487" s="4">
        <f>Tableau1_2[[#This Row],[Marge]]/Tableau1_2[[#This Row],[CA]]</f>
        <v>0.30714285714285716</v>
      </c>
      <c r="T1487" t="str">
        <f>TEXT(Tableau1_2[[#This Row],[Date]],"mmmm")</f>
        <v>juin</v>
      </c>
    </row>
    <row r="1488" spans="1:20" x14ac:dyDescent="0.35">
      <c r="A1488" t="s">
        <v>2511</v>
      </c>
      <c r="B1488" s="2">
        <v>46124</v>
      </c>
      <c r="C1488" t="s">
        <v>2512</v>
      </c>
      <c r="D1488" t="s">
        <v>872</v>
      </c>
      <c r="E1488" t="s">
        <v>156</v>
      </c>
      <c r="F1488" t="s">
        <v>170</v>
      </c>
      <c r="G1488" t="s">
        <v>34</v>
      </c>
      <c r="H1488" t="s">
        <v>95</v>
      </c>
      <c r="I1488">
        <v>3</v>
      </c>
      <c r="J1488">
        <v>427500</v>
      </c>
      <c r="K1488">
        <v>381100</v>
      </c>
      <c r="L1488" t="s">
        <v>30</v>
      </c>
      <c r="M1488" t="s">
        <v>31</v>
      </c>
      <c r="N1488" t="s">
        <v>23</v>
      </c>
      <c r="O1488" t="s">
        <v>24</v>
      </c>
      <c r="P1488">
        <f>Tableau1_2[[#This Row],[Quantité]]*Tableau1_2[[#This Row],[Prix_Unitaire]]</f>
        <v>1282500</v>
      </c>
      <c r="Q1488">
        <f>Tableau1_2[[#This Row],[Quantité]]*Tableau1_2[[#This Row],[Coût_Unitaire]]</f>
        <v>1143300</v>
      </c>
      <c r="R1488">
        <f>Tableau1_2[[#This Row],[CA]]-Tableau1_2[[#This Row],[Cout Total]]</f>
        <v>139200</v>
      </c>
      <c r="S1488" s="4">
        <f>Tableau1_2[[#This Row],[Marge]]/Tableau1_2[[#This Row],[CA]]</f>
        <v>0.10853801169590643</v>
      </c>
      <c r="T1488" t="str">
        <f>TEXT(Tableau1_2[[#This Row],[Date]],"mmmm")</f>
        <v>avril</v>
      </c>
    </row>
    <row r="1489" spans="1:20" x14ac:dyDescent="0.35">
      <c r="A1489" t="s">
        <v>2513</v>
      </c>
      <c r="B1489" s="2">
        <v>46381</v>
      </c>
      <c r="C1489" t="s">
        <v>75</v>
      </c>
      <c r="D1489" t="s">
        <v>55</v>
      </c>
      <c r="E1489" t="s">
        <v>77</v>
      </c>
      <c r="F1489" t="s">
        <v>78</v>
      </c>
      <c r="G1489" t="s">
        <v>34</v>
      </c>
      <c r="H1489" t="s">
        <v>141</v>
      </c>
      <c r="I1489">
        <v>8</v>
      </c>
      <c r="J1489">
        <v>152000</v>
      </c>
      <c r="K1489">
        <v>116400</v>
      </c>
      <c r="L1489" t="s">
        <v>80</v>
      </c>
      <c r="M1489" t="s">
        <v>31</v>
      </c>
      <c r="N1489" t="s">
        <v>52</v>
      </c>
      <c r="O1489" t="s">
        <v>45</v>
      </c>
      <c r="P1489">
        <f>Tableau1_2[[#This Row],[Quantité]]*Tableau1_2[[#This Row],[Prix_Unitaire]]</f>
        <v>1216000</v>
      </c>
      <c r="Q1489">
        <f>Tableau1_2[[#This Row],[Quantité]]*Tableau1_2[[#This Row],[Coût_Unitaire]]</f>
        <v>931200</v>
      </c>
      <c r="R1489">
        <f>Tableau1_2[[#This Row],[CA]]-Tableau1_2[[#This Row],[Cout Total]]</f>
        <v>284800</v>
      </c>
      <c r="S1489" s="4">
        <f>Tableau1_2[[#This Row],[Marge]]/Tableau1_2[[#This Row],[CA]]</f>
        <v>0.23421052631578948</v>
      </c>
      <c r="T1489" t="str">
        <f>TEXT(Tableau1_2[[#This Row],[Date]],"mmmm")</f>
        <v>décembre</v>
      </c>
    </row>
    <row r="1490" spans="1:20" x14ac:dyDescent="0.35">
      <c r="A1490" t="s">
        <v>2514</v>
      </c>
      <c r="B1490" s="2">
        <v>46272</v>
      </c>
      <c r="C1490" t="s">
        <v>82</v>
      </c>
      <c r="D1490" t="s">
        <v>743</v>
      </c>
      <c r="E1490" t="s">
        <v>84</v>
      </c>
      <c r="F1490" t="s">
        <v>85</v>
      </c>
      <c r="G1490" t="s">
        <v>34</v>
      </c>
      <c r="H1490" t="s">
        <v>35</v>
      </c>
      <c r="I1490">
        <v>3</v>
      </c>
      <c r="J1490">
        <v>55000</v>
      </c>
      <c r="K1490">
        <v>39000</v>
      </c>
      <c r="L1490" t="s">
        <v>80</v>
      </c>
      <c r="M1490" t="s">
        <v>22</v>
      </c>
      <c r="N1490" t="s">
        <v>87</v>
      </c>
      <c r="O1490" t="s">
        <v>24</v>
      </c>
      <c r="P1490">
        <f>Tableau1_2[[#This Row],[Quantité]]*Tableau1_2[[#This Row],[Prix_Unitaire]]</f>
        <v>165000</v>
      </c>
      <c r="Q1490">
        <f>Tableau1_2[[#This Row],[Quantité]]*Tableau1_2[[#This Row],[Coût_Unitaire]]</f>
        <v>117000</v>
      </c>
      <c r="R1490">
        <f>Tableau1_2[[#This Row],[CA]]-Tableau1_2[[#This Row],[Cout Total]]</f>
        <v>48000</v>
      </c>
      <c r="S1490" s="4">
        <f>Tableau1_2[[#This Row],[Marge]]/Tableau1_2[[#This Row],[CA]]</f>
        <v>0.29090909090909089</v>
      </c>
      <c r="T1490" t="str">
        <f>TEXT(Tableau1_2[[#This Row],[Date]],"mmmm")</f>
        <v>septembre</v>
      </c>
    </row>
    <row r="1491" spans="1:20" x14ac:dyDescent="0.35">
      <c r="A1491" t="s">
        <v>2515</v>
      </c>
      <c r="B1491" s="2">
        <v>46118</v>
      </c>
      <c r="C1491" t="s">
        <v>1210</v>
      </c>
      <c r="D1491" t="s">
        <v>482</v>
      </c>
      <c r="E1491" t="s">
        <v>18</v>
      </c>
      <c r="F1491" t="s">
        <v>18</v>
      </c>
      <c r="G1491" t="s">
        <v>19</v>
      </c>
      <c r="H1491" t="s">
        <v>166</v>
      </c>
      <c r="I1491">
        <v>8</v>
      </c>
      <c r="J1491">
        <v>140000</v>
      </c>
      <c r="K1491">
        <v>97000</v>
      </c>
      <c r="L1491" t="s">
        <v>30</v>
      </c>
      <c r="M1491" t="s">
        <v>37</v>
      </c>
      <c r="N1491" t="s">
        <v>23</v>
      </c>
      <c r="O1491" t="s">
        <v>24</v>
      </c>
      <c r="P1491">
        <f>Tableau1_2[[#This Row],[Quantité]]*Tableau1_2[[#This Row],[Prix_Unitaire]]</f>
        <v>1120000</v>
      </c>
      <c r="Q1491">
        <f>Tableau1_2[[#This Row],[Quantité]]*Tableau1_2[[#This Row],[Coût_Unitaire]]</f>
        <v>776000</v>
      </c>
      <c r="R1491">
        <f>Tableau1_2[[#This Row],[CA]]-Tableau1_2[[#This Row],[Cout Total]]</f>
        <v>344000</v>
      </c>
      <c r="S1491" s="4">
        <f>Tableau1_2[[#This Row],[Marge]]/Tableau1_2[[#This Row],[CA]]</f>
        <v>0.30714285714285716</v>
      </c>
      <c r="T1491" t="str">
        <f>TEXT(Tableau1_2[[#This Row],[Date]],"mmmm")</f>
        <v>avril</v>
      </c>
    </row>
    <row r="1492" spans="1:20" x14ac:dyDescent="0.35">
      <c r="A1492" t="s">
        <v>2516</v>
      </c>
      <c r="B1492" s="2">
        <v>46121</v>
      </c>
      <c r="C1492" t="s">
        <v>1368</v>
      </c>
      <c r="D1492" t="s">
        <v>2517</v>
      </c>
      <c r="E1492" t="s">
        <v>18</v>
      </c>
      <c r="F1492" t="s">
        <v>18</v>
      </c>
      <c r="G1492" t="s">
        <v>34</v>
      </c>
      <c r="H1492" t="s">
        <v>86</v>
      </c>
      <c r="I1492">
        <v>5</v>
      </c>
      <c r="J1492">
        <v>189000</v>
      </c>
      <c r="K1492">
        <v>131000</v>
      </c>
      <c r="L1492" t="s">
        <v>73</v>
      </c>
      <c r="M1492" t="s">
        <v>37</v>
      </c>
      <c r="N1492" t="s">
        <v>52</v>
      </c>
      <c r="O1492" t="s">
        <v>24</v>
      </c>
      <c r="P1492">
        <f>Tableau1_2[[#This Row],[Quantité]]*Tableau1_2[[#This Row],[Prix_Unitaire]]</f>
        <v>945000</v>
      </c>
      <c r="Q1492">
        <f>Tableau1_2[[#This Row],[Quantité]]*Tableau1_2[[#This Row],[Coût_Unitaire]]</f>
        <v>655000</v>
      </c>
      <c r="R1492">
        <f>Tableau1_2[[#This Row],[CA]]-Tableau1_2[[#This Row],[Cout Total]]</f>
        <v>290000</v>
      </c>
      <c r="S1492" s="4">
        <f>Tableau1_2[[#This Row],[Marge]]/Tableau1_2[[#This Row],[CA]]</f>
        <v>0.30687830687830686</v>
      </c>
      <c r="T1492" t="str">
        <f>TEXT(Tableau1_2[[#This Row],[Date]],"mmmm")</f>
        <v>avril</v>
      </c>
    </row>
    <row r="1493" spans="1:20" x14ac:dyDescent="0.35">
      <c r="A1493" t="s">
        <v>2518</v>
      </c>
      <c r="B1493" s="2">
        <v>46217</v>
      </c>
      <c r="C1493" t="s">
        <v>350</v>
      </c>
      <c r="D1493" t="s">
        <v>2451</v>
      </c>
      <c r="E1493" t="s">
        <v>18</v>
      </c>
      <c r="F1493" t="s">
        <v>18</v>
      </c>
      <c r="G1493" t="s">
        <v>34</v>
      </c>
      <c r="H1493" t="s">
        <v>95</v>
      </c>
      <c r="I1493">
        <v>7</v>
      </c>
      <c r="J1493">
        <v>450000</v>
      </c>
      <c r="K1493">
        <v>370000</v>
      </c>
      <c r="L1493" t="s">
        <v>73</v>
      </c>
      <c r="M1493" t="s">
        <v>51</v>
      </c>
      <c r="N1493" t="s">
        <v>87</v>
      </c>
      <c r="O1493" t="s">
        <v>91</v>
      </c>
      <c r="P1493">
        <f>Tableau1_2[[#This Row],[Quantité]]*Tableau1_2[[#This Row],[Prix_Unitaire]]</f>
        <v>3150000</v>
      </c>
      <c r="Q1493">
        <f>Tableau1_2[[#This Row],[Quantité]]*Tableau1_2[[#This Row],[Coût_Unitaire]]</f>
        <v>2590000</v>
      </c>
      <c r="R1493">
        <f>Tableau1_2[[#This Row],[CA]]-Tableau1_2[[#This Row],[Cout Total]]</f>
        <v>560000</v>
      </c>
      <c r="S1493" s="4">
        <f>Tableau1_2[[#This Row],[Marge]]/Tableau1_2[[#This Row],[CA]]</f>
        <v>0.17777777777777778</v>
      </c>
      <c r="T1493" t="str">
        <f>TEXT(Tableau1_2[[#This Row],[Date]],"mmmm")</f>
        <v>juillet</v>
      </c>
    </row>
    <row r="1494" spans="1:20" x14ac:dyDescent="0.35">
      <c r="A1494" t="s">
        <v>2519</v>
      </c>
      <c r="B1494" s="2">
        <v>46042</v>
      </c>
      <c r="C1494" t="s">
        <v>148</v>
      </c>
      <c r="D1494" t="s">
        <v>1581</v>
      </c>
      <c r="E1494" t="s">
        <v>84</v>
      </c>
      <c r="F1494" t="s">
        <v>85</v>
      </c>
      <c r="G1494" t="s">
        <v>34</v>
      </c>
      <c r="H1494" t="s">
        <v>95</v>
      </c>
      <c r="I1494">
        <v>9</v>
      </c>
      <c r="J1494">
        <v>427500</v>
      </c>
      <c r="K1494">
        <v>370000</v>
      </c>
      <c r="L1494" t="s">
        <v>66</v>
      </c>
      <c r="M1494" t="s">
        <v>51</v>
      </c>
      <c r="N1494" t="s">
        <v>23</v>
      </c>
      <c r="O1494" t="s">
        <v>45</v>
      </c>
      <c r="P1494">
        <f>Tableau1_2[[#This Row],[Quantité]]*Tableau1_2[[#This Row],[Prix_Unitaire]]</f>
        <v>3847500</v>
      </c>
      <c r="Q1494">
        <f>Tableau1_2[[#This Row],[Quantité]]*Tableau1_2[[#This Row],[Coût_Unitaire]]</f>
        <v>3330000</v>
      </c>
      <c r="R1494">
        <f>Tableau1_2[[#This Row],[CA]]-Tableau1_2[[#This Row],[Cout Total]]</f>
        <v>517500</v>
      </c>
      <c r="S1494" s="4">
        <f>Tableau1_2[[#This Row],[Marge]]/Tableau1_2[[#This Row],[CA]]</f>
        <v>0.13450292397660818</v>
      </c>
      <c r="T1494" t="str">
        <f>TEXT(Tableau1_2[[#This Row],[Date]],"mmmm")</f>
        <v>janvier</v>
      </c>
    </row>
    <row r="1495" spans="1:20" x14ac:dyDescent="0.35">
      <c r="A1495" t="s">
        <v>2520</v>
      </c>
      <c r="B1495" s="2">
        <v>46072</v>
      </c>
      <c r="C1495" t="s">
        <v>687</v>
      </c>
      <c r="D1495" t="s">
        <v>1635</v>
      </c>
      <c r="E1495" t="s">
        <v>18</v>
      </c>
      <c r="F1495" t="s">
        <v>18</v>
      </c>
      <c r="G1495" t="s">
        <v>43</v>
      </c>
      <c r="H1495" t="s">
        <v>49</v>
      </c>
      <c r="I1495">
        <v>4</v>
      </c>
      <c r="J1495">
        <v>9000</v>
      </c>
      <c r="K1495">
        <v>5600</v>
      </c>
      <c r="L1495" t="s">
        <v>30</v>
      </c>
      <c r="M1495" t="s">
        <v>31</v>
      </c>
      <c r="N1495" t="s">
        <v>23</v>
      </c>
      <c r="O1495" t="s">
        <v>24</v>
      </c>
      <c r="P1495">
        <f>Tableau1_2[[#This Row],[Quantité]]*Tableau1_2[[#This Row],[Prix_Unitaire]]</f>
        <v>36000</v>
      </c>
      <c r="Q1495">
        <f>Tableau1_2[[#This Row],[Quantité]]*Tableau1_2[[#This Row],[Coût_Unitaire]]</f>
        <v>22400</v>
      </c>
      <c r="R1495">
        <f>Tableau1_2[[#This Row],[CA]]-Tableau1_2[[#This Row],[Cout Total]]</f>
        <v>13600</v>
      </c>
      <c r="S1495" s="4">
        <f>Tableau1_2[[#This Row],[Marge]]/Tableau1_2[[#This Row],[CA]]</f>
        <v>0.37777777777777777</v>
      </c>
      <c r="T1495" t="str">
        <f>TEXT(Tableau1_2[[#This Row],[Date]],"mmmm")</f>
        <v>février</v>
      </c>
    </row>
    <row r="1496" spans="1:20" x14ac:dyDescent="0.35">
      <c r="A1496" t="s">
        <v>2521</v>
      </c>
      <c r="B1496" s="2">
        <v>46161</v>
      </c>
      <c r="C1496" t="s">
        <v>820</v>
      </c>
      <c r="D1496" t="s">
        <v>1418</v>
      </c>
      <c r="E1496" t="s">
        <v>56</v>
      </c>
      <c r="F1496" t="s">
        <v>57</v>
      </c>
      <c r="G1496" t="s">
        <v>19</v>
      </c>
      <c r="H1496" t="s">
        <v>166</v>
      </c>
      <c r="I1496">
        <v>9</v>
      </c>
      <c r="J1496">
        <v>140000</v>
      </c>
      <c r="K1496">
        <v>103000</v>
      </c>
      <c r="L1496" t="s">
        <v>80</v>
      </c>
      <c r="M1496" t="s">
        <v>37</v>
      </c>
      <c r="N1496" t="s">
        <v>23</v>
      </c>
      <c r="O1496" t="s">
        <v>24</v>
      </c>
      <c r="P1496">
        <f>Tableau1_2[[#This Row],[Quantité]]*Tableau1_2[[#This Row],[Prix_Unitaire]]</f>
        <v>1260000</v>
      </c>
      <c r="Q1496">
        <f>Tableau1_2[[#This Row],[Quantité]]*Tableau1_2[[#This Row],[Coût_Unitaire]]</f>
        <v>927000</v>
      </c>
      <c r="R1496">
        <f>Tableau1_2[[#This Row],[CA]]-Tableau1_2[[#This Row],[Cout Total]]</f>
        <v>333000</v>
      </c>
      <c r="S1496" s="4">
        <f>Tableau1_2[[#This Row],[Marge]]/Tableau1_2[[#This Row],[CA]]</f>
        <v>0.26428571428571429</v>
      </c>
      <c r="T1496" t="str">
        <f>TEXT(Tableau1_2[[#This Row],[Date]],"mmmm")</f>
        <v>mai</v>
      </c>
    </row>
    <row r="1497" spans="1:20" x14ac:dyDescent="0.35">
      <c r="A1497" t="s">
        <v>2522</v>
      </c>
      <c r="B1497" s="2">
        <v>46292</v>
      </c>
      <c r="C1497" t="s">
        <v>952</v>
      </c>
      <c r="D1497" t="s">
        <v>1628</v>
      </c>
      <c r="E1497" t="s">
        <v>18</v>
      </c>
      <c r="F1497" t="s">
        <v>18</v>
      </c>
      <c r="G1497" t="s">
        <v>34</v>
      </c>
      <c r="H1497" t="s">
        <v>95</v>
      </c>
      <c r="I1497">
        <v>2</v>
      </c>
      <c r="J1497">
        <v>427500</v>
      </c>
      <c r="K1497">
        <v>358900</v>
      </c>
      <c r="L1497" t="s">
        <v>30</v>
      </c>
      <c r="M1497" t="s">
        <v>31</v>
      </c>
      <c r="N1497" t="s">
        <v>23</v>
      </c>
      <c r="O1497" t="s">
        <v>24</v>
      </c>
      <c r="P1497">
        <f>Tableau1_2[[#This Row],[Quantité]]*Tableau1_2[[#This Row],[Prix_Unitaire]]</f>
        <v>855000</v>
      </c>
      <c r="Q1497">
        <f>Tableau1_2[[#This Row],[Quantité]]*Tableau1_2[[#This Row],[Coût_Unitaire]]</f>
        <v>717800</v>
      </c>
      <c r="R1497">
        <f>Tableau1_2[[#This Row],[CA]]-Tableau1_2[[#This Row],[Cout Total]]</f>
        <v>137200</v>
      </c>
      <c r="S1497" s="4">
        <f>Tableau1_2[[#This Row],[Marge]]/Tableau1_2[[#This Row],[CA]]</f>
        <v>0.16046783625730995</v>
      </c>
      <c r="T1497" t="str">
        <f>TEXT(Tableau1_2[[#This Row],[Date]],"mmmm")</f>
        <v>septembre</v>
      </c>
    </row>
    <row r="1498" spans="1:20" x14ac:dyDescent="0.35">
      <c r="A1498" t="s">
        <v>2523</v>
      </c>
      <c r="B1498" s="2">
        <v>46171</v>
      </c>
      <c r="C1498" t="s">
        <v>585</v>
      </c>
      <c r="D1498" t="s">
        <v>187</v>
      </c>
      <c r="E1498" t="s">
        <v>77</v>
      </c>
      <c r="F1498" t="s">
        <v>78</v>
      </c>
      <c r="G1498" t="s">
        <v>43</v>
      </c>
      <c r="H1498" t="s">
        <v>79</v>
      </c>
      <c r="I1498">
        <v>2</v>
      </c>
      <c r="J1498">
        <v>6300</v>
      </c>
      <c r="K1498">
        <v>4300</v>
      </c>
      <c r="L1498" t="s">
        <v>80</v>
      </c>
      <c r="M1498" t="s">
        <v>51</v>
      </c>
      <c r="N1498" t="s">
        <v>23</v>
      </c>
      <c r="O1498" t="s">
        <v>91</v>
      </c>
      <c r="P1498">
        <f>Tableau1_2[[#This Row],[Quantité]]*Tableau1_2[[#This Row],[Prix_Unitaire]]</f>
        <v>12600</v>
      </c>
      <c r="Q1498">
        <f>Tableau1_2[[#This Row],[Quantité]]*Tableau1_2[[#This Row],[Coût_Unitaire]]</f>
        <v>8600</v>
      </c>
      <c r="R1498">
        <f>Tableau1_2[[#This Row],[CA]]-Tableau1_2[[#This Row],[Cout Total]]</f>
        <v>4000</v>
      </c>
      <c r="S1498" s="4">
        <f>Tableau1_2[[#This Row],[Marge]]/Tableau1_2[[#This Row],[CA]]</f>
        <v>0.31746031746031744</v>
      </c>
      <c r="T1498" t="str">
        <f>TEXT(Tableau1_2[[#This Row],[Date]],"mmmm")</f>
        <v>mai</v>
      </c>
    </row>
    <row r="1499" spans="1:20" x14ac:dyDescent="0.35">
      <c r="A1499" t="s">
        <v>2524</v>
      </c>
      <c r="B1499" s="2">
        <v>46252</v>
      </c>
      <c r="C1499" t="s">
        <v>237</v>
      </c>
      <c r="D1499" t="s">
        <v>118</v>
      </c>
      <c r="E1499" t="s">
        <v>18</v>
      </c>
      <c r="F1499" t="s">
        <v>18</v>
      </c>
      <c r="G1499" t="s">
        <v>19</v>
      </c>
      <c r="H1499" t="s">
        <v>61</v>
      </c>
      <c r="I1499">
        <v>9</v>
      </c>
      <c r="J1499">
        <v>231000</v>
      </c>
      <c r="K1499">
        <v>160000</v>
      </c>
      <c r="L1499" t="s">
        <v>96</v>
      </c>
      <c r="M1499" t="s">
        <v>37</v>
      </c>
      <c r="N1499" t="s">
        <v>23</v>
      </c>
      <c r="O1499" t="s">
        <v>24</v>
      </c>
      <c r="P1499">
        <f>Tableau1_2[[#This Row],[Quantité]]*Tableau1_2[[#This Row],[Prix_Unitaire]]</f>
        <v>2079000</v>
      </c>
      <c r="Q1499">
        <f>Tableau1_2[[#This Row],[Quantité]]*Tableau1_2[[#This Row],[Coût_Unitaire]]</f>
        <v>1440000</v>
      </c>
      <c r="R1499">
        <f>Tableau1_2[[#This Row],[CA]]-Tableau1_2[[#This Row],[Cout Total]]</f>
        <v>639000</v>
      </c>
      <c r="S1499" s="4">
        <f>Tableau1_2[[#This Row],[Marge]]/Tableau1_2[[#This Row],[CA]]</f>
        <v>0.30735930735930733</v>
      </c>
      <c r="T1499" t="str">
        <f>TEXT(Tableau1_2[[#This Row],[Date]],"mmmm")</f>
        <v>août</v>
      </c>
    </row>
    <row r="1500" spans="1:20" x14ac:dyDescent="0.35">
      <c r="A1500" t="s">
        <v>2525</v>
      </c>
      <c r="B1500" s="2">
        <v>46307</v>
      </c>
      <c r="C1500" t="s">
        <v>1207</v>
      </c>
      <c r="D1500" t="s">
        <v>1023</v>
      </c>
      <c r="E1500" t="s">
        <v>190</v>
      </c>
      <c r="F1500" t="s">
        <v>191</v>
      </c>
      <c r="G1500" t="s">
        <v>43</v>
      </c>
      <c r="H1500" t="s">
        <v>177</v>
      </c>
      <c r="I1500">
        <v>7</v>
      </c>
      <c r="J1500">
        <v>18000</v>
      </c>
      <c r="K1500">
        <v>12500</v>
      </c>
      <c r="L1500" t="s">
        <v>21</v>
      </c>
      <c r="M1500" t="s">
        <v>37</v>
      </c>
      <c r="N1500" t="s">
        <v>23</v>
      </c>
      <c r="O1500" t="s">
        <v>24</v>
      </c>
      <c r="P1500">
        <f>Tableau1_2[[#This Row],[Quantité]]*Tableau1_2[[#This Row],[Prix_Unitaire]]</f>
        <v>126000</v>
      </c>
      <c r="Q1500">
        <f>Tableau1_2[[#This Row],[Quantité]]*Tableau1_2[[#This Row],[Coût_Unitaire]]</f>
        <v>87500</v>
      </c>
      <c r="R1500">
        <f>Tableau1_2[[#This Row],[CA]]-Tableau1_2[[#This Row],[Cout Total]]</f>
        <v>38500</v>
      </c>
      <c r="S1500" s="4">
        <f>Tableau1_2[[#This Row],[Marge]]/Tableau1_2[[#This Row],[CA]]</f>
        <v>0.30555555555555558</v>
      </c>
      <c r="T1500" t="str">
        <f>TEXT(Tableau1_2[[#This Row],[Date]],"mmmm")</f>
        <v>octobre</v>
      </c>
    </row>
    <row r="1501" spans="1:20" x14ac:dyDescent="0.35">
      <c r="A1501" t="s">
        <v>2526</v>
      </c>
      <c r="B1501" s="2">
        <v>46138</v>
      </c>
      <c r="C1501" t="s">
        <v>702</v>
      </c>
      <c r="D1501" t="s">
        <v>187</v>
      </c>
      <c r="E1501" t="s">
        <v>56</v>
      </c>
      <c r="F1501" t="s">
        <v>57</v>
      </c>
      <c r="G1501" t="s">
        <v>19</v>
      </c>
      <c r="H1501" t="s">
        <v>166</v>
      </c>
      <c r="I1501">
        <v>5</v>
      </c>
      <c r="J1501">
        <v>147000</v>
      </c>
      <c r="K1501">
        <v>100000</v>
      </c>
      <c r="L1501" t="s">
        <v>96</v>
      </c>
      <c r="M1501" t="s">
        <v>31</v>
      </c>
      <c r="N1501" t="s">
        <v>52</v>
      </c>
      <c r="O1501" t="s">
        <v>45</v>
      </c>
      <c r="P1501">
        <f>Tableau1_2[[#This Row],[Quantité]]*Tableau1_2[[#This Row],[Prix_Unitaire]]</f>
        <v>735000</v>
      </c>
      <c r="Q1501">
        <f>Tableau1_2[[#This Row],[Quantité]]*Tableau1_2[[#This Row],[Coût_Unitaire]]</f>
        <v>500000</v>
      </c>
      <c r="R1501">
        <f>Tableau1_2[[#This Row],[CA]]-Tableau1_2[[#This Row],[Cout Total]]</f>
        <v>235000</v>
      </c>
      <c r="S1501" s="4">
        <f>Tableau1_2[[#This Row],[Marge]]/Tableau1_2[[#This Row],[CA]]</f>
        <v>0.31972789115646261</v>
      </c>
      <c r="T1501" t="str">
        <f>TEXT(Tableau1_2[[#This Row],[Date]],"mmmm")</f>
        <v>avril</v>
      </c>
    </row>
    <row r="1502" spans="1:20" x14ac:dyDescent="0.35">
      <c r="A1502" t="s">
        <v>2527</v>
      </c>
      <c r="B1502" s="2">
        <v>46283</v>
      </c>
      <c r="C1502" t="s">
        <v>1527</v>
      </c>
      <c r="D1502" t="s">
        <v>417</v>
      </c>
      <c r="E1502" t="s">
        <v>77</v>
      </c>
      <c r="F1502" t="s">
        <v>78</v>
      </c>
      <c r="G1502" t="s">
        <v>34</v>
      </c>
      <c r="H1502" t="s">
        <v>86</v>
      </c>
      <c r="I1502">
        <v>8</v>
      </c>
      <c r="J1502">
        <v>189000</v>
      </c>
      <c r="K1502">
        <v>131000</v>
      </c>
      <c r="L1502" t="s">
        <v>66</v>
      </c>
      <c r="M1502" t="s">
        <v>51</v>
      </c>
      <c r="N1502" t="s">
        <v>52</v>
      </c>
      <c r="O1502" t="s">
        <v>45</v>
      </c>
      <c r="P1502">
        <f>Tableau1_2[[#This Row],[Quantité]]*Tableau1_2[[#This Row],[Prix_Unitaire]]</f>
        <v>1512000</v>
      </c>
      <c r="Q1502">
        <f>Tableau1_2[[#This Row],[Quantité]]*Tableau1_2[[#This Row],[Coût_Unitaire]]</f>
        <v>1048000</v>
      </c>
      <c r="R1502">
        <f>Tableau1_2[[#This Row],[CA]]-Tableau1_2[[#This Row],[Cout Total]]</f>
        <v>464000</v>
      </c>
      <c r="S1502" s="4">
        <f>Tableau1_2[[#This Row],[Marge]]/Tableau1_2[[#This Row],[CA]]</f>
        <v>0.30687830687830686</v>
      </c>
      <c r="T1502" t="str">
        <f>TEXT(Tableau1_2[[#This Row],[Date]],"mmmm")</f>
        <v>septembre</v>
      </c>
    </row>
    <row r="1503" spans="1:20" x14ac:dyDescent="0.35">
      <c r="A1503" t="s">
        <v>2528</v>
      </c>
      <c r="B1503" s="2">
        <v>46349</v>
      </c>
      <c r="C1503" t="s">
        <v>1696</v>
      </c>
      <c r="D1503" t="s">
        <v>992</v>
      </c>
      <c r="E1503" t="s">
        <v>156</v>
      </c>
      <c r="F1503" t="s">
        <v>170</v>
      </c>
      <c r="G1503" t="s">
        <v>28</v>
      </c>
      <c r="H1503" t="s">
        <v>131</v>
      </c>
      <c r="I1503">
        <v>6</v>
      </c>
      <c r="J1503">
        <v>31500</v>
      </c>
      <c r="K1503">
        <v>19000</v>
      </c>
      <c r="L1503" t="s">
        <v>30</v>
      </c>
      <c r="M1503" t="s">
        <v>37</v>
      </c>
      <c r="N1503" t="s">
        <v>52</v>
      </c>
      <c r="O1503" t="s">
        <v>91</v>
      </c>
      <c r="P1503">
        <f>Tableau1_2[[#This Row],[Quantité]]*Tableau1_2[[#This Row],[Prix_Unitaire]]</f>
        <v>189000</v>
      </c>
      <c r="Q1503">
        <f>Tableau1_2[[#This Row],[Quantité]]*Tableau1_2[[#This Row],[Coût_Unitaire]]</f>
        <v>114000</v>
      </c>
      <c r="R1503">
        <f>Tableau1_2[[#This Row],[CA]]-Tableau1_2[[#This Row],[Cout Total]]</f>
        <v>75000</v>
      </c>
      <c r="S1503" s="4">
        <f>Tableau1_2[[#This Row],[Marge]]/Tableau1_2[[#This Row],[CA]]</f>
        <v>0.3968253968253968</v>
      </c>
      <c r="T1503" t="str">
        <f>TEXT(Tableau1_2[[#This Row],[Date]],"mmmm")</f>
        <v>novembre</v>
      </c>
    </row>
    <row r="1504" spans="1:20" x14ac:dyDescent="0.35">
      <c r="A1504" t="s">
        <v>2529</v>
      </c>
      <c r="B1504" s="2">
        <v>46147</v>
      </c>
      <c r="C1504" t="s">
        <v>75</v>
      </c>
      <c r="D1504" t="s">
        <v>1396</v>
      </c>
      <c r="E1504" t="s">
        <v>84</v>
      </c>
      <c r="F1504" t="s">
        <v>85</v>
      </c>
      <c r="G1504" t="s">
        <v>19</v>
      </c>
      <c r="H1504" t="s">
        <v>61</v>
      </c>
      <c r="I1504">
        <v>5</v>
      </c>
      <c r="J1504">
        <v>220000</v>
      </c>
      <c r="K1504">
        <v>164800</v>
      </c>
      <c r="L1504" t="s">
        <v>73</v>
      </c>
      <c r="M1504" t="s">
        <v>31</v>
      </c>
      <c r="N1504" t="s">
        <v>23</v>
      </c>
      <c r="O1504" t="s">
        <v>24</v>
      </c>
      <c r="P1504">
        <f>Tableau1_2[[#This Row],[Quantité]]*Tableau1_2[[#This Row],[Prix_Unitaire]]</f>
        <v>1100000</v>
      </c>
      <c r="Q1504">
        <f>Tableau1_2[[#This Row],[Quantité]]*Tableau1_2[[#This Row],[Coût_Unitaire]]</f>
        <v>824000</v>
      </c>
      <c r="R1504">
        <f>Tableau1_2[[#This Row],[CA]]-Tableau1_2[[#This Row],[Cout Total]]</f>
        <v>276000</v>
      </c>
      <c r="S1504" s="4">
        <f>Tableau1_2[[#This Row],[Marge]]/Tableau1_2[[#This Row],[CA]]</f>
        <v>0.25090909090909091</v>
      </c>
      <c r="T1504" t="str">
        <f>TEXT(Tableau1_2[[#This Row],[Date]],"mmmm")</f>
        <v>mai</v>
      </c>
    </row>
    <row r="1505" spans="1:20" x14ac:dyDescent="0.35">
      <c r="A1505" t="s">
        <v>2530</v>
      </c>
      <c r="B1505" s="2">
        <v>46179</v>
      </c>
      <c r="C1505" t="s">
        <v>853</v>
      </c>
      <c r="D1505" t="s">
        <v>1377</v>
      </c>
      <c r="E1505" t="s">
        <v>84</v>
      </c>
      <c r="F1505" t="s">
        <v>85</v>
      </c>
      <c r="G1505" t="s">
        <v>19</v>
      </c>
      <c r="H1505" t="s">
        <v>166</v>
      </c>
      <c r="I1505">
        <v>3</v>
      </c>
      <c r="J1505">
        <v>140000</v>
      </c>
      <c r="K1505">
        <v>100000</v>
      </c>
      <c r="L1505" t="s">
        <v>21</v>
      </c>
      <c r="M1505" t="s">
        <v>37</v>
      </c>
      <c r="N1505" t="s">
        <v>52</v>
      </c>
      <c r="O1505" t="s">
        <v>24</v>
      </c>
      <c r="P1505">
        <f>Tableau1_2[[#This Row],[Quantité]]*Tableau1_2[[#This Row],[Prix_Unitaire]]</f>
        <v>420000</v>
      </c>
      <c r="Q1505">
        <f>Tableau1_2[[#This Row],[Quantité]]*Tableau1_2[[#This Row],[Coût_Unitaire]]</f>
        <v>300000</v>
      </c>
      <c r="R1505">
        <f>Tableau1_2[[#This Row],[CA]]-Tableau1_2[[#This Row],[Cout Total]]</f>
        <v>120000</v>
      </c>
      <c r="S1505" s="4">
        <f>Tableau1_2[[#This Row],[Marge]]/Tableau1_2[[#This Row],[CA]]</f>
        <v>0.2857142857142857</v>
      </c>
      <c r="T1505" t="str">
        <f>TEXT(Tableau1_2[[#This Row],[Date]],"mmmm")</f>
        <v>juin</v>
      </c>
    </row>
    <row r="1506" spans="1:20" x14ac:dyDescent="0.35">
      <c r="A1506" t="s">
        <v>2531</v>
      </c>
      <c r="B1506" s="2">
        <v>46351</v>
      </c>
      <c r="C1506" t="s">
        <v>901</v>
      </c>
      <c r="D1506" t="s">
        <v>613</v>
      </c>
      <c r="E1506" t="s">
        <v>156</v>
      </c>
      <c r="F1506" t="s">
        <v>170</v>
      </c>
      <c r="G1506" t="s">
        <v>19</v>
      </c>
      <c r="H1506" t="s">
        <v>112</v>
      </c>
      <c r="I1506">
        <v>9</v>
      </c>
      <c r="J1506">
        <v>89200</v>
      </c>
      <c r="K1506">
        <v>63900</v>
      </c>
      <c r="L1506" t="s">
        <v>66</v>
      </c>
      <c r="M1506" t="s">
        <v>37</v>
      </c>
      <c r="N1506" t="s">
        <v>23</v>
      </c>
      <c r="O1506" t="s">
        <v>45</v>
      </c>
      <c r="P1506">
        <f>Tableau1_2[[#This Row],[Quantité]]*Tableau1_2[[#This Row],[Prix_Unitaire]]</f>
        <v>802800</v>
      </c>
      <c r="Q1506">
        <f>Tableau1_2[[#This Row],[Quantité]]*Tableau1_2[[#This Row],[Coût_Unitaire]]</f>
        <v>575100</v>
      </c>
      <c r="R1506">
        <f>Tableau1_2[[#This Row],[CA]]-Tableau1_2[[#This Row],[Cout Total]]</f>
        <v>227700</v>
      </c>
      <c r="S1506" s="4">
        <f>Tableau1_2[[#This Row],[Marge]]/Tableau1_2[[#This Row],[CA]]</f>
        <v>0.28363228699551568</v>
      </c>
      <c r="T1506" t="str">
        <f>TEXT(Tableau1_2[[#This Row],[Date]],"mmmm")</f>
        <v>novembre</v>
      </c>
    </row>
    <row r="1507" spans="1:20" x14ac:dyDescent="0.35">
      <c r="A1507" t="s">
        <v>2532</v>
      </c>
      <c r="B1507" s="2">
        <v>46164</v>
      </c>
      <c r="C1507" t="s">
        <v>243</v>
      </c>
      <c r="D1507" t="s">
        <v>2273</v>
      </c>
      <c r="E1507" t="s">
        <v>18</v>
      </c>
      <c r="F1507" t="s">
        <v>18</v>
      </c>
      <c r="G1507" t="s">
        <v>34</v>
      </c>
      <c r="H1507" t="s">
        <v>141</v>
      </c>
      <c r="I1507">
        <v>2</v>
      </c>
      <c r="J1507">
        <v>160000</v>
      </c>
      <c r="K1507">
        <v>116400</v>
      </c>
      <c r="L1507" t="s">
        <v>66</v>
      </c>
      <c r="M1507" t="s">
        <v>51</v>
      </c>
      <c r="N1507" t="s">
        <v>87</v>
      </c>
      <c r="O1507" t="s">
        <v>45</v>
      </c>
      <c r="P1507">
        <f>Tableau1_2[[#This Row],[Quantité]]*Tableau1_2[[#This Row],[Prix_Unitaire]]</f>
        <v>320000</v>
      </c>
      <c r="Q1507">
        <f>Tableau1_2[[#This Row],[Quantité]]*Tableau1_2[[#This Row],[Coût_Unitaire]]</f>
        <v>232800</v>
      </c>
      <c r="R1507">
        <f>Tableau1_2[[#This Row],[CA]]-Tableau1_2[[#This Row],[Cout Total]]</f>
        <v>87200</v>
      </c>
      <c r="S1507" s="4">
        <f>Tableau1_2[[#This Row],[Marge]]/Tableau1_2[[#This Row],[CA]]</f>
        <v>0.27250000000000002</v>
      </c>
      <c r="T1507" t="str">
        <f>TEXT(Tableau1_2[[#This Row],[Date]],"mmmm")</f>
        <v>mai</v>
      </c>
    </row>
    <row r="1508" spans="1:20" x14ac:dyDescent="0.35">
      <c r="A1508" t="s">
        <v>2533</v>
      </c>
      <c r="B1508" s="2">
        <v>46331</v>
      </c>
      <c r="C1508" t="s">
        <v>1827</v>
      </c>
      <c r="D1508" t="s">
        <v>345</v>
      </c>
      <c r="E1508" t="s">
        <v>70</v>
      </c>
      <c r="F1508" t="s">
        <v>71</v>
      </c>
      <c r="G1508" t="s">
        <v>34</v>
      </c>
      <c r="H1508" t="s">
        <v>35</v>
      </c>
      <c r="I1508">
        <v>4</v>
      </c>
      <c r="J1508">
        <v>55000</v>
      </c>
      <c r="K1508">
        <v>40200</v>
      </c>
      <c r="L1508" t="s">
        <v>80</v>
      </c>
      <c r="M1508" t="s">
        <v>37</v>
      </c>
      <c r="N1508" t="s">
        <v>23</v>
      </c>
      <c r="O1508" t="s">
        <v>45</v>
      </c>
      <c r="P1508">
        <f>Tableau1_2[[#This Row],[Quantité]]*Tableau1_2[[#This Row],[Prix_Unitaire]]</f>
        <v>220000</v>
      </c>
      <c r="Q1508">
        <f>Tableau1_2[[#This Row],[Quantité]]*Tableau1_2[[#This Row],[Coût_Unitaire]]</f>
        <v>160800</v>
      </c>
      <c r="R1508">
        <f>Tableau1_2[[#This Row],[CA]]-Tableau1_2[[#This Row],[Cout Total]]</f>
        <v>59200</v>
      </c>
      <c r="S1508" s="4">
        <f>Tableau1_2[[#This Row],[Marge]]/Tableau1_2[[#This Row],[CA]]</f>
        <v>0.2690909090909091</v>
      </c>
      <c r="T1508" t="str">
        <f>TEXT(Tableau1_2[[#This Row],[Date]],"mmmm")</f>
        <v>novembre</v>
      </c>
    </row>
    <row r="1509" spans="1:20" x14ac:dyDescent="0.35">
      <c r="A1509" t="s">
        <v>2534</v>
      </c>
      <c r="B1509" s="2">
        <v>46274</v>
      </c>
      <c r="C1509" t="s">
        <v>1572</v>
      </c>
      <c r="D1509" t="s">
        <v>2535</v>
      </c>
      <c r="E1509" t="s">
        <v>18</v>
      </c>
      <c r="F1509" t="s">
        <v>18</v>
      </c>
      <c r="G1509" t="s">
        <v>34</v>
      </c>
      <c r="H1509" t="s">
        <v>158</v>
      </c>
      <c r="I1509">
        <v>7</v>
      </c>
      <c r="J1509">
        <v>99800</v>
      </c>
      <c r="K1509">
        <v>67900</v>
      </c>
      <c r="L1509" t="s">
        <v>73</v>
      </c>
      <c r="M1509" t="s">
        <v>37</v>
      </c>
      <c r="N1509" t="s">
        <v>52</v>
      </c>
      <c r="O1509" t="s">
        <v>24</v>
      </c>
      <c r="P1509">
        <f>Tableau1_2[[#This Row],[Quantité]]*Tableau1_2[[#This Row],[Prix_Unitaire]]</f>
        <v>698600</v>
      </c>
      <c r="Q1509">
        <f>Tableau1_2[[#This Row],[Quantité]]*Tableau1_2[[#This Row],[Coût_Unitaire]]</f>
        <v>475300</v>
      </c>
      <c r="R1509">
        <f>Tableau1_2[[#This Row],[CA]]-Tableau1_2[[#This Row],[Cout Total]]</f>
        <v>223300</v>
      </c>
      <c r="S1509" s="4">
        <f>Tableau1_2[[#This Row],[Marge]]/Tableau1_2[[#This Row],[CA]]</f>
        <v>0.31963927855711421</v>
      </c>
      <c r="T1509" t="str">
        <f>TEXT(Tableau1_2[[#This Row],[Date]],"mmmm")</f>
        <v>septembre</v>
      </c>
    </row>
    <row r="1510" spans="1:20" x14ac:dyDescent="0.35">
      <c r="A1510" t="s">
        <v>2536</v>
      </c>
      <c r="B1510" s="2">
        <v>46124</v>
      </c>
      <c r="C1510" t="s">
        <v>618</v>
      </c>
      <c r="D1510" t="s">
        <v>1797</v>
      </c>
      <c r="E1510" t="s">
        <v>18</v>
      </c>
      <c r="F1510" t="s">
        <v>18</v>
      </c>
      <c r="G1510" t="s">
        <v>43</v>
      </c>
      <c r="H1510" t="s">
        <v>49</v>
      </c>
      <c r="I1510">
        <v>3</v>
      </c>
      <c r="J1510">
        <v>8600</v>
      </c>
      <c r="K1510">
        <v>5600</v>
      </c>
      <c r="L1510" t="s">
        <v>73</v>
      </c>
      <c r="M1510" t="s">
        <v>51</v>
      </c>
      <c r="N1510" t="s">
        <v>23</v>
      </c>
      <c r="O1510" t="s">
        <v>24</v>
      </c>
      <c r="P1510">
        <f>Tableau1_2[[#This Row],[Quantité]]*Tableau1_2[[#This Row],[Prix_Unitaire]]</f>
        <v>25800</v>
      </c>
      <c r="Q1510">
        <f>Tableau1_2[[#This Row],[Quantité]]*Tableau1_2[[#This Row],[Coût_Unitaire]]</f>
        <v>16800</v>
      </c>
      <c r="R1510">
        <f>Tableau1_2[[#This Row],[CA]]-Tableau1_2[[#This Row],[Cout Total]]</f>
        <v>9000</v>
      </c>
      <c r="S1510" s="4">
        <f>Tableau1_2[[#This Row],[Marge]]/Tableau1_2[[#This Row],[CA]]</f>
        <v>0.34883720930232559</v>
      </c>
      <c r="T1510" t="str">
        <f>TEXT(Tableau1_2[[#This Row],[Date]],"mmmm")</f>
        <v>avril</v>
      </c>
    </row>
    <row r="1511" spans="1:20" x14ac:dyDescent="0.35">
      <c r="A1511" t="s">
        <v>2537</v>
      </c>
      <c r="B1511" s="2">
        <v>46166</v>
      </c>
      <c r="C1511" t="s">
        <v>489</v>
      </c>
      <c r="D1511" t="s">
        <v>711</v>
      </c>
      <c r="E1511" t="s">
        <v>18</v>
      </c>
      <c r="F1511" t="s">
        <v>18</v>
      </c>
      <c r="G1511" t="s">
        <v>28</v>
      </c>
      <c r="H1511" t="s">
        <v>29</v>
      </c>
      <c r="I1511">
        <v>8</v>
      </c>
      <c r="J1511">
        <v>6600</v>
      </c>
      <c r="K1511">
        <v>4000</v>
      </c>
      <c r="L1511" t="s">
        <v>66</v>
      </c>
      <c r="M1511" t="s">
        <v>51</v>
      </c>
      <c r="N1511" t="s">
        <v>23</v>
      </c>
      <c r="O1511" t="s">
        <v>24</v>
      </c>
      <c r="P1511">
        <f>Tableau1_2[[#This Row],[Quantité]]*Tableau1_2[[#This Row],[Prix_Unitaire]]</f>
        <v>52800</v>
      </c>
      <c r="Q1511">
        <f>Tableau1_2[[#This Row],[Quantité]]*Tableau1_2[[#This Row],[Coût_Unitaire]]</f>
        <v>32000</v>
      </c>
      <c r="R1511">
        <f>Tableau1_2[[#This Row],[CA]]-Tableau1_2[[#This Row],[Cout Total]]</f>
        <v>20800</v>
      </c>
      <c r="S1511" s="4">
        <f>Tableau1_2[[#This Row],[Marge]]/Tableau1_2[[#This Row],[CA]]</f>
        <v>0.39393939393939392</v>
      </c>
      <c r="T1511" t="str">
        <f>TEXT(Tableau1_2[[#This Row],[Date]],"mmmm")</f>
        <v>mai</v>
      </c>
    </row>
    <row r="1512" spans="1:20" x14ac:dyDescent="0.35">
      <c r="A1512" t="s">
        <v>2538</v>
      </c>
      <c r="B1512" s="2">
        <v>46330</v>
      </c>
      <c r="C1512" t="s">
        <v>26</v>
      </c>
      <c r="D1512" t="s">
        <v>1845</v>
      </c>
      <c r="E1512" t="s">
        <v>18</v>
      </c>
      <c r="F1512" t="s">
        <v>18</v>
      </c>
      <c r="G1512" t="s">
        <v>28</v>
      </c>
      <c r="H1512" t="s">
        <v>131</v>
      </c>
      <c r="I1512">
        <v>4</v>
      </c>
      <c r="J1512">
        <v>31500</v>
      </c>
      <c r="K1512">
        <v>19600</v>
      </c>
      <c r="L1512" t="s">
        <v>73</v>
      </c>
      <c r="M1512" t="s">
        <v>31</v>
      </c>
      <c r="N1512" t="s">
        <v>52</v>
      </c>
      <c r="O1512" t="s">
        <v>24</v>
      </c>
      <c r="P1512">
        <f>Tableau1_2[[#This Row],[Quantité]]*Tableau1_2[[#This Row],[Prix_Unitaire]]</f>
        <v>126000</v>
      </c>
      <c r="Q1512">
        <f>Tableau1_2[[#This Row],[Quantité]]*Tableau1_2[[#This Row],[Coût_Unitaire]]</f>
        <v>78400</v>
      </c>
      <c r="R1512">
        <f>Tableau1_2[[#This Row],[CA]]-Tableau1_2[[#This Row],[Cout Total]]</f>
        <v>47600</v>
      </c>
      <c r="S1512" s="4">
        <f>Tableau1_2[[#This Row],[Marge]]/Tableau1_2[[#This Row],[CA]]</f>
        <v>0.37777777777777777</v>
      </c>
      <c r="T1512" t="str">
        <f>TEXT(Tableau1_2[[#This Row],[Date]],"mmmm")</f>
        <v>novembre</v>
      </c>
    </row>
    <row r="1513" spans="1:20" x14ac:dyDescent="0.35">
      <c r="A1513" t="s">
        <v>2539</v>
      </c>
      <c r="B1513" s="2">
        <v>46140</v>
      </c>
      <c r="C1513" t="s">
        <v>101</v>
      </c>
      <c r="D1513" t="s">
        <v>1535</v>
      </c>
      <c r="E1513" t="s">
        <v>77</v>
      </c>
      <c r="F1513" t="s">
        <v>78</v>
      </c>
      <c r="G1513" t="s">
        <v>34</v>
      </c>
      <c r="H1513" t="s">
        <v>95</v>
      </c>
      <c r="I1513">
        <v>7</v>
      </c>
      <c r="J1513">
        <v>472500</v>
      </c>
      <c r="K1513">
        <v>358900</v>
      </c>
      <c r="L1513" t="s">
        <v>66</v>
      </c>
      <c r="M1513" t="s">
        <v>51</v>
      </c>
      <c r="N1513" t="s">
        <v>23</v>
      </c>
      <c r="O1513" t="s">
        <v>24</v>
      </c>
      <c r="P1513">
        <f>Tableau1_2[[#This Row],[Quantité]]*Tableau1_2[[#This Row],[Prix_Unitaire]]</f>
        <v>3307500</v>
      </c>
      <c r="Q1513">
        <f>Tableau1_2[[#This Row],[Quantité]]*Tableau1_2[[#This Row],[Coût_Unitaire]]</f>
        <v>2512300</v>
      </c>
      <c r="R1513">
        <f>Tableau1_2[[#This Row],[CA]]-Tableau1_2[[#This Row],[Cout Total]]</f>
        <v>795200</v>
      </c>
      <c r="S1513" s="4">
        <f>Tableau1_2[[#This Row],[Marge]]/Tableau1_2[[#This Row],[CA]]</f>
        <v>0.24042328042328043</v>
      </c>
      <c r="T1513" t="str">
        <f>TEXT(Tableau1_2[[#This Row],[Date]],"mmmm")</f>
        <v>avril</v>
      </c>
    </row>
    <row r="1514" spans="1:20" x14ac:dyDescent="0.35">
      <c r="A1514" t="s">
        <v>2540</v>
      </c>
      <c r="B1514" s="2">
        <v>46333</v>
      </c>
      <c r="C1514" t="s">
        <v>366</v>
      </c>
      <c r="D1514" t="s">
        <v>238</v>
      </c>
      <c r="E1514" t="s">
        <v>156</v>
      </c>
      <c r="F1514" t="s">
        <v>170</v>
      </c>
      <c r="G1514" t="s">
        <v>19</v>
      </c>
      <c r="H1514" t="s">
        <v>112</v>
      </c>
      <c r="I1514">
        <v>2</v>
      </c>
      <c r="J1514">
        <v>80800</v>
      </c>
      <c r="K1514">
        <v>63900</v>
      </c>
      <c r="L1514" t="s">
        <v>36</v>
      </c>
      <c r="M1514" t="s">
        <v>37</v>
      </c>
      <c r="N1514" t="s">
        <v>87</v>
      </c>
      <c r="O1514" t="s">
        <v>24</v>
      </c>
      <c r="P1514">
        <f>Tableau1_2[[#This Row],[Quantité]]*Tableau1_2[[#This Row],[Prix_Unitaire]]</f>
        <v>161600</v>
      </c>
      <c r="Q1514">
        <f>Tableau1_2[[#This Row],[Quantité]]*Tableau1_2[[#This Row],[Coût_Unitaire]]</f>
        <v>127800</v>
      </c>
      <c r="R1514">
        <f>Tableau1_2[[#This Row],[CA]]-Tableau1_2[[#This Row],[Cout Total]]</f>
        <v>33800</v>
      </c>
      <c r="S1514" s="4">
        <f>Tableau1_2[[#This Row],[Marge]]/Tableau1_2[[#This Row],[CA]]</f>
        <v>0.20915841584158415</v>
      </c>
      <c r="T1514" t="str">
        <f>TEXT(Tableau1_2[[#This Row],[Date]],"mmmm")</f>
        <v>novembre</v>
      </c>
    </row>
    <row r="1515" spans="1:20" x14ac:dyDescent="0.35">
      <c r="A1515" t="s">
        <v>2541</v>
      </c>
      <c r="B1515" s="2">
        <v>46354</v>
      </c>
      <c r="C1515" t="s">
        <v>1237</v>
      </c>
      <c r="D1515" t="s">
        <v>1689</v>
      </c>
      <c r="E1515" t="s">
        <v>70</v>
      </c>
      <c r="F1515" t="s">
        <v>71</v>
      </c>
      <c r="G1515" t="s">
        <v>19</v>
      </c>
      <c r="H1515" t="s">
        <v>112</v>
      </c>
      <c r="I1515">
        <v>7</v>
      </c>
      <c r="J1515">
        <v>89200</v>
      </c>
      <c r="K1515">
        <v>62000</v>
      </c>
      <c r="L1515" t="s">
        <v>73</v>
      </c>
      <c r="M1515" t="s">
        <v>51</v>
      </c>
      <c r="N1515" t="s">
        <v>52</v>
      </c>
      <c r="O1515" t="s">
        <v>24</v>
      </c>
      <c r="P1515">
        <f>Tableau1_2[[#This Row],[Quantité]]*Tableau1_2[[#This Row],[Prix_Unitaire]]</f>
        <v>624400</v>
      </c>
      <c r="Q1515">
        <f>Tableau1_2[[#This Row],[Quantité]]*Tableau1_2[[#This Row],[Coût_Unitaire]]</f>
        <v>434000</v>
      </c>
      <c r="R1515">
        <f>Tableau1_2[[#This Row],[CA]]-Tableau1_2[[#This Row],[Cout Total]]</f>
        <v>190400</v>
      </c>
      <c r="S1515" s="4">
        <f>Tableau1_2[[#This Row],[Marge]]/Tableau1_2[[#This Row],[CA]]</f>
        <v>0.30493273542600896</v>
      </c>
      <c r="T1515" t="str">
        <f>TEXT(Tableau1_2[[#This Row],[Date]],"mmmm")</f>
        <v>novembre</v>
      </c>
    </row>
    <row r="1516" spans="1:20" x14ac:dyDescent="0.35">
      <c r="A1516" t="s">
        <v>2542</v>
      </c>
      <c r="B1516" s="2">
        <v>46287</v>
      </c>
      <c r="C1516" t="s">
        <v>791</v>
      </c>
      <c r="D1516" t="s">
        <v>121</v>
      </c>
      <c r="E1516" t="s">
        <v>41</v>
      </c>
      <c r="F1516" t="s">
        <v>42</v>
      </c>
      <c r="G1516" t="s">
        <v>43</v>
      </c>
      <c r="H1516" t="s">
        <v>49</v>
      </c>
      <c r="I1516">
        <v>5</v>
      </c>
      <c r="J1516">
        <v>9000</v>
      </c>
      <c r="K1516">
        <v>6000</v>
      </c>
      <c r="L1516" t="s">
        <v>96</v>
      </c>
      <c r="M1516" t="s">
        <v>37</v>
      </c>
      <c r="N1516" t="s">
        <v>87</v>
      </c>
      <c r="O1516" t="s">
        <v>45</v>
      </c>
      <c r="P1516">
        <f>Tableau1_2[[#This Row],[Quantité]]*Tableau1_2[[#This Row],[Prix_Unitaire]]</f>
        <v>45000</v>
      </c>
      <c r="Q1516">
        <f>Tableau1_2[[#This Row],[Quantité]]*Tableau1_2[[#This Row],[Coût_Unitaire]]</f>
        <v>30000</v>
      </c>
      <c r="R1516">
        <f>Tableau1_2[[#This Row],[CA]]-Tableau1_2[[#This Row],[Cout Total]]</f>
        <v>15000</v>
      </c>
      <c r="S1516" s="4">
        <f>Tableau1_2[[#This Row],[Marge]]/Tableau1_2[[#This Row],[CA]]</f>
        <v>0.33333333333333331</v>
      </c>
      <c r="T1516" t="str">
        <f>TEXT(Tableau1_2[[#This Row],[Date]],"mmmm")</f>
        <v>septembre</v>
      </c>
    </row>
    <row r="1517" spans="1:20" x14ac:dyDescent="0.35">
      <c r="A1517" t="s">
        <v>2543</v>
      </c>
      <c r="B1517" s="2">
        <v>46386</v>
      </c>
      <c r="C1517" t="s">
        <v>871</v>
      </c>
      <c r="D1517" t="s">
        <v>468</v>
      </c>
      <c r="E1517" t="s">
        <v>18</v>
      </c>
      <c r="F1517" t="s">
        <v>18</v>
      </c>
      <c r="G1517" t="s">
        <v>34</v>
      </c>
      <c r="H1517" t="s">
        <v>86</v>
      </c>
      <c r="I1517">
        <v>1</v>
      </c>
      <c r="J1517">
        <v>180000</v>
      </c>
      <c r="K1517">
        <v>139000</v>
      </c>
      <c r="L1517" t="s">
        <v>66</v>
      </c>
      <c r="M1517" t="s">
        <v>37</v>
      </c>
      <c r="N1517" t="s">
        <v>23</v>
      </c>
      <c r="O1517" t="s">
        <v>24</v>
      </c>
      <c r="P1517">
        <f>Tableau1_2[[#This Row],[Quantité]]*Tableau1_2[[#This Row],[Prix_Unitaire]]</f>
        <v>180000</v>
      </c>
      <c r="Q1517">
        <f>Tableau1_2[[#This Row],[Quantité]]*Tableau1_2[[#This Row],[Coût_Unitaire]]</f>
        <v>139000</v>
      </c>
      <c r="R1517">
        <f>Tableau1_2[[#This Row],[CA]]-Tableau1_2[[#This Row],[Cout Total]]</f>
        <v>41000</v>
      </c>
      <c r="S1517" s="4">
        <f>Tableau1_2[[#This Row],[Marge]]/Tableau1_2[[#This Row],[CA]]</f>
        <v>0.22777777777777777</v>
      </c>
      <c r="T1517" t="str">
        <f>TEXT(Tableau1_2[[#This Row],[Date]],"mmmm")</f>
        <v>décembre</v>
      </c>
    </row>
    <row r="1518" spans="1:20" x14ac:dyDescent="0.35">
      <c r="A1518" t="s">
        <v>2544</v>
      </c>
      <c r="B1518" s="2">
        <v>46355</v>
      </c>
      <c r="C1518" t="s">
        <v>2545</v>
      </c>
      <c r="D1518" t="s">
        <v>140</v>
      </c>
      <c r="E1518" t="s">
        <v>156</v>
      </c>
      <c r="F1518" t="s">
        <v>170</v>
      </c>
      <c r="G1518" t="s">
        <v>28</v>
      </c>
      <c r="H1518" t="s">
        <v>65</v>
      </c>
      <c r="I1518">
        <v>7</v>
      </c>
      <c r="J1518">
        <v>12000</v>
      </c>
      <c r="K1518">
        <v>7300</v>
      </c>
      <c r="L1518" t="s">
        <v>30</v>
      </c>
      <c r="M1518" t="s">
        <v>37</v>
      </c>
      <c r="N1518" t="s">
        <v>87</v>
      </c>
      <c r="O1518" t="s">
        <v>24</v>
      </c>
      <c r="P1518">
        <f>Tableau1_2[[#This Row],[Quantité]]*Tableau1_2[[#This Row],[Prix_Unitaire]]</f>
        <v>84000</v>
      </c>
      <c r="Q1518">
        <f>Tableau1_2[[#This Row],[Quantité]]*Tableau1_2[[#This Row],[Coût_Unitaire]]</f>
        <v>51100</v>
      </c>
      <c r="R1518">
        <f>Tableau1_2[[#This Row],[CA]]-Tableau1_2[[#This Row],[Cout Total]]</f>
        <v>32900</v>
      </c>
      <c r="S1518" s="4">
        <f>Tableau1_2[[#This Row],[Marge]]/Tableau1_2[[#This Row],[CA]]</f>
        <v>0.39166666666666666</v>
      </c>
      <c r="T1518" t="str">
        <f>TEXT(Tableau1_2[[#This Row],[Date]],"mmmm")</f>
        <v>novembre</v>
      </c>
    </row>
    <row r="1519" spans="1:20" x14ac:dyDescent="0.35">
      <c r="A1519" t="s">
        <v>2546</v>
      </c>
      <c r="B1519" s="2">
        <v>46228</v>
      </c>
      <c r="C1519" t="s">
        <v>1879</v>
      </c>
      <c r="D1519" t="s">
        <v>1686</v>
      </c>
      <c r="E1519" t="s">
        <v>18</v>
      </c>
      <c r="F1519" t="s">
        <v>18</v>
      </c>
      <c r="G1519" t="s">
        <v>19</v>
      </c>
      <c r="H1519" t="s">
        <v>20</v>
      </c>
      <c r="I1519">
        <v>8</v>
      </c>
      <c r="J1519">
        <v>65000</v>
      </c>
      <c r="K1519">
        <v>43600</v>
      </c>
      <c r="L1519" t="s">
        <v>30</v>
      </c>
      <c r="M1519" t="s">
        <v>37</v>
      </c>
      <c r="N1519" t="s">
        <v>23</v>
      </c>
      <c r="O1519" t="s">
        <v>24</v>
      </c>
      <c r="P1519">
        <f>Tableau1_2[[#This Row],[Quantité]]*Tableau1_2[[#This Row],[Prix_Unitaire]]</f>
        <v>520000</v>
      </c>
      <c r="Q1519">
        <f>Tableau1_2[[#This Row],[Quantité]]*Tableau1_2[[#This Row],[Coût_Unitaire]]</f>
        <v>348800</v>
      </c>
      <c r="R1519">
        <f>Tableau1_2[[#This Row],[CA]]-Tableau1_2[[#This Row],[Cout Total]]</f>
        <v>171200</v>
      </c>
      <c r="S1519" s="4">
        <f>Tableau1_2[[#This Row],[Marge]]/Tableau1_2[[#This Row],[CA]]</f>
        <v>0.32923076923076922</v>
      </c>
      <c r="T1519" t="str">
        <f>TEXT(Tableau1_2[[#This Row],[Date]],"mmmm")</f>
        <v>juillet</v>
      </c>
    </row>
    <row r="1520" spans="1:20" x14ac:dyDescent="0.35">
      <c r="A1520" t="s">
        <v>2547</v>
      </c>
      <c r="B1520" s="2">
        <v>46190</v>
      </c>
      <c r="C1520" t="s">
        <v>1548</v>
      </c>
      <c r="D1520" t="s">
        <v>482</v>
      </c>
      <c r="E1520" t="s">
        <v>77</v>
      </c>
      <c r="F1520" t="s">
        <v>78</v>
      </c>
      <c r="G1520" t="s">
        <v>34</v>
      </c>
      <c r="H1520" t="s">
        <v>141</v>
      </c>
      <c r="I1520">
        <v>3</v>
      </c>
      <c r="J1520">
        <v>160000</v>
      </c>
      <c r="K1520">
        <v>120000</v>
      </c>
      <c r="L1520" t="s">
        <v>36</v>
      </c>
      <c r="M1520" t="s">
        <v>31</v>
      </c>
      <c r="N1520" t="s">
        <v>52</v>
      </c>
      <c r="O1520" t="s">
        <v>24</v>
      </c>
      <c r="P1520">
        <f>Tableau1_2[[#This Row],[Quantité]]*Tableau1_2[[#This Row],[Prix_Unitaire]]</f>
        <v>480000</v>
      </c>
      <c r="Q1520">
        <f>Tableau1_2[[#This Row],[Quantité]]*Tableau1_2[[#This Row],[Coût_Unitaire]]</f>
        <v>360000</v>
      </c>
      <c r="R1520">
        <f>Tableau1_2[[#This Row],[CA]]-Tableau1_2[[#This Row],[Cout Total]]</f>
        <v>120000</v>
      </c>
      <c r="S1520" s="4">
        <f>Tableau1_2[[#This Row],[Marge]]/Tableau1_2[[#This Row],[CA]]</f>
        <v>0.25</v>
      </c>
      <c r="T1520" t="str">
        <f>TEXT(Tableau1_2[[#This Row],[Date]],"mmmm")</f>
        <v>juin</v>
      </c>
    </row>
    <row r="1521" spans="1:20" x14ac:dyDescent="0.35">
      <c r="A1521" t="s">
        <v>2548</v>
      </c>
      <c r="B1521" s="2">
        <v>46130</v>
      </c>
      <c r="C1521" t="s">
        <v>2549</v>
      </c>
      <c r="D1521" t="s">
        <v>565</v>
      </c>
      <c r="E1521" t="s">
        <v>18</v>
      </c>
      <c r="F1521" t="s">
        <v>18</v>
      </c>
      <c r="G1521" t="s">
        <v>43</v>
      </c>
      <c r="H1521" t="s">
        <v>49</v>
      </c>
      <c r="I1521">
        <v>4</v>
      </c>
      <c r="J1521">
        <v>9000</v>
      </c>
      <c r="K1521">
        <v>5600</v>
      </c>
      <c r="L1521" t="s">
        <v>96</v>
      </c>
      <c r="M1521" t="s">
        <v>22</v>
      </c>
      <c r="N1521" t="s">
        <v>52</v>
      </c>
      <c r="O1521" t="s">
        <v>24</v>
      </c>
      <c r="P1521">
        <f>Tableau1_2[[#This Row],[Quantité]]*Tableau1_2[[#This Row],[Prix_Unitaire]]</f>
        <v>36000</v>
      </c>
      <c r="Q1521">
        <f>Tableau1_2[[#This Row],[Quantité]]*Tableau1_2[[#This Row],[Coût_Unitaire]]</f>
        <v>22400</v>
      </c>
      <c r="R1521">
        <f>Tableau1_2[[#This Row],[CA]]-Tableau1_2[[#This Row],[Cout Total]]</f>
        <v>13600</v>
      </c>
      <c r="S1521" s="4">
        <f>Tableau1_2[[#This Row],[Marge]]/Tableau1_2[[#This Row],[CA]]</f>
        <v>0.37777777777777777</v>
      </c>
      <c r="T1521" t="str">
        <f>TEXT(Tableau1_2[[#This Row],[Date]],"mmmm")</f>
        <v>avril</v>
      </c>
    </row>
    <row r="1522" spans="1:20" x14ac:dyDescent="0.35">
      <c r="A1522" t="s">
        <v>2550</v>
      </c>
      <c r="B1522" s="2">
        <v>46257</v>
      </c>
      <c r="C1522" t="s">
        <v>199</v>
      </c>
      <c r="D1522" t="s">
        <v>270</v>
      </c>
      <c r="E1522" t="s">
        <v>18</v>
      </c>
      <c r="F1522" t="s">
        <v>18</v>
      </c>
      <c r="G1522" t="s">
        <v>34</v>
      </c>
      <c r="H1522" t="s">
        <v>95</v>
      </c>
      <c r="I1522">
        <v>9</v>
      </c>
      <c r="J1522">
        <v>472500</v>
      </c>
      <c r="K1522">
        <v>370000</v>
      </c>
      <c r="L1522" t="s">
        <v>50</v>
      </c>
      <c r="M1522" t="s">
        <v>37</v>
      </c>
      <c r="N1522" t="s">
        <v>23</v>
      </c>
      <c r="O1522" t="s">
        <v>91</v>
      </c>
      <c r="P1522">
        <f>Tableau1_2[[#This Row],[Quantité]]*Tableau1_2[[#This Row],[Prix_Unitaire]]</f>
        <v>4252500</v>
      </c>
      <c r="Q1522">
        <f>Tableau1_2[[#This Row],[Quantité]]*Tableau1_2[[#This Row],[Coût_Unitaire]]</f>
        <v>3330000</v>
      </c>
      <c r="R1522">
        <f>Tableau1_2[[#This Row],[CA]]-Tableau1_2[[#This Row],[Cout Total]]</f>
        <v>922500</v>
      </c>
      <c r="S1522" s="4">
        <f>Tableau1_2[[#This Row],[Marge]]/Tableau1_2[[#This Row],[CA]]</f>
        <v>0.21693121693121692</v>
      </c>
      <c r="T1522" t="str">
        <f>TEXT(Tableau1_2[[#This Row],[Date]],"mmmm")</f>
        <v>août</v>
      </c>
    </row>
    <row r="1523" spans="1:20" x14ac:dyDescent="0.35">
      <c r="A1523" t="s">
        <v>2551</v>
      </c>
      <c r="B1523" s="2">
        <v>46128</v>
      </c>
      <c r="C1523" t="s">
        <v>290</v>
      </c>
      <c r="D1523" t="s">
        <v>1267</v>
      </c>
      <c r="E1523" t="s">
        <v>18</v>
      </c>
      <c r="F1523" t="s">
        <v>18</v>
      </c>
      <c r="G1523" t="s">
        <v>28</v>
      </c>
      <c r="H1523" t="s">
        <v>72</v>
      </c>
      <c r="I1523">
        <v>9</v>
      </c>
      <c r="J1523">
        <v>10500</v>
      </c>
      <c r="K1523">
        <v>6400</v>
      </c>
      <c r="L1523" t="s">
        <v>73</v>
      </c>
      <c r="M1523" t="s">
        <v>31</v>
      </c>
      <c r="N1523" t="s">
        <v>23</v>
      </c>
      <c r="O1523" t="s">
        <v>24</v>
      </c>
      <c r="P1523">
        <f>Tableau1_2[[#This Row],[Quantité]]*Tableau1_2[[#This Row],[Prix_Unitaire]]</f>
        <v>94500</v>
      </c>
      <c r="Q1523">
        <f>Tableau1_2[[#This Row],[Quantité]]*Tableau1_2[[#This Row],[Coût_Unitaire]]</f>
        <v>57600</v>
      </c>
      <c r="R1523">
        <f>Tableau1_2[[#This Row],[CA]]-Tableau1_2[[#This Row],[Cout Total]]</f>
        <v>36900</v>
      </c>
      <c r="S1523" s="4">
        <f>Tableau1_2[[#This Row],[Marge]]/Tableau1_2[[#This Row],[CA]]</f>
        <v>0.39047619047619048</v>
      </c>
      <c r="T1523" t="str">
        <f>TEXT(Tableau1_2[[#This Row],[Date]],"mmmm")</f>
        <v>avril</v>
      </c>
    </row>
    <row r="1524" spans="1:20" x14ac:dyDescent="0.35">
      <c r="A1524" t="s">
        <v>2552</v>
      </c>
      <c r="B1524" s="2">
        <v>46042</v>
      </c>
      <c r="C1524" t="s">
        <v>261</v>
      </c>
      <c r="D1524" t="s">
        <v>511</v>
      </c>
      <c r="E1524" t="s">
        <v>156</v>
      </c>
      <c r="F1524" t="s">
        <v>157</v>
      </c>
      <c r="G1524" t="s">
        <v>28</v>
      </c>
      <c r="H1524" t="s">
        <v>131</v>
      </c>
      <c r="I1524">
        <v>8</v>
      </c>
      <c r="J1524">
        <v>30000</v>
      </c>
      <c r="K1524">
        <v>19600</v>
      </c>
      <c r="L1524" t="s">
        <v>80</v>
      </c>
      <c r="M1524" t="s">
        <v>51</v>
      </c>
      <c r="N1524" t="s">
        <v>23</v>
      </c>
      <c r="O1524" t="s">
        <v>24</v>
      </c>
      <c r="P1524">
        <f>Tableau1_2[[#This Row],[Quantité]]*Tableau1_2[[#This Row],[Prix_Unitaire]]</f>
        <v>240000</v>
      </c>
      <c r="Q1524">
        <f>Tableau1_2[[#This Row],[Quantité]]*Tableau1_2[[#This Row],[Coût_Unitaire]]</f>
        <v>156800</v>
      </c>
      <c r="R1524">
        <f>Tableau1_2[[#This Row],[CA]]-Tableau1_2[[#This Row],[Cout Total]]</f>
        <v>83200</v>
      </c>
      <c r="S1524" s="4">
        <f>Tableau1_2[[#This Row],[Marge]]/Tableau1_2[[#This Row],[CA]]</f>
        <v>0.34666666666666668</v>
      </c>
      <c r="T1524" t="str">
        <f>TEXT(Tableau1_2[[#This Row],[Date]],"mmmm")</f>
        <v>janvier</v>
      </c>
    </row>
    <row r="1525" spans="1:20" x14ac:dyDescent="0.35">
      <c r="A1525" t="s">
        <v>2553</v>
      </c>
      <c r="B1525" s="2">
        <v>46089</v>
      </c>
      <c r="C1525" t="s">
        <v>580</v>
      </c>
      <c r="D1525" t="s">
        <v>1845</v>
      </c>
      <c r="E1525" t="s">
        <v>18</v>
      </c>
      <c r="F1525" t="s">
        <v>18</v>
      </c>
      <c r="G1525" t="s">
        <v>19</v>
      </c>
      <c r="H1525" t="s">
        <v>166</v>
      </c>
      <c r="I1525">
        <v>4</v>
      </c>
      <c r="J1525">
        <v>140000</v>
      </c>
      <c r="K1525">
        <v>97000</v>
      </c>
      <c r="L1525" t="s">
        <v>66</v>
      </c>
      <c r="M1525" t="s">
        <v>22</v>
      </c>
      <c r="N1525" t="s">
        <v>23</v>
      </c>
      <c r="O1525" t="s">
        <v>45</v>
      </c>
      <c r="P1525">
        <f>Tableau1_2[[#This Row],[Quantité]]*Tableau1_2[[#This Row],[Prix_Unitaire]]</f>
        <v>560000</v>
      </c>
      <c r="Q1525">
        <f>Tableau1_2[[#This Row],[Quantité]]*Tableau1_2[[#This Row],[Coût_Unitaire]]</f>
        <v>388000</v>
      </c>
      <c r="R1525">
        <f>Tableau1_2[[#This Row],[CA]]-Tableau1_2[[#This Row],[Cout Total]]</f>
        <v>172000</v>
      </c>
      <c r="S1525" s="4">
        <f>Tableau1_2[[#This Row],[Marge]]/Tableau1_2[[#This Row],[CA]]</f>
        <v>0.30714285714285716</v>
      </c>
      <c r="T1525" t="str">
        <f>TEXT(Tableau1_2[[#This Row],[Date]],"mmmm")</f>
        <v>mars</v>
      </c>
    </row>
    <row r="1526" spans="1:20" x14ac:dyDescent="0.35">
      <c r="A1526" t="s">
        <v>2554</v>
      </c>
      <c r="B1526" s="2">
        <v>46035</v>
      </c>
      <c r="C1526" t="s">
        <v>1842</v>
      </c>
      <c r="D1526" t="s">
        <v>2184</v>
      </c>
      <c r="E1526" t="s">
        <v>190</v>
      </c>
      <c r="F1526" t="s">
        <v>191</v>
      </c>
      <c r="G1526" t="s">
        <v>28</v>
      </c>
      <c r="H1526" t="s">
        <v>29</v>
      </c>
      <c r="I1526">
        <v>4</v>
      </c>
      <c r="J1526">
        <v>7000</v>
      </c>
      <c r="K1526">
        <v>3900</v>
      </c>
      <c r="L1526" t="s">
        <v>30</v>
      </c>
      <c r="M1526" t="s">
        <v>37</v>
      </c>
      <c r="N1526" t="s">
        <v>87</v>
      </c>
      <c r="O1526" t="s">
        <v>45</v>
      </c>
      <c r="P1526">
        <f>Tableau1_2[[#This Row],[Quantité]]*Tableau1_2[[#This Row],[Prix_Unitaire]]</f>
        <v>28000</v>
      </c>
      <c r="Q1526">
        <f>Tableau1_2[[#This Row],[Quantité]]*Tableau1_2[[#This Row],[Coût_Unitaire]]</f>
        <v>15600</v>
      </c>
      <c r="R1526">
        <f>Tableau1_2[[#This Row],[CA]]-Tableau1_2[[#This Row],[Cout Total]]</f>
        <v>12400</v>
      </c>
      <c r="S1526" s="4">
        <f>Tableau1_2[[#This Row],[Marge]]/Tableau1_2[[#This Row],[CA]]</f>
        <v>0.44285714285714284</v>
      </c>
      <c r="T1526" t="str">
        <f>TEXT(Tableau1_2[[#This Row],[Date]],"mmmm")</f>
        <v>janvier</v>
      </c>
    </row>
    <row r="1527" spans="1:20" x14ac:dyDescent="0.35">
      <c r="A1527" t="s">
        <v>2555</v>
      </c>
      <c r="B1527" s="2">
        <v>46233</v>
      </c>
      <c r="C1527" t="s">
        <v>2161</v>
      </c>
      <c r="D1527" t="s">
        <v>514</v>
      </c>
      <c r="E1527" t="s">
        <v>56</v>
      </c>
      <c r="F1527" t="s">
        <v>57</v>
      </c>
      <c r="G1527" t="s">
        <v>28</v>
      </c>
      <c r="H1527" t="s">
        <v>72</v>
      </c>
      <c r="I1527">
        <v>8</v>
      </c>
      <c r="J1527">
        <v>9500</v>
      </c>
      <c r="K1527">
        <v>6400</v>
      </c>
      <c r="L1527" t="s">
        <v>66</v>
      </c>
      <c r="M1527" t="s">
        <v>37</v>
      </c>
      <c r="N1527" t="s">
        <v>52</v>
      </c>
      <c r="O1527" t="s">
        <v>45</v>
      </c>
      <c r="P1527">
        <f>Tableau1_2[[#This Row],[Quantité]]*Tableau1_2[[#This Row],[Prix_Unitaire]]</f>
        <v>76000</v>
      </c>
      <c r="Q1527">
        <f>Tableau1_2[[#This Row],[Quantité]]*Tableau1_2[[#This Row],[Coût_Unitaire]]</f>
        <v>51200</v>
      </c>
      <c r="R1527">
        <f>Tableau1_2[[#This Row],[CA]]-Tableau1_2[[#This Row],[Cout Total]]</f>
        <v>24800</v>
      </c>
      <c r="S1527" s="4">
        <f>Tableau1_2[[#This Row],[Marge]]/Tableau1_2[[#This Row],[CA]]</f>
        <v>0.32631578947368423</v>
      </c>
      <c r="T1527" t="str">
        <f>TEXT(Tableau1_2[[#This Row],[Date]],"mmmm")</f>
        <v>juillet</v>
      </c>
    </row>
    <row r="1528" spans="1:20" x14ac:dyDescent="0.35">
      <c r="A1528" t="s">
        <v>2556</v>
      </c>
      <c r="B1528" s="2">
        <v>46122</v>
      </c>
      <c r="C1528" t="s">
        <v>475</v>
      </c>
      <c r="D1528" t="s">
        <v>2213</v>
      </c>
      <c r="E1528" t="s">
        <v>70</v>
      </c>
      <c r="F1528" t="s">
        <v>71</v>
      </c>
      <c r="G1528" t="s">
        <v>28</v>
      </c>
      <c r="H1528" t="s">
        <v>72</v>
      </c>
      <c r="I1528">
        <v>1</v>
      </c>
      <c r="J1528">
        <v>10500</v>
      </c>
      <c r="K1528">
        <v>6400</v>
      </c>
      <c r="L1528" t="s">
        <v>80</v>
      </c>
      <c r="M1528" t="s">
        <v>51</v>
      </c>
      <c r="N1528" t="s">
        <v>23</v>
      </c>
      <c r="O1528" t="s">
        <v>24</v>
      </c>
      <c r="P1528">
        <f>Tableau1_2[[#This Row],[Quantité]]*Tableau1_2[[#This Row],[Prix_Unitaire]]</f>
        <v>10500</v>
      </c>
      <c r="Q1528">
        <f>Tableau1_2[[#This Row],[Quantité]]*Tableau1_2[[#This Row],[Coût_Unitaire]]</f>
        <v>6400</v>
      </c>
      <c r="R1528">
        <f>Tableau1_2[[#This Row],[CA]]-Tableau1_2[[#This Row],[Cout Total]]</f>
        <v>4100</v>
      </c>
      <c r="S1528" s="4">
        <f>Tableau1_2[[#This Row],[Marge]]/Tableau1_2[[#This Row],[CA]]</f>
        <v>0.39047619047619048</v>
      </c>
      <c r="T1528" t="str">
        <f>TEXT(Tableau1_2[[#This Row],[Date]],"mmmm")</f>
        <v>avril</v>
      </c>
    </row>
    <row r="1529" spans="1:20" x14ac:dyDescent="0.35">
      <c r="A1529" t="s">
        <v>2557</v>
      </c>
      <c r="B1529" s="2">
        <v>46362</v>
      </c>
      <c r="C1529" t="s">
        <v>139</v>
      </c>
      <c r="D1529" t="s">
        <v>438</v>
      </c>
      <c r="E1529" t="s">
        <v>70</v>
      </c>
      <c r="F1529" t="s">
        <v>71</v>
      </c>
      <c r="G1529" t="s">
        <v>19</v>
      </c>
      <c r="H1529" t="s">
        <v>20</v>
      </c>
      <c r="I1529">
        <v>5</v>
      </c>
      <c r="J1529">
        <v>65000</v>
      </c>
      <c r="K1529">
        <v>46400</v>
      </c>
      <c r="L1529" t="s">
        <v>36</v>
      </c>
      <c r="M1529" t="s">
        <v>37</v>
      </c>
      <c r="N1529" t="s">
        <v>52</v>
      </c>
      <c r="O1529" t="s">
        <v>24</v>
      </c>
      <c r="P1529">
        <f>Tableau1_2[[#This Row],[Quantité]]*Tableau1_2[[#This Row],[Prix_Unitaire]]</f>
        <v>325000</v>
      </c>
      <c r="Q1529">
        <f>Tableau1_2[[#This Row],[Quantité]]*Tableau1_2[[#This Row],[Coût_Unitaire]]</f>
        <v>232000</v>
      </c>
      <c r="R1529">
        <f>Tableau1_2[[#This Row],[CA]]-Tableau1_2[[#This Row],[Cout Total]]</f>
        <v>93000</v>
      </c>
      <c r="S1529" s="4">
        <f>Tableau1_2[[#This Row],[Marge]]/Tableau1_2[[#This Row],[CA]]</f>
        <v>0.28615384615384615</v>
      </c>
      <c r="T1529" t="str">
        <f>TEXT(Tableau1_2[[#This Row],[Date]],"mmmm")</f>
        <v>décembre</v>
      </c>
    </row>
    <row r="1530" spans="1:20" x14ac:dyDescent="0.35">
      <c r="A1530" t="s">
        <v>2558</v>
      </c>
      <c r="B1530" s="2">
        <v>46081</v>
      </c>
      <c r="C1530" t="s">
        <v>2559</v>
      </c>
      <c r="D1530" t="s">
        <v>1377</v>
      </c>
      <c r="E1530" t="s">
        <v>70</v>
      </c>
      <c r="F1530" t="s">
        <v>71</v>
      </c>
      <c r="G1530" t="s">
        <v>43</v>
      </c>
      <c r="H1530" t="s">
        <v>79</v>
      </c>
      <c r="I1530">
        <v>9</v>
      </c>
      <c r="J1530">
        <v>6000</v>
      </c>
      <c r="K1530">
        <v>4100</v>
      </c>
      <c r="L1530" t="s">
        <v>30</v>
      </c>
      <c r="M1530" t="s">
        <v>31</v>
      </c>
      <c r="N1530" t="s">
        <v>52</v>
      </c>
      <c r="O1530" t="s">
        <v>45</v>
      </c>
      <c r="P1530">
        <f>Tableau1_2[[#This Row],[Quantité]]*Tableau1_2[[#This Row],[Prix_Unitaire]]</f>
        <v>54000</v>
      </c>
      <c r="Q1530">
        <f>Tableau1_2[[#This Row],[Quantité]]*Tableau1_2[[#This Row],[Coût_Unitaire]]</f>
        <v>36900</v>
      </c>
      <c r="R1530">
        <f>Tableau1_2[[#This Row],[CA]]-Tableau1_2[[#This Row],[Cout Total]]</f>
        <v>17100</v>
      </c>
      <c r="S1530" s="4">
        <f>Tableau1_2[[#This Row],[Marge]]/Tableau1_2[[#This Row],[CA]]</f>
        <v>0.31666666666666665</v>
      </c>
      <c r="T1530" t="str">
        <f>TEXT(Tableau1_2[[#This Row],[Date]],"mmmm")</f>
        <v>février</v>
      </c>
    </row>
    <row r="1531" spans="1:20" x14ac:dyDescent="0.35">
      <c r="A1531" t="s">
        <v>2560</v>
      </c>
      <c r="B1531" s="2">
        <v>46092</v>
      </c>
      <c r="C1531" t="s">
        <v>290</v>
      </c>
      <c r="D1531" t="s">
        <v>161</v>
      </c>
      <c r="E1531" t="s">
        <v>56</v>
      </c>
      <c r="F1531" t="s">
        <v>57</v>
      </c>
      <c r="G1531" t="s">
        <v>19</v>
      </c>
      <c r="H1531" t="s">
        <v>166</v>
      </c>
      <c r="I1531">
        <v>1</v>
      </c>
      <c r="J1531">
        <v>140000</v>
      </c>
      <c r="K1531">
        <v>100000</v>
      </c>
      <c r="L1531" t="s">
        <v>21</v>
      </c>
      <c r="M1531" t="s">
        <v>37</v>
      </c>
      <c r="N1531" t="s">
        <v>23</v>
      </c>
      <c r="O1531" t="s">
        <v>24</v>
      </c>
      <c r="P1531">
        <f>Tableau1_2[[#This Row],[Quantité]]*Tableau1_2[[#This Row],[Prix_Unitaire]]</f>
        <v>140000</v>
      </c>
      <c r="Q1531">
        <f>Tableau1_2[[#This Row],[Quantité]]*Tableau1_2[[#This Row],[Coût_Unitaire]]</f>
        <v>100000</v>
      </c>
      <c r="R1531">
        <f>Tableau1_2[[#This Row],[CA]]-Tableau1_2[[#This Row],[Cout Total]]</f>
        <v>40000</v>
      </c>
      <c r="S1531" s="4">
        <f>Tableau1_2[[#This Row],[Marge]]/Tableau1_2[[#This Row],[CA]]</f>
        <v>0.2857142857142857</v>
      </c>
      <c r="T1531" t="str">
        <f>TEXT(Tableau1_2[[#This Row],[Date]],"mmmm")</f>
        <v>mars</v>
      </c>
    </row>
    <row r="1532" spans="1:20" x14ac:dyDescent="0.35">
      <c r="A1532" t="s">
        <v>2561</v>
      </c>
      <c r="B1532" s="2">
        <v>46159</v>
      </c>
      <c r="C1532" t="s">
        <v>539</v>
      </c>
      <c r="D1532" t="s">
        <v>646</v>
      </c>
      <c r="E1532" t="s">
        <v>156</v>
      </c>
      <c r="F1532" t="s">
        <v>157</v>
      </c>
      <c r="G1532" t="s">
        <v>43</v>
      </c>
      <c r="H1532" t="s">
        <v>49</v>
      </c>
      <c r="I1532">
        <v>2</v>
      </c>
      <c r="J1532">
        <v>8600</v>
      </c>
      <c r="K1532">
        <v>5800</v>
      </c>
      <c r="L1532" t="s">
        <v>73</v>
      </c>
      <c r="M1532" t="s">
        <v>51</v>
      </c>
      <c r="N1532" t="s">
        <v>23</v>
      </c>
      <c r="O1532" t="s">
        <v>45</v>
      </c>
      <c r="P1532">
        <f>Tableau1_2[[#This Row],[Quantité]]*Tableau1_2[[#This Row],[Prix_Unitaire]]</f>
        <v>17200</v>
      </c>
      <c r="Q1532">
        <f>Tableau1_2[[#This Row],[Quantité]]*Tableau1_2[[#This Row],[Coût_Unitaire]]</f>
        <v>11600</v>
      </c>
      <c r="R1532">
        <f>Tableau1_2[[#This Row],[CA]]-Tableau1_2[[#This Row],[Cout Total]]</f>
        <v>5600</v>
      </c>
      <c r="S1532" s="4">
        <f>Tableau1_2[[#This Row],[Marge]]/Tableau1_2[[#This Row],[CA]]</f>
        <v>0.32558139534883723</v>
      </c>
      <c r="T1532" t="str">
        <f>TEXT(Tableau1_2[[#This Row],[Date]],"mmmm")</f>
        <v>mai</v>
      </c>
    </row>
    <row r="1533" spans="1:20" x14ac:dyDescent="0.35">
      <c r="A1533" t="s">
        <v>2562</v>
      </c>
      <c r="B1533" s="2">
        <v>46182</v>
      </c>
      <c r="C1533" t="s">
        <v>753</v>
      </c>
      <c r="D1533" t="s">
        <v>507</v>
      </c>
      <c r="E1533" t="s">
        <v>77</v>
      </c>
      <c r="F1533" t="s">
        <v>78</v>
      </c>
      <c r="G1533" t="s">
        <v>34</v>
      </c>
      <c r="H1533" t="s">
        <v>158</v>
      </c>
      <c r="I1533">
        <v>10</v>
      </c>
      <c r="J1533">
        <v>90200</v>
      </c>
      <c r="K1533">
        <v>72100</v>
      </c>
      <c r="L1533" t="s">
        <v>73</v>
      </c>
      <c r="M1533" t="s">
        <v>37</v>
      </c>
      <c r="N1533" t="s">
        <v>52</v>
      </c>
      <c r="O1533" t="s">
        <v>45</v>
      </c>
      <c r="P1533">
        <f>Tableau1_2[[#This Row],[Quantité]]*Tableau1_2[[#This Row],[Prix_Unitaire]]</f>
        <v>902000</v>
      </c>
      <c r="Q1533">
        <f>Tableau1_2[[#This Row],[Quantité]]*Tableau1_2[[#This Row],[Coût_Unitaire]]</f>
        <v>721000</v>
      </c>
      <c r="R1533">
        <f>Tableau1_2[[#This Row],[CA]]-Tableau1_2[[#This Row],[Cout Total]]</f>
        <v>181000</v>
      </c>
      <c r="S1533" s="4">
        <f>Tableau1_2[[#This Row],[Marge]]/Tableau1_2[[#This Row],[CA]]</f>
        <v>0.20066518847006651</v>
      </c>
      <c r="T1533" t="str">
        <f>TEXT(Tableau1_2[[#This Row],[Date]],"mmmm")</f>
        <v>juin</v>
      </c>
    </row>
    <row r="1534" spans="1:20" x14ac:dyDescent="0.35">
      <c r="A1534" t="s">
        <v>2563</v>
      </c>
      <c r="B1534" s="2">
        <v>46097</v>
      </c>
      <c r="C1534" t="s">
        <v>2334</v>
      </c>
      <c r="D1534" t="s">
        <v>432</v>
      </c>
      <c r="E1534" t="s">
        <v>41</v>
      </c>
      <c r="F1534" t="s">
        <v>42</v>
      </c>
      <c r="G1534" t="s">
        <v>19</v>
      </c>
      <c r="H1534" t="s">
        <v>61</v>
      </c>
      <c r="I1534">
        <v>10</v>
      </c>
      <c r="J1534">
        <v>220000</v>
      </c>
      <c r="K1534">
        <v>160000</v>
      </c>
      <c r="L1534" t="s">
        <v>21</v>
      </c>
      <c r="M1534" t="s">
        <v>51</v>
      </c>
      <c r="N1534" t="s">
        <v>87</v>
      </c>
      <c r="O1534" t="s">
        <v>24</v>
      </c>
      <c r="P1534">
        <f>Tableau1_2[[#This Row],[Quantité]]*Tableau1_2[[#This Row],[Prix_Unitaire]]</f>
        <v>2200000</v>
      </c>
      <c r="Q1534">
        <f>Tableau1_2[[#This Row],[Quantité]]*Tableau1_2[[#This Row],[Coût_Unitaire]]</f>
        <v>1600000</v>
      </c>
      <c r="R1534">
        <f>Tableau1_2[[#This Row],[CA]]-Tableau1_2[[#This Row],[Cout Total]]</f>
        <v>600000</v>
      </c>
      <c r="S1534" s="4">
        <f>Tableau1_2[[#This Row],[Marge]]/Tableau1_2[[#This Row],[CA]]</f>
        <v>0.27272727272727271</v>
      </c>
      <c r="T1534" t="str">
        <f>TEXT(Tableau1_2[[#This Row],[Date]],"mmmm")</f>
        <v>mars</v>
      </c>
    </row>
    <row r="1535" spans="1:20" x14ac:dyDescent="0.35">
      <c r="A1535" t="s">
        <v>2564</v>
      </c>
      <c r="B1535" s="2">
        <v>46285</v>
      </c>
      <c r="C1535" t="s">
        <v>1442</v>
      </c>
      <c r="D1535" t="s">
        <v>383</v>
      </c>
      <c r="E1535" t="s">
        <v>41</v>
      </c>
      <c r="F1535" t="s">
        <v>42</v>
      </c>
      <c r="G1535" t="s">
        <v>19</v>
      </c>
      <c r="H1535" t="s">
        <v>61</v>
      </c>
      <c r="I1535">
        <v>1</v>
      </c>
      <c r="J1535">
        <v>220000</v>
      </c>
      <c r="K1535">
        <v>164800</v>
      </c>
      <c r="L1535" t="s">
        <v>80</v>
      </c>
      <c r="M1535" t="s">
        <v>37</v>
      </c>
      <c r="N1535" t="s">
        <v>52</v>
      </c>
      <c r="O1535" t="s">
        <v>91</v>
      </c>
      <c r="P1535">
        <f>Tableau1_2[[#This Row],[Quantité]]*Tableau1_2[[#This Row],[Prix_Unitaire]]</f>
        <v>220000</v>
      </c>
      <c r="Q1535">
        <f>Tableau1_2[[#This Row],[Quantité]]*Tableau1_2[[#This Row],[Coût_Unitaire]]</f>
        <v>164800</v>
      </c>
      <c r="R1535">
        <f>Tableau1_2[[#This Row],[CA]]-Tableau1_2[[#This Row],[Cout Total]]</f>
        <v>55200</v>
      </c>
      <c r="S1535" s="4">
        <f>Tableau1_2[[#This Row],[Marge]]/Tableau1_2[[#This Row],[CA]]</f>
        <v>0.25090909090909091</v>
      </c>
      <c r="T1535" t="str">
        <f>TEXT(Tableau1_2[[#This Row],[Date]],"mmmm")</f>
        <v>septembre</v>
      </c>
    </row>
    <row r="1536" spans="1:20" x14ac:dyDescent="0.35">
      <c r="A1536" t="s">
        <v>2565</v>
      </c>
      <c r="B1536" s="2">
        <v>46231</v>
      </c>
      <c r="C1536" t="s">
        <v>458</v>
      </c>
      <c r="D1536" t="s">
        <v>294</v>
      </c>
      <c r="E1536" t="s">
        <v>41</v>
      </c>
      <c r="F1536" t="s">
        <v>42</v>
      </c>
      <c r="G1536" t="s">
        <v>34</v>
      </c>
      <c r="H1536" t="s">
        <v>141</v>
      </c>
      <c r="I1536">
        <v>1</v>
      </c>
      <c r="J1536">
        <v>160000</v>
      </c>
      <c r="K1536">
        <v>120000</v>
      </c>
      <c r="L1536" t="s">
        <v>36</v>
      </c>
      <c r="M1536" t="s">
        <v>37</v>
      </c>
      <c r="N1536" t="s">
        <v>87</v>
      </c>
      <c r="O1536" t="s">
        <v>24</v>
      </c>
      <c r="P1536">
        <f>Tableau1_2[[#This Row],[Quantité]]*Tableau1_2[[#This Row],[Prix_Unitaire]]</f>
        <v>160000</v>
      </c>
      <c r="Q1536">
        <f>Tableau1_2[[#This Row],[Quantité]]*Tableau1_2[[#This Row],[Coût_Unitaire]]</f>
        <v>120000</v>
      </c>
      <c r="R1536">
        <f>Tableau1_2[[#This Row],[CA]]-Tableau1_2[[#This Row],[Cout Total]]</f>
        <v>40000</v>
      </c>
      <c r="S1536" s="4">
        <f>Tableau1_2[[#This Row],[Marge]]/Tableau1_2[[#This Row],[CA]]</f>
        <v>0.25</v>
      </c>
      <c r="T1536" t="str">
        <f>TEXT(Tableau1_2[[#This Row],[Date]],"mmmm")</f>
        <v>juillet</v>
      </c>
    </row>
    <row r="1537" spans="1:20" x14ac:dyDescent="0.35">
      <c r="A1537" t="s">
        <v>2566</v>
      </c>
      <c r="B1537" s="2">
        <v>46175</v>
      </c>
      <c r="C1537" t="s">
        <v>1522</v>
      </c>
      <c r="D1537" t="s">
        <v>760</v>
      </c>
      <c r="E1537" t="s">
        <v>84</v>
      </c>
      <c r="F1537" t="s">
        <v>85</v>
      </c>
      <c r="G1537" t="s">
        <v>43</v>
      </c>
      <c r="H1537" t="s">
        <v>162</v>
      </c>
      <c r="I1537">
        <v>6</v>
      </c>
      <c r="J1537">
        <v>8000</v>
      </c>
      <c r="K1537">
        <v>5000</v>
      </c>
      <c r="L1537" t="s">
        <v>50</v>
      </c>
      <c r="M1537" t="s">
        <v>37</v>
      </c>
      <c r="N1537" t="s">
        <v>52</v>
      </c>
      <c r="O1537" t="s">
        <v>45</v>
      </c>
      <c r="P1537">
        <f>Tableau1_2[[#This Row],[Quantité]]*Tableau1_2[[#This Row],[Prix_Unitaire]]</f>
        <v>48000</v>
      </c>
      <c r="Q1537">
        <f>Tableau1_2[[#This Row],[Quantité]]*Tableau1_2[[#This Row],[Coût_Unitaire]]</f>
        <v>30000</v>
      </c>
      <c r="R1537">
        <f>Tableau1_2[[#This Row],[CA]]-Tableau1_2[[#This Row],[Cout Total]]</f>
        <v>18000</v>
      </c>
      <c r="S1537" s="4">
        <f>Tableau1_2[[#This Row],[Marge]]/Tableau1_2[[#This Row],[CA]]</f>
        <v>0.375</v>
      </c>
      <c r="T1537" t="str">
        <f>TEXT(Tableau1_2[[#This Row],[Date]],"mmmm")</f>
        <v>juin</v>
      </c>
    </row>
    <row r="1538" spans="1:20" x14ac:dyDescent="0.35">
      <c r="A1538" t="s">
        <v>2567</v>
      </c>
      <c r="B1538" s="2">
        <v>46369</v>
      </c>
      <c r="C1538" t="s">
        <v>1511</v>
      </c>
      <c r="D1538" t="s">
        <v>697</v>
      </c>
      <c r="E1538" t="s">
        <v>84</v>
      </c>
      <c r="F1538" t="s">
        <v>85</v>
      </c>
      <c r="G1538" t="s">
        <v>43</v>
      </c>
      <c r="H1538" t="s">
        <v>49</v>
      </c>
      <c r="I1538">
        <v>8</v>
      </c>
      <c r="J1538">
        <v>9000</v>
      </c>
      <c r="K1538">
        <v>5600</v>
      </c>
      <c r="L1538" t="s">
        <v>80</v>
      </c>
      <c r="M1538" t="s">
        <v>31</v>
      </c>
      <c r="N1538" t="s">
        <v>23</v>
      </c>
      <c r="O1538" t="s">
        <v>24</v>
      </c>
      <c r="P1538">
        <f>Tableau1_2[[#This Row],[Quantité]]*Tableau1_2[[#This Row],[Prix_Unitaire]]</f>
        <v>72000</v>
      </c>
      <c r="Q1538">
        <f>Tableau1_2[[#This Row],[Quantité]]*Tableau1_2[[#This Row],[Coût_Unitaire]]</f>
        <v>44800</v>
      </c>
      <c r="R1538">
        <f>Tableau1_2[[#This Row],[CA]]-Tableau1_2[[#This Row],[Cout Total]]</f>
        <v>27200</v>
      </c>
      <c r="S1538" s="4">
        <f>Tableau1_2[[#This Row],[Marge]]/Tableau1_2[[#This Row],[CA]]</f>
        <v>0.37777777777777777</v>
      </c>
      <c r="T1538" t="str">
        <f>TEXT(Tableau1_2[[#This Row],[Date]],"mmmm")</f>
        <v>décembre</v>
      </c>
    </row>
    <row r="1539" spans="1:20" x14ac:dyDescent="0.35">
      <c r="A1539" t="s">
        <v>2568</v>
      </c>
      <c r="B1539" s="2">
        <v>46329</v>
      </c>
      <c r="C1539" t="s">
        <v>68</v>
      </c>
      <c r="D1539" t="s">
        <v>127</v>
      </c>
      <c r="E1539" t="s">
        <v>156</v>
      </c>
      <c r="F1539" t="s">
        <v>170</v>
      </c>
      <c r="G1539" t="s">
        <v>34</v>
      </c>
      <c r="H1539" t="s">
        <v>158</v>
      </c>
      <c r="I1539">
        <v>5</v>
      </c>
      <c r="J1539">
        <v>95000</v>
      </c>
      <c r="K1539">
        <v>70000</v>
      </c>
      <c r="L1539" t="s">
        <v>50</v>
      </c>
      <c r="M1539" t="s">
        <v>31</v>
      </c>
      <c r="N1539" t="s">
        <v>23</v>
      </c>
      <c r="O1539" t="s">
        <v>24</v>
      </c>
      <c r="P1539">
        <f>Tableau1_2[[#This Row],[Quantité]]*Tableau1_2[[#This Row],[Prix_Unitaire]]</f>
        <v>475000</v>
      </c>
      <c r="Q1539">
        <f>Tableau1_2[[#This Row],[Quantité]]*Tableau1_2[[#This Row],[Coût_Unitaire]]</f>
        <v>350000</v>
      </c>
      <c r="R1539">
        <f>Tableau1_2[[#This Row],[CA]]-Tableau1_2[[#This Row],[Cout Total]]</f>
        <v>125000</v>
      </c>
      <c r="S1539" s="4">
        <f>Tableau1_2[[#This Row],[Marge]]/Tableau1_2[[#This Row],[CA]]</f>
        <v>0.26315789473684209</v>
      </c>
      <c r="T1539" t="str">
        <f>TEXT(Tableau1_2[[#This Row],[Date]],"mmmm")</f>
        <v>novembre</v>
      </c>
    </row>
    <row r="1540" spans="1:20" x14ac:dyDescent="0.35">
      <c r="A1540" t="s">
        <v>2569</v>
      </c>
      <c r="B1540" s="2">
        <v>46164</v>
      </c>
      <c r="C1540" t="s">
        <v>264</v>
      </c>
      <c r="D1540" t="s">
        <v>646</v>
      </c>
      <c r="E1540" t="s">
        <v>156</v>
      </c>
      <c r="F1540" t="s">
        <v>157</v>
      </c>
      <c r="G1540" t="s">
        <v>43</v>
      </c>
      <c r="H1540" t="s">
        <v>44</v>
      </c>
      <c r="I1540">
        <v>8</v>
      </c>
      <c r="J1540">
        <v>14200</v>
      </c>
      <c r="K1540">
        <v>9500</v>
      </c>
      <c r="L1540" t="s">
        <v>73</v>
      </c>
      <c r="M1540" t="s">
        <v>51</v>
      </c>
      <c r="N1540" t="s">
        <v>23</v>
      </c>
      <c r="O1540" t="s">
        <v>24</v>
      </c>
      <c r="P1540">
        <f>Tableau1_2[[#This Row],[Quantité]]*Tableau1_2[[#This Row],[Prix_Unitaire]]</f>
        <v>113600</v>
      </c>
      <c r="Q1540">
        <f>Tableau1_2[[#This Row],[Quantité]]*Tableau1_2[[#This Row],[Coût_Unitaire]]</f>
        <v>76000</v>
      </c>
      <c r="R1540">
        <f>Tableau1_2[[#This Row],[CA]]-Tableau1_2[[#This Row],[Cout Total]]</f>
        <v>37600</v>
      </c>
      <c r="S1540" s="4">
        <f>Tableau1_2[[#This Row],[Marge]]/Tableau1_2[[#This Row],[CA]]</f>
        <v>0.33098591549295775</v>
      </c>
      <c r="T1540" t="str">
        <f>TEXT(Tableau1_2[[#This Row],[Date]],"mmmm")</f>
        <v>mai</v>
      </c>
    </row>
    <row r="1541" spans="1:20" x14ac:dyDescent="0.35">
      <c r="A1541" t="s">
        <v>2570</v>
      </c>
      <c r="B1541" s="2">
        <v>46297</v>
      </c>
      <c r="C1541" t="s">
        <v>874</v>
      </c>
      <c r="D1541" t="s">
        <v>425</v>
      </c>
      <c r="E1541" t="s">
        <v>18</v>
      </c>
      <c r="F1541" t="s">
        <v>18</v>
      </c>
      <c r="G1541" t="s">
        <v>43</v>
      </c>
      <c r="H1541" t="s">
        <v>79</v>
      </c>
      <c r="I1541">
        <v>5</v>
      </c>
      <c r="J1541">
        <v>6000</v>
      </c>
      <c r="K1541">
        <v>4100</v>
      </c>
      <c r="L1541" t="s">
        <v>30</v>
      </c>
      <c r="M1541" t="s">
        <v>31</v>
      </c>
      <c r="N1541" t="s">
        <v>23</v>
      </c>
      <c r="O1541" t="s">
        <v>24</v>
      </c>
      <c r="P1541">
        <f>Tableau1_2[[#This Row],[Quantité]]*Tableau1_2[[#This Row],[Prix_Unitaire]]</f>
        <v>30000</v>
      </c>
      <c r="Q1541">
        <f>Tableau1_2[[#This Row],[Quantité]]*Tableau1_2[[#This Row],[Coût_Unitaire]]</f>
        <v>20500</v>
      </c>
      <c r="R1541">
        <f>Tableau1_2[[#This Row],[CA]]-Tableau1_2[[#This Row],[Cout Total]]</f>
        <v>9500</v>
      </c>
      <c r="S1541" s="4">
        <f>Tableau1_2[[#This Row],[Marge]]/Tableau1_2[[#This Row],[CA]]</f>
        <v>0.31666666666666665</v>
      </c>
      <c r="T1541" t="str">
        <f>TEXT(Tableau1_2[[#This Row],[Date]],"mmmm")</f>
        <v>octobre</v>
      </c>
    </row>
    <row r="1542" spans="1:20" x14ac:dyDescent="0.35">
      <c r="A1542" t="s">
        <v>2571</v>
      </c>
      <c r="B1542" s="2">
        <v>46259</v>
      </c>
      <c r="C1542" t="s">
        <v>506</v>
      </c>
      <c r="D1542" t="s">
        <v>1382</v>
      </c>
      <c r="E1542" t="s">
        <v>156</v>
      </c>
      <c r="F1542" t="s">
        <v>157</v>
      </c>
      <c r="G1542" t="s">
        <v>34</v>
      </c>
      <c r="H1542" t="s">
        <v>158</v>
      </c>
      <c r="I1542">
        <v>4</v>
      </c>
      <c r="J1542">
        <v>99800</v>
      </c>
      <c r="K1542">
        <v>70000</v>
      </c>
      <c r="L1542" t="s">
        <v>36</v>
      </c>
      <c r="M1542" t="s">
        <v>37</v>
      </c>
      <c r="N1542" t="s">
        <v>87</v>
      </c>
      <c r="O1542" t="s">
        <v>45</v>
      </c>
      <c r="P1542">
        <f>Tableau1_2[[#This Row],[Quantité]]*Tableau1_2[[#This Row],[Prix_Unitaire]]</f>
        <v>399200</v>
      </c>
      <c r="Q1542">
        <f>Tableau1_2[[#This Row],[Quantité]]*Tableau1_2[[#This Row],[Coût_Unitaire]]</f>
        <v>280000</v>
      </c>
      <c r="R1542">
        <f>Tableau1_2[[#This Row],[CA]]-Tableau1_2[[#This Row],[Cout Total]]</f>
        <v>119200</v>
      </c>
      <c r="S1542" s="4">
        <f>Tableau1_2[[#This Row],[Marge]]/Tableau1_2[[#This Row],[CA]]</f>
        <v>0.29859719438877758</v>
      </c>
      <c r="T1542" t="str">
        <f>TEXT(Tableau1_2[[#This Row],[Date]],"mmmm")</f>
        <v>août</v>
      </c>
    </row>
    <row r="1543" spans="1:20" x14ac:dyDescent="0.35">
      <c r="A1543" t="s">
        <v>2572</v>
      </c>
      <c r="B1543" s="2">
        <v>46220</v>
      </c>
      <c r="C1543" t="s">
        <v>1416</v>
      </c>
      <c r="D1543" t="s">
        <v>462</v>
      </c>
      <c r="E1543" t="s">
        <v>156</v>
      </c>
      <c r="F1543" t="s">
        <v>157</v>
      </c>
      <c r="G1543" t="s">
        <v>28</v>
      </c>
      <c r="H1543" t="s">
        <v>131</v>
      </c>
      <c r="I1543">
        <v>8</v>
      </c>
      <c r="J1543">
        <v>30000</v>
      </c>
      <c r="K1543">
        <v>18400</v>
      </c>
      <c r="L1543" t="s">
        <v>80</v>
      </c>
      <c r="M1543" t="s">
        <v>22</v>
      </c>
      <c r="N1543" t="s">
        <v>23</v>
      </c>
      <c r="O1543" t="s">
        <v>24</v>
      </c>
      <c r="P1543">
        <f>Tableau1_2[[#This Row],[Quantité]]*Tableau1_2[[#This Row],[Prix_Unitaire]]</f>
        <v>240000</v>
      </c>
      <c r="Q1543">
        <f>Tableau1_2[[#This Row],[Quantité]]*Tableau1_2[[#This Row],[Coût_Unitaire]]</f>
        <v>147200</v>
      </c>
      <c r="R1543">
        <f>Tableau1_2[[#This Row],[CA]]-Tableau1_2[[#This Row],[Cout Total]]</f>
        <v>92800</v>
      </c>
      <c r="S1543" s="4">
        <f>Tableau1_2[[#This Row],[Marge]]/Tableau1_2[[#This Row],[CA]]</f>
        <v>0.38666666666666666</v>
      </c>
      <c r="T1543" t="str">
        <f>TEXT(Tableau1_2[[#This Row],[Date]],"mmmm")</f>
        <v>juillet</v>
      </c>
    </row>
    <row r="1544" spans="1:20" x14ac:dyDescent="0.35">
      <c r="A1544" t="s">
        <v>2573</v>
      </c>
      <c r="B1544" s="2">
        <v>46162</v>
      </c>
      <c r="C1544" t="s">
        <v>2574</v>
      </c>
      <c r="D1544" t="s">
        <v>2575</v>
      </c>
      <c r="E1544" t="s">
        <v>18</v>
      </c>
      <c r="F1544" t="s">
        <v>18</v>
      </c>
      <c r="G1544" t="s">
        <v>28</v>
      </c>
      <c r="H1544" t="s">
        <v>248</v>
      </c>
      <c r="I1544">
        <v>10</v>
      </c>
      <c r="J1544">
        <v>26200</v>
      </c>
      <c r="K1544">
        <v>15500</v>
      </c>
      <c r="L1544" t="s">
        <v>36</v>
      </c>
      <c r="M1544" t="s">
        <v>51</v>
      </c>
      <c r="N1544" t="s">
        <v>87</v>
      </c>
      <c r="O1544" t="s">
        <v>24</v>
      </c>
      <c r="P1544">
        <f>Tableau1_2[[#This Row],[Quantité]]*Tableau1_2[[#This Row],[Prix_Unitaire]]</f>
        <v>262000</v>
      </c>
      <c r="Q1544">
        <f>Tableau1_2[[#This Row],[Quantité]]*Tableau1_2[[#This Row],[Coût_Unitaire]]</f>
        <v>155000</v>
      </c>
      <c r="R1544">
        <f>Tableau1_2[[#This Row],[CA]]-Tableau1_2[[#This Row],[Cout Total]]</f>
        <v>107000</v>
      </c>
      <c r="S1544" s="4">
        <f>Tableau1_2[[#This Row],[Marge]]/Tableau1_2[[#This Row],[CA]]</f>
        <v>0.40839694656488551</v>
      </c>
      <c r="T1544" t="str">
        <f>TEXT(Tableau1_2[[#This Row],[Date]],"mmmm")</f>
        <v>mai</v>
      </c>
    </row>
    <row r="1545" spans="1:20" x14ac:dyDescent="0.35">
      <c r="A1545" t="s">
        <v>2576</v>
      </c>
      <c r="B1545" s="2">
        <v>46374</v>
      </c>
      <c r="C1545" t="s">
        <v>882</v>
      </c>
      <c r="D1545" t="s">
        <v>1256</v>
      </c>
      <c r="E1545" t="s">
        <v>56</v>
      </c>
      <c r="F1545" t="s">
        <v>57</v>
      </c>
      <c r="G1545" t="s">
        <v>19</v>
      </c>
      <c r="H1545" t="s">
        <v>20</v>
      </c>
      <c r="I1545">
        <v>10</v>
      </c>
      <c r="J1545">
        <v>61800</v>
      </c>
      <c r="K1545">
        <v>46400</v>
      </c>
      <c r="L1545" t="s">
        <v>73</v>
      </c>
      <c r="M1545" t="s">
        <v>37</v>
      </c>
      <c r="N1545" t="s">
        <v>52</v>
      </c>
      <c r="O1545" t="s">
        <v>24</v>
      </c>
      <c r="P1545">
        <f>Tableau1_2[[#This Row],[Quantité]]*Tableau1_2[[#This Row],[Prix_Unitaire]]</f>
        <v>618000</v>
      </c>
      <c r="Q1545">
        <f>Tableau1_2[[#This Row],[Quantité]]*Tableau1_2[[#This Row],[Coût_Unitaire]]</f>
        <v>464000</v>
      </c>
      <c r="R1545">
        <f>Tableau1_2[[#This Row],[CA]]-Tableau1_2[[#This Row],[Cout Total]]</f>
        <v>154000</v>
      </c>
      <c r="S1545" s="4">
        <f>Tableau1_2[[#This Row],[Marge]]/Tableau1_2[[#This Row],[CA]]</f>
        <v>0.24919093851132687</v>
      </c>
      <c r="T1545" t="str">
        <f>TEXT(Tableau1_2[[#This Row],[Date]],"mmmm")</f>
        <v>décembre</v>
      </c>
    </row>
    <row r="1546" spans="1:20" x14ac:dyDescent="0.35">
      <c r="A1546" t="s">
        <v>2577</v>
      </c>
      <c r="B1546" s="2">
        <v>46056</v>
      </c>
      <c r="C1546" t="s">
        <v>350</v>
      </c>
      <c r="D1546" t="s">
        <v>253</v>
      </c>
      <c r="E1546" t="s">
        <v>56</v>
      </c>
      <c r="F1546" t="s">
        <v>57</v>
      </c>
      <c r="G1546" t="s">
        <v>19</v>
      </c>
      <c r="H1546" t="s">
        <v>112</v>
      </c>
      <c r="I1546">
        <v>2</v>
      </c>
      <c r="J1546">
        <v>80800</v>
      </c>
      <c r="K1546">
        <v>60100</v>
      </c>
      <c r="L1546" t="s">
        <v>73</v>
      </c>
      <c r="M1546" t="s">
        <v>22</v>
      </c>
      <c r="N1546" t="s">
        <v>23</v>
      </c>
      <c r="O1546" t="s">
        <v>24</v>
      </c>
      <c r="P1546">
        <f>Tableau1_2[[#This Row],[Quantité]]*Tableau1_2[[#This Row],[Prix_Unitaire]]</f>
        <v>161600</v>
      </c>
      <c r="Q1546">
        <f>Tableau1_2[[#This Row],[Quantité]]*Tableau1_2[[#This Row],[Coût_Unitaire]]</f>
        <v>120200</v>
      </c>
      <c r="R1546">
        <f>Tableau1_2[[#This Row],[CA]]-Tableau1_2[[#This Row],[Cout Total]]</f>
        <v>41400</v>
      </c>
      <c r="S1546" s="4">
        <f>Tableau1_2[[#This Row],[Marge]]/Tableau1_2[[#This Row],[CA]]</f>
        <v>0.25618811881188119</v>
      </c>
      <c r="T1546" t="str">
        <f>TEXT(Tableau1_2[[#This Row],[Date]],"mmmm")</f>
        <v>février</v>
      </c>
    </row>
    <row r="1547" spans="1:20" x14ac:dyDescent="0.35">
      <c r="A1547" t="s">
        <v>2578</v>
      </c>
      <c r="B1547" s="2">
        <v>46128</v>
      </c>
      <c r="C1547" t="s">
        <v>326</v>
      </c>
      <c r="D1547" t="s">
        <v>335</v>
      </c>
      <c r="E1547" t="s">
        <v>18</v>
      </c>
      <c r="F1547" t="s">
        <v>18</v>
      </c>
      <c r="G1547" t="s">
        <v>34</v>
      </c>
      <c r="H1547" t="s">
        <v>86</v>
      </c>
      <c r="I1547">
        <v>4</v>
      </c>
      <c r="J1547">
        <v>189000</v>
      </c>
      <c r="K1547">
        <v>135000</v>
      </c>
      <c r="L1547" t="s">
        <v>66</v>
      </c>
      <c r="M1547" t="s">
        <v>22</v>
      </c>
      <c r="N1547" t="s">
        <v>23</v>
      </c>
      <c r="O1547" t="s">
        <v>24</v>
      </c>
      <c r="P1547">
        <f>Tableau1_2[[#This Row],[Quantité]]*Tableau1_2[[#This Row],[Prix_Unitaire]]</f>
        <v>756000</v>
      </c>
      <c r="Q1547">
        <f>Tableau1_2[[#This Row],[Quantité]]*Tableau1_2[[#This Row],[Coût_Unitaire]]</f>
        <v>540000</v>
      </c>
      <c r="R1547">
        <f>Tableau1_2[[#This Row],[CA]]-Tableau1_2[[#This Row],[Cout Total]]</f>
        <v>216000</v>
      </c>
      <c r="S1547" s="4">
        <f>Tableau1_2[[#This Row],[Marge]]/Tableau1_2[[#This Row],[CA]]</f>
        <v>0.2857142857142857</v>
      </c>
      <c r="T1547" t="str">
        <f>TEXT(Tableau1_2[[#This Row],[Date]],"mmmm")</f>
        <v>avril</v>
      </c>
    </row>
    <row r="1548" spans="1:20" x14ac:dyDescent="0.35">
      <c r="A1548" t="s">
        <v>2579</v>
      </c>
      <c r="B1548" s="2">
        <v>46363</v>
      </c>
      <c r="C1548" t="s">
        <v>896</v>
      </c>
      <c r="D1548" t="s">
        <v>247</v>
      </c>
      <c r="E1548" t="s">
        <v>190</v>
      </c>
      <c r="F1548" t="s">
        <v>191</v>
      </c>
      <c r="G1548" t="s">
        <v>19</v>
      </c>
      <c r="H1548" t="s">
        <v>61</v>
      </c>
      <c r="I1548">
        <v>2</v>
      </c>
      <c r="J1548">
        <v>220000</v>
      </c>
      <c r="K1548">
        <v>160000</v>
      </c>
      <c r="L1548" t="s">
        <v>36</v>
      </c>
      <c r="M1548" t="s">
        <v>37</v>
      </c>
      <c r="N1548" t="s">
        <v>23</v>
      </c>
      <c r="O1548" t="s">
        <v>24</v>
      </c>
      <c r="P1548">
        <f>Tableau1_2[[#This Row],[Quantité]]*Tableau1_2[[#This Row],[Prix_Unitaire]]</f>
        <v>440000</v>
      </c>
      <c r="Q1548">
        <f>Tableau1_2[[#This Row],[Quantité]]*Tableau1_2[[#This Row],[Coût_Unitaire]]</f>
        <v>320000</v>
      </c>
      <c r="R1548">
        <f>Tableau1_2[[#This Row],[CA]]-Tableau1_2[[#This Row],[Cout Total]]</f>
        <v>120000</v>
      </c>
      <c r="S1548" s="4">
        <f>Tableau1_2[[#This Row],[Marge]]/Tableau1_2[[#This Row],[CA]]</f>
        <v>0.27272727272727271</v>
      </c>
      <c r="T1548" t="str">
        <f>TEXT(Tableau1_2[[#This Row],[Date]],"mmmm")</f>
        <v>décembre</v>
      </c>
    </row>
    <row r="1549" spans="1:20" x14ac:dyDescent="0.35">
      <c r="A1549" t="s">
        <v>2580</v>
      </c>
      <c r="B1549" s="2">
        <v>46257</v>
      </c>
      <c r="C1549" t="s">
        <v>1890</v>
      </c>
      <c r="D1549" t="s">
        <v>1258</v>
      </c>
      <c r="E1549" t="s">
        <v>41</v>
      </c>
      <c r="F1549" t="s">
        <v>42</v>
      </c>
      <c r="G1549" t="s">
        <v>34</v>
      </c>
      <c r="H1549" t="s">
        <v>158</v>
      </c>
      <c r="I1549">
        <v>4</v>
      </c>
      <c r="J1549">
        <v>95000</v>
      </c>
      <c r="K1549">
        <v>67900</v>
      </c>
      <c r="L1549" t="s">
        <v>73</v>
      </c>
      <c r="M1549" t="s">
        <v>22</v>
      </c>
      <c r="N1549" t="s">
        <v>52</v>
      </c>
      <c r="O1549" t="s">
        <v>91</v>
      </c>
      <c r="P1549">
        <f>Tableau1_2[[#This Row],[Quantité]]*Tableau1_2[[#This Row],[Prix_Unitaire]]</f>
        <v>380000</v>
      </c>
      <c r="Q1549">
        <f>Tableau1_2[[#This Row],[Quantité]]*Tableau1_2[[#This Row],[Coût_Unitaire]]</f>
        <v>271600</v>
      </c>
      <c r="R1549">
        <f>Tableau1_2[[#This Row],[CA]]-Tableau1_2[[#This Row],[Cout Total]]</f>
        <v>108400</v>
      </c>
      <c r="S1549" s="4">
        <f>Tableau1_2[[#This Row],[Marge]]/Tableau1_2[[#This Row],[CA]]</f>
        <v>0.28526315789473683</v>
      </c>
      <c r="T1549" t="str">
        <f>TEXT(Tableau1_2[[#This Row],[Date]],"mmmm")</f>
        <v>août</v>
      </c>
    </row>
    <row r="1550" spans="1:20" x14ac:dyDescent="0.35">
      <c r="A1550" t="s">
        <v>2581</v>
      </c>
      <c r="B1550" s="2">
        <v>46324</v>
      </c>
      <c r="C1550" t="s">
        <v>612</v>
      </c>
      <c r="D1550" t="s">
        <v>354</v>
      </c>
      <c r="E1550" t="s">
        <v>18</v>
      </c>
      <c r="F1550" t="s">
        <v>18</v>
      </c>
      <c r="G1550" t="s">
        <v>19</v>
      </c>
      <c r="H1550" t="s">
        <v>166</v>
      </c>
      <c r="I1550">
        <v>8</v>
      </c>
      <c r="J1550">
        <v>147000</v>
      </c>
      <c r="K1550">
        <v>97000</v>
      </c>
      <c r="L1550" t="s">
        <v>66</v>
      </c>
      <c r="M1550" t="s">
        <v>51</v>
      </c>
      <c r="N1550" t="s">
        <v>52</v>
      </c>
      <c r="O1550" t="s">
        <v>24</v>
      </c>
      <c r="P1550">
        <f>Tableau1_2[[#This Row],[Quantité]]*Tableau1_2[[#This Row],[Prix_Unitaire]]</f>
        <v>1176000</v>
      </c>
      <c r="Q1550">
        <f>Tableau1_2[[#This Row],[Quantité]]*Tableau1_2[[#This Row],[Coût_Unitaire]]</f>
        <v>776000</v>
      </c>
      <c r="R1550">
        <f>Tableau1_2[[#This Row],[CA]]-Tableau1_2[[#This Row],[Cout Total]]</f>
        <v>400000</v>
      </c>
      <c r="S1550" s="4">
        <f>Tableau1_2[[#This Row],[Marge]]/Tableau1_2[[#This Row],[CA]]</f>
        <v>0.3401360544217687</v>
      </c>
      <c r="T1550" t="str">
        <f>TEXT(Tableau1_2[[#This Row],[Date]],"mmmm")</f>
        <v>octobre</v>
      </c>
    </row>
    <row r="1551" spans="1:20" x14ac:dyDescent="0.35">
      <c r="A1551" t="s">
        <v>2582</v>
      </c>
      <c r="B1551" s="2">
        <v>46251</v>
      </c>
      <c r="C1551" t="s">
        <v>1226</v>
      </c>
      <c r="D1551" t="s">
        <v>977</v>
      </c>
      <c r="E1551" t="s">
        <v>156</v>
      </c>
      <c r="F1551" t="s">
        <v>157</v>
      </c>
      <c r="G1551" t="s">
        <v>43</v>
      </c>
      <c r="H1551" t="s">
        <v>79</v>
      </c>
      <c r="I1551">
        <v>5</v>
      </c>
      <c r="J1551">
        <v>6300</v>
      </c>
      <c r="K1551">
        <v>4300</v>
      </c>
      <c r="L1551" t="s">
        <v>36</v>
      </c>
      <c r="M1551" t="s">
        <v>37</v>
      </c>
      <c r="N1551" t="s">
        <v>52</v>
      </c>
      <c r="O1551" t="s">
        <v>24</v>
      </c>
      <c r="P1551">
        <f>Tableau1_2[[#This Row],[Quantité]]*Tableau1_2[[#This Row],[Prix_Unitaire]]</f>
        <v>31500</v>
      </c>
      <c r="Q1551">
        <f>Tableau1_2[[#This Row],[Quantité]]*Tableau1_2[[#This Row],[Coût_Unitaire]]</f>
        <v>21500</v>
      </c>
      <c r="R1551">
        <f>Tableau1_2[[#This Row],[CA]]-Tableau1_2[[#This Row],[Cout Total]]</f>
        <v>10000</v>
      </c>
      <c r="S1551" s="4">
        <f>Tableau1_2[[#This Row],[Marge]]/Tableau1_2[[#This Row],[CA]]</f>
        <v>0.31746031746031744</v>
      </c>
      <c r="T1551" t="str">
        <f>TEXT(Tableau1_2[[#This Row],[Date]],"mmmm")</f>
        <v>août</v>
      </c>
    </row>
    <row r="1552" spans="1:20" x14ac:dyDescent="0.35">
      <c r="A1552" t="s">
        <v>2583</v>
      </c>
      <c r="B1552" s="2">
        <v>46173</v>
      </c>
      <c r="C1552" t="s">
        <v>2584</v>
      </c>
      <c r="D1552" t="s">
        <v>800</v>
      </c>
      <c r="E1552" t="s">
        <v>18</v>
      </c>
      <c r="F1552" t="s">
        <v>18</v>
      </c>
      <c r="G1552" t="s">
        <v>34</v>
      </c>
      <c r="H1552" t="s">
        <v>35</v>
      </c>
      <c r="I1552">
        <v>2</v>
      </c>
      <c r="J1552">
        <v>55000</v>
      </c>
      <c r="K1552">
        <v>40200</v>
      </c>
      <c r="L1552" t="s">
        <v>30</v>
      </c>
      <c r="M1552" t="s">
        <v>31</v>
      </c>
      <c r="N1552" t="s">
        <v>52</v>
      </c>
      <c r="O1552" t="s">
        <v>24</v>
      </c>
      <c r="P1552">
        <f>Tableau1_2[[#This Row],[Quantité]]*Tableau1_2[[#This Row],[Prix_Unitaire]]</f>
        <v>110000</v>
      </c>
      <c r="Q1552">
        <f>Tableau1_2[[#This Row],[Quantité]]*Tableau1_2[[#This Row],[Coût_Unitaire]]</f>
        <v>80400</v>
      </c>
      <c r="R1552">
        <f>Tableau1_2[[#This Row],[CA]]-Tableau1_2[[#This Row],[Cout Total]]</f>
        <v>29600</v>
      </c>
      <c r="S1552" s="4">
        <f>Tableau1_2[[#This Row],[Marge]]/Tableau1_2[[#This Row],[CA]]</f>
        <v>0.2690909090909091</v>
      </c>
      <c r="T1552" t="str">
        <f>TEXT(Tableau1_2[[#This Row],[Date]],"mmmm")</f>
        <v>mai</v>
      </c>
    </row>
    <row r="1553" spans="1:20" x14ac:dyDescent="0.35">
      <c r="A1553" t="s">
        <v>2585</v>
      </c>
      <c r="B1553" s="2">
        <v>46103</v>
      </c>
      <c r="C1553" t="s">
        <v>1617</v>
      </c>
      <c r="D1553" t="s">
        <v>1382</v>
      </c>
      <c r="E1553" t="s">
        <v>190</v>
      </c>
      <c r="F1553" t="s">
        <v>191</v>
      </c>
      <c r="G1553" t="s">
        <v>43</v>
      </c>
      <c r="H1553" t="s">
        <v>49</v>
      </c>
      <c r="I1553">
        <v>8</v>
      </c>
      <c r="J1553">
        <v>8600</v>
      </c>
      <c r="K1553">
        <v>6000</v>
      </c>
      <c r="L1553" t="s">
        <v>96</v>
      </c>
      <c r="M1553" t="s">
        <v>51</v>
      </c>
      <c r="N1553" t="s">
        <v>23</v>
      </c>
      <c r="O1553" t="s">
        <v>91</v>
      </c>
      <c r="P1553">
        <f>Tableau1_2[[#This Row],[Quantité]]*Tableau1_2[[#This Row],[Prix_Unitaire]]</f>
        <v>68800</v>
      </c>
      <c r="Q1553">
        <f>Tableau1_2[[#This Row],[Quantité]]*Tableau1_2[[#This Row],[Coût_Unitaire]]</f>
        <v>48000</v>
      </c>
      <c r="R1553">
        <f>Tableau1_2[[#This Row],[CA]]-Tableau1_2[[#This Row],[Cout Total]]</f>
        <v>20800</v>
      </c>
      <c r="S1553" s="4">
        <f>Tableau1_2[[#This Row],[Marge]]/Tableau1_2[[#This Row],[CA]]</f>
        <v>0.30232558139534882</v>
      </c>
      <c r="T1553" t="str">
        <f>TEXT(Tableau1_2[[#This Row],[Date]],"mmmm")</f>
        <v>mars</v>
      </c>
    </row>
    <row r="1554" spans="1:20" x14ac:dyDescent="0.35">
      <c r="A1554" t="s">
        <v>2586</v>
      </c>
      <c r="B1554" s="2">
        <v>46037</v>
      </c>
      <c r="C1554" t="s">
        <v>1665</v>
      </c>
      <c r="D1554" t="s">
        <v>665</v>
      </c>
      <c r="E1554" t="s">
        <v>84</v>
      </c>
      <c r="F1554" t="s">
        <v>85</v>
      </c>
      <c r="G1554" t="s">
        <v>43</v>
      </c>
      <c r="H1554" t="s">
        <v>79</v>
      </c>
      <c r="I1554">
        <v>8</v>
      </c>
      <c r="J1554">
        <v>6000</v>
      </c>
      <c r="K1554">
        <v>4200</v>
      </c>
      <c r="L1554" t="s">
        <v>36</v>
      </c>
      <c r="M1554" t="s">
        <v>51</v>
      </c>
      <c r="N1554" t="s">
        <v>23</v>
      </c>
      <c r="O1554" t="s">
        <v>24</v>
      </c>
      <c r="P1554">
        <f>Tableau1_2[[#This Row],[Quantité]]*Tableau1_2[[#This Row],[Prix_Unitaire]]</f>
        <v>48000</v>
      </c>
      <c r="Q1554">
        <f>Tableau1_2[[#This Row],[Quantité]]*Tableau1_2[[#This Row],[Coût_Unitaire]]</f>
        <v>33600</v>
      </c>
      <c r="R1554">
        <f>Tableau1_2[[#This Row],[CA]]-Tableau1_2[[#This Row],[Cout Total]]</f>
        <v>14400</v>
      </c>
      <c r="S1554" s="4">
        <f>Tableau1_2[[#This Row],[Marge]]/Tableau1_2[[#This Row],[CA]]</f>
        <v>0.3</v>
      </c>
      <c r="T1554" t="str">
        <f>TEXT(Tableau1_2[[#This Row],[Date]],"mmmm")</f>
        <v>janvier</v>
      </c>
    </row>
    <row r="1555" spans="1:20" x14ac:dyDescent="0.35">
      <c r="A1555" t="s">
        <v>2587</v>
      </c>
      <c r="B1555" s="2">
        <v>46059</v>
      </c>
      <c r="C1555" t="s">
        <v>624</v>
      </c>
      <c r="D1555" t="s">
        <v>610</v>
      </c>
      <c r="E1555" t="s">
        <v>190</v>
      </c>
      <c r="F1555" t="s">
        <v>191</v>
      </c>
      <c r="G1555" t="s">
        <v>34</v>
      </c>
      <c r="H1555" t="s">
        <v>141</v>
      </c>
      <c r="I1555">
        <v>5</v>
      </c>
      <c r="J1555">
        <v>160000</v>
      </c>
      <c r="K1555">
        <v>123600</v>
      </c>
      <c r="L1555" t="s">
        <v>50</v>
      </c>
      <c r="M1555" t="s">
        <v>51</v>
      </c>
      <c r="N1555" t="s">
        <v>52</v>
      </c>
      <c r="O1555" t="s">
        <v>24</v>
      </c>
      <c r="P1555">
        <f>Tableau1_2[[#This Row],[Quantité]]*Tableau1_2[[#This Row],[Prix_Unitaire]]</f>
        <v>800000</v>
      </c>
      <c r="Q1555">
        <f>Tableau1_2[[#This Row],[Quantité]]*Tableau1_2[[#This Row],[Coût_Unitaire]]</f>
        <v>618000</v>
      </c>
      <c r="R1555">
        <f>Tableau1_2[[#This Row],[CA]]-Tableau1_2[[#This Row],[Cout Total]]</f>
        <v>182000</v>
      </c>
      <c r="S1555" s="4">
        <f>Tableau1_2[[#This Row],[Marge]]/Tableau1_2[[#This Row],[CA]]</f>
        <v>0.22750000000000001</v>
      </c>
      <c r="T1555" t="str">
        <f>TEXT(Tableau1_2[[#This Row],[Date]],"mmmm")</f>
        <v>février</v>
      </c>
    </row>
    <row r="1556" spans="1:20" x14ac:dyDescent="0.35">
      <c r="A1556" t="s">
        <v>2588</v>
      </c>
      <c r="B1556" s="2">
        <v>46141</v>
      </c>
      <c r="C1556" t="s">
        <v>1887</v>
      </c>
      <c r="D1556" t="s">
        <v>2589</v>
      </c>
      <c r="E1556" t="s">
        <v>18</v>
      </c>
      <c r="F1556" t="s">
        <v>18</v>
      </c>
      <c r="G1556" t="s">
        <v>19</v>
      </c>
      <c r="H1556" t="s">
        <v>112</v>
      </c>
      <c r="I1556">
        <v>4</v>
      </c>
      <c r="J1556">
        <v>80800</v>
      </c>
      <c r="K1556">
        <v>62000</v>
      </c>
      <c r="L1556" t="s">
        <v>66</v>
      </c>
      <c r="M1556" t="s">
        <v>37</v>
      </c>
      <c r="N1556" t="s">
        <v>52</v>
      </c>
      <c r="O1556" t="s">
        <v>24</v>
      </c>
      <c r="P1556">
        <f>Tableau1_2[[#This Row],[Quantité]]*Tableau1_2[[#This Row],[Prix_Unitaire]]</f>
        <v>323200</v>
      </c>
      <c r="Q1556">
        <f>Tableau1_2[[#This Row],[Quantité]]*Tableau1_2[[#This Row],[Coût_Unitaire]]</f>
        <v>248000</v>
      </c>
      <c r="R1556">
        <f>Tableau1_2[[#This Row],[CA]]-Tableau1_2[[#This Row],[Cout Total]]</f>
        <v>75200</v>
      </c>
      <c r="S1556" s="4">
        <f>Tableau1_2[[#This Row],[Marge]]/Tableau1_2[[#This Row],[CA]]</f>
        <v>0.23267326732673269</v>
      </c>
      <c r="T1556" t="str">
        <f>TEXT(Tableau1_2[[#This Row],[Date]],"mmmm")</f>
        <v>avril</v>
      </c>
    </row>
    <row r="1557" spans="1:20" x14ac:dyDescent="0.35">
      <c r="A1557" t="s">
        <v>2590</v>
      </c>
      <c r="B1557" s="2">
        <v>46341</v>
      </c>
      <c r="C1557" t="s">
        <v>583</v>
      </c>
      <c r="D1557" t="s">
        <v>1292</v>
      </c>
      <c r="E1557" t="s">
        <v>18</v>
      </c>
      <c r="F1557" t="s">
        <v>18</v>
      </c>
      <c r="G1557" t="s">
        <v>34</v>
      </c>
      <c r="H1557" t="s">
        <v>35</v>
      </c>
      <c r="I1557">
        <v>1</v>
      </c>
      <c r="J1557">
        <v>55000</v>
      </c>
      <c r="K1557">
        <v>40200</v>
      </c>
      <c r="L1557" t="s">
        <v>80</v>
      </c>
      <c r="M1557" t="s">
        <v>37</v>
      </c>
      <c r="N1557" t="s">
        <v>87</v>
      </c>
      <c r="O1557" t="s">
        <v>24</v>
      </c>
      <c r="P1557">
        <f>Tableau1_2[[#This Row],[Quantité]]*Tableau1_2[[#This Row],[Prix_Unitaire]]</f>
        <v>55000</v>
      </c>
      <c r="Q1557">
        <f>Tableau1_2[[#This Row],[Quantité]]*Tableau1_2[[#This Row],[Coût_Unitaire]]</f>
        <v>40200</v>
      </c>
      <c r="R1557">
        <f>Tableau1_2[[#This Row],[CA]]-Tableau1_2[[#This Row],[Cout Total]]</f>
        <v>14800</v>
      </c>
      <c r="S1557" s="4">
        <f>Tableau1_2[[#This Row],[Marge]]/Tableau1_2[[#This Row],[CA]]</f>
        <v>0.2690909090909091</v>
      </c>
      <c r="T1557" t="str">
        <f>TEXT(Tableau1_2[[#This Row],[Date]],"mmmm")</f>
        <v>novembre</v>
      </c>
    </row>
    <row r="1558" spans="1:20" x14ac:dyDescent="0.35">
      <c r="A1558" t="s">
        <v>2591</v>
      </c>
      <c r="B1558" s="2">
        <v>46238</v>
      </c>
      <c r="C1558" t="s">
        <v>2148</v>
      </c>
      <c r="D1558" t="s">
        <v>846</v>
      </c>
      <c r="E1558" t="s">
        <v>84</v>
      </c>
      <c r="F1558" t="s">
        <v>85</v>
      </c>
      <c r="G1558" t="s">
        <v>43</v>
      </c>
      <c r="H1558" t="s">
        <v>177</v>
      </c>
      <c r="I1558">
        <v>1</v>
      </c>
      <c r="J1558">
        <v>18000</v>
      </c>
      <c r="K1558">
        <v>12500</v>
      </c>
      <c r="L1558" t="s">
        <v>36</v>
      </c>
      <c r="M1558" t="s">
        <v>51</v>
      </c>
      <c r="N1558" t="s">
        <v>23</v>
      </c>
      <c r="O1558" t="s">
        <v>24</v>
      </c>
      <c r="P1558">
        <f>Tableau1_2[[#This Row],[Quantité]]*Tableau1_2[[#This Row],[Prix_Unitaire]]</f>
        <v>18000</v>
      </c>
      <c r="Q1558">
        <f>Tableau1_2[[#This Row],[Quantité]]*Tableau1_2[[#This Row],[Coût_Unitaire]]</f>
        <v>12500</v>
      </c>
      <c r="R1558">
        <f>Tableau1_2[[#This Row],[CA]]-Tableau1_2[[#This Row],[Cout Total]]</f>
        <v>5500</v>
      </c>
      <c r="S1558" s="4">
        <f>Tableau1_2[[#This Row],[Marge]]/Tableau1_2[[#This Row],[CA]]</f>
        <v>0.30555555555555558</v>
      </c>
      <c r="T1558" t="str">
        <f>TEXT(Tableau1_2[[#This Row],[Date]],"mmmm")</f>
        <v>août</v>
      </c>
    </row>
    <row r="1559" spans="1:20" x14ac:dyDescent="0.35">
      <c r="A1559" t="s">
        <v>2592</v>
      </c>
      <c r="B1559" s="2">
        <v>46307</v>
      </c>
      <c r="C1559" t="s">
        <v>1131</v>
      </c>
      <c r="D1559" t="s">
        <v>309</v>
      </c>
      <c r="E1559" t="s">
        <v>18</v>
      </c>
      <c r="F1559" t="s">
        <v>18</v>
      </c>
      <c r="G1559" t="s">
        <v>43</v>
      </c>
      <c r="H1559" t="s">
        <v>79</v>
      </c>
      <c r="I1559">
        <v>10</v>
      </c>
      <c r="J1559">
        <v>6000</v>
      </c>
      <c r="K1559">
        <v>4200</v>
      </c>
      <c r="L1559" t="s">
        <v>30</v>
      </c>
      <c r="M1559" t="s">
        <v>51</v>
      </c>
      <c r="N1559" t="s">
        <v>23</v>
      </c>
      <c r="O1559" t="s">
        <v>45</v>
      </c>
      <c r="P1559">
        <f>Tableau1_2[[#This Row],[Quantité]]*Tableau1_2[[#This Row],[Prix_Unitaire]]</f>
        <v>60000</v>
      </c>
      <c r="Q1559">
        <f>Tableau1_2[[#This Row],[Quantité]]*Tableau1_2[[#This Row],[Coût_Unitaire]]</f>
        <v>42000</v>
      </c>
      <c r="R1559">
        <f>Tableau1_2[[#This Row],[CA]]-Tableau1_2[[#This Row],[Cout Total]]</f>
        <v>18000</v>
      </c>
      <c r="S1559" s="4">
        <f>Tableau1_2[[#This Row],[Marge]]/Tableau1_2[[#This Row],[CA]]</f>
        <v>0.3</v>
      </c>
      <c r="T1559" t="str">
        <f>TEXT(Tableau1_2[[#This Row],[Date]],"mmmm")</f>
        <v>octobre</v>
      </c>
    </row>
    <row r="1560" spans="1:20" x14ac:dyDescent="0.35">
      <c r="A1560" t="s">
        <v>2593</v>
      </c>
      <c r="B1560" s="2">
        <v>46163</v>
      </c>
      <c r="C1560" t="s">
        <v>1653</v>
      </c>
      <c r="D1560" t="s">
        <v>1396</v>
      </c>
      <c r="E1560" t="s">
        <v>84</v>
      </c>
      <c r="F1560" t="s">
        <v>85</v>
      </c>
      <c r="G1560" t="s">
        <v>34</v>
      </c>
      <c r="H1560" t="s">
        <v>35</v>
      </c>
      <c r="I1560">
        <v>2</v>
      </c>
      <c r="J1560">
        <v>55000</v>
      </c>
      <c r="K1560">
        <v>40200</v>
      </c>
      <c r="L1560" t="s">
        <v>21</v>
      </c>
      <c r="M1560" t="s">
        <v>51</v>
      </c>
      <c r="N1560" t="s">
        <v>23</v>
      </c>
      <c r="O1560" t="s">
        <v>45</v>
      </c>
      <c r="P1560">
        <f>Tableau1_2[[#This Row],[Quantité]]*Tableau1_2[[#This Row],[Prix_Unitaire]]</f>
        <v>110000</v>
      </c>
      <c r="Q1560">
        <f>Tableau1_2[[#This Row],[Quantité]]*Tableau1_2[[#This Row],[Coût_Unitaire]]</f>
        <v>80400</v>
      </c>
      <c r="R1560">
        <f>Tableau1_2[[#This Row],[CA]]-Tableau1_2[[#This Row],[Cout Total]]</f>
        <v>29600</v>
      </c>
      <c r="S1560" s="4">
        <f>Tableau1_2[[#This Row],[Marge]]/Tableau1_2[[#This Row],[CA]]</f>
        <v>0.2690909090909091</v>
      </c>
      <c r="T1560" t="str">
        <f>TEXT(Tableau1_2[[#This Row],[Date]],"mmmm")</f>
        <v>mai</v>
      </c>
    </row>
    <row r="1561" spans="1:20" x14ac:dyDescent="0.35">
      <c r="A1561" t="s">
        <v>2594</v>
      </c>
      <c r="B1561" s="2">
        <v>46032</v>
      </c>
      <c r="C1561" t="s">
        <v>2233</v>
      </c>
      <c r="D1561" t="s">
        <v>535</v>
      </c>
      <c r="E1561" t="s">
        <v>18</v>
      </c>
      <c r="F1561" t="s">
        <v>18</v>
      </c>
      <c r="G1561" t="s">
        <v>19</v>
      </c>
      <c r="H1561" t="s">
        <v>61</v>
      </c>
      <c r="I1561">
        <v>1</v>
      </c>
      <c r="J1561">
        <v>209000</v>
      </c>
      <c r="K1561">
        <v>164800</v>
      </c>
      <c r="L1561" t="s">
        <v>21</v>
      </c>
      <c r="M1561" t="s">
        <v>31</v>
      </c>
      <c r="N1561" t="s">
        <v>23</v>
      </c>
      <c r="O1561" t="s">
        <v>24</v>
      </c>
      <c r="P1561">
        <f>Tableau1_2[[#This Row],[Quantité]]*Tableau1_2[[#This Row],[Prix_Unitaire]]</f>
        <v>209000</v>
      </c>
      <c r="Q1561">
        <f>Tableau1_2[[#This Row],[Quantité]]*Tableau1_2[[#This Row],[Coût_Unitaire]]</f>
        <v>164800</v>
      </c>
      <c r="R1561">
        <f>Tableau1_2[[#This Row],[CA]]-Tableau1_2[[#This Row],[Cout Total]]</f>
        <v>44200</v>
      </c>
      <c r="S1561" s="4">
        <f>Tableau1_2[[#This Row],[Marge]]/Tableau1_2[[#This Row],[CA]]</f>
        <v>0.21148325358851675</v>
      </c>
      <c r="T1561" t="str">
        <f>TEXT(Tableau1_2[[#This Row],[Date]],"mmmm")</f>
        <v>janvier</v>
      </c>
    </row>
    <row r="1562" spans="1:20" x14ac:dyDescent="0.35">
      <c r="A1562" t="s">
        <v>2595</v>
      </c>
      <c r="B1562" s="2">
        <v>46351</v>
      </c>
      <c r="C1562" t="s">
        <v>1609</v>
      </c>
      <c r="D1562" t="s">
        <v>184</v>
      </c>
      <c r="E1562" t="s">
        <v>77</v>
      </c>
      <c r="F1562" t="s">
        <v>78</v>
      </c>
      <c r="G1562" t="s">
        <v>43</v>
      </c>
      <c r="H1562" t="s">
        <v>177</v>
      </c>
      <c r="I1562">
        <v>1</v>
      </c>
      <c r="J1562">
        <v>18000</v>
      </c>
      <c r="K1562">
        <v>12500</v>
      </c>
      <c r="L1562" t="s">
        <v>73</v>
      </c>
      <c r="M1562" t="s">
        <v>51</v>
      </c>
      <c r="N1562" t="s">
        <v>52</v>
      </c>
      <c r="O1562" t="s">
        <v>24</v>
      </c>
      <c r="P1562">
        <f>Tableau1_2[[#This Row],[Quantité]]*Tableau1_2[[#This Row],[Prix_Unitaire]]</f>
        <v>18000</v>
      </c>
      <c r="Q1562">
        <f>Tableau1_2[[#This Row],[Quantité]]*Tableau1_2[[#This Row],[Coût_Unitaire]]</f>
        <v>12500</v>
      </c>
      <c r="R1562">
        <f>Tableau1_2[[#This Row],[CA]]-Tableau1_2[[#This Row],[Cout Total]]</f>
        <v>5500</v>
      </c>
      <c r="S1562" s="4">
        <f>Tableau1_2[[#This Row],[Marge]]/Tableau1_2[[#This Row],[CA]]</f>
        <v>0.30555555555555558</v>
      </c>
      <c r="T1562" t="str">
        <f>TEXT(Tableau1_2[[#This Row],[Date]],"mmmm")</f>
        <v>novembre</v>
      </c>
    </row>
    <row r="1563" spans="1:20" x14ac:dyDescent="0.35">
      <c r="A1563" t="s">
        <v>2596</v>
      </c>
      <c r="B1563" s="2">
        <v>46229</v>
      </c>
      <c r="C1563" t="s">
        <v>286</v>
      </c>
      <c r="D1563" t="s">
        <v>1311</v>
      </c>
      <c r="E1563" t="s">
        <v>41</v>
      </c>
      <c r="F1563" t="s">
        <v>42</v>
      </c>
      <c r="G1563" t="s">
        <v>43</v>
      </c>
      <c r="H1563" t="s">
        <v>177</v>
      </c>
      <c r="I1563">
        <v>3</v>
      </c>
      <c r="J1563">
        <v>18000</v>
      </c>
      <c r="K1563">
        <v>12900</v>
      </c>
      <c r="L1563" t="s">
        <v>50</v>
      </c>
      <c r="M1563" t="s">
        <v>22</v>
      </c>
      <c r="N1563" t="s">
        <v>87</v>
      </c>
      <c r="O1563" t="s">
        <v>24</v>
      </c>
      <c r="P1563">
        <f>Tableau1_2[[#This Row],[Quantité]]*Tableau1_2[[#This Row],[Prix_Unitaire]]</f>
        <v>54000</v>
      </c>
      <c r="Q1563">
        <f>Tableau1_2[[#This Row],[Quantité]]*Tableau1_2[[#This Row],[Coût_Unitaire]]</f>
        <v>38700</v>
      </c>
      <c r="R1563">
        <f>Tableau1_2[[#This Row],[CA]]-Tableau1_2[[#This Row],[Cout Total]]</f>
        <v>15300</v>
      </c>
      <c r="S1563" s="4">
        <f>Tableau1_2[[#This Row],[Marge]]/Tableau1_2[[#This Row],[CA]]</f>
        <v>0.28333333333333333</v>
      </c>
      <c r="T1563" t="str">
        <f>TEXT(Tableau1_2[[#This Row],[Date]],"mmmm")</f>
        <v>juillet</v>
      </c>
    </row>
    <row r="1564" spans="1:20" x14ac:dyDescent="0.35">
      <c r="A1564" t="s">
        <v>2597</v>
      </c>
      <c r="B1564" s="2">
        <v>46335</v>
      </c>
      <c r="C1564" t="s">
        <v>786</v>
      </c>
      <c r="D1564" t="s">
        <v>953</v>
      </c>
      <c r="E1564" t="s">
        <v>156</v>
      </c>
      <c r="F1564" t="s">
        <v>157</v>
      </c>
      <c r="G1564" t="s">
        <v>34</v>
      </c>
      <c r="H1564" t="s">
        <v>141</v>
      </c>
      <c r="I1564">
        <v>6</v>
      </c>
      <c r="J1564">
        <v>152000</v>
      </c>
      <c r="K1564">
        <v>120000</v>
      </c>
      <c r="L1564" t="s">
        <v>30</v>
      </c>
      <c r="M1564" t="s">
        <v>37</v>
      </c>
      <c r="N1564" t="s">
        <v>23</v>
      </c>
      <c r="O1564" t="s">
        <v>24</v>
      </c>
      <c r="P1564">
        <f>Tableau1_2[[#This Row],[Quantité]]*Tableau1_2[[#This Row],[Prix_Unitaire]]</f>
        <v>912000</v>
      </c>
      <c r="Q1564">
        <f>Tableau1_2[[#This Row],[Quantité]]*Tableau1_2[[#This Row],[Coût_Unitaire]]</f>
        <v>720000</v>
      </c>
      <c r="R1564">
        <f>Tableau1_2[[#This Row],[CA]]-Tableau1_2[[#This Row],[Cout Total]]</f>
        <v>192000</v>
      </c>
      <c r="S1564" s="4">
        <f>Tableau1_2[[#This Row],[Marge]]/Tableau1_2[[#This Row],[CA]]</f>
        <v>0.21052631578947367</v>
      </c>
      <c r="T1564" t="str">
        <f>TEXT(Tableau1_2[[#This Row],[Date]],"mmmm")</f>
        <v>novembre</v>
      </c>
    </row>
    <row r="1565" spans="1:20" x14ac:dyDescent="0.35">
      <c r="A1565" t="s">
        <v>2599</v>
      </c>
      <c r="B1565" s="2">
        <v>46312</v>
      </c>
      <c r="C1565" t="s">
        <v>272</v>
      </c>
      <c r="D1565" t="s">
        <v>2495</v>
      </c>
      <c r="E1565" t="s">
        <v>190</v>
      </c>
      <c r="F1565" t="s">
        <v>191</v>
      </c>
      <c r="G1565" t="s">
        <v>43</v>
      </c>
      <c r="H1565" t="s">
        <v>79</v>
      </c>
      <c r="I1565">
        <v>9</v>
      </c>
      <c r="J1565">
        <v>6000</v>
      </c>
      <c r="K1565">
        <v>4200</v>
      </c>
      <c r="L1565" t="s">
        <v>30</v>
      </c>
      <c r="M1565" t="s">
        <v>51</v>
      </c>
      <c r="N1565" t="s">
        <v>23</v>
      </c>
      <c r="O1565" t="s">
        <v>45</v>
      </c>
      <c r="P1565">
        <f>Tableau1_2[[#This Row],[Quantité]]*Tableau1_2[[#This Row],[Prix_Unitaire]]</f>
        <v>54000</v>
      </c>
      <c r="Q1565">
        <f>Tableau1_2[[#This Row],[Quantité]]*Tableau1_2[[#This Row],[Coût_Unitaire]]</f>
        <v>37800</v>
      </c>
      <c r="R1565">
        <f>Tableau1_2[[#This Row],[CA]]-Tableau1_2[[#This Row],[Cout Total]]</f>
        <v>16200</v>
      </c>
      <c r="S1565" s="4">
        <f>Tableau1_2[[#This Row],[Marge]]/Tableau1_2[[#This Row],[CA]]</f>
        <v>0.3</v>
      </c>
      <c r="T1565" t="str">
        <f>TEXT(Tableau1_2[[#This Row],[Date]],"mmmm")</f>
        <v>octobre</v>
      </c>
    </row>
    <row r="1566" spans="1:20" x14ac:dyDescent="0.35">
      <c r="A1566" t="s">
        <v>2600</v>
      </c>
      <c r="B1566" s="2">
        <v>46260</v>
      </c>
      <c r="C1566" t="s">
        <v>2074</v>
      </c>
      <c r="D1566" t="s">
        <v>1043</v>
      </c>
      <c r="E1566" t="s">
        <v>84</v>
      </c>
      <c r="F1566" t="s">
        <v>85</v>
      </c>
      <c r="G1566" t="s">
        <v>34</v>
      </c>
      <c r="H1566" t="s">
        <v>95</v>
      </c>
      <c r="I1566">
        <v>10</v>
      </c>
      <c r="J1566">
        <v>450000</v>
      </c>
      <c r="K1566">
        <v>381100</v>
      </c>
      <c r="L1566" t="s">
        <v>73</v>
      </c>
      <c r="M1566" t="s">
        <v>37</v>
      </c>
      <c r="N1566" t="s">
        <v>87</v>
      </c>
      <c r="O1566" t="s">
        <v>91</v>
      </c>
      <c r="P1566">
        <f>Tableau1_2[[#This Row],[Quantité]]*Tableau1_2[[#This Row],[Prix_Unitaire]]</f>
        <v>4500000</v>
      </c>
      <c r="Q1566">
        <f>Tableau1_2[[#This Row],[Quantité]]*Tableau1_2[[#This Row],[Coût_Unitaire]]</f>
        <v>3811000</v>
      </c>
      <c r="R1566">
        <f>Tableau1_2[[#This Row],[CA]]-Tableau1_2[[#This Row],[Cout Total]]</f>
        <v>689000</v>
      </c>
      <c r="S1566" s="4">
        <f>Tableau1_2[[#This Row],[Marge]]/Tableau1_2[[#This Row],[CA]]</f>
        <v>0.15311111111111111</v>
      </c>
      <c r="T1566" t="str">
        <f>TEXT(Tableau1_2[[#This Row],[Date]],"mmmm")</f>
        <v>août</v>
      </c>
    </row>
    <row r="1567" spans="1:20" x14ac:dyDescent="0.35">
      <c r="A1567" t="s">
        <v>2601</v>
      </c>
      <c r="B1567" s="2">
        <v>46116</v>
      </c>
      <c r="C1567" t="s">
        <v>202</v>
      </c>
      <c r="D1567" t="s">
        <v>705</v>
      </c>
      <c r="E1567" t="s">
        <v>18</v>
      </c>
      <c r="F1567" t="s">
        <v>18</v>
      </c>
      <c r="G1567" t="s">
        <v>28</v>
      </c>
      <c r="H1567" t="s">
        <v>131</v>
      </c>
      <c r="I1567">
        <v>5</v>
      </c>
      <c r="J1567">
        <v>31500</v>
      </c>
      <c r="K1567">
        <v>18400</v>
      </c>
      <c r="L1567" t="s">
        <v>96</v>
      </c>
      <c r="M1567" t="s">
        <v>51</v>
      </c>
      <c r="N1567" t="s">
        <v>23</v>
      </c>
      <c r="O1567" t="s">
        <v>24</v>
      </c>
      <c r="P1567">
        <f>Tableau1_2[[#This Row],[Quantité]]*Tableau1_2[[#This Row],[Prix_Unitaire]]</f>
        <v>157500</v>
      </c>
      <c r="Q1567">
        <f>Tableau1_2[[#This Row],[Quantité]]*Tableau1_2[[#This Row],[Coût_Unitaire]]</f>
        <v>92000</v>
      </c>
      <c r="R1567">
        <f>Tableau1_2[[#This Row],[CA]]-Tableau1_2[[#This Row],[Cout Total]]</f>
        <v>65500</v>
      </c>
      <c r="S1567" s="4">
        <f>Tableau1_2[[#This Row],[Marge]]/Tableau1_2[[#This Row],[CA]]</f>
        <v>0.41587301587301589</v>
      </c>
      <c r="T1567" t="str">
        <f>TEXT(Tableau1_2[[#This Row],[Date]],"mmmm")</f>
        <v>avril</v>
      </c>
    </row>
    <row r="1568" spans="1:20" x14ac:dyDescent="0.35">
      <c r="A1568" t="s">
        <v>2602</v>
      </c>
      <c r="B1568" s="2">
        <v>46027</v>
      </c>
      <c r="C1568" t="s">
        <v>358</v>
      </c>
      <c r="D1568" t="s">
        <v>1154</v>
      </c>
      <c r="E1568" t="s">
        <v>84</v>
      </c>
      <c r="F1568" t="s">
        <v>85</v>
      </c>
      <c r="G1568" t="s">
        <v>34</v>
      </c>
      <c r="H1568" t="s">
        <v>95</v>
      </c>
      <c r="I1568">
        <v>10</v>
      </c>
      <c r="J1568">
        <v>427500</v>
      </c>
      <c r="K1568">
        <v>370000</v>
      </c>
      <c r="L1568" t="s">
        <v>50</v>
      </c>
      <c r="M1568" t="s">
        <v>31</v>
      </c>
      <c r="N1568" t="s">
        <v>23</v>
      </c>
      <c r="O1568" t="s">
        <v>24</v>
      </c>
      <c r="P1568">
        <f>Tableau1_2[[#This Row],[Quantité]]*Tableau1_2[[#This Row],[Prix_Unitaire]]</f>
        <v>4275000</v>
      </c>
      <c r="Q1568">
        <f>Tableau1_2[[#This Row],[Quantité]]*Tableau1_2[[#This Row],[Coût_Unitaire]]</f>
        <v>3700000</v>
      </c>
      <c r="R1568">
        <f>Tableau1_2[[#This Row],[CA]]-Tableau1_2[[#This Row],[Cout Total]]</f>
        <v>575000</v>
      </c>
      <c r="S1568" s="4">
        <f>Tableau1_2[[#This Row],[Marge]]/Tableau1_2[[#This Row],[CA]]</f>
        <v>0.13450292397660818</v>
      </c>
      <c r="T1568" t="str">
        <f>TEXT(Tableau1_2[[#This Row],[Date]],"mmmm")</f>
        <v>janvier</v>
      </c>
    </row>
    <row r="1569" spans="1:20" x14ac:dyDescent="0.35">
      <c r="A1569" t="s">
        <v>2603</v>
      </c>
      <c r="B1569" s="2">
        <v>46130</v>
      </c>
      <c r="C1569" t="s">
        <v>1894</v>
      </c>
      <c r="D1569" t="s">
        <v>2443</v>
      </c>
      <c r="E1569" t="s">
        <v>56</v>
      </c>
      <c r="F1569" t="s">
        <v>57</v>
      </c>
      <c r="G1569" t="s">
        <v>43</v>
      </c>
      <c r="H1569" t="s">
        <v>49</v>
      </c>
      <c r="I1569">
        <v>4</v>
      </c>
      <c r="J1569">
        <v>9000</v>
      </c>
      <c r="K1569">
        <v>5600</v>
      </c>
      <c r="L1569" t="s">
        <v>80</v>
      </c>
      <c r="M1569" t="s">
        <v>51</v>
      </c>
      <c r="N1569" t="s">
        <v>23</v>
      </c>
      <c r="O1569" t="s">
        <v>24</v>
      </c>
      <c r="P1569">
        <f>Tableau1_2[[#This Row],[Quantité]]*Tableau1_2[[#This Row],[Prix_Unitaire]]</f>
        <v>36000</v>
      </c>
      <c r="Q1569">
        <f>Tableau1_2[[#This Row],[Quantité]]*Tableau1_2[[#This Row],[Coût_Unitaire]]</f>
        <v>22400</v>
      </c>
      <c r="R1569">
        <f>Tableau1_2[[#This Row],[CA]]-Tableau1_2[[#This Row],[Cout Total]]</f>
        <v>13600</v>
      </c>
      <c r="S1569" s="4">
        <f>Tableau1_2[[#This Row],[Marge]]/Tableau1_2[[#This Row],[CA]]</f>
        <v>0.37777777777777777</v>
      </c>
      <c r="T1569" t="str">
        <f>TEXT(Tableau1_2[[#This Row],[Date]],"mmmm")</f>
        <v>avril</v>
      </c>
    </row>
    <row r="1570" spans="1:20" x14ac:dyDescent="0.35">
      <c r="A1570" t="s">
        <v>2604</v>
      </c>
      <c r="B1570" s="2">
        <v>46211</v>
      </c>
      <c r="C1570" t="s">
        <v>258</v>
      </c>
      <c r="D1570" t="s">
        <v>530</v>
      </c>
      <c r="E1570" t="s">
        <v>18</v>
      </c>
      <c r="F1570" t="s">
        <v>18</v>
      </c>
      <c r="G1570" t="s">
        <v>34</v>
      </c>
      <c r="H1570" t="s">
        <v>35</v>
      </c>
      <c r="I1570">
        <v>7</v>
      </c>
      <c r="J1570">
        <v>52200</v>
      </c>
      <c r="K1570">
        <v>40200</v>
      </c>
      <c r="L1570" t="s">
        <v>30</v>
      </c>
      <c r="M1570" t="s">
        <v>51</v>
      </c>
      <c r="N1570" t="s">
        <v>52</v>
      </c>
      <c r="O1570" t="s">
        <v>91</v>
      </c>
      <c r="P1570">
        <f>Tableau1_2[[#This Row],[Quantité]]*Tableau1_2[[#This Row],[Prix_Unitaire]]</f>
        <v>365400</v>
      </c>
      <c r="Q1570">
        <f>Tableau1_2[[#This Row],[Quantité]]*Tableau1_2[[#This Row],[Coût_Unitaire]]</f>
        <v>281400</v>
      </c>
      <c r="R1570">
        <f>Tableau1_2[[#This Row],[CA]]-Tableau1_2[[#This Row],[Cout Total]]</f>
        <v>84000</v>
      </c>
      <c r="S1570" s="4">
        <f>Tableau1_2[[#This Row],[Marge]]/Tableau1_2[[#This Row],[CA]]</f>
        <v>0.22988505747126436</v>
      </c>
      <c r="T1570" t="str">
        <f>TEXT(Tableau1_2[[#This Row],[Date]],"mmmm")</f>
        <v>juillet</v>
      </c>
    </row>
    <row r="1571" spans="1:20" x14ac:dyDescent="0.35">
      <c r="A1571" t="s">
        <v>2605</v>
      </c>
      <c r="B1571" s="2">
        <v>46163</v>
      </c>
      <c r="C1571" t="s">
        <v>1894</v>
      </c>
      <c r="D1571" t="s">
        <v>839</v>
      </c>
      <c r="E1571" t="s">
        <v>18</v>
      </c>
      <c r="F1571" t="s">
        <v>18</v>
      </c>
      <c r="G1571" t="s">
        <v>19</v>
      </c>
      <c r="H1571" t="s">
        <v>20</v>
      </c>
      <c r="I1571">
        <v>9</v>
      </c>
      <c r="J1571">
        <v>65000</v>
      </c>
      <c r="K1571">
        <v>45000</v>
      </c>
      <c r="L1571" t="s">
        <v>36</v>
      </c>
      <c r="M1571" t="s">
        <v>37</v>
      </c>
      <c r="N1571" t="s">
        <v>87</v>
      </c>
      <c r="O1571" t="s">
        <v>24</v>
      </c>
      <c r="P1571">
        <f>Tableau1_2[[#This Row],[Quantité]]*Tableau1_2[[#This Row],[Prix_Unitaire]]</f>
        <v>585000</v>
      </c>
      <c r="Q1571">
        <f>Tableau1_2[[#This Row],[Quantité]]*Tableau1_2[[#This Row],[Coût_Unitaire]]</f>
        <v>405000</v>
      </c>
      <c r="R1571">
        <f>Tableau1_2[[#This Row],[CA]]-Tableau1_2[[#This Row],[Cout Total]]</f>
        <v>180000</v>
      </c>
      <c r="S1571" s="4">
        <f>Tableau1_2[[#This Row],[Marge]]/Tableau1_2[[#This Row],[CA]]</f>
        <v>0.30769230769230771</v>
      </c>
      <c r="T1571" t="str">
        <f>TEXT(Tableau1_2[[#This Row],[Date]],"mmmm")</f>
        <v>mai</v>
      </c>
    </row>
    <row r="1572" spans="1:20" x14ac:dyDescent="0.35">
      <c r="A1572" t="s">
        <v>2606</v>
      </c>
      <c r="B1572" s="2">
        <v>46056</v>
      </c>
      <c r="C1572" t="s">
        <v>1879</v>
      </c>
      <c r="D1572" t="s">
        <v>859</v>
      </c>
      <c r="E1572" t="s">
        <v>56</v>
      </c>
      <c r="F1572" t="s">
        <v>57</v>
      </c>
      <c r="G1572" t="s">
        <v>19</v>
      </c>
      <c r="H1572" t="s">
        <v>166</v>
      </c>
      <c r="I1572">
        <v>6</v>
      </c>
      <c r="J1572">
        <v>147000</v>
      </c>
      <c r="K1572">
        <v>100000</v>
      </c>
      <c r="L1572" t="s">
        <v>73</v>
      </c>
      <c r="M1572" t="s">
        <v>51</v>
      </c>
      <c r="N1572" t="s">
        <v>23</v>
      </c>
      <c r="O1572" t="s">
        <v>24</v>
      </c>
      <c r="P1572">
        <f>Tableau1_2[[#This Row],[Quantité]]*Tableau1_2[[#This Row],[Prix_Unitaire]]</f>
        <v>882000</v>
      </c>
      <c r="Q1572">
        <f>Tableau1_2[[#This Row],[Quantité]]*Tableau1_2[[#This Row],[Coût_Unitaire]]</f>
        <v>600000</v>
      </c>
      <c r="R1572">
        <f>Tableau1_2[[#This Row],[CA]]-Tableau1_2[[#This Row],[Cout Total]]</f>
        <v>282000</v>
      </c>
      <c r="S1572" s="4">
        <f>Tableau1_2[[#This Row],[Marge]]/Tableau1_2[[#This Row],[CA]]</f>
        <v>0.31972789115646261</v>
      </c>
      <c r="T1572" t="str">
        <f>TEXT(Tableau1_2[[#This Row],[Date]],"mmmm")</f>
        <v>février</v>
      </c>
    </row>
    <row r="1573" spans="1:20" x14ac:dyDescent="0.35">
      <c r="A1573" t="s">
        <v>2607</v>
      </c>
      <c r="B1573" s="2">
        <v>46029</v>
      </c>
      <c r="C1573" t="s">
        <v>901</v>
      </c>
      <c r="D1573" t="s">
        <v>342</v>
      </c>
      <c r="E1573" t="s">
        <v>18</v>
      </c>
      <c r="F1573" t="s">
        <v>18</v>
      </c>
      <c r="G1573" t="s">
        <v>43</v>
      </c>
      <c r="H1573" t="s">
        <v>177</v>
      </c>
      <c r="I1573">
        <v>9</v>
      </c>
      <c r="J1573">
        <v>17100</v>
      </c>
      <c r="K1573">
        <v>12900</v>
      </c>
      <c r="L1573" t="s">
        <v>36</v>
      </c>
      <c r="M1573" t="s">
        <v>37</v>
      </c>
      <c r="N1573" t="s">
        <v>52</v>
      </c>
      <c r="O1573" t="s">
        <v>24</v>
      </c>
      <c r="P1573">
        <f>Tableau1_2[[#This Row],[Quantité]]*Tableau1_2[[#This Row],[Prix_Unitaire]]</f>
        <v>153900</v>
      </c>
      <c r="Q1573">
        <f>Tableau1_2[[#This Row],[Quantité]]*Tableau1_2[[#This Row],[Coût_Unitaire]]</f>
        <v>116100</v>
      </c>
      <c r="R1573">
        <f>Tableau1_2[[#This Row],[CA]]-Tableau1_2[[#This Row],[Cout Total]]</f>
        <v>37800</v>
      </c>
      <c r="S1573" s="4">
        <f>Tableau1_2[[#This Row],[Marge]]/Tableau1_2[[#This Row],[CA]]</f>
        <v>0.24561403508771928</v>
      </c>
      <c r="T1573" t="str">
        <f>TEXT(Tableau1_2[[#This Row],[Date]],"mmmm")</f>
        <v>janvier</v>
      </c>
    </row>
    <row r="1574" spans="1:20" x14ac:dyDescent="0.35">
      <c r="A1574" t="s">
        <v>2608</v>
      </c>
      <c r="B1574" s="2">
        <v>46279</v>
      </c>
      <c r="C1574" t="s">
        <v>694</v>
      </c>
      <c r="D1574" t="s">
        <v>105</v>
      </c>
      <c r="E1574" t="s">
        <v>18</v>
      </c>
      <c r="F1574" t="s">
        <v>18</v>
      </c>
      <c r="G1574" t="s">
        <v>43</v>
      </c>
      <c r="H1574" t="s">
        <v>162</v>
      </c>
      <c r="I1574">
        <v>8</v>
      </c>
      <c r="J1574">
        <v>8400</v>
      </c>
      <c r="K1574">
        <v>4800</v>
      </c>
      <c r="L1574" t="s">
        <v>36</v>
      </c>
      <c r="M1574" t="s">
        <v>51</v>
      </c>
      <c r="N1574" t="s">
        <v>23</v>
      </c>
      <c r="O1574" t="s">
        <v>91</v>
      </c>
      <c r="P1574">
        <f>Tableau1_2[[#This Row],[Quantité]]*Tableau1_2[[#This Row],[Prix_Unitaire]]</f>
        <v>67200</v>
      </c>
      <c r="Q1574">
        <f>Tableau1_2[[#This Row],[Quantité]]*Tableau1_2[[#This Row],[Coût_Unitaire]]</f>
        <v>38400</v>
      </c>
      <c r="R1574">
        <f>Tableau1_2[[#This Row],[CA]]-Tableau1_2[[#This Row],[Cout Total]]</f>
        <v>28800</v>
      </c>
      <c r="S1574" s="4">
        <f>Tableau1_2[[#This Row],[Marge]]/Tableau1_2[[#This Row],[CA]]</f>
        <v>0.42857142857142855</v>
      </c>
      <c r="T1574" t="str">
        <f>TEXT(Tableau1_2[[#This Row],[Date]],"mmmm")</f>
        <v>septembre</v>
      </c>
    </row>
    <row r="1575" spans="1:20" x14ac:dyDescent="0.35">
      <c r="A1575" t="s">
        <v>2609</v>
      </c>
      <c r="B1575" s="2">
        <v>46064</v>
      </c>
      <c r="C1575" t="s">
        <v>943</v>
      </c>
      <c r="D1575" t="s">
        <v>155</v>
      </c>
      <c r="E1575" t="s">
        <v>41</v>
      </c>
      <c r="F1575" t="s">
        <v>42</v>
      </c>
      <c r="G1575" t="s">
        <v>19</v>
      </c>
      <c r="H1575" t="s">
        <v>20</v>
      </c>
      <c r="I1575">
        <v>6</v>
      </c>
      <c r="J1575">
        <v>65000</v>
      </c>
      <c r="K1575">
        <v>45000</v>
      </c>
      <c r="L1575" t="s">
        <v>80</v>
      </c>
      <c r="M1575" t="s">
        <v>51</v>
      </c>
      <c r="N1575" t="s">
        <v>23</v>
      </c>
      <c r="O1575" t="s">
        <v>24</v>
      </c>
      <c r="P1575">
        <f>Tableau1_2[[#This Row],[Quantité]]*Tableau1_2[[#This Row],[Prix_Unitaire]]</f>
        <v>390000</v>
      </c>
      <c r="Q1575">
        <f>Tableau1_2[[#This Row],[Quantité]]*Tableau1_2[[#This Row],[Coût_Unitaire]]</f>
        <v>270000</v>
      </c>
      <c r="R1575">
        <f>Tableau1_2[[#This Row],[CA]]-Tableau1_2[[#This Row],[Cout Total]]</f>
        <v>120000</v>
      </c>
      <c r="S1575" s="4">
        <f>Tableau1_2[[#This Row],[Marge]]/Tableau1_2[[#This Row],[CA]]</f>
        <v>0.30769230769230771</v>
      </c>
      <c r="T1575" t="str">
        <f>TEXT(Tableau1_2[[#This Row],[Date]],"mmmm")</f>
        <v>février</v>
      </c>
    </row>
    <row r="1576" spans="1:20" x14ac:dyDescent="0.35">
      <c r="A1576" t="s">
        <v>2610</v>
      </c>
      <c r="B1576" s="2">
        <v>46107</v>
      </c>
      <c r="C1576" t="s">
        <v>1226</v>
      </c>
      <c r="D1576" t="s">
        <v>380</v>
      </c>
      <c r="E1576" t="s">
        <v>18</v>
      </c>
      <c r="F1576" t="s">
        <v>18</v>
      </c>
      <c r="G1576" t="s">
        <v>34</v>
      </c>
      <c r="H1576" t="s">
        <v>158</v>
      </c>
      <c r="I1576">
        <v>7</v>
      </c>
      <c r="J1576">
        <v>95000</v>
      </c>
      <c r="K1576">
        <v>70000</v>
      </c>
      <c r="L1576" t="s">
        <v>66</v>
      </c>
      <c r="M1576" t="s">
        <v>51</v>
      </c>
      <c r="N1576" t="s">
        <v>23</v>
      </c>
      <c r="O1576" t="s">
        <v>45</v>
      </c>
      <c r="P1576">
        <f>Tableau1_2[[#This Row],[Quantité]]*Tableau1_2[[#This Row],[Prix_Unitaire]]</f>
        <v>665000</v>
      </c>
      <c r="Q1576">
        <f>Tableau1_2[[#This Row],[Quantité]]*Tableau1_2[[#This Row],[Coût_Unitaire]]</f>
        <v>490000</v>
      </c>
      <c r="R1576">
        <f>Tableau1_2[[#This Row],[CA]]-Tableau1_2[[#This Row],[Cout Total]]</f>
        <v>175000</v>
      </c>
      <c r="S1576" s="4">
        <f>Tableau1_2[[#This Row],[Marge]]/Tableau1_2[[#This Row],[CA]]</f>
        <v>0.26315789473684209</v>
      </c>
      <c r="T1576" t="str">
        <f>TEXT(Tableau1_2[[#This Row],[Date]],"mmmm")</f>
        <v>mars</v>
      </c>
    </row>
    <row r="1577" spans="1:20" x14ac:dyDescent="0.35">
      <c r="A1577" t="s">
        <v>2611</v>
      </c>
      <c r="B1577" s="2">
        <v>46198</v>
      </c>
      <c r="C1577" t="s">
        <v>818</v>
      </c>
      <c r="D1577" t="s">
        <v>784</v>
      </c>
      <c r="E1577" t="s">
        <v>41</v>
      </c>
      <c r="F1577" t="s">
        <v>42</v>
      </c>
      <c r="G1577" t="s">
        <v>34</v>
      </c>
      <c r="H1577" t="s">
        <v>35</v>
      </c>
      <c r="I1577">
        <v>7</v>
      </c>
      <c r="J1577">
        <v>55000</v>
      </c>
      <c r="K1577">
        <v>37800</v>
      </c>
      <c r="L1577" t="s">
        <v>50</v>
      </c>
      <c r="M1577" t="s">
        <v>37</v>
      </c>
      <c r="N1577" t="s">
        <v>23</v>
      </c>
      <c r="O1577" t="s">
        <v>24</v>
      </c>
      <c r="P1577">
        <f>Tableau1_2[[#This Row],[Quantité]]*Tableau1_2[[#This Row],[Prix_Unitaire]]</f>
        <v>385000</v>
      </c>
      <c r="Q1577">
        <f>Tableau1_2[[#This Row],[Quantité]]*Tableau1_2[[#This Row],[Coût_Unitaire]]</f>
        <v>264600</v>
      </c>
      <c r="R1577">
        <f>Tableau1_2[[#This Row],[CA]]-Tableau1_2[[#This Row],[Cout Total]]</f>
        <v>120400</v>
      </c>
      <c r="S1577" s="4">
        <f>Tableau1_2[[#This Row],[Marge]]/Tableau1_2[[#This Row],[CA]]</f>
        <v>0.31272727272727274</v>
      </c>
      <c r="T1577" t="str">
        <f>TEXT(Tableau1_2[[#This Row],[Date]],"mmmm")</f>
        <v>juin</v>
      </c>
    </row>
    <row r="1578" spans="1:20" x14ac:dyDescent="0.35">
      <c r="A1578" t="s">
        <v>2612</v>
      </c>
      <c r="B1578" s="2">
        <v>46207</v>
      </c>
      <c r="C1578" t="s">
        <v>2074</v>
      </c>
      <c r="D1578" t="s">
        <v>711</v>
      </c>
      <c r="E1578" t="s">
        <v>18</v>
      </c>
      <c r="F1578" t="s">
        <v>18</v>
      </c>
      <c r="G1578" t="s">
        <v>34</v>
      </c>
      <c r="H1578" t="s">
        <v>141</v>
      </c>
      <c r="I1578">
        <v>7</v>
      </c>
      <c r="J1578">
        <v>160000</v>
      </c>
      <c r="K1578">
        <v>123600</v>
      </c>
      <c r="L1578" t="s">
        <v>80</v>
      </c>
      <c r="M1578" t="s">
        <v>51</v>
      </c>
      <c r="N1578" t="s">
        <v>23</v>
      </c>
      <c r="O1578" t="s">
        <v>24</v>
      </c>
      <c r="P1578">
        <f>Tableau1_2[[#This Row],[Quantité]]*Tableau1_2[[#This Row],[Prix_Unitaire]]</f>
        <v>1120000</v>
      </c>
      <c r="Q1578">
        <f>Tableau1_2[[#This Row],[Quantité]]*Tableau1_2[[#This Row],[Coût_Unitaire]]</f>
        <v>865200</v>
      </c>
      <c r="R1578">
        <f>Tableau1_2[[#This Row],[CA]]-Tableau1_2[[#This Row],[Cout Total]]</f>
        <v>254800</v>
      </c>
      <c r="S1578" s="4">
        <f>Tableau1_2[[#This Row],[Marge]]/Tableau1_2[[#This Row],[CA]]</f>
        <v>0.22750000000000001</v>
      </c>
      <c r="T1578" t="str">
        <f>TEXT(Tableau1_2[[#This Row],[Date]],"mmmm")</f>
        <v>juillet</v>
      </c>
    </row>
    <row r="1579" spans="1:20" x14ac:dyDescent="0.35">
      <c r="A1579" t="s">
        <v>2613</v>
      </c>
      <c r="B1579" s="2">
        <v>46060</v>
      </c>
      <c r="C1579" t="s">
        <v>390</v>
      </c>
      <c r="D1579" t="s">
        <v>2245</v>
      </c>
      <c r="E1579" t="s">
        <v>18</v>
      </c>
      <c r="F1579" t="s">
        <v>18</v>
      </c>
      <c r="G1579" t="s">
        <v>34</v>
      </c>
      <c r="H1579" t="s">
        <v>86</v>
      </c>
      <c r="I1579">
        <v>1</v>
      </c>
      <c r="J1579">
        <v>180000</v>
      </c>
      <c r="K1579">
        <v>135000</v>
      </c>
      <c r="L1579" t="s">
        <v>36</v>
      </c>
      <c r="M1579" t="s">
        <v>37</v>
      </c>
      <c r="N1579" t="s">
        <v>23</v>
      </c>
      <c r="O1579" t="s">
        <v>91</v>
      </c>
      <c r="P1579">
        <f>Tableau1_2[[#This Row],[Quantité]]*Tableau1_2[[#This Row],[Prix_Unitaire]]</f>
        <v>180000</v>
      </c>
      <c r="Q1579">
        <f>Tableau1_2[[#This Row],[Quantité]]*Tableau1_2[[#This Row],[Coût_Unitaire]]</f>
        <v>135000</v>
      </c>
      <c r="R1579">
        <f>Tableau1_2[[#This Row],[CA]]-Tableau1_2[[#This Row],[Cout Total]]</f>
        <v>45000</v>
      </c>
      <c r="S1579" s="4">
        <f>Tableau1_2[[#This Row],[Marge]]/Tableau1_2[[#This Row],[CA]]</f>
        <v>0.25</v>
      </c>
      <c r="T1579" t="str">
        <f>TEXT(Tableau1_2[[#This Row],[Date]],"mmmm")</f>
        <v>février</v>
      </c>
    </row>
    <row r="1580" spans="1:20" x14ac:dyDescent="0.35">
      <c r="A1580" t="s">
        <v>2614</v>
      </c>
      <c r="B1580" s="2">
        <v>46087</v>
      </c>
      <c r="C1580" t="s">
        <v>539</v>
      </c>
      <c r="D1580" t="s">
        <v>2008</v>
      </c>
      <c r="E1580" t="s">
        <v>156</v>
      </c>
      <c r="F1580" t="s">
        <v>170</v>
      </c>
      <c r="G1580" t="s">
        <v>34</v>
      </c>
      <c r="H1580" t="s">
        <v>95</v>
      </c>
      <c r="I1580">
        <v>8</v>
      </c>
      <c r="J1580">
        <v>450000</v>
      </c>
      <c r="K1580">
        <v>370000</v>
      </c>
      <c r="L1580" t="s">
        <v>21</v>
      </c>
      <c r="M1580" t="s">
        <v>51</v>
      </c>
      <c r="N1580" t="s">
        <v>52</v>
      </c>
      <c r="O1580" t="s">
        <v>24</v>
      </c>
      <c r="P1580">
        <f>Tableau1_2[[#This Row],[Quantité]]*Tableau1_2[[#This Row],[Prix_Unitaire]]</f>
        <v>3600000</v>
      </c>
      <c r="Q1580">
        <f>Tableau1_2[[#This Row],[Quantité]]*Tableau1_2[[#This Row],[Coût_Unitaire]]</f>
        <v>2960000</v>
      </c>
      <c r="R1580">
        <f>Tableau1_2[[#This Row],[CA]]-Tableau1_2[[#This Row],[Cout Total]]</f>
        <v>640000</v>
      </c>
      <c r="S1580" s="4">
        <f>Tableau1_2[[#This Row],[Marge]]/Tableau1_2[[#This Row],[CA]]</f>
        <v>0.17777777777777778</v>
      </c>
      <c r="T1580" t="str">
        <f>TEXT(Tableau1_2[[#This Row],[Date]],"mmmm")</f>
        <v>mars</v>
      </c>
    </row>
    <row r="1581" spans="1:20" x14ac:dyDescent="0.35">
      <c r="A1581" t="s">
        <v>2615</v>
      </c>
      <c r="B1581" s="2">
        <v>46218</v>
      </c>
      <c r="C1581" t="s">
        <v>136</v>
      </c>
      <c r="D1581" t="s">
        <v>1343</v>
      </c>
      <c r="E1581" t="s">
        <v>156</v>
      </c>
      <c r="F1581" t="s">
        <v>170</v>
      </c>
      <c r="G1581" t="s">
        <v>19</v>
      </c>
      <c r="H1581" t="s">
        <v>112</v>
      </c>
      <c r="I1581">
        <v>9</v>
      </c>
      <c r="J1581">
        <v>89200</v>
      </c>
      <c r="K1581">
        <v>63900</v>
      </c>
      <c r="L1581" t="s">
        <v>96</v>
      </c>
      <c r="M1581" t="s">
        <v>31</v>
      </c>
      <c r="N1581" t="s">
        <v>52</v>
      </c>
      <c r="O1581" t="s">
        <v>24</v>
      </c>
      <c r="P1581">
        <f>Tableau1_2[[#This Row],[Quantité]]*Tableau1_2[[#This Row],[Prix_Unitaire]]</f>
        <v>802800</v>
      </c>
      <c r="Q1581">
        <f>Tableau1_2[[#This Row],[Quantité]]*Tableau1_2[[#This Row],[Coût_Unitaire]]</f>
        <v>575100</v>
      </c>
      <c r="R1581">
        <f>Tableau1_2[[#This Row],[CA]]-Tableau1_2[[#This Row],[Cout Total]]</f>
        <v>227700</v>
      </c>
      <c r="S1581" s="4">
        <f>Tableau1_2[[#This Row],[Marge]]/Tableau1_2[[#This Row],[CA]]</f>
        <v>0.28363228699551568</v>
      </c>
      <c r="T1581" t="str">
        <f>TEXT(Tableau1_2[[#This Row],[Date]],"mmmm")</f>
        <v>juillet</v>
      </c>
    </row>
    <row r="1582" spans="1:20" x14ac:dyDescent="0.35">
      <c r="A1582" t="s">
        <v>2616</v>
      </c>
      <c r="B1582" s="2">
        <v>46130</v>
      </c>
      <c r="C1582" t="s">
        <v>548</v>
      </c>
      <c r="D1582" t="s">
        <v>781</v>
      </c>
      <c r="E1582" t="s">
        <v>18</v>
      </c>
      <c r="F1582" t="s">
        <v>18</v>
      </c>
      <c r="G1582" t="s">
        <v>19</v>
      </c>
      <c r="H1582" t="s">
        <v>61</v>
      </c>
      <c r="I1582">
        <v>3</v>
      </c>
      <c r="J1582">
        <v>220000</v>
      </c>
      <c r="K1582">
        <v>160000</v>
      </c>
      <c r="L1582" t="s">
        <v>80</v>
      </c>
      <c r="M1582" t="s">
        <v>51</v>
      </c>
      <c r="N1582" t="s">
        <v>87</v>
      </c>
      <c r="O1582" t="s">
        <v>24</v>
      </c>
      <c r="P1582">
        <f>Tableau1_2[[#This Row],[Quantité]]*Tableau1_2[[#This Row],[Prix_Unitaire]]</f>
        <v>660000</v>
      </c>
      <c r="Q1582">
        <f>Tableau1_2[[#This Row],[Quantité]]*Tableau1_2[[#This Row],[Coût_Unitaire]]</f>
        <v>480000</v>
      </c>
      <c r="R1582">
        <f>Tableau1_2[[#This Row],[CA]]-Tableau1_2[[#This Row],[Cout Total]]</f>
        <v>180000</v>
      </c>
      <c r="S1582" s="4">
        <f>Tableau1_2[[#This Row],[Marge]]/Tableau1_2[[#This Row],[CA]]</f>
        <v>0.27272727272727271</v>
      </c>
      <c r="T1582" t="str">
        <f>TEXT(Tableau1_2[[#This Row],[Date]],"mmmm")</f>
        <v>avril</v>
      </c>
    </row>
    <row r="1583" spans="1:20" x14ac:dyDescent="0.35">
      <c r="A1583" t="s">
        <v>2617</v>
      </c>
      <c r="B1583" s="2">
        <v>46280</v>
      </c>
      <c r="C1583" t="s">
        <v>154</v>
      </c>
      <c r="D1583" t="s">
        <v>738</v>
      </c>
      <c r="E1583" t="s">
        <v>41</v>
      </c>
      <c r="F1583" t="s">
        <v>42</v>
      </c>
      <c r="G1583" t="s">
        <v>19</v>
      </c>
      <c r="H1583" t="s">
        <v>112</v>
      </c>
      <c r="I1583">
        <v>2</v>
      </c>
      <c r="J1583">
        <v>89200</v>
      </c>
      <c r="K1583">
        <v>60100</v>
      </c>
      <c r="L1583" t="s">
        <v>96</v>
      </c>
      <c r="M1583" t="s">
        <v>22</v>
      </c>
      <c r="N1583" t="s">
        <v>52</v>
      </c>
      <c r="O1583" t="s">
        <v>24</v>
      </c>
      <c r="P1583">
        <f>Tableau1_2[[#This Row],[Quantité]]*Tableau1_2[[#This Row],[Prix_Unitaire]]</f>
        <v>178400</v>
      </c>
      <c r="Q1583">
        <f>Tableau1_2[[#This Row],[Quantité]]*Tableau1_2[[#This Row],[Coût_Unitaire]]</f>
        <v>120200</v>
      </c>
      <c r="R1583">
        <f>Tableau1_2[[#This Row],[CA]]-Tableau1_2[[#This Row],[Cout Total]]</f>
        <v>58200</v>
      </c>
      <c r="S1583" s="4">
        <f>Tableau1_2[[#This Row],[Marge]]/Tableau1_2[[#This Row],[CA]]</f>
        <v>0.32623318385650224</v>
      </c>
      <c r="T1583" t="str">
        <f>TEXT(Tableau1_2[[#This Row],[Date]],"mmmm")</f>
        <v>septembre</v>
      </c>
    </row>
    <row r="1584" spans="1:20" x14ac:dyDescent="0.35">
      <c r="A1584" t="s">
        <v>2618</v>
      </c>
      <c r="B1584" s="2">
        <v>46320</v>
      </c>
      <c r="C1584" t="s">
        <v>1887</v>
      </c>
      <c r="D1584" t="s">
        <v>1149</v>
      </c>
      <c r="E1584" t="s">
        <v>190</v>
      </c>
      <c r="F1584" t="s">
        <v>191</v>
      </c>
      <c r="G1584" t="s">
        <v>34</v>
      </c>
      <c r="H1584" t="s">
        <v>86</v>
      </c>
      <c r="I1584">
        <v>3</v>
      </c>
      <c r="J1584">
        <v>180000</v>
      </c>
      <c r="K1584">
        <v>131000</v>
      </c>
      <c r="L1584" t="s">
        <v>96</v>
      </c>
      <c r="M1584" t="s">
        <v>51</v>
      </c>
      <c r="N1584" t="s">
        <v>23</v>
      </c>
      <c r="O1584" t="s">
        <v>24</v>
      </c>
      <c r="P1584">
        <f>Tableau1_2[[#This Row],[Quantité]]*Tableau1_2[[#This Row],[Prix_Unitaire]]</f>
        <v>540000</v>
      </c>
      <c r="Q1584">
        <f>Tableau1_2[[#This Row],[Quantité]]*Tableau1_2[[#This Row],[Coût_Unitaire]]</f>
        <v>393000</v>
      </c>
      <c r="R1584">
        <f>Tableau1_2[[#This Row],[CA]]-Tableau1_2[[#This Row],[Cout Total]]</f>
        <v>147000</v>
      </c>
      <c r="S1584" s="4">
        <f>Tableau1_2[[#This Row],[Marge]]/Tableau1_2[[#This Row],[CA]]</f>
        <v>0.2722222222222222</v>
      </c>
      <c r="T1584" t="str">
        <f>TEXT(Tableau1_2[[#This Row],[Date]],"mmmm")</f>
        <v>octobre</v>
      </c>
    </row>
    <row r="1585" spans="1:20" x14ac:dyDescent="0.35">
      <c r="A1585" t="s">
        <v>2619</v>
      </c>
      <c r="B1585" s="2">
        <v>46234</v>
      </c>
      <c r="C1585" t="s">
        <v>2620</v>
      </c>
      <c r="D1585" t="s">
        <v>636</v>
      </c>
      <c r="E1585" t="s">
        <v>70</v>
      </c>
      <c r="F1585" t="s">
        <v>71</v>
      </c>
      <c r="G1585" t="s">
        <v>43</v>
      </c>
      <c r="H1585" t="s">
        <v>44</v>
      </c>
      <c r="I1585">
        <v>7</v>
      </c>
      <c r="J1585">
        <v>15000</v>
      </c>
      <c r="K1585">
        <v>9200</v>
      </c>
      <c r="L1585" t="s">
        <v>80</v>
      </c>
      <c r="M1585" t="s">
        <v>31</v>
      </c>
      <c r="N1585" t="s">
        <v>23</v>
      </c>
      <c r="O1585" t="s">
        <v>24</v>
      </c>
      <c r="P1585">
        <f>Tableau1_2[[#This Row],[Quantité]]*Tableau1_2[[#This Row],[Prix_Unitaire]]</f>
        <v>105000</v>
      </c>
      <c r="Q1585">
        <f>Tableau1_2[[#This Row],[Quantité]]*Tableau1_2[[#This Row],[Coût_Unitaire]]</f>
        <v>64400</v>
      </c>
      <c r="R1585">
        <f>Tableau1_2[[#This Row],[CA]]-Tableau1_2[[#This Row],[Cout Total]]</f>
        <v>40600</v>
      </c>
      <c r="S1585" s="4">
        <f>Tableau1_2[[#This Row],[Marge]]/Tableau1_2[[#This Row],[CA]]</f>
        <v>0.38666666666666666</v>
      </c>
      <c r="T1585" t="str">
        <f>TEXT(Tableau1_2[[#This Row],[Date]],"mmmm")</f>
        <v>juillet</v>
      </c>
    </row>
    <row r="1586" spans="1:20" x14ac:dyDescent="0.35">
      <c r="A1586" t="s">
        <v>2621</v>
      </c>
      <c r="B1586" s="2">
        <v>46046</v>
      </c>
      <c r="C1586" t="s">
        <v>2622</v>
      </c>
      <c r="D1586" t="s">
        <v>616</v>
      </c>
      <c r="E1586" t="s">
        <v>18</v>
      </c>
      <c r="F1586" t="s">
        <v>18</v>
      </c>
      <c r="G1586" t="s">
        <v>34</v>
      </c>
      <c r="H1586" t="s">
        <v>95</v>
      </c>
      <c r="I1586">
        <v>4</v>
      </c>
      <c r="J1586">
        <v>427500</v>
      </c>
      <c r="K1586">
        <v>381100</v>
      </c>
      <c r="L1586" t="s">
        <v>36</v>
      </c>
      <c r="M1586" t="s">
        <v>51</v>
      </c>
      <c r="N1586" t="s">
        <v>87</v>
      </c>
      <c r="O1586" t="s">
        <v>45</v>
      </c>
      <c r="P1586">
        <f>Tableau1_2[[#This Row],[Quantité]]*Tableau1_2[[#This Row],[Prix_Unitaire]]</f>
        <v>1710000</v>
      </c>
      <c r="Q1586">
        <f>Tableau1_2[[#This Row],[Quantité]]*Tableau1_2[[#This Row],[Coût_Unitaire]]</f>
        <v>1524400</v>
      </c>
      <c r="R1586">
        <f>Tableau1_2[[#This Row],[CA]]-Tableau1_2[[#This Row],[Cout Total]]</f>
        <v>185600</v>
      </c>
      <c r="S1586" s="4">
        <f>Tableau1_2[[#This Row],[Marge]]/Tableau1_2[[#This Row],[CA]]</f>
        <v>0.10853801169590643</v>
      </c>
      <c r="T1586" t="str">
        <f>TEXT(Tableau1_2[[#This Row],[Date]],"mmmm")</f>
        <v>janvier</v>
      </c>
    </row>
    <row r="1587" spans="1:20" x14ac:dyDescent="0.35">
      <c r="A1587" t="s">
        <v>2623</v>
      </c>
      <c r="B1587" s="2">
        <v>46094</v>
      </c>
      <c r="C1587" t="s">
        <v>1642</v>
      </c>
      <c r="D1587" t="s">
        <v>1077</v>
      </c>
      <c r="E1587" t="s">
        <v>84</v>
      </c>
      <c r="F1587" t="s">
        <v>85</v>
      </c>
      <c r="G1587" t="s">
        <v>19</v>
      </c>
      <c r="H1587" t="s">
        <v>20</v>
      </c>
      <c r="I1587">
        <v>8</v>
      </c>
      <c r="J1587">
        <v>65000</v>
      </c>
      <c r="K1587">
        <v>46400</v>
      </c>
      <c r="L1587" t="s">
        <v>50</v>
      </c>
      <c r="M1587" t="s">
        <v>37</v>
      </c>
      <c r="N1587" t="s">
        <v>52</v>
      </c>
      <c r="O1587" t="s">
        <v>24</v>
      </c>
      <c r="P1587">
        <f>Tableau1_2[[#This Row],[Quantité]]*Tableau1_2[[#This Row],[Prix_Unitaire]]</f>
        <v>520000</v>
      </c>
      <c r="Q1587">
        <f>Tableau1_2[[#This Row],[Quantité]]*Tableau1_2[[#This Row],[Coût_Unitaire]]</f>
        <v>371200</v>
      </c>
      <c r="R1587">
        <f>Tableau1_2[[#This Row],[CA]]-Tableau1_2[[#This Row],[Cout Total]]</f>
        <v>148800</v>
      </c>
      <c r="S1587" s="4">
        <f>Tableau1_2[[#This Row],[Marge]]/Tableau1_2[[#This Row],[CA]]</f>
        <v>0.28615384615384615</v>
      </c>
      <c r="T1587" t="str">
        <f>TEXT(Tableau1_2[[#This Row],[Date]],"mmmm")</f>
        <v>mars</v>
      </c>
    </row>
    <row r="1588" spans="1:20" x14ac:dyDescent="0.35">
      <c r="A1588" t="s">
        <v>2624</v>
      </c>
      <c r="B1588" s="2">
        <v>46238</v>
      </c>
      <c r="C1588" t="s">
        <v>626</v>
      </c>
      <c r="D1588" t="s">
        <v>2625</v>
      </c>
      <c r="E1588" t="s">
        <v>41</v>
      </c>
      <c r="F1588" t="s">
        <v>42</v>
      </c>
      <c r="G1588" t="s">
        <v>28</v>
      </c>
      <c r="H1588" t="s">
        <v>72</v>
      </c>
      <c r="I1588">
        <v>6</v>
      </c>
      <c r="J1588">
        <v>10000</v>
      </c>
      <c r="K1588">
        <v>6000</v>
      </c>
      <c r="L1588" t="s">
        <v>21</v>
      </c>
      <c r="M1588" t="s">
        <v>37</v>
      </c>
      <c r="N1588" t="s">
        <v>87</v>
      </c>
      <c r="O1588" t="s">
        <v>24</v>
      </c>
      <c r="P1588">
        <f>Tableau1_2[[#This Row],[Quantité]]*Tableau1_2[[#This Row],[Prix_Unitaire]]</f>
        <v>60000</v>
      </c>
      <c r="Q1588">
        <f>Tableau1_2[[#This Row],[Quantité]]*Tableau1_2[[#This Row],[Coût_Unitaire]]</f>
        <v>36000</v>
      </c>
      <c r="R1588">
        <f>Tableau1_2[[#This Row],[CA]]-Tableau1_2[[#This Row],[Cout Total]]</f>
        <v>24000</v>
      </c>
      <c r="S1588" s="4">
        <f>Tableau1_2[[#This Row],[Marge]]/Tableau1_2[[#This Row],[CA]]</f>
        <v>0.4</v>
      </c>
      <c r="T1588" t="str">
        <f>TEXT(Tableau1_2[[#This Row],[Date]],"mmmm")</f>
        <v>août</v>
      </c>
    </row>
    <row r="1589" spans="1:20" x14ac:dyDescent="0.35">
      <c r="A1589" t="s">
        <v>2626</v>
      </c>
      <c r="B1589" s="2">
        <v>46147</v>
      </c>
      <c r="C1589" t="s">
        <v>2627</v>
      </c>
      <c r="D1589" t="s">
        <v>1604</v>
      </c>
      <c r="E1589" t="s">
        <v>18</v>
      </c>
      <c r="F1589" t="s">
        <v>18</v>
      </c>
      <c r="G1589" t="s">
        <v>43</v>
      </c>
      <c r="H1589" t="s">
        <v>49</v>
      </c>
      <c r="I1589">
        <v>4</v>
      </c>
      <c r="J1589">
        <v>9000</v>
      </c>
      <c r="K1589">
        <v>5800</v>
      </c>
      <c r="L1589" t="s">
        <v>73</v>
      </c>
      <c r="M1589" t="s">
        <v>37</v>
      </c>
      <c r="N1589" t="s">
        <v>23</v>
      </c>
      <c r="O1589" t="s">
        <v>24</v>
      </c>
      <c r="P1589">
        <f>Tableau1_2[[#This Row],[Quantité]]*Tableau1_2[[#This Row],[Prix_Unitaire]]</f>
        <v>36000</v>
      </c>
      <c r="Q1589">
        <f>Tableau1_2[[#This Row],[Quantité]]*Tableau1_2[[#This Row],[Coût_Unitaire]]</f>
        <v>23200</v>
      </c>
      <c r="R1589">
        <f>Tableau1_2[[#This Row],[CA]]-Tableau1_2[[#This Row],[Cout Total]]</f>
        <v>12800</v>
      </c>
      <c r="S1589" s="4">
        <f>Tableau1_2[[#This Row],[Marge]]/Tableau1_2[[#This Row],[CA]]</f>
        <v>0.35555555555555557</v>
      </c>
      <c r="T1589" t="str">
        <f>TEXT(Tableau1_2[[#This Row],[Date]],"mmmm")</f>
        <v>mai</v>
      </c>
    </row>
    <row r="1590" spans="1:20" x14ac:dyDescent="0.35">
      <c r="A1590" t="s">
        <v>2628</v>
      </c>
      <c r="B1590" s="2">
        <v>46189</v>
      </c>
      <c r="C1590" t="s">
        <v>240</v>
      </c>
      <c r="D1590" t="s">
        <v>904</v>
      </c>
      <c r="E1590" t="s">
        <v>190</v>
      </c>
      <c r="F1590" t="s">
        <v>191</v>
      </c>
      <c r="G1590" t="s">
        <v>34</v>
      </c>
      <c r="H1590" t="s">
        <v>95</v>
      </c>
      <c r="I1590">
        <v>7</v>
      </c>
      <c r="J1590">
        <v>450000</v>
      </c>
      <c r="K1590">
        <v>381100</v>
      </c>
      <c r="L1590" t="s">
        <v>50</v>
      </c>
      <c r="M1590" t="s">
        <v>37</v>
      </c>
      <c r="N1590" t="s">
        <v>87</v>
      </c>
      <c r="O1590" t="s">
        <v>24</v>
      </c>
      <c r="P1590">
        <f>Tableau1_2[[#This Row],[Quantité]]*Tableau1_2[[#This Row],[Prix_Unitaire]]</f>
        <v>3150000</v>
      </c>
      <c r="Q1590">
        <f>Tableau1_2[[#This Row],[Quantité]]*Tableau1_2[[#This Row],[Coût_Unitaire]]</f>
        <v>2667700</v>
      </c>
      <c r="R1590">
        <f>Tableau1_2[[#This Row],[CA]]-Tableau1_2[[#This Row],[Cout Total]]</f>
        <v>482300</v>
      </c>
      <c r="S1590" s="4">
        <f>Tableau1_2[[#This Row],[Marge]]/Tableau1_2[[#This Row],[CA]]</f>
        <v>0.15311111111111111</v>
      </c>
      <c r="T1590" t="str">
        <f>TEXT(Tableau1_2[[#This Row],[Date]],"mmmm")</f>
        <v>juin</v>
      </c>
    </row>
    <row r="1591" spans="1:20" x14ac:dyDescent="0.35">
      <c r="A1591" t="s">
        <v>2629</v>
      </c>
      <c r="B1591" s="2">
        <v>46183</v>
      </c>
      <c r="C1591" t="s">
        <v>1788</v>
      </c>
      <c r="D1591" t="s">
        <v>105</v>
      </c>
      <c r="E1591" t="s">
        <v>84</v>
      </c>
      <c r="F1591" t="s">
        <v>85</v>
      </c>
      <c r="G1591" t="s">
        <v>43</v>
      </c>
      <c r="H1591" t="s">
        <v>177</v>
      </c>
      <c r="I1591">
        <v>8</v>
      </c>
      <c r="J1591">
        <v>18000</v>
      </c>
      <c r="K1591">
        <v>12100</v>
      </c>
      <c r="L1591" t="s">
        <v>50</v>
      </c>
      <c r="M1591" t="s">
        <v>51</v>
      </c>
      <c r="N1591" t="s">
        <v>87</v>
      </c>
      <c r="O1591" t="s">
        <v>91</v>
      </c>
      <c r="P1591">
        <f>Tableau1_2[[#This Row],[Quantité]]*Tableau1_2[[#This Row],[Prix_Unitaire]]</f>
        <v>144000</v>
      </c>
      <c r="Q1591">
        <f>Tableau1_2[[#This Row],[Quantité]]*Tableau1_2[[#This Row],[Coût_Unitaire]]</f>
        <v>96800</v>
      </c>
      <c r="R1591">
        <f>Tableau1_2[[#This Row],[CA]]-Tableau1_2[[#This Row],[Cout Total]]</f>
        <v>47200</v>
      </c>
      <c r="S1591" s="4">
        <f>Tableau1_2[[#This Row],[Marge]]/Tableau1_2[[#This Row],[CA]]</f>
        <v>0.32777777777777778</v>
      </c>
      <c r="T1591" t="str">
        <f>TEXT(Tableau1_2[[#This Row],[Date]],"mmmm")</f>
        <v>juin</v>
      </c>
    </row>
    <row r="1592" spans="1:20" x14ac:dyDescent="0.35">
      <c r="A1592" t="s">
        <v>2630</v>
      </c>
      <c r="B1592" s="2">
        <v>46354</v>
      </c>
      <c r="C1592" t="s">
        <v>518</v>
      </c>
      <c r="D1592" t="s">
        <v>2631</v>
      </c>
      <c r="E1592" t="s">
        <v>18</v>
      </c>
      <c r="F1592" t="s">
        <v>18</v>
      </c>
      <c r="G1592" t="s">
        <v>19</v>
      </c>
      <c r="H1592" t="s">
        <v>166</v>
      </c>
      <c r="I1592">
        <v>10</v>
      </c>
      <c r="J1592">
        <v>140000</v>
      </c>
      <c r="K1592">
        <v>103000</v>
      </c>
      <c r="L1592" t="s">
        <v>21</v>
      </c>
      <c r="M1592" t="s">
        <v>51</v>
      </c>
      <c r="N1592" t="s">
        <v>23</v>
      </c>
      <c r="O1592" t="s">
        <v>24</v>
      </c>
      <c r="P1592">
        <f>Tableau1_2[[#This Row],[Quantité]]*Tableau1_2[[#This Row],[Prix_Unitaire]]</f>
        <v>1400000</v>
      </c>
      <c r="Q1592">
        <f>Tableau1_2[[#This Row],[Quantité]]*Tableau1_2[[#This Row],[Coût_Unitaire]]</f>
        <v>1030000</v>
      </c>
      <c r="R1592">
        <f>Tableau1_2[[#This Row],[CA]]-Tableau1_2[[#This Row],[Cout Total]]</f>
        <v>370000</v>
      </c>
      <c r="S1592" s="4">
        <f>Tableau1_2[[#This Row],[Marge]]/Tableau1_2[[#This Row],[CA]]</f>
        <v>0.26428571428571429</v>
      </c>
      <c r="T1592" t="str">
        <f>TEXT(Tableau1_2[[#This Row],[Date]],"mmmm")</f>
        <v>novembre</v>
      </c>
    </row>
    <row r="1593" spans="1:20" x14ac:dyDescent="0.35">
      <c r="A1593" t="s">
        <v>2632</v>
      </c>
      <c r="B1593" s="2">
        <v>46219</v>
      </c>
      <c r="C1593" t="s">
        <v>976</v>
      </c>
      <c r="D1593" t="s">
        <v>184</v>
      </c>
      <c r="E1593" t="s">
        <v>84</v>
      </c>
      <c r="F1593" t="s">
        <v>85</v>
      </c>
      <c r="G1593" t="s">
        <v>34</v>
      </c>
      <c r="H1593" t="s">
        <v>141</v>
      </c>
      <c r="I1593">
        <v>10</v>
      </c>
      <c r="J1593">
        <v>160000</v>
      </c>
      <c r="K1593">
        <v>123600</v>
      </c>
      <c r="L1593" t="s">
        <v>21</v>
      </c>
      <c r="M1593" t="s">
        <v>22</v>
      </c>
      <c r="N1593" t="s">
        <v>52</v>
      </c>
      <c r="O1593" t="s">
        <v>24</v>
      </c>
      <c r="P1593">
        <f>Tableau1_2[[#This Row],[Quantité]]*Tableau1_2[[#This Row],[Prix_Unitaire]]</f>
        <v>1600000</v>
      </c>
      <c r="Q1593">
        <f>Tableau1_2[[#This Row],[Quantité]]*Tableau1_2[[#This Row],[Coût_Unitaire]]</f>
        <v>1236000</v>
      </c>
      <c r="R1593">
        <f>Tableau1_2[[#This Row],[CA]]-Tableau1_2[[#This Row],[Cout Total]]</f>
        <v>364000</v>
      </c>
      <c r="S1593" s="4">
        <f>Tableau1_2[[#This Row],[Marge]]/Tableau1_2[[#This Row],[CA]]</f>
        <v>0.22750000000000001</v>
      </c>
      <c r="T1593" t="str">
        <f>TEXT(Tableau1_2[[#This Row],[Date]],"mmmm")</f>
        <v>juillet</v>
      </c>
    </row>
    <row r="1594" spans="1:20" x14ac:dyDescent="0.35">
      <c r="A1594" t="s">
        <v>2633</v>
      </c>
      <c r="B1594" s="2">
        <v>46239</v>
      </c>
      <c r="C1594" t="s">
        <v>588</v>
      </c>
      <c r="D1594" t="s">
        <v>1839</v>
      </c>
      <c r="E1594" t="s">
        <v>84</v>
      </c>
      <c r="F1594" t="s">
        <v>85</v>
      </c>
      <c r="G1594" t="s">
        <v>19</v>
      </c>
      <c r="H1594" t="s">
        <v>20</v>
      </c>
      <c r="I1594">
        <v>1</v>
      </c>
      <c r="J1594">
        <v>65000</v>
      </c>
      <c r="K1594">
        <v>46400</v>
      </c>
      <c r="L1594" t="s">
        <v>30</v>
      </c>
      <c r="M1594" t="s">
        <v>51</v>
      </c>
      <c r="N1594" t="s">
        <v>52</v>
      </c>
      <c r="O1594" t="s">
        <v>24</v>
      </c>
      <c r="P1594">
        <f>Tableau1_2[[#This Row],[Quantité]]*Tableau1_2[[#This Row],[Prix_Unitaire]]</f>
        <v>65000</v>
      </c>
      <c r="Q1594">
        <f>Tableau1_2[[#This Row],[Quantité]]*Tableau1_2[[#This Row],[Coût_Unitaire]]</f>
        <v>46400</v>
      </c>
      <c r="R1594">
        <f>Tableau1_2[[#This Row],[CA]]-Tableau1_2[[#This Row],[Cout Total]]</f>
        <v>18600</v>
      </c>
      <c r="S1594" s="4">
        <f>Tableau1_2[[#This Row],[Marge]]/Tableau1_2[[#This Row],[CA]]</f>
        <v>0.28615384615384615</v>
      </c>
      <c r="T1594" t="str">
        <f>TEXT(Tableau1_2[[#This Row],[Date]],"mmmm")</f>
        <v>août</v>
      </c>
    </row>
    <row r="1595" spans="1:20" x14ac:dyDescent="0.35">
      <c r="A1595" t="s">
        <v>2634</v>
      </c>
      <c r="B1595" s="2">
        <v>46084</v>
      </c>
      <c r="C1595" t="s">
        <v>827</v>
      </c>
      <c r="D1595" t="s">
        <v>755</v>
      </c>
      <c r="E1595" t="s">
        <v>18</v>
      </c>
      <c r="F1595" t="s">
        <v>18</v>
      </c>
      <c r="G1595" t="s">
        <v>34</v>
      </c>
      <c r="H1595" t="s">
        <v>95</v>
      </c>
      <c r="I1595">
        <v>7</v>
      </c>
      <c r="J1595">
        <v>427500</v>
      </c>
      <c r="K1595">
        <v>370000</v>
      </c>
      <c r="L1595" t="s">
        <v>73</v>
      </c>
      <c r="M1595" t="s">
        <v>37</v>
      </c>
      <c r="N1595" t="s">
        <v>52</v>
      </c>
      <c r="O1595" t="s">
        <v>24</v>
      </c>
      <c r="P1595">
        <f>Tableau1_2[[#This Row],[Quantité]]*Tableau1_2[[#This Row],[Prix_Unitaire]]</f>
        <v>2992500</v>
      </c>
      <c r="Q1595">
        <f>Tableau1_2[[#This Row],[Quantité]]*Tableau1_2[[#This Row],[Coût_Unitaire]]</f>
        <v>2590000</v>
      </c>
      <c r="R1595">
        <f>Tableau1_2[[#This Row],[CA]]-Tableau1_2[[#This Row],[Cout Total]]</f>
        <v>402500</v>
      </c>
      <c r="S1595" s="4">
        <f>Tableau1_2[[#This Row],[Marge]]/Tableau1_2[[#This Row],[CA]]</f>
        <v>0.13450292397660818</v>
      </c>
      <c r="T1595" t="str">
        <f>TEXT(Tableau1_2[[#This Row],[Date]],"mmmm")</f>
        <v>mars</v>
      </c>
    </row>
    <row r="1596" spans="1:20" x14ac:dyDescent="0.35">
      <c r="A1596" t="s">
        <v>2635</v>
      </c>
      <c r="B1596" s="2">
        <v>46039</v>
      </c>
      <c r="C1596" t="s">
        <v>353</v>
      </c>
      <c r="D1596" t="s">
        <v>1021</v>
      </c>
      <c r="E1596" t="s">
        <v>18</v>
      </c>
      <c r="F1596" t="s">
        <v>18</v>
      </c>
      <c r="G1596" t="s">
        <v>28</v>
      </c>
      <c r="H1596" t="s">
        <v>248</v>
      </c>
      <c r="I1596">
        <v>7</v>
      </c>
      <c r="J1596">
        <v>23800</v>
      </c>
      <c r="K1596">
        <v>15500</v>
      </c>
      <c r="L1596" t="s">
        <v>36</v>
      </c>
      <c r="M1596" t="s">
        <v>51</v>
      </c>
      <c r="N1596" t="s">
        <v>52</v>
      </c>
      <c r="O1596" t="s">
        <v>24</v>
      </c>
      <c r="P1596">
        <f>Tableau1_2[[#This Row],[Quantité]]*Tableau1_2[[#This Row],[Prix_Unitaire]]</f>
        <v>166600</v>
      </c>
      <c r="Q1596">
        <f>Tableau1_2[[#This Row],[Quantité]]*Tableau1_2[[#This Row],[Coût_Unitaire]]</f>
        <v>108500</v>
      </c>
      <c r="R1596">
        <f>Tableau1_2[[#This Row],[CA]]-Tableau1_2[[#This Row],[Cout Total]]</f>
        <v>58100</v>
      </c>
      <c r="S1596" s="4">
        <f>Tableau1_2[[#This Row],[Marge]]/Tableau1_2[[#This Row],[CA]]</f>
        <v>0.34873949579831931</v>
      </c>
      <c r="T1596" t="str">
        <f>TEXT(Tableau1_2[[#This Row],[Date]],"mmmm")</f>
        <v>janvier</v>
      </c>
    </row>
    <row r="1597" spans="1:20" x14ac:dyDescent="0.35">
      <c r="A1597" t="s">
        <v>2636</v>
      </c>
      <c r="B1597" s="2">
        <v>46069</v>
      </c>
      <c r="C1597" t="s">
        <v>838</v>
      </c>
      <c r="D1597" t="s">
        <v>1598</v>
      </c>
      <c r="E1597" t="s">
        <v>156</v>
      </c>
      <c r="F1597" t="s">
        <v>170</v>
      </c>
      <c r="G1597" t="s">
        <v>19</v>
      </c>
      <c r="H1597" t="s">
        <v>166</v>
      </c>
      <c r="I1597">
        <v>3</v>
      </c>
      <c r="J1597">
        <v>140000</v>
      </c>
      <c r="K1597">
        <v>97000</v>
      </c>
      <c r="L1597" t="s">
        <v>30</v>
      </c>
      <c r="M1597" t="s">
        <v>37</v>
      </c>
      <c r="N1597" t="s">
        <v>52</v>
      </c>
      <c r="O1597" t="s">
        <v>24</v>
      </c>
      <c r="P1597">
        <f>Tableau1_2[[#This Row],[Quantité]]*Tableau1_2[[#This Row],[Prix_Unitaire]]</f>
        <v>420000</v>
      </c>
      <c r="Q1597">
        <f>Tableau1_2[[#This Row],[Quantité]]*Tableau1_2[[#This Row],[Coût_Unitaire]]</f>
        <v>291000</v>
      </c>
      <c r="R1597">
        <f>Tableau1_2[[#This Row],[CA]]-Tableau1_2[[#This Row],[Cout Total]]</f>
        <v>129000</v>
      </c>
      <c r="S1597" s="4">
        <f>Tableau1_2[[#This Row],[Marge]]/Tableau1_2[[#This Row],[CA]]</f>
        <v>0.30714285714285716</v>
      </c>
      <c r="T1597" t="str">
        <f>TEXT(Tableau1_2[[#This Row],[Date]],"mmmm")</f>
        <v>février</v>
      </c>
    </row>
    <row r="1598" spans="1:20" x14ac:dyDescent="0.35">
      <c r="A1598" t="s">
        <v>2637</v>
      </c>
      <c r="B1598" s="2">
        <v>46195</v>
      </c>
      <c r="C1598" t="s">
        <v>1481</v>
      </c>
      <c r="D1598" t="s">
        <v>1859</v>
      </c>
      <c r="E1598" t="s">
        <v>56</v>
      </c>
      <c r="F1598" t="s">
        <v>57</v>
      </c>
      <c r="G1598" t="s">
        <v>34</v>
      </c>
      <c r="H1598" t="s">
        <v>158</v>
      </c>
      <c r="I1598">
        <v>4</v>
      </c>
      <c r="J1598">
        <v>99800</v>
      </c>
      <c r="K1598">
        <v>67900</v>
      </c>
      <c r="L1598" t="s">
        <v>73</v>
      </c>
      <c r="M1598" t="s">
        <v>31</v>
      </c>
      <c r="N1598" t="s">
        <v>23</v>
      </c>
      <c r="O1598" t="s">
        <v>24</v>
      </c>
      <c r="P1598">
        <f>Tableau1_2[[#This Row],[Quantité]]*Tableau1_2[[#This Row],[Prix_Unitaire]]</f>
        <v>399200</v>
      </c>
      <c r="Q1598">
        <f>Tableau1_2[[#This Row],[Quantité]]*Tableau1_2[[#This Row],[Coût_Unitaire]]</f>
        <v>271600</v>
      </c>
      <c r="R1598">
        <f>Tableau1_2[[#This Row],[CA]]-Tableau1_2[[#This Row],[Cout Total]]</f>
        <v>127600</v>
      </c>
      <c r="S1598" s="4">
        <f>Tableau1_2[[#This Row],[Marge]]/Tableau1_2[[#This Row],[CA]]</f>
        <v>0.31963927855711421</v>
      </c>
      <c r="T1598" t="str">
        <f>TEXT(Tableau1_2[[#This Row],[Date]],"mmmm")</f>
        <v>juin</v>
      </c>
    </row>
    <row r="1599" spans="1:20" x14ac:dyDescent="0.35">
      <c r="A1599" t="s">
        <v>2638</v>
      </c>
      <c r="B1599" s="2">
        <v>46173</v>
      </c>
      <c r="C1599" t="s">
        <v>941</v>
      </c>
      <c r="D1599" t="s">
        <v>2639</v>
      </c>
      <c r="E1599" t="s">
        <v>70</v>
      </c>
      <c r="F1599" t="s">
        <v>71</v>
      </c>
      <c r="G1599" t="s">
        <v>34</v>
      </c>
      <c r="H1599" t="s">
        <v>141</v>
      </c>
      <c r="I1599">
        <v>10</v>
      </c>
      <c r="J1599">
        <v>160000</v>
      </c>
      <c r="K1599">
        <v>120000</v>
      </c>
      <c r="L1599" t="s">
        <v>96</v>
      </c>
      <c r="M1599" t="s">
        <v>51</v>
      </c>
      <c r="N1599" t="s">
        <v>23</v>
      </c>
      <c r="O1599" t="s">
        <v>24</v>
      </c>
      <c r="P1599">
        <f>Tableau1_2[[#This Row],[Quantité]]*Tableau1_2[[#This Row],[Prix_Unitaire]]</f>
        <v>1600000</v>
      </c>
      <c r="Q1599">
        <f>Tableau1_2[[#This Row],[Quantité]]*Tableau1_2[[#This Row],[Coût_Unitaire]]</f>
        <v>1200000</v>
      </c>
      <c r="R1599">
        <f>Tableau1_2[[#This Row],[CA]]-Tableau1_2[[#This Row],[Cout Total]]</f>
        <v>400000</v>
      </c>
      <c r="S1599" s="4">
        <f>Tableau1_2[[#This Row],[Marge]]/Tableau1_2[[#This Row],[CA]]</f>
        <v>0.25</v>
      </c>
      <c r="T1599" t="str">
        <f>TEXT(Tableau1_2[[#This Row],[Date]],"mmmm")</f>
        <v>mai</v>
      </c>
    </row>
    <row r="1600" spans="1:20" x14ac:dyDescent="0.35">
      <c r="A1600" t="s">
        <v>2640</v>
      </c>
      <c r="B1600" s="2">
        <v>46354</v>
      </c>
      <c r="C1600" t="s">
        <v>1693</v>
      </c>
      <c r="D1600" t="s">
        <v>408</v>
      </c>
      <c r="E1600" t="s">
        <v>18</v>
      </c>
      <c r="F1600" t="s">
        <v>18</v>
      </c>
      <c r="G1600" t="s">
        <v>43</v>
      </c>
      <c r="H1600" t="s">
        <v>49</v>
      </c>
      <c r="I1600">
        <v>7</v>
      </c>
      <c r="J1600">
        <v>9400</v>
      </c>
      <c r="K1600">
        <v>5600</v>
      </c>
      <c r="L1600" t="s">
        <v>30</v>
      </c>
      <c r="M1600" t="s">
        <v>51</v>
      </c>
      <c r="N1600" t="s">
        <v>23</v>
      </c>
      <c r="O1600" t="s">
        <v>91</v>
      </c>
      <c r="P1600">
        <f>Tableau1_2[[#This Row],[Quantité]]*Tableau1_2[[#This Row],[Prix_Unitaire]]</f>
        <v>65800</v>
      </c>
      <c r="Q1600">
        <f>Tableau1_2[[#This Row],[Quantité]]*Tableau1_2[[#This Row],[Coût_Unitaire]]</f>
        <v>39200</v>
      </c>
      <c r="R1600">
        <f>Tableau1_2[[#This Row],[CA]]-Tableau1_2[[#This Row],[Cout Total]]</f>
        <v>26600</v>
      </c>
      <c r="S1600" s="4">
        <f>Tableau1_2[[#This Row],[Marge]]/Tableau1_2[[#This Row],[CA]]</f>
        <v>0.40425531914893614</v>
      </c>
      <c r="T1600" t="str">
        <f>TEXT(Tableau1_2[[#This Row],[Date]],"mmmm")</f>
        <v>novembre</v>
      </c>
    </row>
    <row r="1601" spans="1:20" x14ac:dyDescent="0.35">
      <c r="A1601" t="s">
        <v>2641</v>
      </c>
      <c r="B1601" s="2">
        <v>46327</v>
      </c>
      <c r="C1601" t="s">
        <v>1134</v>
      </c>
      <c r="D1601" t="s">
        <v>1439</v>
      </c>
      <c r="E1601" t="s">
        <v>41</v>
      </c>
      <c r="F1601" t="s">
        <v>42</v>
      </c>
      <c r="G1601" t="s">
        <v>43</v>
      </c>
      <c r="H1601" t="s">
        <v>177</v>
      </c>
      <c r="I1601">
        <v>2</v>
      </c>
      <c r="J1601">
        <v>18900</v>
      </c>
      <c r="K1601">
        <v>12100</v>
      </c>
      <c r="L1601" t="s">
        <v>80</v>
      </c>
      <c r="M1601" t="s">
        <v>37</v>
      </c>
      <c r="N1601" t="s">
        <v>23</v>
      </c>
      <c r="O1601" t="s">
        <v>91</v>
      </c>
      <c r="P1601">
        <f>Tableau1_2[[#This Row],[Quantité]]*Tableau1_2[[#This Row],[Prix_Unitaire]]</f>
        <v>37800</v>
      </c>
      <c r="Q1601">
        <f>Tableau1_2[[#This Row],[Quantité]]*Tableau1_2[[#This Row],[Coût_Unitaire]]</f>
        <v>24200</v>
      </c>
      <c r="R1601">
        <f>Tableau1_2[[#This Row],[CA]]-Tableau1_2[[#This Row],[Cout Total]]</f>
        <v>13600</v>
      </c>
      <c r="S1601" s="4">
        <f>Tableau1_2[[#This Row],[Marge]]/Tableau1_2[[#This Row],[CA]]</f>
        <v>0.35978835978835977</v>
      </c>
      <c r="T1601" t="str">
        <f>TEXT(Tableau1_2[[#This Row],[Date]],"mmmm")</f>
        <v>novembre</v>
      </c>
    </row>
    <row r="1602" spans="1:20" x14ac:dyDescent="0.35">
      <c r="A1602" t="s">
        <v>2642</v>
      </c>
      <c r="B1602" s="2">
        <v>46264</v>
      </c>
      <c r="C1602" t="s">
        <v>2107</v>
      </c>
      <c r="D1602" t="s">
        <v>953</v>
      </c>
      <c r="E1602" t="s">
        <v>156</v>
      </c>
      <c r="F1602" t="s">
        <v>157</v>
      </c>
      <c r="G1602" t="s">
        <v>28</v>
      </c>
      <c r="H1602" t="s">
        <v>248</v>
      </c>
      <c r="I1602">
        <v>9</v>
      </c>
      <c r="J1602">
        <v>26200</v>
      </c>
      <c r="K1602">
        <v>15500</v>
      </c>
      <c r="L1602" t="s">
        <v>36</v>
      </c>
      <c r="M1602" t="s">
        <v>22</v>
      </c>
      <c r="N1602" t="s">
        <v>52</v>
      </c>
      <c r="O1602" t="s">
        <v>24</v>
      </c>
      <c r="P1602">
        <f>Tableau1_2[[#This Row],[Quantité]]*Tableau1_2[[#This Row],[Prix_Unitaire]]</f>
        <v>235800</v>
      </c>
      <c r="Q1602">
        <f>Tableau1_2[[#This Row],[Quantité]]*Tableau1_2[[#This Row],[Coût_Unitaire]]</f>
        <v>139500</v>
      </c>
      <c r="R1602">
        <f>Tableau1_2[[#This Row],[CA]]-Tableau1_2[[#This Row],[Cout Total]]</f>
        <v>96300</v>
      </c>
      <c r="S1602" s="4">
        <f>Tableau1_2[[#This Row],[Marge]]/Tableau1_2[[#This Row],[CA]]</f>
        <v>0.40839694656488551</v>
      </c>
      <c r="T1602" t="str">
        <f>TEXT(Tableau1_2[[#This Row],[Date]],"mmmm")</f>
        <v>août</v>
      </c>
    </row>
    <row r="1603" spans="1:20" x14ac:dyDescent="0.35">
      <c r="A1603" t="s">
        <v>2643</v>
      </c>
      <c r="B1603" s="2">
        <v>46227</v>
      </c>
      <c r="C1603" t="s">
        <v>2466</v>
      </c>
      <c r="D1603" t="s">
        <v>613</v>
      </c>
      <c r="E1603" t="s">
        <v>70</v>
      </c>
      <c r="F1603" t="s">
        <v>71</v>
      </c>
      <c r="G1603" t="s">
        <v>19</v>
      </c>
      <c r="H1603" t="s">
        <v>166</v>
      </c>
      <c r="I1603">
        <v>7</v>
      </c>
      <c r="J1603">
        <v>147000</v>
      </c>
      <c r="K1603">
        <v>103000</v>
      </c>
      <c r="L1603" t="s">
        <v>30</v>
      </c>
      <c r="M1603" t="s">
        <v>51</v>
      </c>
      <c r="N1603" t="s">
        <v>23</v>
      </c>
      <c r="O1603" t="s">
        <v>91</v>
      </c>
      <c r="P1603">
        <f>Tableau1_2[[#This Row],[Quantité]]*Tableau1_2[[#This Row],[Prix_Unitaire]]</f>
        <v>1029000</v>
      </c>
      <c r="Q1603">
        <f>Tableau1_2[[#This Row],[Quantité]]*Tableau1_2[[#This Row],[Coût_Unitaire]]</f>
        <v>721000</v>
      </c>
      <c r="R1603">
        <f>Tableau1_2[[#This Row],[CA]]-Tableau1_2[[#This Row],[Cout Total]]</f>
        <v>308000</v>
      </c>
      <c r="S1603" s="4">
        <f>Tableau1_2[[#This Row],[Marge]]/Tableau1_2[[#This Row],[CA]]</f>
        <v>0.29931972789115646</v>
      </c>
      <c r="T1603" t="str">
        <f>TEXT(Tableau1_2[[#This Row],[Date]],"mmmm")</f>
        <v>juillet</v>
      </c>
    </row>
    <row r="1604" spans="1:20" x14ac:dyDescent="0.35">
      <c r="A1604" t="s">
        <v>2644</v>
      </c>
      <c r="B1604" s="2">
        <v>46073</v>
      </c>
      <c r="C1604" t="s">
        <v>1162</v>
      </c>
      <c r="D1604" t="s">
        <v>1471</v>
      </c>
      <c r="E1604" t="s">
        <v>190</v>
      </c>
      <c r="F1604" t="s">
        <v>191</v>
      </c>
      <c r="G1604" t="s">
        <v>34</v>
      </c>
      <c r="H1604" t="s">
        <v>86</v>
      </c>
      <c r="I1604">
        <v>9</v>
      </c>
      <c r="J1604">
        <v>180000</v>
      </c>
      <c r="K1604">
        <v>135000</v>
      </c>
      <c r="L1604" t="s">
        <v>30</v>
      </c>
      <c r="M1604" t="s">
        <v>37</v>
      </c>
      <c r="N1604" t="s">
        <v>23</v>
      </c>
      <c r="O1604" t="s">
        <v>24</v>
      </c>
      <c r="P1604">
        <f>Tableau1_2[[#This Row],[Quantité]]*Tableau1_2[[#This Row],[Prix_Unitaire]]</f>
        <v>1620000</v>
      </c>
      <c r="Q1604">
        <f>Tableau1_2[[#This Row],[Quantité]]*Tableau1_2[[#This Row],[Coût_Unitaire]]</f>
        <v>1215000</v>
      </c>
      <c r="R1604">
        <f>Tableau1_2[[#This Row],[CA]]-Tableau1_2[[#This Row],[Cout Total]]</f>
        <v>405000</v>
      </c>
      <c r="S1604" s="4">
        <f>Tableau1_2[[#This Row],[Marge]]/Tableau1_2[[#This Row],[CA]]</f>
        <v>0.25</v>
      </c>
      <c r="T1604" t="str">
        <f>TEXT(Tableau1_2[[#This Row],[Date]],"mmmm")</f>
        <v>février</v>
      </c>
    </row>
    <row r="1605" spans="1:20" x14ac:dyDescent="0.35">
      <c r="A1605" t="s">
        <v>2645</v>
      </c>
      <c r="B1605" s="2">
        <v>46224</v>
      </c>
      <c r="C1605" t="s">
        <v>316</v>
      </c>
      <c r="D1605" t="s">
        <v>2443</v>
      </c>
      <c r="E1605" t="s">
        <v>18</v>
      </c>
      <c r="F1605" t="s">
        <v>18</v>
      </c>
      <c r="G1605" t="s">
        <v>19</v>
      </c>
      <c r="H1605" t="s">
        <v>61</v>
      </c>
      <c r="I1605">
        <v>4</v>
      </c>
      <c r="J1605">
        <v>231000</v>
      </c>
      <c r="K1605">
        <v>160000</v>
      </c>
      <c r="L1605" t="s">
        <v>50</v>
      </c>
      <c r="M1605" t="s">
        <v>51</v>
      </c>
      <c r="N1605" t="s">
        <v>87</v>
      </c>
      <c r="O1605" t="s">
        <v>45</v>
      </c>
      <c r="P1605">
        <f>Tableau1_2[[#This Row],[Quantité]]*Tableau1_2[[#This Row],[Prix_Unitaire]]</f>
        <v>924000</v>
      </c>
      <c r="Q1605">
        <f>Tableau1_2[[#This Row],[Quantité]]*Tableau1_2[[#This Row],[Coût_Unitaire]]</f>
        <v>640000</v>
      </c>
      <c r="R1605">
        <f>Tableau1_2[[#This Row],[CA]]-Tableau1_2[[#This Row],[Cout Total]]</f>
        <v>284000</v>
      </c>
      <c r="S1605" s="4">
        <f>Tableau1_2[[#This Row],[Marge]]/Tableau1_2[[#This Row],[CA]]</f>
        <v>0.30735930735930733</v>
      </c>
      <c r="T1605" t="str">
        <f>TEXT(Tableau1_2[[#This Row],[Date]],"mmmm")</f>
        <v>juillet</v>
      </c>
    </row>
    <row r="1606" spans="1:20" x14ac:dyDescent="0.35">
      <c r="A1606" t="s">
        <v>2646</v>
      </c>
      <c r="B1606" s="2">
        <v>46286</v>
      </c>
      <c r="C1606" t="s">
        <v>609</v>
      </c>
      <c r="D1606" t="s">
        <v>291</v>
      </c>
      <c r="E1606" t="s">
        <v>18</v>
      </c>
      <c r="F1606" t="s">
        <v>18</v>
      </c>
      <c r="G1606" t="s">
        <v>34</v>
      </c>
      <c r="H1606" t="s">
        <v>35</v>
      </c>
      <c r="I1606">
        <v>4</v>
      </c>
      <c r="J1606">
        <v>57800</v>
      </c>
      <c r="K1606">
        <v>39000</v>
      </c>
      <c r="L1606" t="s">
        <v>80</v>
      </c>
      <c r="M1606" t="s">
        <v>37</v>
      </c>
      <c r="N1606" t="s">
        <v>23</v>
      </c>
      <c r="O1606" t="s">
        <v>24</v>
      </c>
      <c r="P1606">
        <f>Tableau1_2[[#This Row],[Quantité]]*Tableau1_2[[#This Row],[Prix_Unitaire]]</f>
        <v>231200</v>
      </c>
      <c r="Q1606">
        <f>Tableau1_2[[#This Row],[Quantité]]*Tableau1_2[[#This Row],[Coût_Unitaire]]</f>
        <v>156000</v>
      </c>
      <c r="R1606">
        <f>Tableau1_2[[#This Row],[CA]]-Tableau1_2[[#This Row],[Cout Total]]</f>
        <v>75200</v>
      </c>
      <c r="S1606" s="4">
        <f>Tableau1_2[[#This Row],[Marge]]/Tableau1_2[[#This Row],[CA]]</f>
        <v>0.32525951557093424</v>
      </c>
      <c r="T1606" t="str">
        <f>TEXT(Tableau1_2[[#This Row],[Date]],"mmmm")</f>
        <v>septembre</v>
      </c>
    </row>
    <row r="1607" spans="1:20" x14ac:dyDescent="0.35">
      <c r="A1607" t="s">
        <v>2647</v>
      </c>
      <c r="B1607" s="2">
        <v>46127</v>
      </c>
      <c r="C1607" t="s">
        <v>472</v>
      </c>
      <c r="D1607" t="s">
        <v>643</v>
      </c>
      <c r="E1607" t="s">
        <v>18</v>
      </c>
      <c r="F1607" t="s">
        <v>18</v>
      </c>
      <c r="G1607" t="s">
        <v>34</v>
      </c>
      <c r="H1607" t="s">
        <v>35</v>
      </c>
      <c r="I1607">
        <v>10</v>
      </c>
      <c r="J1607">
        <v>55000</v>
      </c>
      <c r="K1607">
        <v>37800</v>
      </c>
      <c r="L1607" t="s">
        <v>30</v>
      </c>
      <c r="M1607" t="s">
        <v>51</v>
      </c>
      <c r="N1607" t="s">
        <v>52</v>
      </c>
      <c r="O1607" t="s">
        <v>24</v>
      </c>
      <c r="P1607">
        <f>Tableau1_2[[#This Row],[Quantité]]*Tableau1_2[[#This Row],[Prix_Unitaire]]</f>
        <v>550000</v>
      </c>
      <c r="Q1607">
        <f>Tableau1_2[[#This Row],[Quantité]]*Tableau1_2[[#This Row],[Coût_Unitaire]]</f>
        <v>378000</v>
      </c>
      <c r="R1607">
        <f>Tableau1_2[[#This Row],[CA]]-Tableau1_2[[#This Row],[Cout Total]]</f>
        <v>172000</v>
      </c>
      <c r="S1607" s="4">
        <f>Tableau1_2[[#This Row],[Marge]]/Tableau1_2[[#This Row],[CA]]</f>
        <v>0.31272727272727274</v>
      </c>
      <c r="T1607" t="str">
        <f>TEXT(Tableau1_2[[#This Row],[Date]],"mmmm")</f>
        <v>avril</v>
      </c>
    </row>
    <row r="1608" spans="1:20" x14ac:dyDescent="0.35">
      <c r="A1608" t="s">
        <v>2648</v>
      </c>
      <c r="B1608" s="2">
        <v>46212</v>
      </c>
      <c r="C1608" t="s">
        <v>26</v>
      </c>
      <c r="D1608" t="s">
        <v>789</v>
      </c>
      <c r="E1608" t="s">
        <v>84</v>
      </c>
      <c r="F1608" t="s">
        <v>85</v>
      </c>
      <c r="G1608" t="s">
        <v>34</v>
      </c>
      <c r="H1608" t="s">
        <v>35</v>
      </c>
      <c r="I1608">
        <v>6</v>
      </c>
      <c r="J1608">
        <v>52200</v>
      </c>
      <c r="K1608">
        <v>37800</v>
      </c>
      <c r="L1608" t="s">
        <v>80</v>
      </c>
      <c r="M1608" t="s">
        <v>22</v>
      </c>
      <c r="N1608" t="s">
        <v>23</v>
      </c>
      <c r="O1608" t="s">
        <v>24</v>
      </c>
      <c r="P1608">
        <f>Tableau1_2[[#This Row],[Quantité]]*Tableau1_2[[#This Row],[Prix_Unitaire]]</f>
        <v>313200</v>
      </c>
      <c r="Q1608">
        <f>Tableau1_2[[#This Row],[Quantité]]*Tableau1_2[[#This Row],[Coût_Unitaire]]</f>
        <v>226800</v>
      </c>
      <c r="R1608">
        <f>Tableau1_2[[#This Row],[CA]]-Tableau1_2[[#This Row],[Cout Total]]</f>
        <v>86400</v>
      </c>
      <c r="S1608" s="4">
        <f>Tableau1_2[[#This Row],[Marge]]/Tableau1_2[[#This Row],[CA]]</f>
        <v>0.27586206896551724</v>
      </c>
      <c r="T1608" t="str">
        <f>TEXT(Tableau1_2[[#This Row],[Date]],"mmmm")</f>
        <v>juillet</v>
      </c>
    </row>
    <row r="1609" spans="1:20" x14ac:dyDescent="0.35">
      <c r="A1609" t="s">
        <v>2649</v>
      </c>
      <c r="B1609" s="2">
        <v>46281</v>
      </c>
      <c r="C1609" t="s">
        <v>296</v>
      </c>
      <c r="D1609" t="s">
        <v>303</v>
      </c>
      <c r="E1609" t="s">
        <v>18</v>
      </c>
      <c r="F1609" t="s">
        <v>18</v>
      </c>
      <c r="G1609" t="s">
        <v>34</v>
      </c>
      <c r="H1609" t="s">
        <v>141</v>
      </c>
      <c r="I1609">
        <v>1</v>
      </c>
      <c r="J1609">
        <v>160000</v>
      </c>
      <c r="K1609">
        <v>123600</v>
      </c>
      <c r="L1609" t="s">
        <v>50</v>
      </c>
      <c r="M1609" t="s">
        <v>51</v>
      </c>
      <c r="N1609" t="s">
        <v>52</v>
      </c>
      <c r="O1609" t="s">
        <v>24</v>
      </c>
      <c r="P1609">
        <f>Tableau1_2[[#This Row],[Quantité]]*Tableau1_2[[#This Row],[Prix_Unitaire]]</f>
        <v>160000</v>
      </c>
      <c r="Q1609">
        <f>Tableau1_2[[#This Row],[Quantité]]*Tableau1_2[[#This Row],[Coût_Unitaire]]</f>
        <v>123600</v>
      </c>
      <c r="R1609">
        <f>Tableau1_2[[#This Row],[CA]]-Tableau1_2[[#This Row],[Cout Total]]</f>
        <v>36400</v>
      </c>
      <c r="S1609" s="4">
        <f>Tableau1_2[[#This Row],[Marge]]/Tableau1_2[[#This Row],[CA]]</f>
        <v>0.22750000000000001</v>
      </c>
      <c r="T1609" t="str">
        <f>TEXT(Tableau1_2[[#This Row],[Date]],"mmmm")</f>
        <v>septembre</v>
      </c>
    </row>
    <row r="1610" spans="1:20" x14ac:dyDescent="0.35">
      <c r="A1610" t="s">
        <v>2650</v>
      </c>
      <c r="B1610" s="2">
        <v>46247</v>
      </c>
      <c r="C1610" t="s">
        <v>331</v>
      </c>
      <c r="D1610" t="s">
        <v>40</v>
      </c>
      <c r="E1610" t="s">
        <v>41</v>
      </c>
      <c r="F1610" t="s">
        <v>42</v>
      </c>
      <c r="G1610" t="s">
        <v>28</v>
      </c>
      <c r="H1610" t="s">
        <v>131</v>
      </c>
      <c r="I1610">
        <v>9</v>
      </c>
      <c r="J1610">
        <v>30000</v>
      </c>
      <c r="K1610">
        <v>19600</v>
      </c>
      <c r="L1610" t="s">
        <v>80</v>
      </c>
      <c r="M1610" t="s">
        <v>22</v>
      </c>
      <c r="N1610" t="s">
        <v>23</v>
      </c>
      <c r="O1610" t="s">
        <v>24</v>
      </c>
      <c r="P1610">
        <f>Tableau1_2[[#This Row],[Quantité]]*Tableau1_2[[#This Row],[Prix_Unitaire]]</f>
        <v>270000</v>
      </c>
      <c r="Q1610">
        <f>Tableau1_2[[#This Row],[Quantité]]*Tableau1_2[[#This Row],[Coût_Unitaire]]</f>
        <v>176400</v>
      </c>
      <c r="R1610">
        <f>Tableau1_2[[#This Row],[CA]]-Tableau1_2[[#This Row],[Cout Total]]</f>
        <v>93600</v>
      </c>
      <c r="S1610" s="4">
        <f>Tableau1_2[[#This Row],[Marge]]/Tableau1_2[[#This Row],[CA]]</f>
        <v>0.34666666666666668</v>
      </c>
      <c r="T1610" t="str">
        <f>TEXT(Tableau1_2[[#This Row],[Date]],"mmmm")</f>
        <v>août</v>
      </c>
    </row>
    <row r="1611" spans="1:20" x14ac:dyDescent="0.35">
      <c r="A1611" t="s">
        <v>2651</v>
      </c>
      <c r="B1611" s="2">
        <v>46058</v>
      </c>
      <c r="C1611" t="s">
        <v>16</v>
      </c>
      <c r="D1611" t="s">
        <v>2652</v>
      </c>
      <c r="E1611" t="s">
        <v>18</v>
      </c>
      <c r="F1611" t="s">
        <v>18</v>
      </c>
      <c r="G1611" t="s">
        <v>19</v>
      </c>
      <c r="H1611" t="s">
        <v>61</v>
      </c>
      <c r="I1611">
        <v>1</v>
      </c>
      <c r="J1611">
        <v>209000</v>
      </c>
      <c r="K1611">
        <v>160000</v>
      </c>
      <c r="L1611" t="s">
        <v>96</v>
      </c>
      <c r="M1611" t="s">
        <v>37</v>
      </c>
      <c r="N1611" t="s">
        <v>87</v>
      </c>
      <c r="O1611" t="s">
        <v>24</v>
      </c>
      <c r="P1611">
        <f>Tableau1_2[[#This Row],[Quantité]]*Tableau1_2[[#This Row],[Prix_Unitaire]]</f>
        <v>209000</v>
      </c>
      <c r="Q1611">
        <f>Tableau1_2[[#This Row],[Quantité]]*Tableau1_2[[#This Row],[Coût_Unitaire]]</f>
        <v>160000</v>
      </c>
      <c r="R1611">
        <f>Tableau1_2[[#This Row],[CA]]-Tableau1_2[[#This Row],[Cout Total]]</f>
        <v>49000</v>
      </c>
      <c r="S1611" s="4">
        <f>Tableau1_2[[#This Row],[Marge]]/Tableau1_2[[#This Row],[CA]]</f>
        <v>0.23444976076555024</v>
      </c>
      <c r="T1611" t="str">
        <f>TEXT(Tableau1_2[[#This Row],[Date]],"mmmm")</f>
        <v>février</v>
      </c>
    </row>
    <row r="1612" spans="1:20" x14ac:dyDescent="0.35">
      <c r="A1612" t="s">
        <v>2653</v>
      </c>
      <c r="B1612" s="2">
        <v>46210</v>
      </c>
      <c r="C1612" t="s">
        <v>1757</v>
      </c>
      <c r="D1612" t="s">
        <v>2184</v>
      </c>
      <c r="E1612" t="s">
        <v>77</v>
      </c>
      <c r="F1612" t="s">
        <v>78</v>
      </c>
      <c r="G1612" t="s">
        <v>43</v>
      </c>
      <c r="H1612" t="s">
        <v>79</v>
      </c>
      <c r="I1612">
        <v>9</v>
      </c>
      <c r="J1612">
        <v>5700</v>
      </c>
      <c r="K1612">
        <v>4200</v>
      </c>
      <c r="L1612" t="s">
        <v>30</v>
      </c>
      <c r="M1612" t="s">
        <v>51</v>
      </c>
      <c r="N1612" t="s">
        <v>23</v>
      </c>
      <c r="O1612" t="s">
        <v>91</v>
      </c>
      <c r="P1612">
        <f>Tableau1_2[[#This Row],[Quantité]]*Tableau1_2[[#This Row],[Prix_Unitaire]]</f>
        <v>51300</v>
      </c>
      <c r="Q1612">
        <f>Tableau1_2[[#This Row],[Quantité]]*Tableau1_2[[#This Row],[Coût_Unitaire]]</f>
        <v>37800</v>
      </c>
      <c r="R1612">
        <f>Tableau1_2[[#This Row],[CA]]-Tableau1_2[[#This Row],[Cout Total]]</f>
        <v>13500</v>
      </c>
      <c r="S1612" s="4">
        <f>Tableau1_2[[#This Row],[Marge]]/Tableau1_2[[#This Row],[CA]]</f>
        <v>0.26315789473684209</v>
      </c>
      <c r="T1612" t="str">
        <f>TEXT(Tableau1_2[[#This Row],[Date]],"mmmm")</f>
        <v>juillet</v>
      </c>
    </row>
    <row r="1613" spans="1:20" x14ac:dyDescent="0.35">
      <c r="A1613" t="s">
        <v>2654</v>
      </c>
      <c r="B1613" s="2">
        <v>46160</v>
      </c>
      <c r="C1613" t="s">
        <v>548</v>
      </c>
      <c r="D1613" t="s">
        <v>215</v>
      </c>
      <c r="E1613" t="s">
        <v>190</v>
      </c>
      <c r="F1613" t="s">
        <v>191</v>
      </c>
      <c r="G1613" t="s">
        <v>19</v>
      </c>
      <c r="H1613" t="s">
        <v>112</v>
      </c>
      <c r="I1613">
        <v>5</v>
      </c>
      <c r="J1613">
        <v>85000</v>
      </c>
      <c r="K1613">
        <v>63900</v>
      </c>
      <c r="L1613" t="s">
        <v>50</v>
      </c>
      <c r="M1613" t="s">
        <v>37</v>
      </c>
      <c r="N1613" t="s">
        <v>23</v>
      </c>
      <c r="O1613" t="s">
        <v>45</v>
      </c>
      <c r="P1613">
        <f>Tableau1_2[[#This Row],[Quantité]]*Tableau1_2[[#This Row],[Prix_Unitaire]]</f>
        <v>425000</v>
      </c>
      <c r="Q1613">
        <f>Tableau1_2[[#This Row],[Quantité]]*Tableau1_2[[#This Row],[Coût_Unitaire]]</f>
        <v>319500</v>
      </c>
      <c r="R1613">
        <f>Tableau1_2[[#This Row],[CA]]-Tableau1_2[[#This Row],[Cout Total]]</f>
        <v>105500</v>
      </c>
      <c r="S1613" s="4">
        <f>Tableau1_2[[#This Row],[Marge]]/Tableau1_2[[#This Row],[CA]]</f>
        <v>0.24823529411764705</v>
      </c>
      <c r="T1613" t="str">
        <f>TEXT(Tableau1_2[[#This Row],[Date]],"mmmm")</f>
        <v>mai</v>
      </c>
    </row>
    <row r="1614" spans="1:20" x14ac:dyDescent="0.35">
      <c r="A1614" t="s">
        <v>2655</v>
      </c>
      <c r="B1614" s="2">
        <v>46304</v>
      </c>
      <c r="C1614" t="s">
        <v>225</v>
      </c>
      <c r="D1614" t="s">
        <v>1149</v>
      </c>
      <c r="E1614" t="s">
        <v>84</v>
      </c>
      <c r="F1614" t="s">
        <v>85</v>
      </c>
      <c r="G1614" t="s">
        <v>28</v>
      </c>
      <c r="H1614" t="s">
        <v>131</v>
      </c>
      <c r="I1614">
        <v>2</v>
      </c>
      <c r="J1614">
        <v>30000</v>
      </c>
      <c r="K1614">
        <v>18400</v>
      </c>
      <c r="L1614" t="s">
        <v>80</v>
      </c>
      <c r="M1614" t="s">
        <v>31</v>
      </c>
      <c r="N1614" t="s">
        <v>52</v>
      </c>
      <c r="O1614" t="s">
        <v>24</v>
      </c>
      <c r="P1614">
        <f>Tableau1_2[[#This Row],[Quantité]]*Tableau1_2[[#This Row],[Prix_Unitaire]]</f>
        <v>60000</v>
      </c>
      <c r="Q1614">
        <f>Tableau1_2[[#This Row],[Quantité]]*Tableau1_2[[#This Row],[Coût_Unitaire]]</f>
        <v>36800</v>
      </c>
      <c r="R1614">
        <f>Tableau1_2[[#This Row],[CA]]-Tableau1_2[[#This Row],[Cout Total]]</f>
        <v>23200</v>
      </c>
      <c r="S1614" s="4">
        <f>Tableau1_2[[#This Row],[Marge]]/Tableau1_2[[#This Row],[CA]]</f>
        <v>0.38666666666666666</v>
      </c>
      <c r="T1614" t="str">
        <f>TEXT(Tableau1_2[[#This Row],[Date]],"mmmm")</f>
        <v>octobre</v>
      </c>
    </row>
    <row r="1615" spans="1:20" x14ac:dyDescent="0.35">
      <c r="A1615" t="s">
        <v>2656</v>
      </c>
      <c r="B1615" s="2">
        <v>46037</v>
      </c>
      <c r="C1615" t="s">
        <v>746</v>
      </c>
      <c r="D1615" t="s">
        <v>669</v>
      </c>
      <c r="E1615" t="s">
        <v>56</v>
      </c>
      <c r="F1615" t="s">
        <v>57</v>
      </c>
      <c r="G1615" t="s">
        <v>43</v>
      </c>
      <c r="H1615" t="s">
        <v>162</v>
      </c>
      <c r="I1615">
        <v>8</v>
      </c>
      <c r="J1615">
        <v>8400</v>
      </c>
      <c r="K1615">
        <v>5200</v>
      </c>
      <c r="L1615" t="s">
        <v>66</v>
      </c>
      <c r="M1615" t="s">
        <v>31</v>
      </c>
      <c r="N1615" t="s">
        <v>23</v>
      </c>
      <c r="O1615" t="s">
        <v>24</v>
      </c>
      <c r="P1615">
        <f>Tableau1_2[[#This Row],[Quantité]]*Tableau1_2[[#This Row],[Prix_Unitaire]]</f>
        <v>67200</v>
      </c>
      <c r="Q1615">
        <f>Tableau1_2[[#This Row],[Quantité]]*Tableau1_2[[#This Row],[Coût_Unitaire]]</f>
        <v>41600</v>
      </c>
      <c r="R1615">
        <f>Tableau1_2[[#This Row],[CA]]-Tableau1_2[[#This Row],[Cout Total]]</f>
        <v>25600</v>
      </c>
      <c r="S1615" s="4">
        <f>Tableau1_2[[#This Row],[Marge]]/Tableau1_2[[#This Row],[CA]]</f>
        <v>0.38095238095238093</v>
      </c>
      <c r="T1615" t="str">
        <f>TEXT(Tableau1_2[[#This Row],[Date]],"mmmm")</f>
        <v>janvier</v>
      </c>
    </row>
    <row r="1616" spans="1:20" x14ac:dyDescent="0.35">
      <c r="A1616" t="s">
        <v>2657</v>
      </c>
      <c r="B1616" s="2">
        <v>46081</v>
      </c>
      <c r="C1616" t="s">
        <v>727</v>
      </c>
      <c r="D1616" t="s">
        <v>1403</v>
      </c>
      <c r="E1616" t="s">
        <v>77</v>
      </c>
      <c r="F1616" t="s">
        <v>78</v>
      </c>
      <c r="G1616" t="s">
        <v>34</v>
      </c>
      <c r="H1616" t="s">
        <v>35</v>
      </c>
      <c r="I1616">
        <v>1</v>
      </c>
      <c r="J1616">
        <v>52200</v>
      </c>
      <c r="K1616">
        <v>40200</v>
      </c>
      <c r="L1616" t="s">
        <v>30</v>
      </c>
      <c r="M1616" t="s">
        <v>31</v>
      </c>
      <c r="N1616" t="s">
        <v>23</v>
      </c>
      <c r="O1616" t="s">
        <v>24</v>
      </c>
      <c r="P1616">
        <f>Tableau1_2[[#This Row],[Quantité]]*Tableau1_2[[#This Row],[Prix_Unitaire]]</f>
        <v>52200</v>
      </c>
      <c r="Q1616">
        <f>Tableau1_2[[#This Row],[Quantité]]*Tableau1_2[[#This Row],[Coût_Unitaire]]</f>
        <v>40200</v>
      </c>
      <c r="R1616">
        <f>Tableau1_2[[#This Row],[CA]]-Tableau1_2[[#This Row],[Cout Total]]</f>
        <v>12000</v>
      </c>
      <c r="S1616" s="4">
        <f>Tableau1_2[[#This Row],[Marge]]/Tableau1_2[[#This Row],[CA]]</f>
        <v>0.22988505747126436</v>
      </c>
      <c r="T1616" t="str">
        <f>TEXT(Tableau1_2[[#This Row],[Date]],"mmmm")</f>
        <v>février</v>
      </c>
    </row>
    <row r="1617" spans="1:20" x14ac:dyDescent="0.35">
      <c r="A1617" t="s">
        <v>2658</v>
      </c>
      <c r="B1617" s="2">
        <v>46341</v>
      </c>
      <c r="C1617" t="s">
        <v>1010</v>
      </c>
      <c r="D1617" t="s">
        <v>1923</v>
      </c>
      <c r="E1617" t="s">
        <v>190</v>
      </c>
      <c r="F1617" t="s">
        <v>191</v>
      </c>
      <c r="G1617" t="s">
        <v>34</v>
      </c>
      <c r="H1617" t="s">
        <v>158</v>
      </c>
      <c r="I1617">
        <v>10</v>
      </c>
      <c r="J1617">
        <v>90200</v>
      </c>
      <c r="K1617">
        <v>72100</v>
      </c>
      <c r="L1617" t="s">
        <v>36</v>
      </c>
      <c r="M1617" t="s">
        <v>22</v>
      </c>
      <c r="N1617" t="s">
        <v>87</v>
      </c>
      <c r="O1617" t="s">
        <v>24</v>
      </c>
      <c r="P1617">
        <f>Tableau1_2[[#This Row],[Quantité]]*Tableau1_2[[#This Row],[Prix_Unitaire]]</f>
        <v>902000</v>
      </c>
      <c r="Q1617">
        <f>Tableau1_2[[#This Row],[Quantité]]*Tableau1_2[[#This Row],[Coût_Unitaire]]</f>
        <v>721000</v>
      </c>
      <c r="R1617">
        <f>Tableau1_2[[#This Row],[CA]]-Tableau1_2[[#This Row],[Cout Total]]</f>
        <v>181000</v>
      </c>
      <c r="S1617" s="4">
        <f>Tableau1_2[[#This Row],[Marge]]/Tableau1_2[[#This Row],[CA]]</f>
        <v>0.20066518847006651</v>
      </c>
      <c r="T1617" t="str">
        <f>TEXT(Tableau1_2[[#This Row],[Date]],"mmmm")</f>
        <v>novembre</v>
      </c>
    </row>
    <row r="1618" spans="1:20" x14ac:dyDescent="0.35">
      <c r="A1618" t="s">
        <v>2659</v>
      </c>
      <c r="B1618" s="2">
        <v>46248</v>
      </c>
      <c r="C1618" t="s">
        <v>1124</v>
      </c>
      <c r="D1618" t="s">
        <v>1427</v>
      </c>
      <c r="E1618" t="s">
        <v>156</v>
      </c>
      <c r="F1618" t="s">
        <v>170</v>
      </c>
      <c r="G1618" t="s">
        <v>43</v>
      </c>
      <c r="H1618" t="s">
        <v>177</v>
      </c>
      <c r="I1618">
        <v>1</v>
      </c>
      <c r="J1618">
        <v>18000</v>
      </c>
      <c r="K1618">
        <v>12100</v>
      </c>
      <c r="L1618" t="s">
        <v>66</v>
      </c>
      <c r="M1618" t="s">
        <v>37</v>
      </c>
      <c r="N1618" t="s">
        <v>52</v>
      </c>
      <c r="O1618" t="s">
        <v>24</v>
      </c>
      <c r="P1618">
        <f>Tableau1_2[[#This Row],[Quantité]]*Tableau1_2[[#This Row],[Prix_Unitaire]]</f>
        <v>18000</v>
      </c>
      <c r="Q1618">
        <f>Tableau1_2[[#This Row],[Quantité]]*Tableau1_2[[#This Row],[Coût_Unitaire]]</f>
        <v>12100</v>
      </c>
      <c r="R1618">
        <f>Tableau1_2[[#This Row],[CA]]-Tableau1_2[[#This Row],[Cout Total]]</f>
        <v>5900</v>
      </c>
      <c r="S1618" s="4">
        <f>Tableau1_2[[#This Row],[Marge]]/Tableau1_2[[#This Row],[CA]]</f>
        <v>0.32777777777777778</v>
      </c>
      <c r="T1618" t="str">
        <f>TEXT(Tableau1_2[[#This Row],[Date]],"mmmm")</f>
        <v>août</v>
      </c>
    </row>
    <row r="1619" spans="1:20" x14ac:dyDescent="0.35">
      <c r="A1619" t="s">
        <v>2660</v>
      </c>
      <c r="B1619" s="2">
        <v>46361</v>
      </c>
      <c r="C1619" t="s">
        <v>495</v>
      </c>
      <c r="D1619" t="s">
        <v>2443</v>
      </c>
      <c r="E1619" t="s">
        <v>56</v>
      </c>
      <c r="F1619" t="s">
        <v>57</v>
      </c>
      <c r="G1619" t="s">
        <v>34</v>
      </c>
      <c r="H1619" t="s">
        <v>158</v>
      </c>
      <c r="I1619">
        <v>8</v>
      </c>
      <c r="J1619">
        <v>99800</v>
      </c>
      <c r="K1619">
        <v>72100</v>
      </c>
      <c r="L1619" t="s">
        <v>36</v>
      </c>
      <c r="M1619" t="s">
        <v>37</v>
      </c>
      <c r="N1619" t="s">
        <v>52</v>
      </c>
      <c r="O1619" t="s">
        <v>24</v>
      </c>
      <c r="P1619">
        <f>Tableau1_2[[#This Row],[Quantité]]*Tableau1_2[[#This Row],[Prix_Unitaire]]</f>
        <v>798400</v>
      </c>
      <c r="Q1619">
        <f>Tableau1_2[[#This Row],[Quantité]]*Tableau1_2[[#This Row],[Coût_Unitaire]]</f>
        <v>576800</v>
      </c>
      <c r="R1619">
        <f>Tableau1_2[[#This Row],[CA]]-Tableau1_2[[#This Row],[Cout Total]]</f>
        <v>221600</v>
      </c>
      <c r="S1619" s="4">
        <f>Tableau1_2[[#This Row],[Marge]]/Tableau1_2[[#This Row],[CA]]</f>
        <v>0.27755511022044088</v>
      </c>
      <c r="T1619" t="str">
        <f>TEXT(Tableau1_2[[#This Row],[Date]],"mmmm")</f>
        <v>décembre</v>
      </c>
    </row>
    <row r="1620" spans="1:20" x14ac:dyDescent="0.35">
      <c r="A1620" t="s">
        <v>2661</v>
      </c>
      <c r="B1620" s="2">
        <v>46087</v>
      </c>
      <c r="C1620" t="s">
        <v>930</v>
      </c>
      <c r="D1620" t="s">
        <v>760</v>
      </c>
      <c r="E1620" t="s">
        <v>18</v>
      </c>
      <c r="F1620" t="s">
        <v>18</v>
      </c>
      <c r="G1620" t="s">
        <v>34</v>
      </c>
      <c r="H1620" t="s">
        <v>95</v>
      </c>
      <c r="I1620">
        <v>6</v>
      </c>
      <c r="J1620">
        <v>427500</v>
      </c>
      <c r="K1620">
        <v>381100</v>
      </c>
      <c r="L1620" t="s">
        <v>80</v>
      </c>
      <c r="M1620" t="s">
        <v>31</v>
      </c>
      <c r="N1620" t="s">
        <v>52</v>
      </c>
      <c r="O1620" t="s">
        <v>24</v>
      </c>
      <c r="P1620">
        <f>Tableau1_2[[#This Row],[Quantité]]*Tableau1_2[[#This Row],[Prix_Unitaire]]</f>
        <v>2565000</v>
      </c>
      <c r="Q1620">
        <f>Tableau1_2[[#This Row],[Quantité]]*Tableau1_2[[#This Row],[Coût_Unitaire]]</f>
        <v>2286600</v>
      </c>
      <c r="R1620">
        <f>Tableau1_2[[#This Row],[CA]]-Tableau1_2[[#This Row],[Cout Total]]</f>
        <v>278400</v>
      </c>
      <c r="S1620" s="4">
        <f>Tableau1_2[[#This Row],[Marge]]/Tableau1_2[[#This Row],[CA]]</f>
        <v>0.10853801169590643</v>
      </c>
      <c r="T1620" t="str">
        <f>TEXT(Tableau1_2[[#This Row],[Date]],"mmmm")</f>
        <v>mars</v>
      </c>
    </row>
    <row r="1621" spans="1:20" x14ac:dyDescent="0.35">
      <c r="A1621" t="s">
        <v>2662</v>
      </c>
      <c r="B1621" s="2">
        <v>46240</v>
      </c>
      <c r="C1621" t="s">
        <v>1658</v>
      </c>
      <c r="D1621" t="s">
        <v>291</v>
      </c>
      <c r="E1621" t="s">
        <v>70</v>
      </c>
      <c r="F1621" t="s">
        <v>71</v>
      </c>
      <c r="G1621" t="s">
        <v>34</v>
      </c>
      <c r="H1621" t="s">
        <v>141</v>
      </c>
      <c r="I1621">
        <v>2</v>
      </c>
      <c r="J1621">
        <v>160000</v>
      </c>
      <c r="K1621">
        <v>123600</v>
      </c>
      <c r="L1621" t="s">
        <v>66</v>
      </c>
      <c r="M1621" t="s">
        <v>22</v>
      </c>
      <c r="N1621" t="s">
        <v>52</v>
      </c>
      <c r="O1621" t="s">
        <v>91</v>
      </c>
      <c r="P1621">
        <f>Tableau1_2[[#This Row],[Quantité]]*Tableau1_2[[#This Row],[Prix_Unitaire]]</f>
        <v>320000</v>
      </c>
      <c r="Q1621">
        <f>Tableau1_2[[#This Row],[Quantité]]*Tableau1_2[[#This Row],[Coût_Unitaire]]</f>
        <v>247200</v>
      </c>
      <c r="R1621">
        <f>Tableau1_2[[#This Row],[CA]]-Tableau1_2[[#This Row],[Cout Total]]</f>
        <v>72800</v>
      </c>
      <c r="S1621" s="4">
        <f>Tableau1_2[[#This Row],[Marge]]/Tableau1_2[[#This Row],[CA]]</f>
        <v>0.22750000000000001</v>
      </c>
      <c r="T1621" t="str">
        <f>TEXT(Tableau1_2[[#This Row],[Date]],"mmmm")</f>
        <v>août</v>
      </c>
    </row>
    <row r="1622" spans="1:20" x14ac:dyDescent="0.35">
      <c r="A1622" t="s">
        <v>2663</v>
      </c>
      <c r="B1622" s="2">
        <v>46173</v>
      </c>
      <c r="C1622" t="s">
        <v>1865</v>
      </c>
      <c r="D1622" t="s">
        <v>1942</v>
      </c>
      <c r="E1622" t="s">
        <v>190</v>
      </c>
      <c r="F1622" t="s">
        <v>191</v>
      </c>
      <c r="G1622" t="s">
        <v>28</v>
      </c>
      <c r="H1622" t="s">
        <v>72</v>
      </c>
      <c r="I1622">
        <v>10</v>
      </c>
      <c r="J1622">
        <v>10000</v>
      </c>
      <c r="K1622">
        <v>6200</v>
      </c>
      <c r="L1622" t="s">
        <v>21</v>
      </c>
      <c r="M1622" t="s">
        <v>37</v>
      </c>
      <c r="N1622" t="s">
        <v>23</v>
      </c>
      <c r="O1622" t="s">
        <v>45</v>
      </c>
      <c r="P1622">
        <f>Tableau1_2[[#This Row],[Quantité]]*Tableau1_2[[#This Row],[Prix_Unitaire]]</f>
        <v>100000</v>
      </c>
      <c r="Q1622">
        <f>Tableau1_2[[#This Row],[Quantité]]*Tableau1_2[[#This Row],[Coût_Unitaire]]</f>
        <v>62000</v>
      </c>
      <c r="R1622">
        <f>Tableau1_2[[#This Row],[CA]]-Tableau1_2[[#This Row],[Cout Total]]</f>
        <v>38000</v>
      </c>
      <c r="S1622" s="4">
        <f>Tableau1_2[[#This Row],[Marge]]/Tableau1_2[[#This Row],[CA]]</f>
        <v>0.38</v>
      </c>
      <c r="T1622" t="str">
        <f>TEXT(Tableau1_2[[#This Row],[Date]],"mmmm")</f>
        <v>mai</v>
      </c>
    </row>
    <row r="1623" spans="1:20" x14ac:dyDescent="0.35">
      <c r="A1623" t="s">
        <v>2664</v>
      </c>
      <c r="B1623" s="2">
        <v>46339</v>
      </c>
      <c r="C1623" t="s">
        <v>148</v>
      </c>
      <c r="D1623" t="s">
        <v>287</v>
      </c>
      <c r="E1623" t="s">
        <v>18</v>
      </c>
      <c r="F1623" t="s">
        <v>18</v>
      </c>
      <c r="G1623" t="s">
        <v>19</v>
      </c>
      <c r="H1623" t="s">
        <v>166</v>
      </c>
      <c r="I1623">
        <v>5</v>
      </c>
      <c r="J1623">
        <v>140000</v>
      </c>
      <c r="K1623">
        <v>103000</v>
      </c>
      <c r="L1623" t="s">
        <v>96</v>
      </c>
      <c r="M1623" t="s">
        <v>37</v>
      </c>
      <c r="N1623" t="s">
        <v>23</v>
      </c>
      <c r="O1623" t="s">
        <v>24</v>
      </c>
      <c r="P1623">
        <f>Tableau1_2[[#This Row],[Quantité]]*Tableau1_2[[#This Row],[Prix_Unitaire]]</f>
        <v>700000</v>
      </c>
      <c r="Q1623">
        <f>Tableau1_2[[#This Row],[Quantité]]*Tableau1_2[[#This Row],[Coût_Unitaire]]</f>
        <v>515000</v>
      </c>
      <c r="R1623">
        <f>Tableau1_2[[#This Row],[CA]]-Tableau1_2[[#This Row],[Cout Total]]</f>
        <v>185000</v>
      </c>
      <c r="S1623" s="4">
        <f>Tableau1_2[[#This Row],[Marge]]/Tableau1_2[[#This Row],[CA]]</f>
        <v>0.26428571428571429</v>
      </c>
      <c r="T1623" t="str">
        <f>TEXT(Tableau1_2[[#This Row],[Date]],"mmmm")</f>
        <v>novembre</v>
      </c>
    </row>
    <row r="1624" spans="1:20" x14ac:dyDescent="0.35">
      <c r="A1624" t="s">
        <v>2665</v>
      </c>
      <c r="B1624" s="2">
        <v>46206</v>
      </c>
      <c r="C1624" t="s">
        <v>995</v>
      </c>
      <c r="D1624" t="s">
        <v>1471</v>
      </c>
      <c r="E1624" t="s">
        <v>156</v>
      </c>
      <c r="F1624" t="s">
        <v>170</v>
      </c>
      <c r="G1624" t="s">
        <v>34</v>
      </c>
      <c r="H1624" t="s">
        <v>141</v>
      </c>
      <c r="I1624">
        <v>10</v>
      </c>
      <c r="J1624">
        <v>168000</v>
      </c>
      <c r="K1624">
        <v>116400</v>
      </c>
      <c r="L1624" t="s">
        <v>36</v>
      </c>
      <c r="M1624" t="s">
        <v>37</v>
      </c>
      <c r="N1624" t="s">
        <v>87</v>
      </c>
      <c r="O1624" t="s">
        <v>24</v>
      </c>
      <c r="P1624">
        <f>Tableau1_2[[#This Row],[Quantité]]*Tableau1_2[[#This Row],[Prix_Unitaire]]</f>
        <v>1680000</v>
      </c>
      <c r="Q1624">
        <f>Tableau1_2[[#This Row],[Quantité]]*Tableau1_2[[#This Row],[Coût_Unitaire]]</f>
        <v>1164000</v>
      </c>
      <c r="R1624">
        <f>Tableau1_2[[#This Row],[CA]]-Tableau1_2[[#This Row],[Cout Total]]</f>
        <v>516000</v>
      </c>
      <c r="S1624" s="4">
        <f>Tableau1_2[[#This Row],[Marge]]/Tableau1_2[[#This Row],[CA]]</f>
        <v>0.30714285714285716</v>
      </c>
      <c r="T1624" t="str">
        <f>TEXT(Tableau1_2[[#This Row],[Date]],"mmmm")</f>
        <v>juillet</v>
      </c>
    </row>
    <row r="1625" spans="1:20" x14ac:dyDescent="0.35">
      <c r="A1625" t="s">
        <v>2666</v>
      </c>
      <c r="B1625" s="2">
        <v>46166</v>
      </c>
      <c r="C1625" t="s">
        <v>1509</v>
      </c>
      <c r="D1625" t="s">
        <v>511</v>
      </c>
      <c r="E1625" t="s">
        <v>56</v>
      </c>
      <c r="F1625" t="s">
        <v>57</v>
      </c>
      <c r="G1625" t="s">
        <v>34</v>
      </c>
      <c r="H1625" t="s">
        <v>158</v>
      </c>
      <c r="I1625">
        <v>1</v>
      </c>
      <c r="J1625">
        <v>95000</v>
      </c>
      <c r="K1625">
        <v>72100</v>
      </c>
      <c r="L1625" t="s">
        <v>96</v>
      </c>
      <c r="M1625" t="s">
        <v>51</v>
      </c>
      <c r="N1625" t="s">
        <v>23</v>
      </c>
      <c r="O1625" t="s">
        <v>24</v>
      </c>
      <c r="P1625">
        <f>Tableau1_2[[#This Row],[Quantité]]*Tableau1_2[[#This Row],[Prix_Unitaire]]</f>
        <v>95000</v>
      </c>
      <c r="Q1625">
        <f>Tableau1_2[[#This Row],[Quantité]]*Tableau1_2[[#This Row],[Coût_Unitaire]]</f>
        <v>72100</v>
      </c>
      <c r="R1625">
        <f>Tableau1_2[[#This Row],[CA]]-Tableau1_2[[#This Row],[Cout Total]]</f>
        <v>22900</v>
      </c>
      <c r="S1625" s="4">
        <f>Tableau1_2[[#This Row],[Marge]]/Tableau1_2[[#This Row],[CA]]</f>
        <v>0.24105263157894738</v>
      </c>
      <c r="T1625" t="str">
        <f>TEXT(Tableau1_2[[#This Row],[Date]],"mmmm")</f>
        <v>mai</v>
      </c>
    </row>
    <row r="1626" spans="1:20" x14ac:dyDescent="0.35">
      <c r="A1626" t="s">
        <v>2667</v>
      </c>
      <c r="B1626" s="2">
        <v>46025</v>
      </c>
      <c r="C1626" t="s">
        <v>1743</v>
      </c>
      <c r="D1626" t="s">
        <v>2461</v>
      </c>
      <c r="E1626" t="s">
        <v>18</v>
      </c>
      <c r="F1626" t="s">
        <v>18</v>
      </c>
      <c r="G1626" t="s">
        <v>34</v>
      </c>
      <c r="H1626" t="s">
        <v>86</v>
      </c>
      <c r="I1626">
        <v>5</v>
      </c>
      <c r="J1626">
        <v>171000</v>
      </c>
      <c r="K1626">
        <v>139000</v>
      </c>
      <c r="L1626" t="s">
        <v>66</v>
      </c>
      <c r="M1626" t="s">
        <v>37</v>
      </c>
      <c r="N1626" t="s">
        <v>23</v>
      </c>
      <c r="O1626" t="s">
        <v>91</v>
      </c>
      <c r="P1626">
        <f>Tableau1_2[[#This Row],[Quantité]]*Tableau1_2[[#This Row],[Prix_Unitaire]]</f>
        <v>855000</v>
      </c>
      <c r="Q1626">
        <f>Tableau1_2[[#This Row],[Quantité]]*Tableau1_2[[#This Row],[Coût_Unitaire]]</f>
        <v>695000</v>
      </c>
      <c r="R1626">
        <f>Tableau1_2[[#This Row],[CA]]-Tableau1_2[[#This Row],[Cout Total]]</f>
        <v>160000</v>
      </c>
      <c r="S1626" s="4">
        <f>Tableau1_2[[#This Row],[Marge]]/Tableau1_2[[#This Row],[CA]]</f>
        <v>0.1871345029239766</v>
      </c>
      <c r="T1626" t="str">
        <f>TEXT(Tableau1_2[[#This Row],[Date]],"mmmm")</f>
        <v>janvier</v>
      </c>
    </row>
    <row r="1627" spans="1:20" x14ac:dyDescent="0.35">
      <c r="A1627" t="s">
        <v>2668</v>
      </c>
      <c r="B1627" s="2">
        <v>46244</v>
      </c>
      <c r="C1627" t="s">
        <v>1642</v>
      </c>
      <c r="D1627" t="s">
        <v>1117</v>
      </c>
      <c r="E1627" t="s">
        <v>41</v>
      </c>
      <c r="F1627" t="s">
        <v>42</v>
      </c>
      <c r="G1627" t="s">
        <v>43</v>
      </c>
      <c r="H1627" t="s">
        <v>162</v>
      </c>
      <c r="I1627">
        <v>7</v>
      </c>
      <c r="J1627">
        <v>8400</v>
      </c>
      <c r="K1627">
        <v>5000</v>
      </c>
      <c r="L1627" t="s">
        <v>73</v>
      </c>
      <c r="M1627" t="s">
        <v>51</v>
      </c>
      <c r="N1627" t="s">
        <v>23</v>
      </c>
      <c r="O1627" t="s">
        <v>24</v>
      </c>
      <c r="P1627">
        <f>Tableau1_2[[#This Row],[Quantité]]*Tableau1_2[[#This Row],[Prix_Unitaire]]</f>
        <v>58800</v>
      </c>
      <c r="Q1627">
        <f>Tableau1_2[[#This Row],[Quantité]]*Tableau1_2[[#This Row],[Coût_Unitaire]]</f>
        <v>35000</v>
      </c>
      <c r="R1627">
        <f>Tableau1_2[[#This Row],[CA]]-Tableau1_2[[#This Row],[Cout Total]]</f>
        <v>23800</v>
      </c>
      <c r="S1627" s="4">
        <f>Tableau1_2[[#This Row],[Marge]]/Tableau1_2[[#This Row],[CA]]</f>
        <v>0.40476190476190477</v>
      </c>
      <c r="T1627" t="str">
        <f>TEXT(Tableau1_2[[#This Row],[Date]],"mmmm")</f>
        <v>août</v>
      </c>
    </row>
    <row r="1628" spans="1:20" x14ac:dyDescent="0.35">
      <c r="A1628" t="s">
        <v>2669</v>
      </c>
      <c r="B1628" s="2">
        <v>46384</v>
      </c>
      <c r="C1628" t="s">
        <v>1594</v>
      </c>
      <c r="D1628" t="s">
        <v>552</v>
      </c>
      <c r="E1628" t="s">
        <v>156</v>
      </c>
      <c r="F1628" t="s">
        <v>170</v>
      </c>
      <c r="G1628" t="s">
        <v>19</v>
      </c>
      <c r="H1628" t="s">
        <v>20</v>
      </c>
      <c r="I1628">
        <v>4</v>
      </c>
      <c r="J1628">
        <v>68200</v>
      </c>
      <c r="K1628">
        <v>45000</v>
      </c>
      <c r="L1628" t="s">
        <v>66</v>
      </c>
      <c r="M1628" t="s">
        <v>37</v>
      </c>
      <c r="N1628" t="s">
        <v>23</v>
      </c>
      <c r="O1628" t="s">
        <v>45</v>
      </c>
      <c r="P1628">
        <f>Tableau1_2[[#This Row],[Quantité]]*Tableau1_2[[#This Row],[Prix_Unitaire]]</f>
        <v>272800</v>
      </c>
      <c r="Q1628">
        <f>Tableau1_2[[#This Row],[Quantité]]*Tableau1_2[[#This Row],[Coût_Unitaire]]</f>
        <v>180000</v>
      </c>
      <c r="R1628">
        <f>Tableau1_2[[#This Row],[CA]]-Tableau1_2[[#This Row],[Cout Total]]</f>
        <v>92800</v>
      </c>
      <c r="S1628" s="4">
        <f>Tableau1_2[[#This Row],[Marge]]/Tableau1_2[[#This Row],[CA]]</f>
        <v>0.34017595307917886</v>
      </c>
      <c r="T1628" t="str">
        <f>TEXT(Tableau1_2[[#This Row],[Date]],"mmmm")</f>
        <v>décembre</v>
      </c>
    </row>
    <row r="1629" spans="1:20" x14ac:dyDescent="0.35">
      <c r="A1629" t="s">
        <v>2670</v>
      </c>
      <c r="B1629" s="2">
        <v>46224</v>
      </c>
      <c r="C1629" t="s">
        <v>93</v>
      </c>
      <c r="D1629" t="s">
        <v>718</v>
      </c>
      <c r="E1629" t="s">
        <v>190</v>
      </c>
      <c r="F1629" t="s">
        <v>191</v>
      </c>
      <c r="G1629" t="s">
        <v>368</v>
      </c>
      <c r="H1629" t="s">
        <v>158</v>
      </c>
      <c r="I1629">
        <v>3</v>
      </c>
      <c r="J1629">
        <v>90200</v>
      </c>
      <c r="K1629">
        <v>72100</v>
      </c>
      <c r="L1629" t="s">
        <v>66</v>
      </c>
      <c r="M1629" t="s">
        <v>37</v>
      </c>
      <c r="N1629" t="s">
        <v>23</v>
      </c>
      <c r="O1629" t="s">
        <v>24</v>
      </c>
      <c r="P1629">
        <f>Tableau1_2[[#This Row],[Quantité]]*Tableau1_2[[#This Row],[Prix_Unitaire]]</f>
        <v>270600</v>
      </c>
      <c r="Q1629">
        <f>Tableau1_2[[#This Row],[Quantité]]*Tableau1_2[[#This Row],[Coût_Unitaire]]</f>
        <v>216300</v>
      </c>
      <c r="R1629">
        <f>Tableau1_2[[#This Row],[CA]]-Tableau1_2[[#This Row],[Cout Total]]</f>
        <v>54300</v>
      </c>
      <c r="S1629" s="4">
        <f>Tableau1_2[[#This Row],[Marge]]/Tableau1_2[[#This Row],[CA]]</f>
        <v>0.20066518847006651</v>
      </c>
      <c r="T1629" t="str">
        <f>TEXT(Tableau1_2[[#This Row],[Date]],"mmmm")</f>
        <v>juillet</v>
      </c>
    </row>
    <row r="1630" spans="1:20" x14ac:dyDescent="0.35">
      <c r="A1630" t="s">
        <v>2671</v>
      </c>
      <c r="B1630" s="2">
        <v>46203</v>
      </c>
      <c r="C1630" t="s">
        <v>2672</v>
      </c>
      <c r="D1630" t="s">
        <v>1276</v>
      </c>
      <c r="E1630" t="s">
        <v>84</v>
      </c>
      <c r="F1630" t="s">
        <v>85</v>
      </c>
      <c r="G1630" t="s">
        <v>34</v>
      </c>
      <c r="H1630" t="s">
        <v>95</v>
      </c>
      <c r="I1630">
        <v>7</v>
      </c>
      <c r="J1630">
        <v>472500</v>
      </c>
      <c r="K1630">
        <v>370000</v>
      </c>
      <c r="L1630" t="s">
        <v>66</v>
      </c>
      <c r="M1630" t="s">
        <v>31</v>
      </c>
      <c r="N1630" t="s">
        <v>23</v>
      </c>
      <c r="O1630" t="s">
        <v>24</v>
      </c>
      <c r="P1630">
        <f>Tableau1_2[[#This Row],[Quantité]]*Tableau1_2[[#This Row],[Prix_Unitaire]]</f>
        <v>3307500</v>
      </c>
      <c r="Q1630">
        <f>Tableau1_2[[#This Row],[Quantité]]*Tableau1_2[[#This Row],[Coût_Unitaire]]</f>
        <v>2590000</v>
      </c>
      <c r="R1630">
        <f>Tableau1_2[[#This Row],[CA]]-Tableau1_2[[#This Row],[Cout Total]]</f>
        <v>717500</v>
      </c>
      <c r="S1630" s="4">
        <f>Tableau1_2[[#This Row],[Marge]]/Tableau1_2[[#This Row],[CA]]</f>
        <v>0.21693121693121692</v>
      </c>
      <c r="T1630" t="str">
        <f>TEXT(Tableau1_2[[#This Row],[Date]],"mmmm")</f>
        <v>juin</v>
      </c>
    </row>
    <row r="1631" spans="1:20" x14ac:dyDescent="0.35">
      <c r="A1631" t="s">
        <v>2673</v>
      </c>
      <c r="B1631" s="2">
        <v>46282</v>
      </c>
      <c r="C1631" t="s">
        <v>1283</v>
      </c>
      <c r="D1631" t="s">
        <v>631</v>
      </c>
      <c r="E1631" t="s">
        <v>84</v>
      </c>
      <c r="F1631" t="s">
        <v>85</v>
      </c>
      <c r="G1631" t="s">
        <v>34</v>
      </c>
      <c r="H1631" t="s">
        <v>158</v>
      </c>
      <c r="I1631">
        <v>4</v>
      </c>
      <c r="J1631">
        <v>99800</v>
      </c>
      <c r="K1631">
        <v>72100</v>
      </c>
      <c r="L1631" t="s">
        <v>50</v>
      </c>
      <c r="M1631" t="s">
        <v>51</v>
      </c>
      <c r="N1631" t="s">
        <v>52</v>
      </c>
      <c r="O1631" t="s">
        <v>24</v>
      </c>
      <c r="P1631">
        <f>Tableau1_2[[#This Row],[Quantité]]*Tableau1_2[[#This Row],[Prix_Unitaire]]</f>
        <v>399200</v>
      </c>
      <c r="Q1631">
        <f>Tableau1_2[[#This Row],[Quantité]]*Tableau1_2[[#This Row],[Coût_Unitaire]]</f>
        <v>288400</v>
      </c>
      <c r="R1631">
        <f>Tableau1_2[[#This Row],[CA]]-Tableau1_2[[#This Row],[Cout Total]]</f>
        <v>110800</v>
      </c>
      <c r="S1631" s="4">
        <f>Tableau1_2[[#This Row],[Marge]]/Tableau1_2[[#This Row],[CA]]</f>
        <v>0.27755511022044088</v>
      </c>
      <c r="T1631" t="str">
        <f>TEXT(Tableau1_2[[#This Row],[Date]],"mmmm")</f>
        <v>septembre</v>
      </c>
    </row>
    <row r="1632" spans="1:20" x14ac:dyDescent="0.35">
      <c r="A1632" t="s">
        <v>2674</v>
      </c>
      <c r="B1632" s="2">
        <v>46263</v>
      </c>
      <c r="C1632" t="s">
        <v>246</v>
      </c>
      <c r="D1632" t="s">
        <v>969</v>
      </c>
      <c r="E1632" t="s">
        <v>156</v>
      </c>
      <c r="F1632" t="s">
        <v>170</v>
      </c>
      <c r="G1632" t="s">
        <v>34</v>
      </c>
      <c r="H1632" t="s">
        <v>158</v>
      </c>
      <c r="I1632">
        <v>1</v>
      </c>
      <c r="J1632">
        <v>90200</v>
      </c>
      <c r="K1632">
        <v>70000</v>
      </c>
      <c r="L1632" t="s">
        <v>66</v>
      </c>
      <c r="M1632" t="s">
        <v>22</v>
      </c>
      <c r="N1632" t="s">
        <v>52</v>
      </c>
      <c r="O1632" t="s">
        <v>24</v>
      </c>
      <c r="P1632">
        <f>Tableau1_2[[#This Row],[Quantité]]*Tableau1_2[[#This Row],[Prix_Unitaire]]</f>
        <v>90200</v>
      </c>
      <c r="Q1632">
        <f>Tableau1_2[[#This Row],[Quantité]]*Tableau1_2[[#This Row],[Coût_Unitaire]]</f>
        <v>70000</v>
      </c>
      <c r="R1632">
        <f>Tableau1_2[[#This Row],[CA]]-Tableau1_2[[#This Row],[Cout Total]]</f>
        <v>20200</v>
      </c>
      <c r="S1632" s="4">
        <f>Tableau1_2[[#This Row],[Marge]]/Tableau1_2[[#This Row],[CA]]</f>
        <v>0.22394678492239467</v>
      </c>
      <c r="T1632" t="str">
        <f>TEXT(Tableau1_2[[#This Row],[Date]],"mmmm")</f>
        <v>août</v>
      </c>
    </row>
    <row r="1633" spans="1:20" x14ac:dyDescent="0.35">
      <c r="A1633" t="s">
        <v>2675</v>
      </c>
      <c r="B1633" s="2">
        <v>46252</v>
      </c>
      <c r="C1633" t="s">
        <v>1620</v>
      </c>
      <c r="D1633" t="s">
        <v>565</v>
      </c>
      <c r="E1633" t="s">
        <v>41</v>
      </c>
      <c r="F1633" t="s">
        <v>42</v>
      </c>
      <c r="G1633" t="s">
        <v>34</v>
      </c>
      <c r="H1633" t="s">
        <v>86</v>
      </c>
      <c r="I1633">
        <v>5</v>
      </c>
      <c r="J1633">
        <v>180000</v>
      </c>
      <c r="K1633">
        <v>135000</v>
      </c>
      <c r="L1633" t="s">
        <v>80</v>
      </c>
      <c r="M1633" t="s">
        <v>31</v>
      </c>
      <c r="N1633" t="s">
        <v>52</v>
      </c>
      <c r="O1633" t="s">
        <v>45</v>
      </c>
      <c r="P1633">
        <f>Tableau1_2[[#This Row],[Quantité]]*Tableau1_2[[#This Row],[Prix_Unitaire]]</f>
        <v>900000</v>
      </c>
      <c r="Q1633">
        <f>Tableau1_2[[#This Row],[Quantité]]*Tableau1_2[[#This Row],[Coût_Unitaire]]</f>
        <v>675000</v>
      </c>
      <c r="R1633">
        <f>Tableau1_2[[#This Row],[CA]]-Tableau1_2[[#This Row],[Cout Total]]</f>
        <v>225000</v>
      </c>
      <c r="S1633" s="4">
        <f>Tableau1_2[[#This Row],[Marge]]/Tableau1_2[[#This Row],[CA]]</f>
        <v>0.25</v>
      </c>
      <c r="T1633" t="str">
        <f>TEXT(Tableau1_2[[#This Row],[Date]],"mmmm")</f>
        <v>août</v>
      </c>
    </row>
    <row r="1634" spans="1:20" x14ac:dyDescent="0.35">
      <c r="A1634" t="s">
        <v>2676</v>
      </c>
      <c r="B1634" s="2">
        <v>46085</v>
      </c>
      <c r="C1634" t="s">
        <v>1446</v>
      </c>
      <c r="D1634" t="s">
        <v>1308</v>
      </c>
      <c r="E1634" t="s">
        <v>18</v>
      </c>
      <c r="F1634" t="s">
        <v>18</v>
      </c>
      <c r="G1634" t="s">
        <v>34</v>
      </c>
      <c r="H1634" t="s">
        <v>158</v>
      </c>
      <c r="I1634">
        <v>5</v>
      </c>
      <c r="J1634">
        <v>90200</v>
      </c>
      <c r="K1634">
        <v>67900</v>
      </c>
      <c r="L1634" t="s">
        <v>36</v>
      </c>
      <c r="M1634" t="s">
        <v>37</v>
      </c>
      <c r="N1634" t="s">
        <v>52</v>
      </c>
      <c r="O1634" t="s">
        <v>24</v>
      </c>
      <c r="P1634">
        <f>Tableau1_2[[#This Row],[Quantité]]*Tableau1_2[[#This Row],[Prix_Unitaire]]</f>
        <v>451000</v>
      </c>
      <c r="Q1634">
        <f>Tableau1_2[[#This Row],[Quantité]]*Tableau1_2[[#This Row],[Coût_Unitaire]]</f>
        <v>339500</v>
      </c>
      <c r="R1634">
        <f>Tableau1_2[[#This Row],[CA]]-Tableau1_2[[#This Row],[Cout Total]]</f>
        <v>111500</v>
      </c>
      <c r="S1634" s="4">
        <f>Tableau1_2[[#This Row],[Marge]]/Tableau1_2[[#This Row],[CA]]</f>
        <v>0.24722838137472283</v>
      </c>
      <c r="T1634" t="str">
        <f>TEXT(Tableau1_2[[#This Row],[Date]],"mmmm")</f>
        <v>mars</v>
      </c>
    </row>
    <row r="1635" spans="1:20" x14ac:dyDescent="0.35">
      <c r="A1635" t="s">
        <v>2677</v>
      </c>
      <c r="B1635" s="2">
        <v>46332</v>
      </c>
      <c r="C1635" t="s">
        <v>334</v>
      </c>
      <c r="D1635" t="s">
        <v>1384</v>
      </c>
      <c r="E1635" t="s">
        <v>18</v>
      </c>
      <c r="F1635" t="s">
        <v>18</v>
      </c>
      <c r="G1635" t="s">
        <v>43</v>
      </c>
      <c r="H1635" t="s">
        <v>177</v>
      </c>
      <c r="I1635">
        <v>8</v>
      </c>
      <c r="J1635">
        <v>17100</v>
      </c>
      <c r="K1635">
        <v>12900</v>
      </c>
      <c r="L1635" t="s">
        <v>73</v>
      </c>
      <c r="M1635" t="s">
        <v>31</v>
      </c>
      <c r="N1635" t="s">
        <v>87</v>
      </c>
      <c r="O1635" t="s">
        <v>45</v>
      </c>
      <c r="P1635">
        <f>Tableau1_2[[#This Row],[Quantité]]*Tableau1_2[[#This Row],[Prix_Unitaire]]</f>
        <v>136800</v>
      </c>
      <c r="Q1635">
        <f>Tableau1_2[[#This Row],[Quantité]]*Tableau1_2[[#This Row],[Coût_Unitaire]]</f>
        <v>103200</v>
      </c>
      <c r="R1635">
        <f>Tableau1_2[[#This Row],[CA]]-Tableau1_2[[#This Row],[Cout Total]]</f>
        <v>33600</v>
      </c>
      <c r="S1635" s="4">
        <f>Tableau1_2[[#This Row],[Marge]]/Tableau1_2[[#This Row],[CA]]</f>
        <v>0.24561403508771928</v>
      </c>
      <c r="T1635" t="str">
        <f>TEXT(Tableau1_2[[#This Row],[Date]],"mmmm")</f>
        <v>novembre</v>
      </c>
    </row>
    <row r="1636" spans="1:20" x14ac:dyDescent="0.35">
      <c r="A1636" t="s">
        <v>2678</v>
      </c>
      <c r="B1636" s="2">
        <v>46157</v>
      </c>
      <c r="C1636" t="s">
        <v>1207</v>
      </c>
      <c r="D1636" t="s">
        <v>332</v>
      </c>
      <c r="E1636" t="s">
        <v>18</v>
      </c>
      <c r="F1636" t="s">
        <v>18</v>
      </c>
      <c r="G1636" t="s">
        <v>28</v>
      </c>
      <c r="H1636" t="s">
        <v>29</v>
      </c>
      <c r="I1636">
        <v>5</v>
      </c>
      <c r="J1636">
        <v>7000</v>
      </c>
      <c r="K1636">
        <v>3900</v>
      </c>
      <c r="L1636" t="s">
        <v>50</v>
      </c>
      <c r="M1636" t="s">
        <v>51</v>
      </c>
      <c r="N1636" t="s">
        <v>52</v>
      </c>
      <c r="O1636" t="s">
        <v>24</v>
      </c>
      <c r="P1636">
        <f>Tableau1_2[[#This Row],[Quantité]]*Tableau1_2[[#This Row],[Prix_Unitaire]]</f>
        <v>35000</v>
      </c>
      <c r="Q1636">
        <f>Tableau1_2[[#This Row],[Quantité]]*Tableau1_2[[#This Row],[Coût_Unitaire]]</f>
        <v>19500</v>
      </c>
      <c r="R1636">
        <f>Tableau1_2[[#This Row],[CA]]-Tableau1_2[[#This Row],[Cout Total]]</f>
        <v>15500</v>
      </c>
      <c r="S1636" s="4">
        <f>Tableau1_2[[#This Row],[Marge]]/Tableau1_2[[#This Row],[CA]]</f>
        <v>0.44285714285714284</v>
      </c>
      <c r="T1636" t="str">
        <f>TEXT(Tableau1_2[[#This Row],[Date]],"mmmm")</f>
        <v>mai</v>
      </c>
    </row>
    <row r="1637" spans="1:20" x14ac:dyDescent="0.35">
      <c r="A1637" t="s">
        <v>2679</v>
      </c>
      <c r="B1637" s="2">
        <v>46026</v>
      </c>
      <c r="C1637" t="s">
        <v>1759</v>
      </c>
      <c r="D1637" t="s">
        <v>530</v>
      </c>
      <c r="E1637" t="s">
        <v>156</v>
      </c>
      <c r="F1637" t="s">
        <v>170</v>
      </c>
      <c r="G1637" t="s">
        <v>28</v>
      </c>
      <c r="H1637" t="s">
        <v>72</v>
      </c>
      <c r="I1637">
        <v>5</v>
      </c>
      <c r="J1637">
        <v>10000</v>
      </c>
      <c r="K1637">
        <v>6400</v>
      </c>
      <c r="L1637" t="s">
        <v>96</v>
      </c>
      <c r="M1637" t="s">
        <v>31</v>
      </c>
      <c r="N1637" t="s">
        <v>52</v>
      </c>
      <c r="O1637" t="s">
        <v>45</v>
      </c>
      <c r="P1637">
        <f>Tableau1_2[[#This Row],[Quantité]]*Tableau1_2[[#This Row],[Prix_Unitaire]]</f>
        <v>50000</v>
      </c>
      <c r="Q1637">
        <f>Tableau1_2[[#This Row],[Quantité]]*Tableau1_2[[#This Row],[Coût_Unitaire]]</f>
        <v>32000</v>
      </c>
      <c r="R1637">
        <f>Tableau1_2[[#This Row],[CA]]-Tableau1_2[[#This Row],[Cout Total]]</f>
        <v>18000</v>
      </c>
      <c r="S1637" s="4">
        <f>Tableau1_2[[#This Row],[Marge]]/Tableau1_2[[#This Row],[CA]]</f>
        <v>0.36</v>
      </c>
      <c r="T1637" t="str">
        <f>TEXT(Tableau1_2[[#This Row],[Date]],"mmmm")</f>
        <v>janvier</v>
      </c>
    </row>
    <row r="1638" spans="1:20" x14ac:dyDescent="0.35">
      <c r="A1638" t="s">
        <v>2680</v>
      </c>
      <c r="B1638" s="2">
        <v>46115</v>
      </c>
      <c r="C1638" t="s">
        <v>1444</v>
      </c>
      <c r="D1638" t="s">
        <v>524</v>
      </c>
      <c r="E1638" t="s">
        <v>77</v>
      </c>
      <c r="F1638" t="s">
        <v>78</v>
      </c>
      <c r="G1638" t="s">
        <v>34</v>
      </c>
      <c r="H1638" t="s">
        <v>86</v>
      </c>
      <c r="I1638">
        <v>8</v>
      </c>
      <c r="J1638">
        <v>171000</v>
      </c>
      <c r="K1638">
        <v>139000</v>
      </c>
      <c r="L1638" t="s">
        <v>30</v>
      </c>
      <c r="M1638" t="s">
        <v>37</v>
      </c>
      <c r="N1638" t="s">
        <v>23</v>
      </c>
      <c r="O1638" t="s">
        <v>24</v>
      </c>
      <c r="P1638">
        <f>Tableau1_2[[#This Row],[Quantité]]*Tableau1_2[[#This Row],[Prix_Unitaire]]</f>
        <v>1368000</v>
      </c>
      <c r="Q1638">
        <f>Tableau1_2[[#This Row],[Quantité]]*Tableau1_2[[#This Row],[Coût_Unitaire]]</f>
        <v>1112000</v>
      </c>
      <c r="R1638">
        <f>Tableau1_2[[#This Row],[CA]]-Tableau1_2[[#This Row],[Cout Total]]</f>
        <v>256000</v>
      </c>
      <c r="S1638" s="4">
        <f>Tableau1_2[[#This Row],[Marge]]/Tableau1_2[[#This Row],[CA]]</f>
        <v>0.1871345029239766</v>
      </c>
      <c r="T1638" t="str">
        <f>TEXT(Tableau1_2[[#This Row],[Date]],"mmmm")</f>
        <v>avril</v>
      </c>
    </row>
    <row r="1639" spans="1:20" x14ac:dyDescent="0.35">
      <c r="A1639" t="s">
        <v>2681</v>
      </c>
      <c r="B1639" s="2">
        <v>46071</v>
      </c>
      <c r="C1639" t="s">
        <v>1424</v>
      </c>
      <c r="D1639" t="s">
        <v>2682</v>
      </c>
      <c r="E1639" t="s">
        <v>41</v>
      </c>
      <c r="F1639" t="s">
        <v>42</v>
      </c>
      <c r="G1639" t="s">
        <v>43</v>
      </c>
      <c r="H1639" t="s">
        <v>44</v>
      </c>
      <c r="I1639">
        <v>5</v>
      </c>
      <c r="J1639">
        <v>14200</v>
      </c>
      <c r="K1639">
        <v>9200</v>
      </c>
      <c r="L1639" t="s">
        <v>36</v>
      </c>
      <c r="M1639" t="s">
        <v>37</v>
      </c>
      <c r="N1639" t="s">
        <v>23</v>
      </c>
      <c r="O1639" t="s">
        <v>24</v>
      </c>
      <c r="P1639">
        <f>Tableau1_2[[#This Row],[Quantité]]*Tableau1_2[[#This Row],[Prix_Unitaire]]</f>
        <v>71000</v>
      </c>
      <c r="Q1639">
        <f>Tableau1_2[[#This Row],[Quantité]]*Tableau1_2[[#This Row],[Coût_Unitaire]]</f>
        <v>46000</v>
      </c>
      <c r="R1639">
        <f>Tableau1_2[[#This Row],[CA]]-Tableau1_2[[#This Row],[Cout Total]]</f>
        <v>25000</v>
      </c>
      <c r="S1639" s="4">
        <f>Tableau1_2[[#This Row],[Marge]]/Tableau1_2[[#This Row],[CA]]</f>
        <v>0.352112676056338</v>
      </c>
      <c r="T1639" t="str">
        <f>TEXT(Tableau1_2[[#This Row],[Date]],"mmmm")</f>
        <v>février</v>
      </c>
    </row>
    <row r="1640" spans="1:20" x14ac:dyDescent="0.35">
      <c r="A1640" t="s">
        <v>2683</v>
      </c>
      <c r="B1640" s="2">
        <v>46328</v>
      </c>
      <c r="C1640" t="s">
        <v>578</v>
      </c>
      <c r="D1640" t="s">
        <v>1303</v>
      </c>
      <c r="E1640" t="s">
        <v>84</v>
      </c>
      <c r="F1640" t="s">
        <v>85</v>
      </c>
      <c r="G1640" t="s">
        <v>34</v>
      </c>
      <c r="H1640" t="s">
        <v>86</v>
      </c>
      <c r="I1640">
        <v>7</v>
      </c>
      <c r="J1640">
        <v>180000</v>
      </c>
      <c r="K1640">
        <v>131000</v>
      </c>
      <c r="L1640" t="s">
        <v>96</v>
      </c>
      <c r="M1640" t="s">
        <v>37</v>
      </c>
      <c r="N1640" t="s">
        <v>23</v>
      </c>
      <c r="O1640" t="s">
        <v>24</v>
      </c>
      <c r="P1640">
        <f>Tableau1_2[[#This Row],[Quantité]]*Tableau1_2[[#This Row],[Prix_Unitaire]]</f>
        <v>1260000</v>
      </c>
      <c r="Q1640">
        <f>Tableau1_2[[#This Row],[Quantité]]*Tableau1_2[[#This Row],[Coût_Unitaire]]</f>
        <v>917000</v>
      </c>
      <c r="R1640">
        <f>Tableau1_2[[#This Row],[CA]]-Tableau1_2[[#This Row],[Cout Total]]</f>
        <v>343000</v>
      </c>
      <c r="S1640" s="4">
        <f>Tableau1_2[[#This Row],[Marge]]/Tableau1_2[[#This Row],[CA]]</f>
        <v>0.2722222222222222</v>
      </c>
      <c r="T1640" t="str">
        <f>TEXT(Tableau1_2[[#This Row],[Date]],"mmmm")</f>
        <v>novembre</v>
      </c>
    </row>
    <row r="1641" spans="1:20" x14ac:dyDescent="0.35">
      <c r="A1641" t="s">
        <v>2684</v>
      </c>
      <c r="B1641" s="2">
        <v>46083</v>
      </c>
      <c r="C1641" t="s">
        <v>1575</v>
      </c>
      <c r="D1641" t="s">
        <v>728</v>
      </c>
      <c r="E1641" t="s">
        <v>18</v>
      </c>
      <c r="F1641" t="s">
        <v>18</v>
      </c>
      <c r="G1641" t="s">
        <v>2685</v>
      </c>
      <c r="H1641" t="s">
        <v>131</v>
      </c>
      <c r="I1641">
        <v>1</v>
      </c>
      <c r="J1641">
        <v>31500</v>
      </c>
      <c r="K1641">
        <v>19600</v>
      </c>
      <c r="L1641" t="s">
        <v>66</v>
      </c>
      <c r="M1641" t="s">
        <v>37</v>
      </c>
      <c r="N1641" t="s">
        <v>23</v>
      </c>
      <c r="O1641" t="s">
        <v>24</v>
      </c>
      <c r="P1641">
        <f>Tableau1_2[[#This Row],[Quantité]]*Tableau1_2[[#This Row],[Prix_Unitaire]]</f>
        <v>31500</v>
      </c>
      <c r="Q1641">
        <f>Tableau1_2[[#This Row],[Quantité]]*Tableau1_2[[#This Row],[Coût_Unitaire]]</f>
        <v>19600</v>
      </c>
      <c r="R1641">
        <f>Tableau1_2[[#This Row],[CA]]-Tableau1_2[[#This Row],[Cout Total]]</f>
        <v>11900</v>
      </c>
      <c r="S1641" s="4">
        <f>Tableau1_2[[#This Row],[Marge]]/Tableau1_2[[#This Row],[CA]]</f>
        <v>0.37777777777777777</v>
      </c>
      <c r="T1641" t="str">
        <f>TEXT(Tableau1_2[[#This Row],[Date]],"mmmm")</f>
        <v>mars</v>
      </c>
    </row>
    <row r="1642" spans="1:20" x14ac:dyDescent="0.35">
      <c r="A1642" t="s">
        <v>2686</v>
      </c>
      <c r="B1642" s="2">
        <v>46136</v>
      </c>
      <c r="C1642" t="s">
        <v>997</v>
      </c>
      <c r="D1642" t="s">
        <v>570</v>
      </c>
      <c r="E1642" t="s">
        <v>77</v>
      </c>
      <c r="F1642" t="s">
        <v>78</v>
      </c>
      <c r="G1642" t="s">
        <v>43</v>
      </c>
      <c r="H1642" t="s">
        <v>79</v>
      </c>
      <c r="I1642">
        <v>5</v>
      </c>
      <c r="J1642">
        <v>6000</v>
      </c>
      <c r="K1642">
        <v>4100</v>
      </c>
      <c r="L1642" t="s">
        <v>50</v>
      </c>
      <c r="M1642" t="s">
        <v>51</v>
      </c>
      <c r="N1642" t="s">
        <v>87</v>
      </c>
      <c r="O1642" t="s">
        <v>24</v>
      </c>
      <c r="P1642">
        <f>Tableau1_2[[#This Row],[Quantité]]*Tableau1_2[[#This Row],[Prix_Unitaire]]</f>
        <v>30000</v>
      </c>
      <c r="Q1642">
        <f>Tableau1_2[[#This Row],[Quantité]]*Tableau1_2[[#This Row],[Coût_Unitaire]]</f>
        <v>20500</v>
      </c>
      <c r="R1642">
        <f>Tableau1_2[[#This Row],[CA]]-Tableau1_2[[#This Row],[Cout Total]]</f>
        <v>9500</v>
      </c>
      <c r="S1642" s="4">
        <f>Tableau1_2[[#This Row],[Marge]]/Tableau1_2[[#This Row],[CA]]</f>
        <v>0.31666666666666665</v>
      </c>
      <c r="T1642" t="str">
        <f>TEXT(Tableau1_2[[#This Row],[Date]],"mmmm")</f>
        <v>avril</v>
      </c>
    </row>
    <row r="1643" spans="1:20" x14ac:dyDescent="0.35">
      <c r="A1643" t="s">
        <v>2687</v>
      </c>
      <c r="B1643" s="2">
        <v>46380</v>
      </c>
      <c r="C1643" t="s">
        <v>2559</v>
      </c>
      <c r="D1643" t="s">
        <v>866</v>
      </c>
      <c r="E1643" t="s">
        <v>190</v>
      </c>
      <c r="F1643" t="s">
        <v>191</v>
      </c>
      <c r="G1643" t="s">
        <v>34</v>
      </c>
      <c r="H1643" t="s">
        <v>35</v>
      </c>
      <c r="I1643">
        <v>6</v>
      </c>
      <c r="J1643">
        <v>55000</v>
      </c>
      <c r="K1643">
        <v>39000</v>
      </c>
      <c r="L1643" t="s">
        <v>50</v>
      </c>
      <c r="M1643" t="s">
        <v>51</v>
      </c>
      <c r="N1643" t="s">
        <v>52</v>
      </c>
      <c r="O1643" t="s">
        <v>24</v>
      </c>
      <c r="P1643">
        <f>Tableau1_2[[#This Row],[Quantité]]*Tableau1_2[[#This Row],[Prix_Unitaire]]</f>
        <v>330000</v>
      </c>
      <c r="Q1643">
        <f>Tableau1_2[[#This Row],[Quantité]]*Tableau1_2[[#This Row],[Coût_Unitaire]]</f>
        <v>234000</v>
      </c>
      <c r="R1643">
        <f>Tableau1_2[[#This Row],[CA]]-Tableau1_2[[#This Row],[Cout Total]]</f>
        <v>96000</v>
      </c>
      <c r="S1643" s="4">
        <f>Tableau1_2[[#This Row],[Marge]]/Tableau1_2[[#This Row],[CA]]</f>
        <v>0.29090909090909089</v>
      </c>
      <c r="T1643" t="str">
        <f>TEXT(Tableau1_2[[#This Row],[Date]],"mmmm")</f>
        <v>décembre</v>
      </c>
    </row>
    <row r="1644" spans="1:20" x14ac:dyDescent="0.35">
      <c r="A1644" t="s">
        <v>2688</v>
      </c>
      <c r="B1644" s="2">
        <v>46319</v>
      </c>
      <c r="C1644" t="s">
        <v>952</v>
      </c>
      <c r="D1644" t="s">
        <v>388</v>
      </c>
      <c r="E1644" t="s">
        <v>56</v>
      </c>
      <c r="F1644" t="s">
        <v>57</v>
      </c>
      <c r="G1644" t="s">
        <v>34</v>
      </c>
      <c r="H1644" t="s">
        <v>86</v>
      </c>
      <c r="I1644">
        <v>8</v>
      </c>
      <c r="J1644">
        <v>180000</v>
      </c>
      <c r="K1644">
        <v>131000</v>
      </c>
      <c r="L1644" t="s">
        <v>80</v>
      </c>
      <c r="M1644" t="s">
        <v>51</v>
      </c>
      <c r="N1644" t="s">
        <v>87</v>
      </c>
      <c r="O1644" t="s">
        <v>91</v>
      </c>
      <c r="P1644">
        <f>Tableau1_2[[#This Row],[Quantité]]*Tableau1_2[[#This Row],[Prix_Unitaire]]</f>
        <v>1440000</v>
      </c>
      <c r="Q1644">
        <f>Tableau1_2[[#This Row],[Quantité]]*Tableau1_2[[#This Row],[Coût_Unitaire]]</f>
        <v>1048000</v>
      </c>
      <c r="R1644">
        <f>Tableau1_2[[#This Row],[CA]]-Tableau1_2[[#This Row],[Cout Total]]</f>
        <v>392000</v>
      </c>
      <c r="S1644" s="4">
        <f>Tableau1_2[[#This Row],[Marge]]/Tableau1_2[[#This Row],[CA]]</f>
        <v>0.2722222222222222</v>
      </c>
      <c r="T1644" t="str">
        <f>TEXT(Tableau1_2[[#This Row],[Date]],"mmmm")</f>
        <v>octobre</v>
      </c>
    </row>
    <row r="1645" spans="1:20" x14ac:dyDescent="0.35">
      <c r="A1645" t="s">
        <v>2689</v>
      </c>
      <c r="B1645" s="2">
        <v>46342</v>
      </c>
      <c r="C1645" t="s">
        <v>1076</v>
      </c>
      <c r="D1645" t="s">
        <v>969</v>
      </c>
      <c r="E1645" t="s">
        <v>56</v>
      </c>
      <c r="F1645" t="s">
        <v>57</v>
      </c>
      <c r="G1645" t="s">
        <v>34</v>
      </c>
      <c r="H1645" t="s">
        <v>35</v>
      </c>
      <c r="I1645">
        <v>9</v>
      </c>
      <c r="J1645">
        <v>55000</v>
      </c>
      <c r="K1645">
        <v>39000</v>
      </c>
      <c r="L1645" t="s">
        <v>36</v>
      </c>
      <c r="M1645" t="s">
        <v>31</v>
      </c>
      <c r="N1645" t="s">
        <v>52</v>
      </c>
      <c r="O1645" t="s">
        <v>45</v>
      </c>
      <c r="P1645">
        <f>Tableau1_2[[#This Row],[Quantité]]*Tableau1_2[[#This Row],[Prix_Unitaire]]</f>
        <v>495000</v>
      </c>
      <c r="Q1645">
        <f>Tableau1_2[[#This Row],[Quantité]]*Tableau1_2[[#This Row],[Coût_Unitaire]]</f>
        <v>351000</v>
      </c>
      <c r="R1645">
        <f>Tableau1_2[[#This Row],[CA]]-Tableau1_2[[#This Row],[Cout Total]]</f>
        <v>144000</v>
      </c>
      <c r="S1645" s="4">
        <f>Tableau1_2[[#This Row],[Marge]]/Tableau1_2[[#This Row],[CA]]</f>
        <v>0.29090909090909089</v>
      </c>
      <c r="T1645" t="str">
        <f>TEXT(Tableau1_2[[#This Row],[Date]],"mmmm")</f>
        <v>novembre</v>
      </c>
    </row>
    <row r="1646" spans="1:20" x14ac:dyDescent="0.35">
      <c r="A1646" t="s">
        <v>2690</v>
      </c>
      <c r="B1646" s="2">
        <v>46272</v>
      </c>
      <c r="C1646" t="s">
        <v>759</v>
      </c>
      <c r="D1646" t="s">
        <v>1052</v>
      </c>
      <c r="E1646" t="s">
        <v>190</v>
      </c>
      <c r="F1646" t="s">
        <v>191</v>
      </c>
      <c r="G1646" t="s">
        <v>34</v>
      </c>
      <c r="H1646" t="s">
        <v>86</v>
      </c>
      <c r="I1646">
        <v>9</v>
      </c>
      <c r="J1646">
        <v>180000</v>
      </c>
      <c r="K1646">
        <v>135000</v>
      </c>
      <c r="L1646" t="s">
        <v>50</v>
      </c>
      <c r="M1646" t="s">
        <v>37</v>
      </c>
      <c r="N1646" t="s">
        <v>52</v>
      </c>
      <c r="O1646" t="s">
        <v>24</v>
      </c>
      <c r="P1646">
        <f>Tableau1_2[[#This Row],[Quantité]]*Tableau1_2[[#This Row],[Prix_Unitaire]]</f>
        <v>1620000</v>
      </c>
      <c r="Q1646">
        <f>Tableau1_2[[#This Row],[Quantité]]*Tableau1_2[[#This Row],[Coût_Unitaire]]</f>
        <v>1215000</v>
      </c>
      <c r="R1646">
        <f>Tableau1_2[[#This Row],[CA]]-Tableau1_2[[#This Row],[Cout Total]]</f>
        <v>405000</v>
      </c>
      <c r="S1646" s="4">
        <f>Tableau1_2[[#This Row],[Marge]]/Tableau1_2[[#This Row],[CA]]</f>
        <v>0.25</v>
      </c>
      <c r="T1646" t="str">
        <f>TEXT(Tableau1_2[[#This Row],[Date]],"mmmm")</f>
        <v>septembre</v>
      </c>
    </row>
    <row r="1647" spans="1:20" x14ac:dyDescent="0.35">
      <c r="A1647" t="s">
        <v>2691</v>
      </c>
      <c r="B1647" s="2">
        <v>46295</v>
      </c>
      <c r="C1647" t="s">
        <v>702</v>
      </c>
      <c r="D1647" t="s">
        <v>1384</v>
      </c>
      <c r="E1647" t="s">
        <v>77</v>
      </c>
      <c r="F1647" t="s">
        <v>78</v>
      </c>
      <c r="G1647" t="s">
        <v>28</v>
      </c>
      <c r="H1647" t="s">
        <v>131</v>
      </c>
      <c r="I1647">
        <v>3</v>
      </c>
      <c r="J1647">
        <v>31500</v>
      </c>
      <c r="K1647">
        <v>19600</v>
      </c>
      <c r="L1647" t="s">
        <v>21</v>
      </c>
      <c r="M1647" t="s">
        <v>31</v>
      </c>
      <c r="N1647" t="s">
        <v>52</v>
      </c>
      <c r="O1647" t="s">
        <v>45</v>
      </c>
      <c r="P1647">
        <f>Tableau1_2[[#This Row],[Quantité]]*Tableau1_2[[#This Row],[Prix_Unitaire]]</f>
        <v>94500</v>
      </c>
      <c r="Q1647">
        <f>Tableau1_2[[#This Row],[Quantité]]*Tableau1_2[[#This Row],[Coût_Unitaire]]</f>
        <v>58800</v>
      </c>
      <c r="R1647">
        <f>Tableau1_2[[#This Row],[CA]]-Tableau1_2[[#This Row],[Cout Total]]</f>
        <v>35700</v>
      </c>
      <c r="S1647" s="4">
        <f>Tableau1_2[[#This Row],[Marge]]/Tableau1_2[[#This Row],[CA]]</f>
        <v>0.37777777777777777</v>
      </c>
      <c r="T1647" t="str">
        <f>TEXT(Tableau1_2[[#This Row],[Date]],"mmmm")</f>
        <v>septembre</v>
      </c>
    </row>
    <row r="1648" spans="1:20" x14ac:dyDescent="0.35">
      <c r="A1648" t="s">
        <v>2692</v>
      </c>
      <c r="B1648" s="2">
        <v>46347</v>
      </c>
      <c r="C1648" t="s">
        <v>795</v>
      </c>
      <c r="D1648" t="s">
        <v>241</v>
      </c>
      <c r="E1648" t="s">
        <v>70</v>
      </c>
      <c r="F1648" t="s">
        <v>71</v>
      </c>
      <c r="G1648" t="s">
        <v>34</v>
      </c>
      <c r="H1648" t="s">
        <v>35</v>
      </c>
      <c r="I1648">
        <v>2</v>
      </c>
      <c r="J1648">
        <v>55000</v>
      </c>
      <c r="K1648">
        <v>40200</v>
      </c>
      <c r="L1648" t="s">
        <v>21</v>
      </c>
      <c r="M1648" t="s">
        <v>37</v>
      </c>
      <c r="N1648" t="s">
        <v>87</v>
      </c>
      <c r="O1648" t="s">
        <v>24</v>
      </c>
      <c r="P1648">
        <f>Tableau1_2[[#This Row],[Quantité]]*Tableau1_2[[#This Row],[Prix_Unitaire]]</f>
        <v>110000</v>
      </c>
      <c r="Q1648">
        <f>Tableau1_2[[#This Row],[Quantité]]*Tableau1_2[[#This Row],[Coût_Unitaire]]</f>
        <v>80400</v>
      </c>
      <c r="R1648">
        <f>Tableau1_2[[#This Row],[CA]]-Tableau1_2[[#This Row],[Cout Total]]</f>
        <v>29600</v>
      </c>
      <c r="S1648" s="4">
        <f>Tableau1_2[[#This Row],[Marge]]/Tableau1_2[[#This Row],[CA]]</f>
        <v>0.2690909090909091</v>
      </c>
      <c r="T1648" t="str">
        <f>TEXT(Tableau1_2[[#This Row],[Date]],"mmmm")</f>
        <v>novembre</v>
      </c>
    </row>
    <row r="1649" spans="1:20" x14ac:dyDescent="0.35">
      <c r="A1649" t="s">
        <v>2693</v>
      </c>
      <c r="B1649" s="2">
        <v>46332</v>
      </c>
      <c r="C1649" t="s">
        <v>2342</v>
      </c>
      <c r="D1649" t="s">
        <v>422</v>
      </c>
      <c r="E1649" t="s">
        <v>41</v>
      </c>
      <c r="F1649" t="s">
        <v>42</v>
      </c>
      <c r="G1649" t="s">
        <v>19</v>
      </c>
      <c r="H1649" t="s">
        <v>20</v>
      </c>
      <c r="I1649">
        <v>3</v>
      </c>
      <c r="J1649">
        <v>65000</v>
      </c>
      <c r="K1649">
        <v>43600</v>
      </c>
      <c r="L1649" t="s">
        <v>50</v>
      </c>
      <c r="M1649" t="s">
        <v>22</v>
      </c>
      <c r="N1649" t="s">
        <v>23</v>
      </c>
      <c r="O1649" t="s">
        <v>24</v>
      </c>
      <c r="P1649">
        <f>Tableau1_2[[#This Row],[Quantité]]*Tableau1_2[[#This Row],[Prix_Unitaire]]</f>
        <v>195000</v>
      </c>
      <c r="Q1649">
        <f>Tableau1_2[[#This Row],[Quantité]]*Tableau1_2[[#This Row],[Coût_Unitaire]]</f>
        <v>130800</v>
      </c>
      <c r="R1649">
        <f>Tableau1_2[[#This Row],[CA]]-Tableau1_2[[#This Row],[Cout Total]]</f>
        <v>64200</v>
      </c>
      <c r="S1649" s="4">
        <f>Tableau1_2[[#This Row],[Marge]]/Tableau1_2[[#This Row],[CA]]</f>
        <v>0.32923076923076922</v>
      </c>
      <c r="T1649" t="str">
        <f>TEXT(Tableau1_2[[#This Row],[Date]],"mmmm")</f>
        <v>novembre</v>
      </c>
    </row>
    <row r="1650" spans="1:20" x14ac:dyDescent="0.35">
      <c r="A1650" t="s">
        <v>2694</v>
      </c>
      <c r="B1650" s="2">
        <v>46152</v>
      </c>
      <c r="C1650" t="s">
        <v>1356</v>
      </c>
      <c r="D1650" t="s">
        <v>203</v>
      </c>
      <c r="E1650" t="s">
        <v>77</v>
      </c>
      <c r="F1650" t="s">
        <v>78</v>
      </c>
      <c r="G1650" t="s">
        <v>43</v>
      </c>
      <c r="H1650" t="s">
        <v>177</v>
      </c>
      <c r="I1650">
        <v>1</v>
      </c>
      <c r="J1650">
        <v>18000</v>
      </c>
      <c r="K1650">
        <v>12500</v>
      </c>
      <c r="L1650" t="s">
        <v>30</v>
      </c>
      <c r="M1650" t="s">
        <v>37</v>
      </c>
      <c r="N1650" t="s">
        <v>87</v>
      </c>
      <c r="O1650" t="s">
        <v>24</v>
      </c>
      <c r="P1650">
        <f>Tableau1_2[[#This Row],[Quantité]]*Tableau1_2[[#This Row],[Prix_Unitaire]]</f>
        <v>18000</v>
      </c>
      <c r="Q1650">
        <f>Tableau1_2[[#This Row],[Quantité]]*Tableau1_2[[#This Row],[Coût_Unitaire]]</f>
        <v>12500</v>
      </c>
      <c r="R1650">
        <f>Tableau1_2[[#This Row],[CA]]-Tableau1_2[[#This Row],[Cout Total]]</f>
        <v>5500</v>
      </c>
      <c r="S1650" s="4">
        <f>Tableau1_2[[#This Row],[Marge]]/Tableau1_2[[#This Row],[CA]]</f>
        <v>0.30555555555555558</v>
      </c>
      <c r="T1650" t="str">
        <f>TEXT(Tableau1_2[[#This Row],[Date]],"mmmm")</f>
        <v>mai</v>
      </c>
    </row>
    <row r="1651" spans="1:20" x14ac:dyDescent="0.35">
      <c r="A1651" t="s">
        <v>2695</v>
      </c>
      <c r="B1651" s="2">
        <v>46233</v>
      </c>
      <c r="C1651" t="s">
        <v>2118</v>
      </c>
      <c r="D1651" t="s">
        <v>533</v>
      </c>
      <c r="E1651" t="s">
        <v>18</v>
      </c>
      <c r="F1651" t="s">
        <v>18</v>
      </c>
      <c r="G1651" t="s">
        <v>34</v>
      </c>
      <c r="H1651" t="s">
        <v>158</v>
      </c>
      <c r="I1651">
        <v>4</v>
      </c>
      <c r="J1651">
        <v>90200</v>
      </c>
      <c r="K1651">
        <v>70000</v>
      </c>
      <c r="L1651" t="s">
        <v>30</v>
      </c>
      <c r="M1651" t="s">
        <v>51</v>
      </c>
      <c r="N1651" t="s">
        <v>23</v>
      </c>
      <c r="O1651" t="s">
        <v>91</v>
      </c>
      <c r="P1651">
        <f>Tableau1_2[[#This Row],[Quantité]]*Tableau1_2[[#This Row],[Prix_Unitaire]]</f>
        <v>360800</v>
      </c>
      <c r="Q1651">
        <f>Tableau1_2[[#This Row],[Quantité]]*Tableau1_2[[#This Row],[Coût_Unitaire]]</f>
        <v>280000</v>
      </c>
      <c r="R1651">
        <f>Tableau1_2[[#This Row],[CA]]-Tableau1_2[[#This Row],[Cout Total]]</f>
        <v>80800</v>
      </c>
      <c r="S1651" s="4">
        <f>Tableau1_2[[#This Row],[Marge]]/Tableau1_2[[#This Row],[CA]]</f>
        <v>0.22394678492239467</v>
      </c>
      <c r="T1651" t="str">
        <f>TEXT(Tableau1_2[[#This Row],[Date]],"mmmm")</f>
        <v>juillet</v>
      </c>
    </row>
    <row r="1652" spans="1:20" x14ac:dyDescent="0.35">
      <c r="A1652" t="s">
        <v>2696</v>
      </c>
      <c r="B1652" s="2">
        <v>46273</v>
      </c>
      <c r="C1652" t="s">
        <v>1353</v>
      </c>
      <c r="D1652" t="s">
        <v>149</v>
      </c>
      <c r="E1652" t="s">
        <v>18</v>
      </c>
      <c r="F1652" t="s">
        <v>18</v>
      </c>
      <c r="G1652" t="s">
        <v>28</v>
      </c>
      <c r="H1652" t="s">
        <v>72</v>
      </c>
      <c r="I1652">
        <v>5</v>
      </c>
      <c r="J1652">
        <v>10000</v>
      </c>
      <c r="K1652">
        <v>6200</v>
      </c>
      <c r="L1652" t="s">
        <v>80</v>
      </c>
      <c r="M1652" t="s">
        <v>37</v>
      </c>
      <c r="N1652" t="s">
        <v>52</v>
      </c>
      <c r="O1652" t="s">
        <v>24</v>
      </c>
      <c r="P1652">
        <f>Tableau1_2[[#This Row],[Quantité]]*Tableau1_2[[#This Row],[Prix_Unitaire]]</f>
        <v>50000</v>
      </c>
      <c r="Q1652">
        <f>Tableau1_2[[#This Row],[Quantité]]*Tableau1_2[[#This Row],[Coût_Unitaire]]</f>
        <v>31000</v>
      </c>
      <c r="R1652">
        <f>Tableau1_2[[#This Row],[CA]]-Tableau1_2[[#This Row],[Cout Total]]</f>
        <v>19000</v>
      </c>
      <c r="S1652" s="4">
        <f>Tableau1_2[[#This Row],[Marge]]/Tableau1_2[[#This Row],[CA]]</f>
        <v>0.38</v>
      </c>
      <c r="T1652" t="str">
        <f>TEXT(Tableau1_2[[#This Row],[Date]],"mmmm")</f>
        <v>septembre</v>
      </c>
    </row>
    <row r="1653" spans="1:20" x14ac:dyDescent="0.35">
      <c r="A1653" t="s">
        <v>2697</v>
      </c>
      <c r="B1653" s="2">
        <v>46059</v>
      </c>
      <c r="C1653" t="s">
        <v>2430</v>
      </c>
      <c r="D1653" t="s">
        <v>1330</v>
      </c>
      <c r="E1653" t="s">
        <v>70</v>
      </c>
      <c r="F1653" t="s">
        <v>71</v>
      </c>
      <c r="G1653" t="s">
        <v>34</v>
      </c>
      <c r="H1653" t="s">
        <v>86</v>
      </c>
      <c r="I1653">
        <v>5</v>
      </c>
      <c r="J1653">
        <v>189000</v>
      </c>
      <c r="K1653">
        <v>135000</v>
      </c>
      <c r="L1653" t="s">
        <v>30</v>
      </c>
      <c r="M1653" t="s">
        <v>37</v>
      </c>
      <c r="N1653" t="s">
        <v>23</v>
      </c>
      <c r="O1653" t="s">
        <v>24</v>
      </c>
      <c r="P1653">
        <f>Tableau1_2[[#This Row],[Quantité]]*Tableau1_2[[#This Row],[Prix_Unitaire]]</f>
        <v>945000</v>
      </c>
      <c r="Q1653">
        <f>Tableau1_2[[#This Row],[Quantité]]*Tableau1_2[[#This Row],[Coût_Unitaire]]</f>
        <v>675000</v>
      </c>
      <c r="R1653">
        <f>Tableau1_2[[#This Row],[CA]]-Tableau1_2[[#This Row],[Cout Total]]</f>
        <v>270000</v>
      </c>
      <c r="S1653" s="4">
        <f>Tableau1_2[[#This Row],[Marge]]/Tableau1_2[[#This Row],[CA]]</f>
        <v>0.2857142857142857</v>
      </c>
      <c r="T1653" t="str">
        <f>TEXT(Tableau1_2[[#This Row],[Date]],"mmmm")</f>
        <v>février</v>
      </c>
    </row>
    <row r="1654" spans="1:20" x14ac:dyDescent="0.35">
      <c r="A1654" t="s">
        <v>2698</v>
      </c>
      <c r="B1654" s="2">
        <v>46346</v>
      </c>
      <c r="C1654" t="s">
        <v>638</v>
      </c>
      <c r="D1654" t="s">
        <v>291</v>
      </c>
      <c r="E1654" t="s">
        <v>156</v>
      </c>
      <c r="F1654" t="s">
        <v>157</v>
      </c>
      <c r="G1654" t="s">
        <v>28</v>
      </c>
      <c r="H1654" t="s">
        <v>248</v>
      </c>
      <c r="I1654">
        <v>9</v>
      </c>
      <c r="J1654">
        <v>25000</v>
      </c>
      <c r="K1654">
        <v>16500</v>
      </c>
      <c r="L1654" t="s">
        <v>30</v>
      </c>
      <c r="M1654" t="s">
        <v>37</v>
      </c>
      <c r="N1654" t="s">
        <v>23</v>
      </c>
      <c r="O1654" t="s">
        <v>24</v>
      </c>
      <c r="P1654">
        <f>Tableau1_2[[#This Row],[Quantité]]*Tableau1_2[[#This Row],[Prix_Unitaire]]</f>
        <v>225000</v>
      </c>
      <c r="Q1654">
        <f>Tableau1_2[[#This Row],[Quantité]]*Tableau1_2[[#This Row],[Coût_Unitaire]]</f>
        <v>148500</v>
      </c>
      <c r="R1654">
        <f>Tableau1_2[[#This Row],[CA]]-Tableau1_2[[#This Row],[Cout Total]]</f>
        <v>76500</v>
      </c>
      <c r="S1654" s="4">
        <f>Tableau1_2[[#This Row],[Marge]]/Tableau1_2[[#This Row],[CA]]</f>
        <v>0.34</v>
      </c>
      <c r="T1654" t="str">
        <f>TEXT(Tableau1_2[[#This Row],[Date]],"mmmm")</f>
        <v>novembre</v>
      </c>
    </row>
    <row r="1655" spans="1:20" x14ac:dyDescent="0.35">
      <c r="A1655" t="s">
        <v>2699</v>
      </c>
      <c r="B1655" s="2">
        <v>46281</v>
      </c>
      <c r="C1655" t="s">
        <v>1770</v>
      </c>
      <c r="D1655" t="s">
        <v>385</v>
      </c>
      <c r="E1655" t="s">
        <v>84</v>
      </c>
      <c r="F1655" t="s">
        <v>85</v>
      </c>
      <c r="G1655" t="s">
        <v>34</v>
      </c>
      <c r="H1655" t="s">
        <v>158</v>
      </c>
      <c r="I1655">
        <v>8</v>
      </c>
      <c r="J1655">
        <v>95000</v>
      </c>
      <c r="K1655">
        <v>72100</v>
      </c>
      <c r="L1655" t="s">
        <v>73</v>
      </c>
      <c r="M1655" t="s">
        <v>37</v>
      </c>
      <c r="N1655" t="s">
        <v>52</v>
      </c>
      <c r="O1655" t="s">
        <v>24</v>
      </c>
      <c r="P1655">
        <f>Tableau1_2[[#This Row],[Quantité]]*Tableau1_2[[#This Row],[Prix_Unitaire]]</f>
        <v>760000</v>
      </c>
      <c r="Q1655">
        <f>Tableau1_2[[#This Row],[Quantité]]*Tableau1_2[[#This Row],[Coût_Unitaire]]</f>
        <v>576800</v>
      </c>
      <c r="R1655">
        <f>Tableau1_2[[#This Row],[CA]]-Tableau1_2[[#This Row],[Cout Total]]</f>
        <v>183200</v>
      </c>
      <c r="S1655" s="4">
        <f>Tableau1_2[[#This Row],[Marge]]/Tableau1_2[[#This Row],[CA]]</f>
        <v>0.24105263157894738</v>
      </c>
      <c r="T1655" t="str">
        <f>TEXT(Tableau1_2[[#This Row],[Date]],"mmmm")</f>
        <v>septembre</v>
      </c>
    </row>
    <row r="1656" spans="1:20" x14ac:dyDescent="0.35">
      <c r="A1656" t="s">
        <v>2700</v>
      </c>
      <c r="B1656" s="2">
        <v>46199</v>
      </c>
      <c r="C1656" t="s">
        <v>331</v>
      </c>
      <c r="D1656" t="s">
        <v>755</v>
      </c>
      <c r="E1656" t="s">
        <v>190</v>
      </c>
      <c r="F1656" t="s">
        <v>191</v>
      </c>
      <c r="G1656" t="s">
        <v>34</v>
      </c>
      <c r="H1656" t="s">
        <v>95</v>
      </c>
      <c r="I1656">
        <v>6</v>
      </c>
      <c r="J1656">
        <v>472500</v>
      </c>
      <c r="K1656">
        <v>370000</v>
      </c>
      <c r="L1656" t="s">
        <v>73</v>
      </c>
      <c r="M1656" t="s">
        <v>22</v>
      </c>
      <c r="N1656" t="s">
        <v>23</v>
      </c>
      <c r="O1656" t="s">
        <v>24</v>
      </c>
      <c r="P1656">
        <f>Tableau1_2[[#This Row],[Quantité]]*Tableau1_2[[#This Row],[Prix_Unitaire]]</f>
        <v>2835000</v>
      </c>
      <c r="Q1656">
        <f>Tableau1_2[[#This Row],[Quantité]]*Tableau1_2[[#This Row],[Coût_Unitaire]]</f>
        <v>2220000</v>
      </c>
      <c r="R1656">
        <f>Tableau1_2[[#This Row],[CA]]-Tableau1_2[[#This Row],[Cout Total]]</f>
        <v>615000</v>
      </c>
      <c r="S1656" s="4">
        <f>Tableau1_2[[#This Row],[Marge]]/Tableau1_2[[#This Row],[CA]]</f>
        <v>0.21693121693121692</v>
      </c>
      <c r="T1656" t="str">
        <f>TEXT(Tableau1_2[[#This Row],[Date]],"mmmm")</f>
        <v>juin</v>
      </c>
    </row>
    <row r="1657" spans="1:20" x14ac:dyDescent="0.35">
      <c r="A1657" t="s">
        <v>2701</v>
      </c>
      <c r="B1657" s="2">
        <v>46101</v>
      </c>
      <c r="C1657" t="s">
        <v>730</v>
      </c>
      <c r="D1657" t="s">
        <v>456</v>
      </c>
      <c r="E1657" t="s">
        <v>41</v>
      </c>
      <c r="F1657" t="s">
        <v>42</v>
      </c>
      <c r="G1657" t="s">
        <v>34</v>
      </c>
      <c r="H1657" t="s">
        <v>86</v>
      </c>
      <c r="I1657">
        <v>1</v>
      </c>
      <c r="J1657">
        <v>180000</v>
      </c>
      <c r="K1657">
        <v>131000</v>
      </c>
      <c r="L1657" t="s">
        <v>96</v>
      </c>
      <c r="M1657" t="s">
        <v>22</v>
      </c>
      <c r="N1657" t="s">
        <v>87</v>
      </c>
      <c r="O1657" t="s">
        <v>24</v>
      </c>
      <c r="P1657">
        <f>Tableau1_2[[#This Row],[Quantité]]*Tableau1_2[[#This Row],[Prix_Unitaire]]</f>
        <v>180000</v>
      </c>
      <c r="Q1657">
        <f>Tableau1_2[[#This Row],[Quantité]]*Tableau1_2[[#This Row],[Coût_Unitaire]]</f>
        <v>131000</v>
      </c>
      <c r="R1657">
        <f>Tableau1_2[[#This Row],[CA]]-Tableau1_2[[#This Row],[Cout Total]]</f>
        <v>49000</v>
      </c>
      <c r="S1657" s="4">
        <f>Tableau1_2[[#This Row],[Marge]]/Tableau1_2[[#This Row],[CA]]</f>
        <v>0.2722222222222222</v>
      </c>
      <c r="T1657" t="str">
        <f>TEXT(Tableau1_2[[#This Row],[Date]],"mmmm")</f>
        <v>mars</v>
      </c>
    </row>
    <row r="1658" spans="1:20" x14ac:dyDescent="0.35">
      <c r="A1658" t="s">
        <v>2702</v>
      </c>
      <c r="B1658" s="2">
        <v>46140</v>
      </c>
      <c r="C1658" t="s">
        <v>1465</v>
      </c>
      <c r="D1658" t="s">
        <v>244</v>
      </c>
      <c r="E1658" t="s">
        <v>18</v>
      </c>
      <c r="F1658" t="s">
        <v>18</v>
      </c>
      <c r="G1658" t="s">
        <v>43</v>
      </c>
      <c r="H1658" t="s">
        <v>177</v>
      </c>
      <c r="I1658">
        <v>1</v>
      </c>
      <c r="J1658">
        <v>18900</v>
      </c>
      <c r="K1658">
        <v>12900</v>
      </c>
      <c r="L1658" t="s">
        <v>30</v>
      </c>
      <c r="M1658" t="s">
        <v>31</v>
      </c>
      <c r="N1658" t="s">
        <v>23</v>
      </c>
      <c r="O1658" t="s">
        <v>45</v>
      </c>
      <c r="P1658">
        <f>Tableau1_2[[#This Row],[Quantité]]*Tableau1_2[[#This Row],[Prix_Unitaire]]</f>
        <v>18900</v>
      </c>
      <c r="Q1658">
        <f>Tableau1_2[[#This Row],[Quantité]]*Tableau1_2[[#This Row],[Coût_Unitaire]]</f>
        <v>12900</v>
      </c>
      <c r="R1658">
        <f>Tableau1_2[[#This Row],[CA]]-Tableau1_2[[#This Row],[Cout Total]]</f>
        <v>6000</v>
      </c>
      <c r="S1658" s="4">
        <f>Tableau1_2[[#This Row],[Marge]]/Tableau1_2[[#This Row],[CA]]</f>
        <v>0.31746031746031744</v>
      </c>
      <c r="T1658" t="str">
        <f>TEXT(Tableau1_2[[#This Row],[Date]],"mmmm")</f>
        <v>avril</v>
      </c>
    </row>
    <row r="1659" spans="1:20" x14ac:dyDescent="0.35">
      <c r="A1659" t="s">
        <v>2703</v>
      </c>
      <c r="B1659" s="2">
        <v>46246</v>
      </c>
      <c r="C1659" t="s">
        <v>2328</v>
      </c>
      <c r="D1659" t="s">
        <v>2461</v>
      </c>
      <c r="E1659" t="s">
        <v>70</v>
      </c>
      <c r="F1659" t="s">
        <v>71</v>
      </c>
      <c r="G1659" t="s">
        <v>34</v>
      </c>
      <c r="H1659" t="s">
        <v>158</v>
      </c>
      <c r="I1659">
        <v>2</v>
      </c>
      <c r="J1659">
        <v>90200</v>
      </c>
      <c r="K1659">
        <v>70000</v>
      </c>
      <c r="L1659" t="s">
        <v>50</v>
      </c>
      <c r="M1659" t="s">
        <v>31</v>
      </c>
      <c r="N1659" t="s">
        <v>52</v>
      </c>
      <c r="O1659" t="s">
        <v>24</v>
      </c>
      <c r="P1659">
        <f>Tableau1_2[[#This Row],[Quantité]]*Tableau1_2[[#This Row],[Prix_Unitaire]]</f>
        <v>180400</v>
      </c>
      <c r="Q1659">
        <f>Tableau1_2[[#This Row],[Quantité]]*Tableau1_2[[#This Row],[Coût_Unitaire]]</f>
        <v>140000</v>
      </c>
      <c r="R1659">
        <f>Tableau1_2[[#This Row],[CA]]-Tableau1_2[[#This Row],[Cout Total]]</f>
        <v>40400</v>
      </c>
      <c r="S1659" s="4">
        <f>Tableau1_2[[#This Row],[Marge]]/Tableau1_2[[#This Row],[CA]]</f>
        <v>0.22394678492239467</v>
      </c>
      <c r="T1659" t="str">
        <f>TEXT(Tableau1_2[[#This Row],[Date]],"mmmm")</f>
        <v>août</v>
      </c>
    </row>
    <row r="1660" spans="1:20" x14ac:dyDescent="0.35">
      <c r="A1660" t="s">
        <v>2704</v>
      </c>
      <c r="B1660" s="2">
        <v>46276</v>
      </c>
      <c r="C1660" t="s">
        <v>1042</v>
      </c>
      <c r="D1660" t="s">
        <v>105</v>
      </c>
      <c r="E1660" t="s">
        <v>70</v>
      </c>
      <c r="F1660" t="s">
        <v>71</v>
      </c>
      <c r="G1660" t="s">
        <v>43</v>
      </c>
      <c r="H1660" t="s">
        <v>79</v>
      </c>
      <c r="I1660">
        <v>4</v>
      </c>
      <c r="J1660">
        <v>6000</v>
      </c>
      <c r="K1660">
        <v>4300</v>
      </c>
      <c r="L1660" t="s">
        <v>80</v>
      </c>
      <c r="M1660" t="s">
        <v>51</v>
      </c>
      <c r="N1660" t="s">
        <v>23</v>
      </c>
      <c r="O1660" t="s">
        <v>24</v>
      </c>
      <c r="P1660">
        <f>Tableau1_2[[#This Row],[Quantité]]*Tableau1_2[[#This Row],[Prix_Unitaire]]</f>
        <v>24000</v>
      </c>
      <c r="Q1660">
        <f>Tableau1_2[[#This Row],[Quantité]]*Tableau1_2[[#This Row],[Coût_Unitaire]]</f>
        <v>17200</v>
      </c>
      <c r="R1660">
        <f>Tableau1_2[[#This Row],[CA]]-Tableau1_2[[#This Row],[Cout Total]]</f>
        <v>6800</v>
      </c>
      <c r="S1660" s="4">
        <f>Tableau1_2[[#This Row],[Marge]]/Tableau1_2[[#This Row],[CA]]</f>
        <v>0.28333333333333333</v>
      </c>
      <c r="T1660" t="str">
        <f>TEXT(Tableau1_2[[#This Row],[Date]],"mmmm")</f>
        <v>septembre</v>
      </c>
    </row>
    <row r="1661" spans="1:20" x14ac:dyDescent="0.35">
      <c r="A1661" t="s">
        <v>2705</v>
      </c>
      <c r="B1661" s="2">
        <v>46349</v>
      </c>
      <c r="C1661" t="s">
        <v>497</v>
      </c>
      <c r="D1661" t="s">
        <v>278</v>
      </c>
      <c r="E1661" t="s">
        <v>18</v>
      </c>
      <c r="F1661" t="s">
        <v>18</v>
      </c>
      <c r="G1661" t="s">
        <v>28</v>
      </c>
      <c r="H1661" t="s">
        <v>131</v>
      </c>
      <c r="I1661">
        <v>9</v>
      </c>
      <c r="J1661">
        <v>30000</v>
      </c>
      <c r="K1661">
        <v>19600</v>
      </c>
      <c r="L1661" t="s">
        <v>50</v>
      </c>
      <c r="M1661" t="s">
        <v>31</v>
      </c>
      <c r="N1661" t="s">
        <v>23</v>
      </c>
      <c r="O1661" t="s">
        <v>24</v>
      </c>
      <c r="P1661">
        <f>Tableau1_2[[#This Row],[Quantité]]*Tableau1_2[[#This Row],[Prix_Unitaire]]</f>
        <v>270000</v>
      </c>
      <c r="Q1661">
        <f>Tableau1_2[[#This Row],[Quantité]]*Tableau1_2[[#This Row],[Coût_Unitaire]]</f>
        <v>176400</v>
      </c>
      <c r="R1661">
        <f>Tableau1_2[[#This Row],[CA]]-Tableau1_2[[#This Row],[Cout Total]]</f>
        <v>93600</v>
      </c>
      <c r="S1661" s="4">
        <f>Tableau1_2[[#This Row],[Marge]]/Tableau1_2[[#This Row],[CA]]</f>
        <v>0.34666666666666668</v>
      </c>
      <c r="T1661" t="str">
        <f>TEXT(Tableau1_2[[#This Row],[Date]],"mmmm")</f>
        <v>novembre</v>
      </c>
    </row>
    <row r="1662" spans="1:20" x14ac:dyDescent="0.35">
      <c r="A1662" t="s">
        <v>2707</v>
      </c>
      <c r="B1662" s="2">
        <v>46136</v>
      </c>
      <c r="C1662" t="s">
        <v>799</v>
      </c>
      <c r="D1662" t="s">
        <v>229</v>
      </c>
      <c r="E1662" t="s">
        <v>41</v>
      </c>
      <c r="F1662" t="s">
        <v>42</v>
      </c>
      <c r="G1662" t="s">
        <v>34</v>
      </c>
      <c r="H1662" t="s">
        <v>86</v>
      </c>
      <c r="I1662">
        <v>10</v>
      </c>
      <c r="J1662">
        <v>180000</v>
      </c>
      <c r="K1662">
        <v>131000</v>
      </c>
      <c r="L1662" t="s">
        <v>50</v>
      </c>
      <c r="M1662" t="s">
        <v>31</v>
      </c>
      <c r="N1662" t="s">
        <v>23</v>
      </c>
      <c r="O1662" t="s">
        <v>24</v>
      </c>
      <c r="P1662">
        <f>Tableau1_2[[#This Row],[Quantité]]*Tableau1_2[[#This Row],[Prix_Unitaire]]</f>
        <v>1800000</v>
      </c>
      <c r="Q1662">
        <f>Tableau1_2[[#This Row],[Quantité]]*Tableau1_2[[#This Row],[Coût_Unitaire]]</f>
        <v>1310000</v>
      </c>
      <c r="R1662">
        <f>Tableau1_2[[#This Row],[CA]]-Tableau1_2[[#This Row],[Cout Total]]</f>
        <v>490000</v>
      </c>
      <c r="S1662" s="4">
        <f>Tableau1_2[[#This Row],[Marge]]/Tableau1_2[[#This Row],[CA]]</f>
        <v>0.2722222222222222</v>
      </c>
      <c r="T1662" t="str">
        <f>TEXT(Tableau1_2[[#This Row],[Date]],"mmmm")</f>
        <v>avril</v>
      </c>
    </row>
    <row r="1663" spans="1:20" x14ac:dyDescent="0.35">
      <c r="A1663" t="s">
        <v>2708</v>
      </c>
      <c r="B1663" s="2">
        <v>46073</v>
      </c>
      <c r="C1663" t="s">
        <v>361</v>
      </c>
      <c r="D1663" t="s">
        <v>1551</v>
      </c>
      <c r="E1663" t="s">
        <v>41</v>
      </c>
      <c r="F1663" t="s">
        <v>42</v>
      </c>
      <c r="G1663" t="s">
        <v>28</v>
      </c>
      <c r="H1663" t="s">
        <v>72</v>
      </c>
      <c r="I1663">
        <v>1</v>
      </c>
      <c r="J1663">
        <v>10500</v>
      </c>
      <c r="K1663">
        <v>6400</v>
      </c>
      <c r="L1663" t="s">
        <v>80</v>
      </c>
      <c r="M1663" t="s">
        <v>31</v>
      </c>
      <c r="N1663" t="s">
        <v>23</v>
      </c>
      <c r="O1663" t="s">
        <v>24</v>
      </c>
      <c r="P1663">
        <f>Tableau1_2[[#This Row],[Quantité]]*Tableau1_2[[#This Row],[Prix_Unitaire]]</f>
        <v>10500</v>
      </c>
      <c r="Q1663">
        <f>Tableau1_2[[#This Row],[Quantité]]*Tableau1_2[[#This Row],[Coût_Unitaire]]</f>
        <v>6400</v>
      </c>
      <c r="R1663">
        <f>Tableau1_2[[#This Row],[CA]]-Tableau1_2[[#This Row],[Cout Total]]</f>
        <v>4100</v>
      </c>
      <c r="S1663" s="4">
        <f>Tableau1_2[[#This Row],[Marge]]/Tableau1_2[[#This Row],[CA]]</f>
        <v>0.39047619047619048</v>
      </c>
      <c r="T1663" t="str">
        <f>TEXT(Tableau1_2[[#This Row],[Date]],"mmmm")</f>
        <v>février</v>
      </c>
    </row>
    <row r="1664" spans="1:20" x14ac:dyDescent="0.35">
      <c r="A1664" t="s">
        <v>2709</v>
      </c>
      <c r="B1664" s="2">
        <v>46154</v>
      </c>
      <c r="C1664" t="s">
        <v>2559</v>
      </c>
      <c r="D1664" t="s">
        <v>775</v>
      </c>
      <c r="E1664" t="s">
        <v>18</v>
      </c>
      <c r="F1664" t="s">
        <v>18</v>
      </c>
      <c r="G1664" t="s">
        <v>34</v>
      </c>
      <c r="H1664" t="s">
        <v>158</v>
      </c>
      <c r="I1664">
        <v>10</v>
      </c>
      <c r="J1664">
        <v>99800</v>
      </c>
      <c r="K1664">
        <v>67900</v>
      </c>
      <c r="L1664" t="s">
        <v>96</v>
      </c>
      <c r="M1664" t="s">
        <v>37</v>
      </c>
      <c r="N1664" t="s">
        <v>52</v>
      </c>
      <c r="O1664" t="s">
        <v>45</v>
      </c>
      <c r="P1664">
        <f>Tableau1_2[[#This Row],[Quantité]]*Tableau1_2[[#This Row],[Prix_Unitaire]]</f>
        <v>998000</v>
      </c>
      <c r="Q1664">
        <f>Tableau1_2[[#This Row],[Quantité]]*Tableau1_2[[#This Row],[Coût_Unitaire]]</f>
        <v>679000</v>
      </c>
      <c r="R1664">
        <f>Tableau1_2[[#This Row],[CA]]-Tableau1_2[[#This Row],[Cout Total]]</f>
        <v>319000</v>
      </c>
      <c r="S1664" s="4">
        <f>Tableau1_2[[#This Row],[Marge]]/Tableau1_2[[#This Row],[CA]]</f>
        <v>0.31963927855711421</v>
      </c>
      <c r="T1664" t="str">
        <f>TEXT(Tableau1_2[[#This Row],[Date]],"mmmm")</f>
        <v>mai</v>
      </c>
    </row>
    <row r="1665" spans="1:20" x14ac:dyDescent="0.35">
      <c r="A1665" t="s">
        <v>2710</v>
      </c>
      <c r="B1665" s="2">
        <v>46154</v>
      </c>
      <c r="C1665" t="s">
        <v>759</v>
      </c>
      <c r="D1665" t="s">
        <v>108</v>
      </c>
      <c r="E1665" t="s">
        <v>56</v>
      </c>
      <c r="F1665" t="s">
        <v>57</v>
      </c>
      <c r="G1665" t="s">
        <v>28</v>
      </c>
      <c r="H1665" t="s">
        <v>248</v>
      </c>
      <c r="I1665">
        <v>7</v>
      </c>
      <c r="J1665">
        <v>23800</v>
      </c>
      <c r="K1665">
        <v>16000</v>
      </c>
      <c r="L1665" t="s">
        <v>96</v>
      </c>
      <c r="M1665" t="s">
        <v>31</v>
      </c>
      <c r="N1665" t="s">
        <v>52</v>
      </c>
      <c r="O1665" t="s">
        <v>24</v>
      </c>
      <c r="P1665">
        <f>Tableau1_2[[#This Row],[Quantité]]*Tableau1_2[[#This Row],[Prix_Unitaire]]</f>
        <v>166600</v>
      </c>
      <c r="Q1665">
        <f>Tableau1_2[[#This Row],[Quantité]]*Tableau1_2[[#This Row],[Coût_Unitaire]]</f>
        <v>112000</v>
      </c>
      <c r="R1665">
        <f>Tableau1_2[[#This Row],[CA]]-Tableau1_2[[#This Row],[Cout Total]]</f>
        <v>54600</v>
      </c>
      <c r="S1665" s="4">
        <f>Tableau1_2[[#This Row],[Marge]]/Tableau1_2[[#This Row],[CA]]</f>
        <v>0.32773109243697479</v>
      </c>
      <c r="T1665" t="str">
        <f>TEXT(Tableau1_2[[#This Row],[Date]],"mmmm")</f>
        <v>mai</v>
      </c>
    </row>
    <row r="1666" spans="1:20" x14ac:dyDescent="0.35">
      <c r="A1666" t="s">
        <v>2711</v>
      </c>
      <c r="B1666" s="2">
        <v>46085</v>
      </c>
      <c r="C1666" t="s">
        <v>1437</v>
      </c>
      <c r="D1666" t="s">
        <v>1262</v>
      </c>
      <c r="E1666" t="s">
        <v>84</v>
      </c>
      <c r="F1666" t="s">
        <v>85</v>
      </c>
      <c r="G1666" t="s">
        <v>34</v>
      </c>
      <c r="H1666" t="s">
        <v>141</v>
      </c>
      <c r="I1666">
        <v>8</v>
      </c>
      <c r="J1666">
        <v>152000</v>
      </c>
      <c r="K1666">
        <v>123600</v>
      </c>
      <c r="L1666" t="s">
        <v>36</v>
      </c>
      <c r="M1666" t="s">
        <v>37</v>
      </c>
      <c r="N1666" t="s">
        <v>23</v>
      </c>
      <c r="O1666" t="s">
        <v>24</v>
      </c>
      <c r="P1666">
        <f>Tableau1_2[[#This Row],[Quantité]]*Tableau1_2[[#This Row],[Prix_Unitaire]]</f>
        <v>1216000</v>
      </c>
      <c r="Q1666">
        <f>Tableau1_2[[#This Row],[Quantité]]*Tableau1_2[[#This Row],[Coût_Unitaire]]</f>
        <v>988800</v>
      </c>
      <c r="R1666">
        <f>Tableau1_2[[#This Row],[CA]]-Tableau1_2[[#This Row],[Cout Total]]</f>
        <v>227200</v>
      </c>
      <c r="S1666" s="4">
        <f>Tableau1_2[[#This Row],[Marge]]/Tableau1_2[[#This Row],[CA]]</f>
        <v>0.18684210526315789</v>
      </c>
      <c r="T1666" t="str">
        <f>TEXT(Tableau1_2[[#This Row],[Date]],"mmmm")</f>
        <v>mars</v>
      </c>
    </row>
    <row r="1667" spans="1:20" x14ac:dyDescent="0.35">
      <c r="A1667" t="s">
        <v>2712</v>
      </c>
      <c r="B1667" s="2">
        <v>46278</v>
      </c>
      <c r="C1667" t="s">
        <v>513</v>
      </c>
      <c r="D1667" t="s">
        <v>1956</v>
      </c>
      <c r="E1667" t="s">
        <v>190</v>
      </c>
      <c r="F1667" t="s">
        <v>191</v>
      </c>
      <c r="G1667" t="s">
        <v>19</v>
      </c>
      <c r="H1667" t="s">
        <v>112</v>
      </c>
      <c r="I1667">
        <v>5</v>
      </c>
      <c r="J1667">
        <v>85000</v>
      </c>
      <c r="K1667">
        <v>62000</v>
      </c>
      <c r="L1667" t="s">
        <v>21</v>
      </c>
      <c r="M1667" t="s">
        <v>37</v>
      </c>
      <c r="N1667" t="s">
        <v>87</v>
      </c>
      <c r="O1667" t="s">
        <v>24</v>
      </c>
      <c r="P1667">
        <f>Tableau1_2[[#This Row],[Quantité]]*Tableau1_2[[#This Row],[Prix_Unitaire]]</f>
        <v>425000</v>
      </c>
      <c r="Q1667">
        <f>Tableau1_2[[#This Row],[Quantité]]*Tableau1_2[[#This Row],[Coût_Unitaire]]</f>
        <v>310000</v>
      </c>
      <c r="R1667">
        <f>Tableau1_2[[#This Row],[CA]]-Tableau1_2[[#This Row],[Cout Total]]</f>
        <v>115000</v>
      </c>
      <c r="S1667" s="4">
        <f>Tableau1_2[[#This Row],[Marge]]/Tableau1_2[[#This Row],[CA]]</f>
        <v>0.27058823529411763</v>
      </c>
      <c r="T1667" t="str">
        <f>TEXT(Tableau1_2[[#This Row],[Date]],"mmmm")</f>
        <v>septembre</v>
      </c>
    </row>
    <row r="1668" spans="1:20" x14ac:dyDescent="0.35">
      <c r="A1668" t="s">
        <v>2713</v>
      </c>
      <c r="B1668" s="2">
        <v>46341</v>
      </c>
      <c r="C1668" t="s">
        <v>446</v>
      </c>
      <c r="D1668" t="s">
        <v>1120</v>
      </c>
      <c r="E1668" t="s">
        <v>156</v>
      </c>
      <c r="F1668" t="s">
        <v>157</v>
      </c>
      <c r="G1668" t="s">
        <v>34</v>
      </c>
      <c r="H1668" t="s">
        <v>141</v>
      </c>
      <c r="I1668">
        <v>1</v>
      </c>
      <c r="J1668">
        <v>160000</v>
      </c>
      <c r="K1668">
        <v>120000</v>
      </c>
      <c r="L1668" t="s">
        <v>66</v>
      </c>
      <c r="M1668" t="s">
        <v>37</v>
      </c>
      <c r="N1668" t="s">
        <v>23</v>
      </c>
      <c r="O1668" t="s">
        <v>24</v>
      </c>
      <c r="P1668">
        <f>Tableau1_2[[#This Row],[Quantité]]*Tableau1_2[[#This Row],[Prix_Unitaire]]</f>
        <v>160000</v>
      </c>
      <c r="Q1668">
        <f>Tableau1_2[[#This Row],[Quantité]]*Tableau1_2[[#This Row],[Coût_Unitaire]]</f>
        <v>120000</v>
      </c>
      <c r="R1668">
        <f>Tableau1_2[[#This Row],[CA]]-Tableau1_2[[#This Row],[Cout Total]]</f>
        <v>40000</v>
      </c>
      <c r="S1668" s="4">
        <f>Tableau1_2[[#This Row],[Marge]]/Tableau1_2[[#This Row],[CA]]</f>
        <v>0.25</v>
      </c>
      <c r="T1668" t="str">
        <f>TEXT(Tableau1_2[[#This Row],[Date]],"mmmm")</f>
        <v>novembre</v>
      </c>
    </row>
    <row r="1669" spans="1:20" x14ac:dyDescent="0.35">
      <c r="A1669" t="s">
        <v>2714</v>
      </c>
      <c r="B1669" s="2">
        <v>46301</v>
      </c>
      <c r="C1669" t="s">
        <v>685</v>
      </c>
      <c r="D1669" t="s">
        <v>1299</v>
      </c>
      <c r="E1669" t="s">
        <v>41</v>
      </c>
      <c r="F1669" t="s">
        <v>42</v>
      </c>
      <c r="G1669" t="s">
        <v>28</v>
      </c>
      <c r="H1669" t="s">
        <v>131</v>
      </c>
      <c r="I1669">
        <v>9</v>
      </c>
      <c r="J1669">
        <v>30000</v>
      </c>
      <c r="K1669">
        <v>19600</v>
      </c>
      <c r="L1669" t="s">
        <v>73</v>
      </c>
      <c r="M1669" t="s">
        <v>51</v>
      </c>
      <c r="N1669" t="s">
        <v>87</v>
      </c>
      <c r="O1669" t="s">
        <v>24</v>
      </c>
      <c r="P1669">
        <f>Tableau1_2[[#This Row],[Quantité]]*Tableau1_2[[#This Row],[Prix_Unitaire]]</f>
        <v>270000</v>
      </c>
      <c r="Q1669">
        <f>Tableau1_2[[#This Row],[Quantité]]*Tableau1_2[[#This Row],[Coût_Unitaire]]</f>
        <v>176400</v>
      </c>
      <c r="R1669">
        <f>Tableau1_2[[#This Row],[CA]]-Tableau1_2[[#This Row],[Cout Total]]</f>
        <v>93600</v>
      </c>
      <c r="S1669" s="4">
        <f>Tableau1_2[[#This Row],[Marge]]/Tableau1_2[[#This Row],[CA]]</f>
        <v>0.34666666666666668</v>
      </c>
      <c r="T1669" t="str">
        <f>TEXT(Tableau1_2[[#This Row],[Date]],"mmmm")</f>
        <v>octobre</v>
      </c>
    </row>
    <row r="1670" spans="1:20" x14ac:dyDescent="0.35">
      <c r="A1670" t="s">
        <v>2715</v>
      </c>
      <c r="B1670" s="2">
        <v>46079</v>
      </c>
      <c r="C1670" t="s">
        <v>1069</v>
      </c>
      <c r="D1670" t="s">
        <v>747</v>
      </c>
      <c r="E1670" t="s">
        <v>18</v>
      </c>
      <c r="F1670" t="s">
        <v>18</v>
      </c>
      <c r="G1670" t="s">
        <v>43</v>
      </c>
      <c r="H1670" t="s">
        <v>49</v>
      </c>
      <c r="I1670">
        <v>1</v>
      </c>
      <c r="J1670">
        <v>8600</v>
      </c>
      <c r="K1670">
        <v>5600</v>
      </c>
      <c r="L1670" t="s">
        <v>80</v>
      </c>
      <c r="M1670" t="s">
        <v>31</v>
      </c>
      <c r="N1670" t="s">
        <v>52</v>
      </c>
      <c r="O1670" t="s">
        <v>45</v>
      </c>
      <c r="P1670">
        <f>Tableau1_2[[#This Row],[Quantité]]*Tableau1_2[[#This Row],[Prix_Unitaire]]</f>
        <v>8600</v>
      </c>
      <c r="Q1670">
        <f>Tableau1_2[[#This Row],[Quantité]]*Tableau1_2[[#This Row],[Coût_Unitaire]]</f>
        <v>5600</v>
      </c>
      <c r="R1670">
        <f>Tableau1_2[[#This Row],[CA]]-Tableau1_2[[#This Row],[Cout Total]]</f>
        <v>3000</v>
      </c>
      <c r="S1670" s="4">
        <f>Tableau1_2[[#This Row],[Marge]]/Tableau1_2[[#This Row],[CA]]</f>
        <v>0.34883720930232559</v>
      </c>
      <c r="T1670" t="str">
        <f>TEXT(Tableau1_2[[#This Row],[Date]],"mmmm")</f>
        <v>février</v>
      </c>
    </row>
    <row r="1671" spans="1:20" x14ac:dyDescent="0.35">
      <c r="A1671" t="s">
        <v>2716</v>
      </c>
      <c r="B1671" s="2">
        <v>46059</v>
      </c>
      <c r="C1671" t="s">
        <v>1237</v>
      </c>
      <c r="D1671" t="s">
        <v>189</v>
      </c>
      <c r="E1671" t="s">
        <v>70</v>
      </c>
      <c r="F1671" t="s">
        <v>71</v>
      </c>
      <c r="G1671" t="s">
        <v>19</v>
      </c>
      <c r="H1671" t="s">
        <v>166</v>
      </c>
      <c r="I1671">
        <v>9</v>
      </c>
      <c r="J1671">
        <v>133000</v>
      </c>
      <c r="K1671">
        <v>97000</v>
      </c>
      <c r="L1671" t="s">
        <v>66</v>
      </c>
      <c r="M1671" t="s">
        <v>31</v>
      </c>
      <c r="N1671" t="s">
        <v>52</v>
      </c>
      <c r="O1671" t="s">
        <v>24</v>
      </c>
      <c r="P1671">
        <f>Tableau1_2[[#This Row],[Quantité]]*Tableau1_2[[#This Row],[Prix_Unitaire]]</f>
        <v>1197000</v>
      </c>
      <c r="Q1671">
        <f>Tableau1_2[[#This Row],[Quantité]]*Tableau1_2[[#This Row],[Coût_Unitaire]]</f>
        <v>873000</v>
      </c>
      <c r="R1671">
        <f>Tableau1_2[[#This Row],[CA]]-Tableau1_2[[#This Row],[Cout Total]]</f>
        <v>324000</v>
      </c>
      <c r="S1671" s="4">
        <f>Tableau1_2[[#This Row],[Marge]]/Tableau1_2[[#This Row],[CA]]</f>
        <v>0.27067669172932329</v>
      </c>
      <c r="T1671" t="str">
        <f>TEXT(Tableau1_2[[#This Row],[Date]],"mmmm")</f>
        <v>février</v>
      </c>
    </row>
    <row r="1672" spans="1:20" x14ac:dyDescent="0.35">
      <c r="A1672" t="s">
        <v>2717</v>
      </c>
      <c r="B1672" s="2">
        <v>46090</v>
      </c>
      <c r="C1672" t="s">
        <v>311</v>
      </c>
      <c r="D1672" t="s">
        <v>1396</v>
      </c>
      <c r="E1672" t="s">
        <v>41</v>
      </c>
      <c r="F1672" t="s">
        <v>42</v>
      </c>
      <c r="G1672" t="s">
        <v>34</v>
      </c>
      <c r="H1672" t="s">
        <v>158</v>
      </c>
      <c r="I1672">
        <v>10</v>
      </c>
      <c r="J1672">
        <v>99800</v>
      </c>
      <c r="K1672">
        <v>72100</v>
      </c>
      <c r="L1672" t="s">
        <v>66</v>
      </c>
      <c r="M1672" t="s">
        <v>37</v>
      </c>
      <c r="N1672" t="s">
        <v>23</v>
      </c>
      <c r="O1672" t="s">
        <v>24</v>
      </c>
      <c r="P1672">
        <f>Tableau1_2[[#This Row],[Quantité]]*Tableau1_2[[#This Row],[Prix_Unitaire]]</f>
        <v>998000</v>
      </c>
      <c r="Q1672">
        <f>Tableau1_2[[#This Row],[Quantité]]*Tableau1_2[[#This Row],[Coût_Unitaire]]</f>
        <v>721000</v>
      </c>
      <c r="R1672">
        <f>Tableau1_2[[#This Row],[CA]]-Tableau1_2[[#This Row],[Cout Total]]</f>
        <v>277000</v>
      </c>
      <c r="S1672" s="4">
        <f>Tableau1_2[[#This Row],[Marge]]/Tableau1_2[[#This Row],[CA]]</f>
        <v>0.27755511022044088</v>
      </c>
      <c r="T1672" t="str">
        <f>TEXT(Tableau1_2[[#This Row],[Date]],"mmmm")</f>
        <v>mars</v>
      </c>
    </row>
    <row r="1673" spans="1:20" x14ac:dyDescent="0.35">
      <c r="A1673" t="s">
        <v>2718</v>
      </c>
      <c r="B1673" s="2">
        <v>46191</v>
      </c>
      <c r="C1673" t="s">
        <v>506</v>
      </c>
      <c r="D1673" t="s">
        <v>408</v>
      </c>
      <c r="E1673" t="s">
        <v>18</v>
      </c>
      <c r="F1673" t="s">
        <v>18</v>
      </c>
      <c r="G1673" t="s">
        <v>28</v>
      </c>
      <c r="H1673" t="s">
        <v>65</v>
      </c>
      <c r="I1673">
        <v>9</v>
      </c>
      <c r="J1673">
        <v>12000</v>
      </c>
      <c r="K1673">
        <v>7700</v>
      </c>
      <c r="L1673" t="s">
        <v>50</v>
      </c>
      <c r="M1673" t="s">
        <v>31</v>
      </c>
      <c r="N1673" t="s">
        <v>23</v>
      </c>
      <c r="O1673" t="s">
        <v>91</v>
      </c>
      <c r="P1673">
        <f>Tableau1_2[[#This Row],[Quantité]]*Tableau1_2[[#This Row],[Prix_Unitaire]]</f>
        <v>108000</v>
      </c>
      <c r="Q1673">
        <f>Tableau1_2[[#This Row],[Quantité]]*Tableau1_2[[#This Row],[Coût_Unitaire]]</f>
        <v>69300</v>
      </c>
      <c r="R1673">
        <f>Tableau1_2[[#This Row],[CA]]-Tableau1_2[[#This Row],[Cout Total]]</f>
        <v>38700</v>
      </c>
      <c r="S1673" s="4">
        <f>Tableau1_2[[#This Row],[Marge]]/Tableau1_2[[#This Row],[CA]]</f>
        <v>0.35833333333333334</v>
      </c>
      <c r="T1673" t="str">
        <f>TEXT(Tableau1_2[[#This Row],[Date]],"mmmm")</f>
        <v>juin</v>
      </c>
    </row>
    <row r="1674" spans="1:20" x14ac:dyDescent="0.35">
      <c r="A1674" t="s">
        <v>2719</v>
      </c>
      <c r="B1674" s="2">
        <v>46193</v>
      </c>
      <c r="C1674" t="s">
        <v>1509</v>
      </c>
      <c r="D1674" t="s">
        <v>667</v>
      </c>
      <c r="E1674" t="s">
        <v>77</v>
      </c>
      <c r="F1674" t="s">
        <v>78</v>
      </c>
      <c r="G1674" t="s">
        <v>19</v>
      </c>
      <c r="H1674" t="s">
        <v>112</v>
      </c>
      <c r="I1674">
        <v>2</v>
      </c>
      <c r="J1674">
        <v>80800</v>
      </c>
      <c r="K1674">
        <v>62000</v>
      </c>
      <c r="L1674" t="s">
        <v>50</v>
      </c>
      <c r="M1674" t="s">
        <v>37</v>
      </c>
      <c r="N1674" t="s">
        <v>23</v>
      </c>
      <c r="O1674" t="s">
        <v>45</v>
      </c>
      <c r="P1674">
        <f>Tableau1_2[[#This Row],[Quantité]]*Tableau1_2[[#This Row],[Prix_Unitaire]]</f>
        <v>161600</v>
      </c>
      <c r="Q1674">
        <f>Tableau1_2[[#This Row],[Quantité]]*Tableau1_2[[#This Row],[Coût_Unitaire]]</f>
        <v>124000</v>
      </c>
      <c r="R1674">
        <f>Tableau1_2[[#This Row],[CA]]-Tableau1_2[[#This Row],[Cout Total]]</f>
        <v>37600</v>
      </c>
      <c r="S1674" s="4">
        <f>Tableau1_2[[#This Row],[Marge]]/Tableau1_2[[#This Row],[CA]]</f>
        <v>0.23267326732673269</v>
      </c>
      <c r="T1674" t="str">
        <f>TEXT(Tableau1_2[[#This Row],[Date]],"mmmm")</f>
        <v>juin</v>
      </c>
    </row>
    <row r="1675" spans="1:20" x14ac:dyDescent="0.35">
      <c r="A1675" t="s">
        <v>2720</v>
      </c>
      <c r="B1675" s="2">
        <v>46097</v>
      </c>
      <c r="C1675" t="s">
        <v>179</v>
      </c>
      <c r="D1675" t="s">
        <v>2721</v>
      </c>
      <c r="E1675" t="s">
        <v>18</v>
      </c>
      <c r="F1675" t="s">
        <v>18</v>
      </c>
      <c r="G1675" t="s">
        <v>28</v>
      </c>
      <c r="H1675" t="s">
        <v>248</v>
      </c>
      <c r="I1675">
        <v>5</v>
      </c>
      <c r="J1675">
        <v>25000</v>
      </c>
      <c r="K1675">
        <v>16000</v>
      </c>
      <c r="L1675" t="s">
        <v>21</v>
      </c>
      <c r="M1675" t="s">
        <v>37</v>
      </c>
      <c r="N1675" t="s">
        <v>87</v>
      </c>
      <c r="O1675" t="s">
        <v>24</v>
      </c>
      <c r="P1675">
        <f>Tableau1_2[[#This Row],[Quantité]]*Tableau1_2[[#This Row],[Prix_Unitaire]]</f>
        <v>125000</v>
      </c>
      <c r="Q1675">
        <f>Tableau1_2[[#This Row],[Quantité]]*Tableau1_2[[#This Row],[Coût_Unitaire]]</f>
        <v>80000</v>
      </c>
      <c r="R1675">
        <f>Tableau1_2[[#This Row],[CA]]-Tableau1_2[[#This Row],[Cout Total]]</f>
        <v>45000</v>
      </c>
      <c r="S1675" s="4">
        <f>Tableau1_2[[#This Row],[Marge]]/Tableau1_2[[#This Row],[CA]]</f>
        <v>0.36</v>
      </c>
      <c r="T1675" t="str">
        <f>TEXT(Tableau1_2[[#This Row],[Date]],"mmmm")</f>
        <v>mars</v>
      </c>
    </row>
    <row r="1676" spans="1:20" x14ac:dyDescent="0.35">
      <c r="A1676" t="s">
        <v>2722</v>
      </c>
      <c r="B1676" s="2">
        <v>46327</v>
      </c>
      <c r="C1676" t="s">
        <v>123</v>
      </c>
      <c r="D1676" t="s">
        <v>303</v>
      </c>
      <c r="E1676" t="s">
        <v>156</v>
      </c>
      <c r="F1676" t="s">
        <v>157</v>
      </c>
      <c r="G1676" t="s">
        <v>28</v>
      </c>
      <c r="H1676" t="s">
        <v>29</v>
      </c>
      <c r="I1676">
        <v>8</v>
      </c>
      <c r="J1676">
        <v>7000</v>
      </c>
      <c r="K1676">
        <v>4000</v>
      </c>
      <c r="L1676" t="s">
        <v>73</v>
      </c>
      <c r="M1676" t="s">
        <v>51</v>
      </c>
      <c r="N1676" t="s">
        <v>23</v>
      </c>
      <c r="O1676" t="s">
        <v>24</v>
      </c>
      <c r="P1676">
        <f>Tableau1_2[[#This Row],[Quantité]]*Tableau1_2[[#This Row],[Prix_Unitaire]]</f>
        <v>56000</v>
      </c>
      <c r="Q1676">
        <f>Tableau1_2[[#This Row],[Quantité]]*Tableau1_2[[#This Row],[Coût_Unitaire]]</f>
        <v>32000</v>
      </c>
      <c r="R1676">
        <f>Tableau1_2[[#This Row],[CA]]-Tableau1_2[[#This Row],[Cout Total]]</f>
        <v>24000</v>
      </c>
      <c r="S1676" s="4">
        <f>Tableau1_2[[#This Row],[Marge]]/Tableau1_2[[#This Row],[CA]]</f>
        <v>0.42857142857142855</v>
      </c>
      <c r="T1676" t="str">
        <f>TEXT(Tableau1_2[[#This Row],[Date]],"mmmm")</f>
        <v>novembre</v>
      </c>
    </row>
    <row r="1677" spans="1:20" x14ac:dyDescent="0.35">
      <c r="A1677" t="s">
        <v>2723</v>
      </c>
      <c r="B1677" s="2">
        <v>46070</v>
      </c>
      <c r="C1677" t="s">
        <v>575</v>
      </c>
      <c r="D1677" t="s">
        <v>2724</v>
      </c>
      <c r="E1677" t="s">
        <v>70</v>
      </c>
      <c r="F1677" t="s">
        <v>71</v>
      </c>
      <c r="G1677" t="s">
        <v>34</v>
      </c>
      <c r="H1677" t="s">
        <v>35</v>
      </c>
      <c r="I1677">
        <v>3</v>
      </c>
      <c r="J1677">
        <v>55000</v>
      </c>
      <c r="K1677">
        <v>37800</v>
      </c>
      <c r="L1677" t="s">
        <v>96</v>
      </c>
      <c r="M1677" t="s">
        <v>37</v>
      </c>
      <c r="N1677" t="s">
        <v>52</v>
      </c>
      <c r="O1677" t="s">
        <v>45</v>
      </c>
      <c r="P1677">
        <f>Tableau1_2[[#This Row],[Quantité]]*Tableau1_2[[#This Row],[Prix_Unitaire]]</f>
        <v>165000</v>
      </c>
      <c r="Q1677">
        <f>Tableau1_2[[#This Row],[Quantité]]*Tableau1_2[[#This Row],[Coût_Unitaire]]</f>
        <v>113400</v>
      </c>
      <c r="R1677">
        <f>Tableau1_2[[#This Row],[CA]]-Tableau1_2[[#This Row],[Cout Total]]</f>
        <v>51600</v>
      </c>
      <c r="S1677" s="4">
        <f>Tableau1_2[[#This Row],[Marge]]/Tableau1_2[[#This Row],[CA]]</f>
        <v>0.31272727272727274</v>
      </c>
      <c r="T1677" t="str">
        <f>TEXT(Tableau1_2[[#This Row],[Date]],"mmmm")</f>
        <v>février</v>
      </c>
    </row>
    <row r="1678" spans="1:20" x14ac:dyDescent="0.35">
      <c r="A1678" t="s">
        <v>2725</v>
      </c>
      <c r="B1678" s="2">
        <v>46167</v>
      </c>
      <c r="C1678" t="s">
        <v>1651</v>
      </c>
      <c r="D1678" t="s">
        <v>501</v>
      </c>
      <c r="E1678" t="s">
        <v>18</v>
      </c>
      <c r="F1678" t="s">
        <v>18</v>
      </c>
      <c r="G1678" t="s">
        <v>34</v>
      </c>
      <c r="H1678" t="s">
        <v>86</v>
      </c>
      <c r="I1678">
        <v>3</v>
      </c>
      <c r="J1678">
        <v>180000</v>
      </c>
      <c r="K1678">
        <v>131000</v>
      </c>
      <c r="L1678" t="s">
        <v>21</v>
      </c>
      <c r="M1678" t="s">
        <v>22</v>
      </c>
      <c r="N1678" t="s">
        <v>23</v>
      </c>
      <c r="O1678" t="s">
        <v>24</v>
      </c>
      <c r="P1678">
        <f>Tableau1_2[[#This Row],[Quantité]]*Tableau1_2[[#This Row],[Prix_Unitaire]]</f>
        <v>540000</v>
      </c>
      <c r="Q1678">
        <f>Tableau1_2[[#This Row],[Quantité]]*Tableau1_2[[#This Row],[Coût_Unitaire]]</f>
        <v>393000</v>
      </c>
      <c r="R1678">
        <f>Tableau1_2[[#This Row],[CA]]-Tableau1_2[[#This Row],[Cout Total]]</f>
        <v>147000</v>
      </c>
      <c r="S1678" s="4">
        <f>Tableau1_2[[#This Row],[Marge]]/Tableau1_2[[#This Row],[CA]]</f>
        <v>0.2722222222222222</v>
      </c>
      <c r="T1678" t="str">
        <f>TEXT(Tableau1_2[[#This Row],[Date]],"mmmm")</f>
        <v>mai</v>
      </c>
    </row>
    <row r="1679" spans="1:20" x14ac:dyDescent="0.35">
      <c r="A1679" t="s">
        <v>2726</v>
      </c>
      <c r="B1679" s="2">
        <v>46268</v>
      </c>
      <c r="C1679" t="s">
        <v>449</v>
      </c>
      <c r="D1679" t="s">
        <v>1276</v>
      </c>
      <c r="E1679" t="s">
        <v>18</v>
      </c>
      <c r="F1679" t="s">
        <v>18</v>
      </c>
      <c r="G1679" t="s">
        <v>43</v>
      </c>
      <c r="H1679" t="s">
        <v>79</v>
      </c>
      <c r="I1679">
        <v>8</v>
      </c>
      <c r="J1679">
        <v>6300</v>
      </c>
      <c r="K1679">
        <v>4100</v>
      </c>
      <c r="L1679" t="s">
        <v>73</v>
      </c>
      <c r="M1679" t="s">
        <v>37</v>
      </c>
      <c r="N1679" t="s">
        <v>23</v>
      </c>
      <c r="O1679" t="s">
        <v>91</v>
      </c>
      <c r="P1679">
        <f>Tableau1_2[[#This Row],[Quantité]]*Tableau1_2[[#This Row],[Prix_Unitaire]]</f>
        <v>50400</v>
      </c>
      <c r="Q1679">
        <f>Tableau1_2[[#This Row],[Quantité]]*Tableau1_2[[#This Row],[Coût_Unitaire]]</f>
        <v>32800</v>
      </c>
      <c r="R1679">
        <f>Tableau1_2[[#This Row],[CA]]-Tableau1_2[[#This Row],[Cout Total]]</f>
        <v>17600</v>
      </c>
      <c r="S1679" s="4">
        <f>Tableau1_2[[#This Row],[Marge]]/Tableau1_2[[#This Row],[CA]]</f>
        <v>0.34920634920634919</v>
      </c>
      <c r="T1679" t="str">
        <f>TEXT(Tableau1_2[[#This Row],[Date]],"mmmm")</f>
        <v>septembre</v>
      </c>
    </row>
    <row r="1680" spans="1:20" x14ac:dyDescent="0.35">
      <c r="A1680" t="s">
        <v>2727</v>
      </c>
      <c r="B1680" s="2">
        <v>46084</v>
      </c>
      <c r="C1680" t="s">
        <v>598</v>
      </c>
      <c r="D1680" t="s">
        <v>83</v>
      </c>
      <c r="E1680" t="s">
        <v>190</v>
      </c>
      <c r="F1680" t="s">
        <v>191</v>
      </c>
      <c r="G1680" t="s">
        <v>34</v>
      </c>
      <c r="H1680" t="s">
        <v>86</v>
      </c>
      <c r="I1680">
        <v>1</v>
      </c>
      <c r="J1680">
        <v>189000</v>
      </c>
      <c r="K1680">
        <v>139000</v>
      </c>
      <c r="L1680" t="s">
        <v>50</v>
      </c>
      <c r="M1680" t="s">
        <v>37</v>
      </c>
      <c r="N1680" t="s">
        <v>52</v>
      </c>
      <c r="O1680" t="s">
        <v>24</v>
      </c>
      <c r="P1680">
        <f>Tableau1_2[[#This Row],[Quantité]]*Tableau1_2[[#This Row],[Prix_Unitaire]]</f>
        <v>189000</v>
      </c>
      <c r="Q1680">
        <f>Tableau1_2[[#This Row],[Quantité]]*Tableau1_2[[#This Row],[Coût_Unitaire]]</f>
        <v>139000</v>
      </c>
      <c r="R1680">
        <f>Tableau1_2[[#This Row],[CA]]-Tableau1_2[[#This Row],[Cout Total]]</f>
        <v>50000</v>
      </c>
      <c r="S1680" s="4">
        <f>Tableau1_2[[#This Row],[Marge]]/Tableau1_2[[#This Row],[CA]]</f>
        <v>0.26455026455026454</v>
      </c>
      <c r="T1680" t="str">
        <f>TEXT(Tableau1_2[[#This Row],[Date]],"mmmm")</f>
        <v>mars</v>
      </c>
    </row>
    <row r="1681" spans="1:20" x14ac:dyDescent="0.35">
      <c r="A1681" t="s">
        <v>2728</v>
      </c>
      <c r="B1681" s="2">
        <v>46357</v>
      </c>
      <c r="C1681" t="s">
        <v>1119</v>
      </c>
      <c r="D1681" t="s">
        <v>297</v>
      </c>
      <c r="E1681" t="s">
        <v>18</v>
      </c>
      <c r="F1681" t="s">
        <v>18</v>
      </c>
      <c r="G1681" t="s">
        <v>34</v>
      </c>
      <c r="H1681" t="s">
        <v>95</v>
      </c>
      <c r="I1681">
        <v>4</v>
      </c>
      <c r="J1681">
        <v>472500</v>
      </c>
      <c r="K1681">
        <v>358900</v>
      </c>
      <c r="L1681" t="s">
        <v>50</v>
      </c>
      <c r="M1681" t="s">
        <v>31</v>
      </c>
      <c r="N1681" t="s">
        <v>52</v>
      </c>
      <c r="O1681" t="s">
        <v>24</v>
      </c>
      <c r="P1681">
        <f>Tableau1_2[[#This Row],[Quantité]]*Tableau1_2[[#This Row],[Prix_Unitaire]]</f>
        <v>1890000</v>
      </c>
      <c r="Q1681">
        <f>Tableau1_2[[#This Row],[Quantité]]*Tableau1_2[[#This Row],[Coût_Unitaire]]</f>
        <v>1435600</v>
      </c>
      <c r="R1681">
        <f>Tableau1_2[[#This Row],[CA]]-Tableau1_2[[#This Row],[Cout Total]]</f>
        <v>454400</v>
      </c>
      <c r="S1681" s="4">
        <f>Tableau1_2[[#This Row],[Marge]]/Tableau1_2[[#This Row],[CA]]</f>
        <v>0.24042328042328043</v>
      </c>
      <c r="T1681" t="str">
        <f>TEXT(Tableau1_2[[#This Row],[Date]],"mmmm")</f>
        <v>décembre</v>
      </c>
    </row>
    <row r="1682" spans="1:20" x14ac:dyDescent="0.35">
      <c r="A1682" t="s">
        <v>2729</v>
      </c>
      <c r="B1682" s="2">
        <v>46155</v>
      </c>
      <c r="C1682" t="s">
        <v>255</v>
      </c>
      <c r="D1682" t="s">
        <v>476</v>
      </c>
      <c r="E1682" t="s">
        <v>41</v>
      </c>
      <c r="F1682" t="s">
        <v>42</v>
      </c>
      <c r="G1682" t="s">
        <v>34</v>
      </c>
      <c r="H1682" t="s">
        <v>95</v>
      </c>
      <c r="I1682">
        <v>5</v>
      </c>
      <c r="J1682">
        <v>450000</v>
      </c>
      <c r="K1682">
        <v>381100</v>
      </c>
      <c r="L1682" t="s">
        <v>96</v>
      </c>
      <c r="M1682" t="s">
        <v>51</v>
      </c>
      <c r="N1682" t="s">
        <v>23</v>
      </c>
      <c r="O1682" t="s">
        <v>24</v>
      </c>
      <c r="P1682">
        <f>Tableau1_2[[#This Row],[Quantité]]*Tableau1_2[[#This Row],[Prix_Unitaire]]</f>
        <v>2250000</v>
      </c>
      <c r="Q1682">
        <f>Tableau1_2[[#This Row],[Quantité]]*Tableau1_2[[#This Row],[Coût_Unitaire]]</f>
        <v>1905500</v>
      </c>
      <c r="R1682">
        <f>Tableau1_2[[#This Row],[CA]]-Tableau1_2[[#This Row],[Cout Total]]</f>
        <v>344500</v>
      </c>
      <c r="S1682" s="4">
        <f>Tableau1_2[[#This Row],[Marge]]/Tableau1_2[[#This Row],[CA]]</f>
        <v>0.15311111111111111</v>
      </c>
      <c r="T1682" t="str">
        <f>TEXT(Tableau1_2[[#This Row],[Date]],"mmmm")</f>
        <v>mai</v>
      </c>
    </row>
    <row r="1683" spans="1:20" x14ac:dyDescent="0.35">
      <c r="A1683" t="s">
        <v>2730</v>
      </c>
      <c r="B1683" s="2">
        <v>46070</v>
      </c>
      <c r="C1683" t="s">
        <v>1124</v>
      </c>
      <c r="D1683" t="s">
        <v>1359</v>
      </c>
      <c r="E1683" t="s">
        <v>41</v>
      </c>
      <c r="F1683" t="s">
        <v>42</v>
      </c>
      <c r="G1683" t="s">
        <v>19</v>
      </c>
      <c r="H1683" t="s">
        <v>20</v>
      </c>
      <c r="I1683">
        <v>10</v>
      </c>
      <c r="J1683">
        <v>68200</v>
      </c>
      <c r="K1683">
        <v>43600</v>
      </c>
      <c r="L1683" t="s">
        <v>96</v>
      </c>
      <c r="M1683" t="s">
        <v>31</v>
      </c>
      <c r="N1683" t="s">
        <v>23</v>
      </c>
      <c r="O1683" t="s">
        <v>24</v>
      </c>
      <c r="P1683">
        <f>Tableau1_2[[#This Row],[Quantité]]*Tableau1_2[[#This Row],[Prix_Unitaire]]</f>
        <v>682000</v>
      </c>
      <c r="Q1683">
        <f>Tableau1_2[[#This Row],[Quantité]]*Tableau1_2[[#This Row],[Coût_Unitaire]]</f>
        <v>436000</v>
      </c>
      <c r="R1683">
        <f>Tableau1_2[[#This Row],[CA]]-Tableau1_2[[#This Row],[Cout Total]]</f>
        <v>246000</v>
      </c>
      <c r="S1683" s="4">
        <f>Tableau1_2[[#This Row],[Marge]]/Tableau1_2[[#This Row],[CA]]</f>
        <v>0.36070381231671556</v>
      </c>
      <c r="T1683" t="str">
        <f>TEXT(Tableau1_2[[#This Row],[Date]],"mmmm")</f>
        <v>février</v>
      </c>
    </row>
    <row r="1684" spans="1:20" x14ac:dyDescent="0.35">
      <c r="A1684" t="s">
        <v>2731</v>
      </c>
      <c r="B1684" s="2">
        <v>46152</v>
      </c>
      <c r="C1684" t="s">
        <v>478</v>
      </c>
      <c r="D1684" t="s">
        <v>189</v>
      </c>
      <c r="E1684" t="s">
        <v>18</v>
      </c>
      <c r="F1684" t="s">
        <v>18</v>
      </c>
      <c r="G1684" t="s">
        <v>43</v>
      </c>
      <c r="H1684" t="s">
        <v>177</v>
      </c>
      <c r="I1684">
        <v>2</v>
      </c>
      <c r="J1684">
        <v>17100</v>
      </c>
      <c r="K1684">
        <v>12900</v>
      </c>
      <c r="L1684" t="s">
        <v>80</v>
      </c>
      <c r="M1684" t="s">
        <v>51</v>
      </c>
      <c r="N1684" t="s">
        <v>23</v>
      </c>
      <c r="O1684" t="s">
        <v>24</v>
      </c>
      <c r="P1684">
        <f>Tableau1_2[[#This Row],[Quantité]]*Tableau1_2[[#This Row],[Prix_Unitaire]]</f>
        <v>34200</v>
      </c>
      <c r="Q1684">
        <f>Tableau1_2[[#This Row],[Quantité]]*Tableau1_2[[#This Row],[Coût_Unitaire]]</f>
        <v>25800</v>
      </c>
      <c r="R1684">
        <f>Tableau1_2[[#This Row],[CA]]-Tableau1_2[[#This Row],[Cout Total]]</f>
        <v>8400</v>
      </c>
      <c r="S1684" s="4">
        <f>Tableau1_2[[#This Row],[Marge]]/Tableau1_2[[#This Row],[CA]]</f>
        <v>0.24561403508771928</v>
      </c>
      <c r="T1684" t="str">
        <f>TEXT(Tableau1_2[[#This Row],[Date]],"mmmm")</f>
        <v>mai</v>
      </c>
    </row>
    <row r="1685" spans="1:20" x14ac:dyDescent="0.35">
      <c r="A1685" t="s">
        <v>2732</v>
      </c>
      <c r="B1685" s="2">
        <v>46296</v>
      </c>
      <c r="C1685" t="s">
        <v>2115</v>
      </c>
      <c r="D1685" t="s">
        <v>176</v>
      </c>
      <c r="E1685" t="s">
        <v>77</v>
      </c>
      <c r="F1685" t="s">
        <v>78</v>
      </c>
      <c r="G1685" t="s">
        <v>34</v>
      </c>
      <c r="H1685" t="s">
        <v>95</v>
      </c>
      <c r="I1685">
        <v>3</v>
      </c>
      <c r="J1685">
        <v>427500</v>
      </c>
      <c r="K1685">
        <v>370000</v>
      </c>
      <c r="L1685" t="s">
        <v>96</v>
      </c>
      <c r="M1685" t="s">
        <v>37</v>
      </c>
      <c r="N1685" t="s">
        <v>23</v>
      </c>
      <c r="O1685" t="s">
        <v>24</v>
      </c>
      <c r="P1685">
        <f>Tableau1_2[[#This Row],[Quantité]]*Tableau1_2[[#This Row],[Prix_Unitaire]]</f>
        <v>1282500</v>
      </c>
      <c r="Q1685">
        <f>Tableau1_2[[#This Row],[Quantité]]*Tableau1_2[[#This Row],[Coût_Unitaire]]</f>
        <v>1110000</v>
      </c>
      <c r="R1685">
        <f>Tableau1_2[[#This Row],[CA]]-Tableau1_2[[#This Row],[Cout Total]]</f>
        <v>172500</v>
      </c>
      <c r="S1685" s="4">
        <f>Tableau1_2[[#This Row],[Marge]]/Tableau1_2[[#This Row],[CA]]</f>
        <v>0.13450292397660818</v>
      </c>
      <c r="T1685" t="str">
        <f>TEXT(Tableau1_2[[#This Row],[Date]],"mmmm")</f>
        <v>octobre</v>
      </c>
    </row>
    <row r="1686" spans="1:20" x14ac:dyDescent="0.35">
      <c r="A1686" t="s">
        <v>2733</v>
      </c>
      <c r="B1686" s="2">
        <v>46284</v>
      </c>
      <c r="C1686" t="s">
        <v>1932</v>
      </c>
      <c r="D1686" t="s">
        <v>2443</v>
      </c>
      <c r="E1686" t="s">
        <v>156</v>
      </c>
      <c r="F1686" t="s">
        <v>157</v>
      </c>
      <c r="G1686" t="s">
        <v>28</v>
      </c>
      <c r="H1686" t="s">
        <v>29</v>
      </c>
      <c r="I1686">
        <v>1</v>
      </c>
      <c r="J1686">
        <v>7000</v>
      </c>
      <c r="K1686">
        <v>4100</v>
      </c>
      <c r="L1686" t="s">
        <v>66</v>
      </c>
      <c r="M1686" t="s">
        <v>37</v>
      </c>
      <c r="N1686" t="s">
        <v>23</v>
      </c>
      <c r="O1686" t="s">
        <v>45</v>
      </c>
      <c r="P1686">
        <f>Tableau1_2[[#This Row],[Quantité]]*Tableau1_2[[#This Row],[Prix_Unitaire]]</f>
        <v>7000</v>
      </c>
      <c r="Q1686">
        <f>Tableau1_2[[#This Row],[Quantité]]*Tableau1_2[[#This Row],[Coût_Unitaire]]</f>
        <v>4100</v>
      </c>
      <c r="R1686">
        <f>Tableau1_2[[#This Row],[CA]]-Tableau1_2[[#This Row],[Cout Total]]</f>
        <v>2900</v>
      </c>
      <c r="S1686" s="4">
        <f>Tableau1_2[[#This Row],[Marge]]/Tableau1_2[[#This Row],[CA]]</f>
        <v>0.41428571428571431</v>
      </c>
      <c r="T1686" t="str">
        <f>TEXT(Tableau1_2[[#This Row],[Date]],"mmmm")</f>
        <v>septembre</v>
      </c>
    </row>
    <row r="1687" spans="1:20" x14ac:dyDescent="0.35">
      <c r="A1687" t="s">
        <v>2734</v>
      </c>
      <c r="B1687" s="2">
        <v>46182</v>
      </c>
      <c r="C1687" t="s">
        <v>2302</v>
      </c>
      <c r="D1687" t="s">
        <v>180</v>
      </c>
      <c r="E1687" t="s">
        <v>18</v>
      </c>
      <c r="F1687" t="s">
        <v>18</v>
      </c>
      <c r="G1687" t="s">
        <v>19</v>
      </c>
      <c r="H1687" t="s">
        <v>20</v>
      </c>
      <c r="I1687">
        <v>6</v>
      </c>
      <c r="J1687">
        <v>65000</v>
      </c>
      <c r="K1687">
        <v>46400</v>
      </c>
      <c r="L1687" t="s">
        <v>96</v>
      </c>
      <c r="M1687" t="s">
        <v>37</v>
      </c>
      <c r="N1687" t="s">
        <v>23</v>
      </c>
      <c r="O1687" t="s">
        <v>24</v>
      </c>
      <c r="P1687">
        <f>Tableau1_2[[#This Row],[Quantité]]*Tableau1_2[[#This Row],[Prix_Unitaire]]</f>
        <v>390000</v>
      </c>
      <c r="Q1687">
        <f>Tableau1_2[[#This Row],[Quantité]]*Tableau1_2[[#This Row],[Coût_Unitaire]]</f>
        <v>278400</v>
      </c>
      <c r="R1687">
        <f>Tableau1_2[[#This Row],[CA]]-Tableau1_2[[#This Row],[Cout Total]]</f>
        <v>111600</v>
      </c>
      <c r="S1687" s="4">
        <f>Tableau1_2[[#This Row],[Marge]]/Tableau1_2[[#This Row],[CA]]</f>
        <v>0.28615384615384615</v>
      </c>
      <c r="T1687" t="str">
        <f>TEXT(Tableau1_2[[#This Row],[Date]],"mmmm")</f>
        <v>juin</v>
      </c>
    </row>
    <row r="1688" spans="1:20" x14ac:dyDescent="0.35">
      <c r="A1688" t="s">
        <v>2735</v>
      </c>
      <c r="B1688" s="2">
        <v>46135</v>
      </c>
      <c r="C1688" t="s">
        <v>612</v>
      </c>
      <c r="D1688" t="s">
        <v>796</v>
      </c>
      <c r="E1688" t="s">
        <v>18</v>
      </c>
      <c r="F1688" t="s">
        <v>18</v>
      </c>
      <c r="G1688" t="s">
        <v>19</v>
      </c>
      <c r="H1688" t="s">
        <v>20</v>
      </c>
      <c r="I1688">
        <v>2</v>
      </c>
      <c r="J1688">
        <v>68200</v>
      </c>
      <c r="K1688">
        <v>46400</v>
      </c>
      <c r="L1688" t="s">
        <v>30</v>
      </c>
      <c r="M1688" t="s">
        <v>22</v>
      </c>
      <c r="N1688" t="s">
        <v>23</v>
      </c>
      <c r="O1688" t="s">
        <v>24</v>
      </c>
      <c r="P1688">
        <f>Tableau1_2[[#This Row],[Quantité]]*Tableau1_2[[#This Row],[Prix_Unitaire]]</f>
        <v>136400</v>
      </c>
      <c r="Q1688">
        <f>Tableau1_2[[#This Row],[Quantité]]*Tableau1_2[[#This Row],[Coût_Unitaire]]</f>
        <v>92800</v>
      </c>
      <c r="R1688">
        <f>Tableau1_2[[#This Row],[CA]]-Tableau1_2[[#This Row],[Cout Total]]</f>
        <v>43600</v>
      </c>
      <c r="S1688" s="4">
        <f>Tableau1_2[[#This Row],[Marge]]/Tableau1_2[[#This Row],[CA]]</f>
        <v>0.31964809384164222</v>
      </c>
      <c r="T1688" t="str">
        <f>TEXT(Tableau1_2[[#This Row],[Date]],"mmmm")</f>
        <v>avril</v>
      </c>
    </row>
    <row r="1689" spans="1:20" x14ac:dyDescent="0.35">
      <c r="A1689" t="s">
        <v>2736</v>
      </c>
      <c r="B1689" s="2">
        <v>46320</v>
      </c>
      <c r="C1689" t="s">
        <v>1651</v>
      </c>
      <c r="D1689" t="s">
        <v>1598</v>
      </c>
      <c r="E1689" t="s">
        <v>84</v>
      </c>
      <c r="F1689" t="s">
        <v>85</v>
      </c>
      <c r="G1689" t="s">
        <v>19</v>
      </c>
      <c r="H1689" t="s">
        <v>112</v>
      </c>
      <c r="I1689">
        <v>6</v>
      </c>
      <c r="J1689">
        <v>80800</v>
      </c>
      <c r="K1689">
        <v>60100</v>
      </c>
      <c r="L1689" t="s">
        <v>30</v>
      </c>
      <c r="M1689" t="s">
        <v>22</v>
      </c>
      <c r="N1689" t="s">
        <v>87</v>
      </c>
      <c r="O1689" t="s">
        <v>24</v>
      </c>
      <c r="P1689">
        <f>Tableau1_2[[#This Row],[Quantité]]*Tableau1_2[[#This Row],[Prix_Unitaire]]</f>
        <v>484800</v>
      </c>
      <c r="Q1689">
        <f>Tableau1_2[[#This Row],[Quantité]]*Tableau1_2[[#This Row],[Coût_Unitaire]]</f>
        <v>360600</v>
      </c>
      <c r="R1689">
        <f>Tableau1_2[[#This Row],[CA]]-Tableau1_2[[#This Row],[Cout Total]]</f>
        <v>124200</v>
      </c>
      <c r="S1689" s="4">
        <f>Tableau1_2[[#This Row],[Marge]]/Tableau1_2[[#This Row],[CA]]</f>
        <v>0.25618811881188119</v>
      </c>
      <c r="T1689" t="str">
        <f>TEXT(Tableau1_2[[#This Row],[Date]],"mmmm")</f>
        <v>octobre</v>
      </c>
    </row>
    <row r="1690" spans="1:20" x14ac:dyDescent="0.35">
      <c r="A1690" t="s">
        <v>2737</v>
      </c>
      <c r="B1690" s="2">
        <v>46204</v>
      </c>
      <c r="C1690" t="s">
        <v>379</v>
      </c>
      <c r="D1690" t="s">
        <v>1997</v>
      </c>
      <c r="E1690" t="s">
        <v>18</v>
      </c>
      <c r="F1690" t="s">
        <v>18</v>
      </c>
      <c r="G1690" t="s">
        <v>28</v>
      </c>
      <c r="H1690" t="s">
        <v>131</v>
      </c>
      <c r="I1690">
        <v>3</v>
      </c>
      <c r="J1690">
        <v>31500</v>
      </c>
      <c r="K1690">
        <v>19000</v>
      </c>
      <c r="L1690" t="s">
        <v>96</v>
      </c>
      <c r="M1690" t="s">
        <v>37</v>
      </c>
      <c r="N1690" t="s">
        <v>87</v>
      </c>
      <c r="O1690" t="s">
        <v>24</v>
      </c>
      <c r="P1690">
        <f>Tableau1_2[[#This Row],[Quantité]]*Tableau1_2[[#This Row],[Prix_Unitaire]]</f>
        <v>94500</v>
      </c>
      <c r="Q1690">
        <f>Tableau1_2[[#This Row],[Quantité]]*Tableau1_2[[#This Row],[Coût_Unitaire]]</f>
        <v>57000</v>
      </c>
      <c r="R1690">
        <f>Tableau1_2[[#This Row],[CA]]-Tableau1_2[[#This Row],[Cout Total]]</f>
        <v>37500</v>
      </c>
      <c r="S1690" s="4">
        <f>Tableau1_2[[#This Row],[Marge]]/Tableau1_2[[#This Row],[CA]]</f>
        <v>0.3968253968253968</v>
      </c>
      <c r="T1690" t="str">
        <f>TEXT(Tableau1_2[[#This Row],[Date]],"mmmm")</f>
        <v>juillet</v>
      </c>
    </row>
    <row r="1691" spans="1:20" x14ac:dyDescent="0.35">
      <c r="A1691" t="s">
        <v>2738</v>
      </c>
      <c r="B1691" s="2">
        <v>46203</v>
      </c>
      <c r="C1691" t="s">
        <v>1106</v>
      </c>
      <c r="D1691" t="s">
        <v>2451</v>
      </c>
      <c r="E1691" t="s">
        <v>156</v>
      </c>
      <c r="F1691" t="s">
        <v>157</v>
      </c>
      <c r="G1691" t="s">
        <v>34</v>
      </c>
      <c r="H1691" t="s">
        <v>95</v>
      </c>
      <c r="I1691">
        <v>5</v>
      </c>
      <c r="J1691">
        <v>450000</v>
      </c>
      <c r="K1691">
        <v>381100</v>
      </c>
      <c r="L1691" t="s">
        <v>36</v>
      </c>
      <c r="M1691" t="s">
        <v>37</v>
      </c>
      <c r="N1691" t="s">
        <v>52</v>
      </c>
      <c r="O1691" t="s">
        <v>91</v>
      </c>
      <c r="P1691">
        <f>Tableau1_2[[#This Row],[Quantité]]*Tableau1_2[[#This Row],[Prix_Unitaire]]</f>
        <v>2250000</v>
      </c>
      <c r="Q1691">
        <f>Tableau1_2[[#This Row],[Quantité]]*Tableau1_2[[#This Row],[Coût_Unitaire]]</f>
        <v>1905500</v>
      </c>
      <c r="R1691">
        <f>Tableau1_2[[#This Row],[CA]]-Tableau1_2[[#This Row],[Cout Total]]</f>
        <v>344500</v>
      </c>
      <c r="S1691" s="4">
        <f>Tableau1_2[[#This Row],[Marge]]/Tableau1_2[[#This Row],[CA]]</f>
        <v>0.15311111111111111</v>
      </c>
      <c r="T1691" t="str">
        <f>TEXT(Tableau1_2[[#This Row],[Date]],"mmmm")</f>
        <v>juin</v>
      </c>
    </row>
    <row r="1692" spans="1:20" x14ac:dyDescent="0.35">
      <c r="A1692" t="s">
        <v>2739</v>
      </c>
      <c r="B1692" s="2">
        <v>46170</v>
      </c>
      <c r="C1692" t="s">
        <v>299</v>
      </c>
      <c r="D1692" t="s">
        <v>2682</v>
      </c>
      <c r="E1692" t="s">
        <v>56</v>
      </c>
      <c r="F1692" t="s">
        <v>57</v>
      </c>
      <c r="G1692" t="s">
        <v>34</v>
      </c>
      <c r="H1692" t="s">
        <v>86</v>
      </c>
      <c r="I1692">
        <v>2</v>
      </c>
      <c r="J1692">
        <v>180000</v>
      </c>
      <c r="K1692">
        <v>131000</v>
      </c>
      <c r="L1692" t="s">
        <v>66</v>
      </c>
      <c r="M1692" t="s">
        <v>37</v>
      </c>
      <c r="N1692" t="s">
        <v>52</v>
      </c>
      <c r="O1692" t="s">
        <v>91</v>
      </c>
      <c r="P1692">
        <f>Tableau1_2[[#This Row],[Quantité]]*Tableau1_2[[#This Row],[Prix_Unitaire]]</f>
        <v>360000</v>
      </c>
      <c r="Q1692">
        <f>Tableau1_2[[#This Row],[Quantité]]*Tableau1_2[[#This Row],[Coût_Unitaire]]</f>
        <v>262000</v>
      </c>
      <c r="R1692">
        <f>Tableau1_2[[#This Row],[CA]]-Tableau1_2[[#This Row],[Cout Total]]</f>
        <v>98000</v>
      </c>
      <c r="S1692" s="4">
        <f>Tableau1_2[[#This Row],[Marge]]/Tableau1_2[[#This Row],[CA]]</f>
        <v>0.2722222222222222</v>
      </c>
      <c r="T1692" t="str">
        <f>TEXT(Tableau1_2[[#This Row],[Date]],"mmmm")</f>
        <v>mai</v>
      </c>
    </row>
    <row r="1693" spans="1:20" x14ac:dyDescent="0.35">
      <c r="A1693" t="s">
        <v>2740</v>
      </c>
      <c r="B1693" s="2">
        <v>46227</v>
      </c>
      <c r="C1693" t="s">
        <v>376</v>
      </c>
      <c r="D1693" t="s">
        <v>2110</v>
      </c>
      <c r="E1693" t="s">
        <v>18</v>
      </c>
      <c r="F1693" t="s">
        <v>18</v>
      </c>
      <c r="G1693" t="s">
        <v>28</v>
      </c>
      <c r="H1693" t="s">
        <v>248</v>
      </c>
      <c r="I1693">
        <v>9</v>
      </c>
      <c r="J1693">
        <v>25000</v>
      </c>
      <c r="K1693">
        <v>16000</v>
      </c>
      <c r="L1693" t="s">
        <v>80</v>
      </c>
      <c r="M1693" t="s">
        <v>51</v>
      </c>
      <c r="N1693" t="s">
        <v>23</v>
      </c>
      <c r="O1693" t="s">
        <v>24</v>
      </c>
      <c r="P1693">
        <f>Tableau1_2[[#This Row],[Quantité]]*Tableau1_2[[#This Row],[Prix_Unitaire]]</f>
        <v>225000</v>
      </c>
      <c r="Q1693">
        <f>Tableau1_2[[#This Row],[Quantité]]*Tableau1_2[[#This Row],[Coût_Unitaire]]</f>
        <v>144000</v>
      </c>
      <c r="R1693">
        <f>Tableau1_2[[#This Row],[CA]]-Tableau1_2[[#This Row],[Cout Total]]</f>
        <v>81000</v>
      </c>
      <c r="S1693" s="4">
        <f>Tableau1_2[[#This Row],[Marge]]/Tableau1_2[[#This Row],[CA]]</f>
        <v>0.36</v>
      </c>
      <c r="T1693" t="str">
        <f>TEXT(Tableau1_2[[#This Row],[Date]],"mmmm")</f>
        <v>juillet</v>
      </c>
    </row>
    <row r="1694" spans="1:20" x14ac:dyDescent="0.35">
      <c r="A1694" t="s">
        <v>2741</v>
      </c>
      <c r="B1694" s="2">
        <v>46255</v>
      </c>
      <c r="C1694" t="s">
        <v>231</v>
      </c>
      <c r="D1694" t="s">
        <v>1202</v>
      </c>
      <c r="E1694" t="s">
        <v>70</v>
      </c>
      <c r="F1694" t="s">
        <v>71</v>
      </c>
      <c r="G1694" t="s">
        <v>34</v>
      </c>
      <c r="H1694" t="s">
        <v>95</v>
      </c>
      <c r="I1694">
        <v>10</v>
      </c>
      <c r="J1694">
        <v>450000</v>
      </c>
      <c r="K1694">
        <v>381100</v>
      </c>
      <c r="L1694" t="s">
        <v>21</v>
      </c>
      <c r="M1694" t="s">
        <v>51</v>
      </c>
      <c r="N1694" t="s">
        <v>52</v>
      </c>
      <c r="O1694" t="s">
        <v>24</v>
      </c>
      <c r="P1694">
        <f>Tableau1_2[[#This Row],[Quantité]]*Tableau1_2[[#This Row],[Prix_Unitaire]]</f>
        <v>4500000</v>
      </c>
      <c r="Q1694">
        <f>Tableau1_2[[#This Row],[Quantité]]*Tableau1_2[[#This Row],[Coût_Unitaire]]</f>
        <v>3811000</v>
      </c>
      <c r="R1694">
        <f>Tableau1_2[[#This Row],[CA]]-Tableau1_2[[#This Row],[Cout Total]]</f>
        <v>689000</v>
      </c>
      <c r="S1694" s="4">
        <f>Tableau1_2[[#This Row],[Marge]]/Tableau1_2[[#This Row],[CA]]</f>
        <v>0.15311111111111111</v>
      </c>
      <c r="T1694" t="str">
        <f>TEXT(Tableau1_2[[#This Row],[Date]],"mmmm")</f>
        <v>août</v>
      </c>
    </row>
    <row r="1695" spans="1:20" x14ac:dyDescent="0.35">
      <c r="A1695" t="s">
        <v>2742</v>
      </c>
      <c r="B1695" s="2">
        <v>46075</v>
      </c>
      <c r="C1695" t="s">
        <v>220</v>
      </c>
      <c r="D1695" t="s">
        <v>906</v>
      </c>
      <c r="E1695" t="s">
        <v>70</v>
      </c>
      <c r="F1695" t="s">
        <v>71</v>
      </c>
      <c r="G1695" t="s">
        <v>34</v>
      </c>
      <c r="H1695" t="s">
        <v>86</v>
      </c>
      <c r="I1695">
        <v>9</v>
      </c>
      <c r="J1695">
        <v>180000</v>
      </c>
      <c r="K1695">
        <v>131000</v>
      </c>
      <c r="L1695" t="s">
        <v>36</v>
      </c>
      <c r="M1695" t="s">
        <v>22</v>
      </c>
      <c r="N1695" t="s">
        <v>23</v>
      </c>
      <c r="O1695" t="s">
        <v>24</v>
      </c>
      <c r="P1695">
        <f>Tableau1_2[[#This Row],[Quantité]]*Tableau1_2[[#This Row],[Prix_Unitaire]]</f>
        <v>1620000</v>
      </c>
      <c r="Q1695">
        <f>Tableau1_2[[#This Row],[Quantité]]*Tableau1_2[[#This Row],[Coût_Unitaire]]</f>
        <v>1179000</v>
      </c>
      <c r="R1695">
        <f>Tableau1_2[[#This Row],[CA]]-Tableau1_2[[#This Row],[Cout Total]]</f>
        <v>441000</v>
      </c>
      <c r="S1695" s="4">
        <f>Tableau1_2[[#This Row],[Marge]]/Tableau1_2[[#This Row],[CA]]</f>
        <v>0.2722222222222222</v>
      </c>
      <c r="T1695" t="str">
        <f>TEXT(Tableau1_2[[#This Row],[Date]],"mmmm")</f>
        <v>février</v>
      </c>
    </row>
    <row r="1696" spans="1:20" x14ac:dyDescent="0.35">
      <c r="A1696" t="s">
        <v>2743</v>
      </c>
      <c r="B1696" s="2">
        <v>46267</v>
      </c>
      <c r="C1696" t="s">
        <v>1597</v>
      </c>
      <c r="D1696" t="s">
        <v>340</v>
      </c>
      <c r="E1696" t="s">
        <v>156</v>
      </c>
      <c r="F1696" t="s">
        <v>170</v>
      </c>
      <c r="G1696" t="s">
        <v>28</v>
      </c>
      <c r="H1696" t="s">
        <v>131</v>
      </c>
      <c r="I1696">
        <v>6</v>
      </c>
      <c r="J1696">
        <v>30000</v>
      </c>
      <c r="K1696">
        <v>19600</v>
      </c>
      <c r="L1696" t="s">
        <v>96</v>
      </c>
      <c r="M1696" t="s">
        <v>51</v>
      </c>
      <c r="N1696" t="s">
        <v>52</v>
      </c>
      <c r="O1696" t="s">
        <v>24</v>
      </c>
      <c r="P1696">
        <f>Tableau1_2[[#This Row],[Quantité]]*Tableau1_2[[#This Row],[Prix_Unitaire]]</f>
        <v>180000</v>
      </c>
      <c r="Q1696">
        <f>Tableau1_2[[#This Row],[Quantité]]*Tableau1_2[[#This Row],[Coût_Unitaire]]</f>
        <v>117600</v>
      </c>
      <c r="R1696">
        <f>Tableau1_2[[#This Row],[CA]]-Tableau1_2[[#This Row],[Cout Total]]</f>
        <v>62400</v>
      </c>
      <c r="S1696" s="4">
        <f>Tableau1_2[[#This Row],[Marge]]/Tableau1_2[[#This Row],[CA]]</f>
        <v>0.34666666666666668</v>
      </c>
      <c r="T1696" t="str">
        <f>TEXT(Tableau1_2[[#This Row],[Date]],"mmmm")</f>
        <v>septembre</v>
      </c>
    </row>
    <row r="1697" spans="1:20" x14ac:dyDescent="0.35">
      <c r="A1697" t="s">
        <v>2744</v>
      </c>
      <c r="B1697" s="2">
        <v>46161</v>
      </c>
      <c r="C1697" t="s">
        <v>2745</v>
      </c>
      <c r="D1697" t="s">
        <v>2451</v>
      </c>
      <c r="E1697" t="s">
        <v>156</v>
      </c>
      <c r="F1697" t="s">
        <v>157</v>
      </c>
      <c r="G1697" t="s">
        <v>43</v>
      </c>
      <c r="H1697" t="s">
        <v>162</v>
      </c>
      <c r="I1697">
        <v>9</v>
      </c>
      <c r="J1697">
        <v>8000</v>
      </c>
      <c r="K1697">
        <v>4800</v>
      </c>
      <c r="L1697" t="s">
        <v>66</v>
      </c>
      <c r="M1697" t="s">
        <v>37</v>
      </c>
      <c r="N1697" t="s">
        <v>23</v>
      </c>
      <c r="O1697" t="s">
        <v>45</v>
      </c>
      <c r="P1697">
        <f>Tableau1_2[[#This Row],[Quantité]]*Tableau1_2[[#This Row],[Prix_Unitaire]]</f>
        <v>72000</v>
      </c>
      <c r="Q1697">
        <f>Tableau1_2[[#This Row],[Quantité]]*Tableau1_2[[#This Row],[Coût_Unitaire]]</f>
        <v>43200</v>
      </c>
      <c r="R1697">
        <f>Tableau1_2[[#This Row],[CA]]-Tableau1_2[[#This Row],[Cout Total]]</f>
        <v>28800</v>
      </c>
      <c r="S1697" s="4">
        <f>Tableau1_2[[#This Row],[Marge]]/Tableau1_2[[#This Row],[CA]]</f>
        <v>0.4</v>
      </c>
      <c r="T1697" t="str">
        <f>TEXT(Tableau1_2[[#This Row],[Date]],"mmmm")</f>
        <v>mai</v>
      </c>
    </row>
    <row r="1698" spans="1:20" x14ac:dyDescent="0.35">
      <c r="A1698" t="s">
        <v>2746</v>
      </c>
      <c r="B1698" s="2">
        <v>46265</v>
      </c>
      <c r="C1698" t="s">
        <v>1020</v>
      </c>
      <c r="D1698" t="s">
        <v>462</v>
      </c>
      <c r="E1698" t="s">
        <v>56</v>
      </c>
      <c r="F1698" t="s">
        <v>57</v>
      </c>
      <c r="G1698" t="s">
        <v>34</v>
      </c>
      <c r="H1698" t="s">
        <v>158</v>
      </c>
      <c r="I1698">
        <v>3</v>
      </c>
      <c r="J1698">
        <v>90200</v>
      </c>
      <c r="K1698">
        <v>72100</v>
      </c>
      <c r="L1698" t="s">
        <v>21</v>
      </c>
      <c r="M1698" t="s">
        <v>51</v>
      </c>
      <c r="N1698" t="s">
        <v>52</v>
      </c>
      <c r="O1698" t="s">
        <v>24</v>
      </c>
      <c r="P1698">
        <f>Tableau1_2[[#This Row],[Quantité]]*Tableau1_2[[#This Row],[Prix_Unitaire]]</f>
        <v>270600</v>
      </c>
      <c r="Q1698">
        <f>Tableau1_2[[#This Row],[Quantité]]*Tableau1_2[[#This Row],[Coût_Unitaire]]</f>
        <v>216300</v>
      </c>
      <c r="R1698">
        <f>Tableau1_2[[#This Row],[CA]]-Tableau1_2[[#This Row],[Cout Total]]</f>
        <v>54300</v>
      </c>
      <c r="S1698" s="4">
        <f>Tableau1_2[[#This Row],[Marge]]/Tableau1_2[[#This Row],[CA]]</f>
        <v>0.20066518847006651</v>
      </c>
      <c r="T1698" t="str">
        <f>TEXT(Tableau1_2[[#This Row],[Date]],"mmmm")</f>
        <v>août</v>
      </c>
    </row>
    <row r="1699" spans="1:20" x14ac:dyDescent="0.35">
      <c r="A1699" t="s">
        <v>2747</v>
      </c>
      <c r="B1699" s="2">
        <v>46243</v>
      </c>
      <c r="C1699" t="s">
        <v>2074</v>
      </c>
      <c r="D1699" t="s">
        <v>546</v>
      </c>
      <c r="E1699" t="s">
        <v>18</v>
      </c>
      <c r="F1699" t="s">
        <v>18</v>
      </c>
      <c r="G1699" t="s">
        <v>43</v>
      </c>
      <c r="H1699" t="s">
        <v>162</v>
      </c>
      <c r="I1699">
        <v>6</v>
      </c>
      <c r="J1699">
        <v>8400</v>
      </c>
      <c r="K1699">
        <v>5200</v>
      </c>
      <c r="L1699" t="s">
        <v>73</v>
      </c>
      <c r="M1699" t="s">
        <v>51</v>
      </c>
      <c r="N1699" t="s">
        <v>87</v>
      </c>
      <c r="O1699" t="s">
        <v>24</v>
      </c>
      <c r="P1699">
        <f>Tableau1_2[[#This Row],[Quantité]]*Tableau1_2[[#This Row],[Prix_Unitaire]]</f>
        <v>50400</v>
      </c>
      <c r="Q1699">
        <f>Tableau1_2[[#This Row],[Quantité]]*Tableau1_2[[#This Row],[Coût_Unitaire]]</f>
        <v>31200</v>
      </c>
      <c r="R1699">
        <f>Tableau1_2[[#This Row],[CA]]-Tableau1_2[[#This Row],[Cout Total]]</f>
        <v>19200</v>
      </c>
      <c r="S1699" s="4">
        <f>Tableau1_2[[#This Row],[Marge]]/Tableau1_2[[#This Row],[CA]]</f>
        <v>0.38095238095238093</v>
      </c>
      <c r="T1699" t="str">
        <f>TEXT(Tableau1_2[[#This Row],[Date]],"mmmm")</f>
        <v>août</v>
      </c>
    </row>
    <row r="1700" spans="1:20" x14ac:dyDescent="0.35">
      <c r="A1700" t="s">
        <v>2748</v>
      </c>
      <c r="B1700" s="2">
        <v>46232</v>
      </c>
      <c r="C1700" t="s">
        <v>1620</v>
      </c>
      <c r="D1700" t="s">
        <v>1382</v>
      </c>
      <c r="E1700" t="s">
        <v>41</v>
      </c>
      <c r="F1700" t="s">
        <v>42</v>
      </c>
      <c r="G1700" t="s">
        <v>19</v>
      </c>
      <c r="H1700" t="s">
        <v>61</v>
      </c>
      <c r="I1700">
        <v>6</v>
      </c>
      <c r="J1700">
        <v>220000</v>
      </c>
      <c r="K1700">
        <v>164800</v>
      </c>
      <c r="L1700" t="s">
        <v>80</v>
      </c>
      <c r="M1700" t="s">
        <v>37</v>
      </c>
      <c r="N1700" t="s">
        <v>23</v>
      </c>
      <c r="O1700" t="s">
        <v>24</v>
      </c>
      <c r="P1700">
        <f>Tableau1_2[[#This Row],[Quantité]]*Tableau1_2[[#This Row],[Prix_Unitaire]]</f>
        <v>1320000</v>
      </c>
      <c r="Q1700">
        <f>Tableau1_2[[#This Row],[Quantité]]*Tableau1_2[[#This Row],[Coût_Unitaire]]</f>
        <v>988800</v>
      </c>
      <c r="R1700">
        <f>Tableau1_2[[#This Row],[CA]]-Tableau1_2[[#This Row],[Cout Total]]</f>
        <v>331200</v>
      </c>
      <c r="S1700" s="4">
        <f>Tableau1_2[[#This Row],[Marge]]/Tableau1_2[[#This Row],[CA]]</f>
        <v>0.25090909090909091</v>
      </c>
      <c r="T1700" t="str">
        <f>TEXT(Tableau1_2[[#This Row],[Date]],"mmmm")</f>
        <v>juillet</v>
      </c>
    </row>
    <row r="1701" spans="1:20" x14ac:dyDescent="0.35">
      <c r="A1701" t="s">
        <v>2749</v>
      </c>
      <c r="B1701" s="2">
        <v>46125</v>
      </c>
      <c r="C1701" t="s">
        <v>26</v>
      </c>
      <c r="D1701" t="s">
        <v>1038</v>
      </c>
      <c r="E1701" t="s">
        <v>18</v>
      </c>
      <c r="F1701" t="s">
        <v>18</v>
      </c>
      <c r="G1701" t="s">
        <v>43</v>
      </c>
      <c r="H1701" t="s">
        <v>79</v>
      </c>
      <c r="I1701">
        <v>2</v>
      </c>
      <c r="J1701">
        <v>6000</v>
      </c>
      <c r="K1701">
        <v>4200</v>
      </c>
      <c r="L1701" t="s">
        <v>96</v>
      </c>
      <c r="M1701" t="s">
        <v>31</v>
      </c>
      <c r="N1701" t="s">
        <v>87</v>
      </c>
      <c r="O1701" t="s">
        <v>91</v>
      </c>
      <c r="P1701">
        <f>Tableau1_2[[#This Row],[Quantité]]*Tableau1_2[[#This Row],[Prix_Unitaire]]</f>
        <v>12000</v>
      </c>
      <c r="Q1701">
        <f>Tableau1_2[[#This Row],[Quantité]]*Tableau1_2[[#This Row],[Coût_Unitaire]]</f>
        <v>8400</v>
      </c>
      <c r="R1701">
        <f>Tableau1_2[[#This Row],[CA]]-Tableau1_2[[#This Row],[Cout Total]]</f>
        <v>3600</v>
      </c>
      <c r="S1701" s="4">
        <f>Tableau1_2[[#This Row],[Marge]]/Tableau1_2[[#This Row],[CA]]</f>
        <v>0.3</v>
      </c>
      <c r="T1701" t="str">
        <f>TEXT(Tableau1_2[[#This Row],[Date]],"mmmm")</f>
        <v>avril</v>
      </c>
    </row>
    <row r="1702" spans="1:20" x14ac:dyDescent="0.35">
      <c r="A1702" t="s">
        <v>2750</v>
      </c>
      <c r="B1702" s="2">
        <v>46063</v>
      </c>
      <c r="C1702" t="s">
        <v>1732</v>
      </c>
      <c r="D1702" t="s">
        <v>705</v>
      </c>
      <c r="E1702" t="s">
        <v>18</v>
      </c>
      <c r="F1702" t="s">
        <v>18</v>
      </c>
      <c r="G1702" t="s">
        <v>34</v>
      </c>
      <c r="H1702" t="s">
        <v>141</v>
      </c>
      <c r="I1702">
        <v>1</v>
      </c>
      <c r="J1702">
        <v>160000</v>
      </c>
      <c r="K1702">
        <v>116400</v>
      </c>
      <c r="L1702" t="s">
        <v>36</v>
      </c>
      <c r="M1702" t="s">
        <v>37</v>
      </c>
      <c r="N1702" t="s">
        <v>52</v>
      </c>
      <c r="O1702" t="s">
        <v>24</v>
      </c>
      <c r="P1702">
        <f>Tableau1_2[[#This Row],[Quantité]]*Tableau1_2[[#This Row],[Prix_Unitaire]]</f>
        <v>160000</v>
      </c>
      <c r="Q1702">
        <f>Tableau1_2[[#This Row],[Quantité]]*Tableau1_2[[#This Row],[Coût_Unitaire]]</f>
        <v>116400</v>
      </c>
      <c r="R1702">
        <f>Tableau1_2[[#This Row],[CA]]-Tableau1_2[[#This Row],[Cout Total]]</f>
        <v>43600</v>
      </c>
      <c r="S1702" s="4">
        <f>Tableau1_2[[#This Row],[Marge]]/Tableau1_2[[#This Row],[CA]]</f>
        <v>0.27250000000000002</v>
      </c>
      <c r="T1702" t="str">
        <f>TEXT(Tableau1_2[[#This Row],[Date]],"mmmm")</f>
        <v>février</v>
      </c>
    </row>
    <row r="1703" spans="1:20" x14ac:dyDescent="0.35">
      <c r="A1703" t="s">
        <v>2751</v>
      </c>
      <c r="B1703" s="2">
        <v>46371</v>
      </c>
      <c r="C1703" t="s">
        <v>1185</v>
      </c>
      <c r="D1703" t="s">
        <v>425</v>
      </c>
      <c r="E1703" t="s">
        <v>156</v>
      </c>
      <c r="F1703" t="s">
        <v>157</v>
      </c>
      <c r="G1703" t="s">
        <v>19</v>
      </c>
      <c r="H1703" t="s">
        <v>112</v>
      </c>
      <c r="I1703">
        <v>2</v>
      </c>
      <c r="J1703">
        <v>89200</v>
      </c>
      <c r="K1703">
        <v>62000</v>
      </c>
      <c r="L1703" t="s">
        <v>36</v>
      </c>
      <c r="M1703" t="s">
        <v>37</v>
      </c>
      <c r="N1703" t="s">
        <v>23</v>
      </c>
      <c r="O1703" t="s">
        <v>45</v>
      </c>
      <c r="P1703">
        <f>Tableau1_2[[#This Row],[Quantité]]*Tableau1_2[[#This Row],[Prix_Unitaire]]</f>
        <v>178400</v>
      </c>
      <c r="Q1703">
        <f>Tableau1_2[[#This Row],[Quantité]]*Tableau1_2[[#This Row],[Coût_Unitaire]]</f>
        <v>124000</v>
      </c>
      <c r="R1703">
        <f>Tableau1_2[[#This Row],[CA]]-Tableau1_2[[#This Row],[Cout Total]]</f>
        <v>54400</v>
      </c>
      <c r="S1703" s="4">
        <f>Tableau1_2[[#This Row],[Marge]]/Tableau1_2[[#This Row],[CA]]</f>
        <v>0.30493273542600896</v>
      </c>
      <c r="T1703" t="str">
        <f>TEXT(Tableau1_2[[#This Row],[Date]],"mmmm")</f>
        <v>décembre</v>
      </c>
    </row>
    <row r="1704" spans="1:20" x14ac:dyDescent="0.35">
      <c r="A1704" t="s">
        <v>2752</v>
      </c>
      <c r="B1704" s="2">
        <v>46071</v>
      </c>
      <c r="C1704" t="s">
        <v>848</v>
      </c>
      <c r="D1704" t="s">
        <v>2631</v>
      </c>
      <c r="E1704" t="s">
        <v>84</v>
      </c>
      <c r="F1704" t="s">
        <v>85</v>
      </c>
      <c r="G1704" t="s">
        <v>34</v>
      </c>
      <c r="H1704" t="s">
        <v>86</v>
      </c>
      <c r="I1704">
        <v>7</v>
      </c>
      <c r="J1704">
        <v>180000</v>
      </c>
      <c r="K1704">
        <v>135000</v>
      </c>
      <c r="L1704" t="s">
        <v>21</v>
      </c>
      <c r="M1704" t="s">
        <v>51</v>
      </c>
      <c r="N1704" t="s">
        <v>52</v>
      </c>
      <c r="O1704" t="s">
        <v>24</v>
      </c>
      <c r="P1704">
        <f>Tableau1_2[[#This Row],[Quantité]]*Tableau1_2[[#This Row],[Prix_Unitaire]]</f>
        <v>1260000</v>
      </c>
      <c r="Q1704">
        <f>Tableau1_2[[#This Row],[Quantité]]*Tableau1_2[[#This Row],[Coût_Unitaire]]</f>
        <v>945000</v>
      </c>
      <c r="R1704">
        <f>Tableau1_2[[#This Row],[CA]]-Tableau1_2[[#This Row],[Cout Total]]</f>
        <v>315000</v>
      </c>
      <c r="S1704" s="4">
        <f>Tableau1_2[[#This Row],[Marge]]/Tableau1_2[[#This Row],[CA]]</f>
        <v>0.25</v>
      </c>
      <c r="T1704" t="str">
        <f>TEXT(Tableau1_2[[#This Row],[Date]],"mmmm")</f>
        <v>février</v>
      </c>
    </row>
    <row r="1705" spans="1:20" x14ac:dyDescent="0.35">
      <c r="A1705" t="s">
        <v>2753</v>
      </c>
      <c r="B1705" s="2">
        <v>46114</v>
      </c>
      <c r="C1705" t="s">
        <v>220</v>
      </c>
      <c r="D1705" t="s">
        <v>48</v>
      </c>
      <c r="E1705" t="s">
        <v>70</v>
      </c>
      <c r="F1705" t="s">
        <v>71</v>
      </c>
      <c r="G1705" t="s">
        <v>19</v>
      </c>
      <c r="H1705" t="s">
        <v>61</v>
      </c>
      <c r="I1705">
        <v>8</v>
      </c>
      <c r="J1705">
        <v>209000</v>
      </c>
      <c r="K1705">
        <v>155200</v>
      </c>
      <c r="L1705" t="s">
        <v>50</v>
      </c>
      <c r="M1705" t="s">
        <v>51</v>
      </c>
      <c r="N1705" t="s">
        <v>23</v>
      </c>
      <c r="O1705" t="s">
        <v>24</v>
      </c>
      <c r="P1705">
        <f>Tableau1_2[[#This Row],[Quantité]]*Tableau1_2[[#This Row],[Prix_Unitaire]]</f>
        <v>1672000</v>
      </c>
      <c r="Q1705">
        <f>Tableau1_2[[#This Row],[Quantité]]*Tableau1_2[[#This Row],[Coût_Unitaire]]</f>
        <v>1241600</v>
      </c>
      <c r="R1705">
        <f>Tableau1_2[[#This Row],[CA]]-Tableau1_2[[#This Row],[Cout Total]]</f>
        <v>430400</v>
      </c>
      <c r="S1705" s="4">
        <f>Tableau1_2[[#This Row],[Marge]]/Tableau1_2[[#This Row],[CA]]</f>
        <v>0.25741626794258371</v>
      </c>
      <c r="T1705" t="str">
        <f>TEXT(Tableau1_2[[#This Row],[Date]],"mmmm")</f>
        <v>avril</v>
      </c>
    </row>
    <row r="1706" spans="1:20" x14ac:dyDescent="0.35">
      <c r="A1706" t="s">
        <v>2754</v>
      </c>
      <c r="B1706" s="2">
        <v>46174</v>
      </c>
      <c r="C1706" t="s">
        <v>455</v>
      </c>
      <c r="D1706" t="s">
        <v>184</v>
      </c>
      <c r="E1706" t="s">
        <v>156</v>
      </c>
      <c r="F1706" t="s">
        <v>170</v>
      </c>
      <c r="G1706" t="s">
        <v>34</v>
      </c>
      <c r="H1706" t="s">
        <v>95</v>
      </c>
      <c r="I1706">
        <v>2</v>
      </c>
      <c r="J1706">
        <v>472500</v>
      </c>
      <c r="K1706">
        <v>358900</v>
      </c>
      <c r="L1706" t="s">
        <v>96</v>
      </c>
      <c r="M1706" t="s">
        <v>22</v>
      </c>
      <c r="N1706" t="s">
        <v>23</v>
      </c>
      <c r="O1706" t="s">
        <v>24</v>
      </c>
      <c r="P1706">
        <f>Tableau1_2[[#This Row],[Quantité]]*Tableau1_2[[#This Row],[Prix_Unitaire]]</f>
        <v>945000</v>
      </c>
      <c r="Q1706">
        <f>Tableau1_2[[#This Row],[Quantité]]*Tableau1_2[[#This Row],[Coût_Unitaire]]</f>
        <v>717800</v>
      </c>
      <c r="R1706">
        <f>Tableau1_2[[#This Row],[CA]]-Tableau1_2[[#This Row],[Cout Total]]</f>
        <v>227200</v>
      </c>
      <c r="S1706" s="4">
        <f>Tableau1_2[[#This Row],[Marge]]/Tableau1_2[[#This Row],[CA]]</f>
        <v>0.24042328042328043</v>
      </c>
      <c r="T1706" t="str">
        <f>TEXT(Tableau1_2[[#This Row],[Date]],"mmmm")</f>
        <v>juin</v>
      </c>
    </row>
    <row r="1707" spans="1:20" x14ac:dyDescent="0.35">
      <c r="A1707" t="s">
        <v>2755</v>
      </c>
      <c r="B1707" s="2">
        <v>46214</v>
      </c>
      <c r="C1707" t="s">
        <v>1342</v>
      </c>
      <c r="D1707" t="s">
        <v>1157</v>
      </c>
      <c r="E1707" t="s">
        <v>190</v>
      </c>
      <c r="F1707" t="s">
        <v>191</v>
      </c>
      <c r="G1707" t="s">
        <v>19</v>
      </c>
      <c r="H1707" t="s">
        <v>20</v>
      </c>
      <c r="I1707">
        <v>9</v>
      </c>
      <c r="J1707">
        <v>68200</v>
      </c>
      <c r="K1707">
        <v>45000</v>
      </c>
      <c r="L1707" t="s">
        <v>36</v>
      </c>
      <c r="M1707" t="s">
        <v>37</v>
      </c>
      <c r="N1707" t="s">
        <v>23</v>
      </c>
      <c r="O1707" t="s">
        <v>91</v>
      </c>
      <c r="P1707">
        <f>Tableau1_2[[#This Row],[Quantité]]*Tableau1_2[[#This Row],[Prix_Unitaire]]</f>
        <v>613800</v>
      </c>
      <c r="Q1707">
        <f>Tableau1_2[[#This Row],[Quantité]]*Tableau1_2[[#This Row],[Coût_Unitaire]]</f>
        <v>405000</v>
      </c>
      <c r="R1707">
        <f>Tableau1_2[[#This Row],[CA]]-Tableau1_2[[#This Row],[Cout Total]]</f>
        <v>208800</v>
      </c>
      <c r="S1707" s="4">
        <f>Tableau1_2[[#This Row],[Marge]]/Tableau1_2[[#This Row],[CA]]</f>
        <v>0.34017595307917886</v>
      </c>
      <c r="T1707" t="str">
        <f>TEXT(Tableau1_2[[#This Row],[Date]],"mmmm")</f>
        <v>juillet</v>
      </c>
    </row>
    <row r="1708" spans="1:20" x14ac:dyDescent="0.35">
      <c r="A1708" t="s">
        <v>2756</v>
      </c>
      <c r="B1708" s="2">
        <v>46251</v>
      </c>
      <c r="C1708" t="s">
        <v>486</v>
      </c>
      <c r="D1708" t="s">
        <v>711</v>
      </c>
      <c r="E1708" t="s">
        <v>18</v>
      </c>
      <c r="F1708" t="s">
        <v>18</v>
      </c>
      <c r="G1708" t="s">
        <v>28</v>
      </c>
      <c r="H1708" t="s">
        <v>65</v>
      </c>
      <c r="I1708">
        <v>1</v>
      </c>
      <c r="J1708">
        <v>11400</v>
      </c>
      <c r="K1708">
        <v>7700</v>
      </c>
      <c r="L1708" t="s">
        <v>50</v>
      </c>
      <c r="M1708" t="s">
        <v>31</v>
      </c>
      <c r="N1708" t="s">
        <v>23</v>
      </c>
      <c r="O1708" t="s">
        <v>24</v>
      </c>
      <c r="P1708">
        <f>Tableau1_2[[#This Row],[Quantité]]*Tableau1_2[[#This Row],[Prix_Unitaire]]</f>
        <v>11400</v>
      </c>
      <c r="Q1708">
        <f>Tableau1_2[[#This Row],[Quantité]]*Tableau1_2[[#This Row],[Coût_Unitaire]]</f>
        <v>7700</v>
      </c>
      <c r="R1708">
        <f>Tableau1_2[[#This Row],[CA]]-Tableau1_2[[#This Row],[Cout Total]]</f>
        <v>3700</v>
      </c>
      <c r="S1708" s="4">
        <f>Tableau1_2[[#This Row],[Marge]]/Tableau1_2[[#This Row],[CA]]</f>
        <v>0.32456140350877194</v>
      </c>
      <c r="T1708" t="str">
        <f>TEXT(Tableau1_2[[#This Row],[Date]],"mmmm")</f>
        <v>août</v>
      </c>
    </row>
    <row r="1709" spans="1:20" x14ac:dyDescent="0.35">
      <c r="A1709" t="s">
        <v>2757</v>
      </c>
      <c r="B1709" s="2">
        <v>46356</v>
      </c>
      <c r="C1709" t="s">
        <v>452</v>
      </c>
      <c r="D1709" t="s">
        <v>180</v>
      </c>
      <c r="E1709" t="s">
        <v>70</v>
      </c>
      <c r="F1709" t="s">
        <v>71</v>
      </c>
      <c r="G1709" t="s">
        <v>34</v>
      </c>
      <c r="H1709" t="s">
        <v>158</v>
      </c>
      <c r="I1709">
        <v>3</v>
      </c>
      <c r="J1709">
        <v>95000</v>
      </c>
      <c r="K1709">
        <v>67900</v>
      </c>
      <c r="L1709" t="s">
        <v>96</v>
      </c>
      <c r="M1709" t="s">
        <v>37</v>
      </c>
      <c r="N1709" t="s">
        <v>23</v>
      </c>
      <c r="O1709" t="s">
        <v>24</v>
      </c>
      <c r="P1709">
        <f>Tableau1_2[[#This Row],[Quantité]]*Tableau1_2[[#This Row],[Prix_Unitaire]]</f>
        <v>285000</v>
      </c>
      <c r="Q1709">
        <f>Tableau1_2[[#This Row],[Quantité]]*Tableau1_2[[#This Row],[Coût_Unitaire]]</f>
        <v>203700</v>
      </c>
      <c r="R1709">
        <f>Tableau1_2[[#This Row],[CA]]-Tableau1_2[[#This Row],[Cout Total]]</f>
        <v>81300</v>
      </c>
      <c r="S1709" s="4">
        <f>Tableau1_2[[#This Row],[Marge]]/Tableau1_2[[#This Row],[CA]]</f>
        <v>0.28526315789473683</v>
      </c>
      <c r="T1709" t="str">
        <f>TEXT(Tableau1_2[[#This Row],[Date]],"mmmm")</f>
        <v>novembre</v>
      </c>
    </row>
    <row r="1710" spans="1:20" x14ac:dyDescent="0.35">
      <c r="A1710" t="s">
        <v>2758</v>
      </c>
      <c r="B1710" s="2">
        <v>46375</v>
      </c>
      <c r="C1710" t="s">
        <v>393</v>
      </c>
      <c r="D1710" t="s">
        <v>197</v>
      </c>
      <c r="E1710" t="s">
        <v>18</v>
      </c>
      <c r="F1710" t="s">
        <v>18</v>
      </c>
      <c r="G1710" t="s">
        <v>28</v>
      </c>
      <c r="H1710" t="s">
        <v>65</v>
      </c>
      <c r="I1710">
        <v>1</v>
      </c>
      <c r="J1710">
        <v>12000</v>
      </c>
      <c r="K1710">
        <v>7700</v>
      </c>
      <c r="L1710" t="s">
        <v>21</v>
      </c>
      <c r="M1710" t="s">
        <v>37</v>
      </c>
      <c r="N1710" t="s">
        <v>23</v>
      </c>
      <c r="O1710" t="s">
        <v>24</v>
      </c>
      <c r="P1710">
        <f>Tableau1_2[[#This Row],[Quantité]]*Tableau1_2[[#This Row],[Prix_Unitaire]]</f>
        <v>12000</v>
      </c>
      <c r="Q1710">
        <f>Tableau1_2[[#This Row],[Quantité]]*Tableau1_2[[#This Row],[Coût_Unitaire]]</f>
        <v>7700</v>
      </c>
      <c r="R1710">
        <f>Tableau1_2[[#This Row],[CA]]-Tableau1_2[[#This Row],[Cout Total]]</f>
        <v>4300</v>
      </c>
      <c r="S1710" s="4">
        <f>Tableau1_2[[#This Row],[Marge]]/Tableau1_2[[#This Row],[CA]]</f>
        <v>0.35833333333333334</v>
      </c>
      <c r="T1710" t="str">
        <f>TEXT(Tableau1_2[[#This Row],[Date]],"mmmm")</f>
        <v>décembre</v>
      </c>
    </row>
    <row r="1711" spans="1:20" x14ac:dyDescent="0.35">
      <c r="A1711" t="s">
        <v>2759</v>
      </c>
      <c r="B1711" s="2">
        <v>46193</v>
      </c>
      <c r="C1711" t="s">
        <v>1757</v>
      </c>
      <c r="D1711" t="s">
        <v>990</v>
      </c>
      <c r="E1711" t="s">
        <v>41</v>
      </c>
      <c r="F1711" t="s">
        <v>42</v>
      </c>
      <c r="G1711" t="s">
        <v>19</v>
      </c>
      <c r="H1711" t="s">
        <v>166</v>
      </c>
      <c r="I1711">
        <v>3</v>
      </c>
      <c r="J1711">
        <v>133000</v>
      </c>
      <c r="K1711">
        <v>100000</v>
      </c>
      <c r="L1711" t="s">
        <v>66</v>
      </c>
      <c r="M1711" t="s">
        <v>22</v>
      </c>
      <c r="N1711" t="s">
        <v>52</v>
      </c>
      <c r="O1711" t="s">
        <v>24</v>
      </c>
      <c r="P1711">
        <f>Tableau1_2[[#This Row],[Quantité]]*Tableau1_2[[#This Row],[Prix_Unitaire]]</f>
        <v>399000</v>
      </c>
      <c r="Q1711">
        <f>Tableau1_2[[#This Row],[Quantité]]*Tableau1_2[[#This Row],[Coût_Unitaire]]</f>
        <v>300000</v>
      </c>
      <c r="R1711">
        <f>Tableau1_2[[#This Row],[CA]]-Tableau1_2[[#This Row],[Cout Total]]</f>
        <v>99000</v>
      </c>
      <c r="S1711" s="4">
        <f>Tableau1_2[[#This Row],[Marge]]/Tableau1_2[[#This Row],[CA]]</f>
        <v>0.24812030075187969</v>
      </c>
      <c r="T1711" t="str">
        <f>TEXT(Tableau1_2[[#This Row],[Date]],"mmmm")</f>
        <v>juin</v>
      </c>
    </row>
    <row r="1712" spans="1:20" x14ac:dyDescent="0.35">
      <c r="A1712" t="s">
        <v>2760</v>
      </c>
      <c r="B1712" s="2">
        <v>46080</v>
      </c>
      <c r="C1712" t="s">
        <v>2761</v>
      </c>
      <c r="D1712" t="s">
        <v>2762</v>
      </c>
      <c r="E1712" t="s">
        <v>18</v>
      </c>
      <c r="F1712" t="s">
        <v>18</v>
      </c>
      <c r="G1712" t="s">
        <v>43</v>
      </c>
      <c r="H1712" t="s">
        <v>79</v>
      </c>
      <c r="I1712">
        <v>7</v>
      </c>
      <c r="J1712">
        <v>6000</v>
      </c>
      <c r="K1712">
        <v>4100</v>
      </c>
      <c r="L1712" t="s">
        <v>73</v>
      </c>
      <c r="M1712" t="s">
        <v>31</v>
      </c>
      <c r="N1712" t="s">
        <v>23</v>
      </c>
      <c r="O1712" t="s">
        <v>24</v>
      </c>
      <c r="P1712">
        <f>Tableau1_2[[#This Row],[Quantité]]*Tableau1_2[[#This Row],[Prix_Unitaire]]</f>
        <v>42000</v>
      </c>
      <c r="Q1712">
        <f>Tableau1_2[[#This Row],[Quantité]]*Tableau1_2[[#This Row],[Coût_Unitaire]]</f>
        <v>28700</v>
      </c>
      <c r="R1712">
        <f>Tableau1_2[[#This Row],[CA]]-Tableau1_2[[#This Row],[Cout Total]]</f>
        <v>13300</v>
      </c>
      <c r="S1712" s="4">
        <f>Tableau1_2[[#This Row],[Marge]]/Tableau1_2[[#This Row],[CA]]</f>
        <v>0.31666666666666665</v>
      </c>
      <c r="T1712" t="str">
        <f>TEXT(Tableau1_2[[#This Row],[Date]],"mmmm")</f>
        <v>février</v>
      </c>
    </row>
    <row r="1713" spans="1:20" x14ac:dyDescent="0.35">
      <c r="A1713" t="s">
        <v>2763</v>
      </c>
      <c r="B1713" s="2">
        <v>46179</v>
      </c>
      <c r="C1713" t="s">
        <v>645</v>
      </c>
      <c r="D1713" t="s">
        <v>669</v>
      </c>
      <c r="E1713" t="s">
        <v>18</v>
      </c>
      <c r="F1713" t="s">
        <v>18</v>
      </c>
      <c r="G1713" t="s">
        <v>34</v>
      </c>
      <c r="H1713" t="s">
        <v>35</v>
      </c>
      <c r="I1713">
        <v>3</v>
      </c>
      <c r="J1713">
        <v>55000</v>
      </c>
      <c r="K1713">
        <v>40200</v>
      </c>
      <c r="L1713" t="s">
        <v>30</v>
      </c>
      <c r="M1713" t="s">
        <v>51</v>
      </c>
      <c r="N1713" t="s">
        <v>52</v>
      </c>
      <c r="O1713" t="s">
        <v>24</v>
      </c>
      <c r="P1713">
        <f>Tableau1_2[[#This Row],[Quantité]]*Tableau1_2[[#This Row],[Prix_Unitaire]]</f>
        <v>165000</v>
      </c>
      <c r="Q1713">
        <f>Tableau1_2[[#This Row],[Quantité]]*Tableau1_2[[#This Row],[Coût_Unitaire]]</f>
        <v>120600</v>
      </c>
      <c r="R1713">
        <f>Tableau1_2[[#This Row],[CA]]-Tableau1_2[[#This Row],[Cout Total]]</f>
        <v>44400</v>
      </c>
      <c r="S1713" s="4">
        <f>Tableau1_2[[#This Row],[Marge]]/Tableau1_2[[#This Row],[CA]]</f>
        <v>0.2690909090909091</v>
      </c>
      <c r="T1713" t="str">
        <f>TEXT(Tableau1_2[[#This Row],[Date]],"mmmm")</f>
        <v>juin</v>
      </c>
    </row>
    <row r="1714" spans="1:20" x14ac:dyDescent="0.35">
      <c r="A1714" t="s">
        <v>2764</v>
      </c>
      <c r="B1714" s="2">
        <v>46343</v>
      </c>
      <c r="C1714" t="s">
        <v>1501</v>
      </c>
      <c r="D1714" t="s">
        <v>1197</v>
      </c>
      <c r="E1714" t="s">
        <v>70</v>
      </c>
      <c r="F1714" t="s">
        <v>71</v>
      </c>
      <c r="G1714" t="s">
        <v>19</v>
      </c>
      <c r="H1714" t="s">
        <v>20</v>
      </c>
      <c r="I1714">
        <v>7</v>
      </c>
      <c r="J1714">
        <v>65000</v>
      </c>
      <c r="K1714">
        <v>43600</v>
      </c>
      <c r="L1714" t="s">
        <v>30</v>
      </c>
      <c r="M1714" t="s">
        <v>37</v>
      </c>
      <c r="N1714" t="s">
        <v>52</v>
      </c>
      <c r="O1714" t="s">
        <v>24</v>
      </c>
      <c r="P1714">
        <f>Tableau1_2[[#This Row],[Quantité]]*Tableau1_2[[#This Row],[Prix_Unitaire]]</f>
        <v>455000</v>
      </c>
      <c r="Q1714">
        <f>Tableau1_2[[#This Row],[Quantité]]*Tableau1_2[[#This Row],[Coût_Unitaire]]</f>
        <v>305200</v>
      </c>
      <c r="R1714">
        <f>Tableau1_2[[#This Row],[CA]]-Tableau1_2[[#This Row],[Cout Total]]</f>
        <v>149800</v>
      </c>
      <c r="S1714" s="4">
        <f>Tableau1_2[[#This Row],[Marge]]/Tableau1_2[[#This Row],[CA]]</f>
        <v>0.32923076923076922</v>
      </c>
      <c r="T1714" t="str">
        <f>TEXT(Tableau1_2[[#This Row],[Date]],"mmmm")</f>
        <v>novembre</v>
      </c>
    </row>
    <row r="1715" spans="1:20" x14ac:dyDescent="0.35">
      <c r="A1715" t="s">
        <v>2765</v>
      </c>
      <c r="B1715" s="2">
        <v>46195</v>
      </c>
      <c r="C1715" t="s">
        <v>1076</v>
      </c>
      <c r="D1715" t="s">
        <v>1264</v>
      </c>
      <c r="E1715" t="s">
        <v>18</v>
      </c>
      <c r="F1715" t="s">
        <v>18</v>
      </c>
      <c r="G1715" t="s">
        <v>43</v>
      </c>
      <c r="H1715" t="s">
        <v>79</v>
      </c>
      <c r="I1715">
        <v>8</v>
      </c>
      <c r="J1715">
        <v>5700</v>
      </c>
      <c r="K1715">
        <v>4100</v>
      </c>
      <c r="L1715" t="s">
        <v>30</v>
      </c>
      <c r="M1715" t="s">
        <v>51</v>
      </c>
      <c r="N1715" t="s">
        <v>23</v>
      </c>
      <c r="O1715" t="s">
        <v>24</v>
      </c>
      <c r="P1715">
        <f>Tableau1_2[[#This Row],[Quantité]]*Tableau1_2[[#This Row],[Prix_Unitaire]]</f>
        <v>45600</v>
      </c>
      <c r="Q1715">
        <f>Tableau1_2[[#This Row],[Quantité]]*Tableau1_2[[#This Row],[Coût_Unitaire]]</f>
        <v>32800</v>
      </c>
      <c r="R1715">
        <f>Tableau1_2[[#This Row],[CA]]-Tableau1_2[[#This Row],[Cout Total]]</f>
        <v>12800</v>
      </c>
      <c r="S1715" s="4">
        <f>Tableau1_2[[#This Row],[Marge]]/Tableau1_2[[#This Row],[CA]]</f>
        <v>0.2807017543859649</v>
      </c>
      <c r="T1715" t="str">
        <f>TEXT(Tableau1_2[[#This Row],[Date]],"mmmm")</f>
        <v>juin</v>
      </c>
    </row>
    <row r="1716" spans="1:20" x14ac:dyDescent="0.35">
      <c r="A1716" t="s">
        <v>2766</v>
      </c>
      <c r="B1716" s="2">
        <v>46266</v>
      </c>
      <c r="C1716" t="s">
        <v>2021</v>
      </c>
      <c r="D1716" t="s">
        <v>1224</v>
      </c>
      <c r="E1716" t="s">
        <v>18</v>
      </c>
      <c r="F1716" t="s">
        <v>18</v>
      </c>
      <c r="G1716" t="s">
        <v>34</v>
      </c>
      <c r="H1716" t="s">
        <v>141</v>
      </c>
      <c r="I1716">
        <v>9</v>
      </c>
      <c r="J1716">
        <v>168000</v>
      </c>
      <c r="K1716">
        <v>120000</v>
      </c>
      <c r="L1716" t="s">
        <v>80</v>
      </c>
      <c r="M1716" t="s">
        <v>37</v>
      </c>
      <c r="N1716" t="s">
        <v>23</v>
      </c>
      <c r="O1716" t="s">
        <v>24</v>
      </c>
      <c r="P1716">
        <f>Tableau1_2[[#This Row],[Quantité]]*Tableau1_2[[#This Row],[Prix_Unitaire]]</f>
        <v>1512000</v>
      </c>
      <c r="Q1716">
        <f>Tableau1_2[[#This Row],[Quantité]]*Tableau1_2[[#This Row],[Coût_Unitaire]]</f>
        <v>1080000</v>
      </c>
      <c r="R1716">
        <f>Tableau1_2[[#This Row],[CA]]-Tableau1_2[[#This Row],[Cout Total]]</f>
        <v>432000</v>
      </c>
      <c r="S1716" s="4">
        <f>Tableau1_2[[#This Row],[Marge]]/Tableau1_2[[#This Row],[CA]]</f>
        <v>0.2857142857142857</v>
      </c>
      <c r="T1716" t="str">
        <f>TEXT(Tableau1_2[[#This Row],[Date]],"mmmm")</f>
        <v>septembre</v>
      </c>
    </row>
    <row r="1717" spans="1:20" x14ac:dyDescent="0.35">
      <c r="A1717" t="s">
        <v>2767</v>
      </c>
      <c r="B1717" s="2">
        <v>46037</v>
      </c>
      <c r="C1717" t="s">
        <v>635</v>
      </c>
      <c r="D1717" t="s">
        <v>1689</v>
      </c>
      <c r="E1717" t="s">
        <v>56</v>
      </c>
      <c r="F1717" t="s">
        <v>57</v>
      </c>
      <c r="G1717" t="s">
        <v>43</v>
      </c>
      <c r="H1717" t="s">
        <v>177</v>
      </c>
      <c r="I1717">
        <v>8</v>
      </c>
      <c r="J1717">
        <v>18900</v>
      </c>
      <c r="K1717">
        <v>12100</v>
      </c>
      <c r="L1717" t="s">
        <v>96</v>
      </c>
      <c r="M1717" t="s">
        <v>37</v>
      </c>
      <c r="N1717" t="s">
        <v>52</v>
      </c>
      <c r="O1717" t="s">
        <v>24</v>
      </c>
      <c r="P1717">
        <f>Tableau1_2[[#This Row],[Quantité]]*Tableau1_2[[#This Row],[Prix_Unitaire]]</f>
        <v>151200</v>
      </c>
      <c r="Q1717">
        <f>Tableau1_2[[#This Row],[Quantité]]*Tableau1_2[[#This Row],[Coût_Unitaire]]</f>
        <v>96800</v>
      </c>
      <c r="R1717">
        <f>Tableau1_2[[#This Row],[CA]]-Tableau1_2[[#This Row],[Cout Total]]</f>
        <v>54400</v>
      </c>
      <c r="S1717" s="4">
        <f>Tableau1_2[[#This Row],[Marge]]/Tableau1_2[[#This Row],[CA]]</f>
        <v>0.35978835978835977</v>
      </c>
      <c r="T1717" t="str">
        <f>TEXT(Tableau1_2[[#This Row],[Date]],"mmmm")</f>
        <v>janvier</v>
      </c>
    </row>
    <row r="1718" spans="1:20" x14ac:dyDescent="0.35">
      <c r="A1718" t="s">
        <v>2768</v>
      </c>
      <c r="B1718" s="2">
        <v>46132</v>
      </c>
      <c r="C1718" t="s">
        <v>269</v>
      </c>
      <c r="D1718" t="s">
        <v>1054</v>
      </c>
      <c r="E1718" t="s">
        <v>18</v>
      </c>
      <c r="F1718" t="s">
        <v>18</v>
      </c>
      <c r="G1718" t="s">
        <v>43</v>
      </c>
      <c r="H1718" t="s">
        <v>49</v>
      </c>
      <c r="I1718">
        <v>6</v>
      </c>
      <c r="J1718">
        <v>9000</v>
      </c>
      <c r="K1718">
        <v>5800</v>
      </c>
      <c r="L1718" t="s">
        <v>30</v>
      </c>
      <c r="M1718" t="s">
        <v>51</v>
      </c>
      <c r="N1718" t="s">
        <v>52</v>
      </c>
      <c r="O1718" t="s">
        <v>24</v>
      </c>
      <c r="P1718">
        <f>Tableau1_2[[#This Row],[Quantité]]*Tableau1_2[[#This Row],[Prix_Unitaire]]</f>
        <v>54000</v>
      </c>
      <c r="Q1718">
        <f>Tableau1_2[[#This Row],[Quantité]]*Tableau1_2[[#This Row],[Coût_Unitaire]]</f>
        <v>34800</v>
      </c>
      <c r="R1718">
        <f>Tableau1_2[[#This Row],[CA]]-Tableau1_2[[#This Row],[Cout Total]]</f>
        <v>19200</v>
      </c>
      <c r="S1718" s="4">
        <f>Tableau1_2[[#This Row],[Marge]]/Tableau1_2[[#This Row],[CA]]</f>
        <v>0.35555555555555557</v>
      </c>
      <c r="T1718" t="str">
        <f>TEXT(Tableau1_2[[#This Row],[Date]],"mmmm")</f>
        <v>avril</v>
      </c>
    </row>
    <row r="1719" spans="1:20" x14ac:dyDescent="0.35">
      <c r="A1719" t="s">
        <v>2769</v>
      </c>
      <c r="B1719" s="2">
        <v>46101</v>
      </c>
      <c r="C1719" t="s">
        <v>175</v>
      </c>
      <c r="D1719" t="s">
        <v>514</v>
      </c>
      <c r="E1719" t="s">
        <v>41</v>
      </c>
      <c r="F1719" t="s">
        <v>42</v>
      </c>
      <c r="G1719" t="s">
        <v>34</v>
      </c>
      <c r="H1719" t="s">
        <v>86</v>
      </c>
      <c r="I1719">
        <v>8</v>
      </c>
      <c r="J1719">
        <v>189000</v>
      </c>
      <c r="K1719">
        <v>135000</v>
      </c>
      <c r="L1719" t="s">
        <v>21</v>
      </c>
      <c r="M1719" t="s">
        <v>51</v>
      </c>
      <c r="N1719" t="s">
        <v>23</v>
      </c>
      <c r="O1719" t="s">
        <v>24</v>
      </c>
      <c r="P1719">
        <f>Tableau1_2[[#This Row],[Quantité]]*Tableau1_2[[#This Row],[Prix_Unitaire]]</f>
        <v>1512000</v>
      </c>
      <c r="Q1719">
        <f>Tableau1_2[[#This Row],[Quantité]]*Tableau1_2[[#This Row],[Coût_Unitaire]]</f>
        <v>1080000</v>
      </c>
      <c r="R1719">
        <f>Tableau1_2[[#This Row],[CA]]-Tableau1_2[[#This Row],[Cout Total]]</f>
        <v>432000</v>
      </c>
      <c r="S1719" s="4">
        <f>Tableau1_2[[#This Row],[Marge]]/Tableau1_2[[#This Row],[CA]]</f>
        <v>0.2857142857142857</v>
      </c>
      <c r="T1719" t="str">
        <f>TEXT(Tableau1_2[[#This Row],[Date]],"mmmm")</f>
        <v>mars</v>
      </c>
    </row>
    <row r="1720" spans="1:20" x14ac:dyDescent="0.35">
      <c r="A1720" t="s">
        <v>2770</v>
      </c>
      <c r="B1720" s="2">
        <v>46361</v>
      </c>
      <c r="C1720" t="s">
        <v>863</v>
      </c>
      <c r="D1720" t="s">
        <v>400</v>
      </c>
      <c r="E1720" t="s">
        <v>41</v>
      </c>
      <c r="F1720" t="s">
        <v>42</v>
      </c>
      <c r="G1720" t="s">
        <v>43</v>
      </c>
      <c r="H1720" t="s">
        <v>44</v>
      </c>
      <c r="I1720">
        <v>6</v>
      </c>
      <c r="J1720">
        <v>15000</v>
      </c>
      <c r="K1720">
        <v>9800</v>
      </c>
      <c r="L1720" t="s">
        <v>50</v>
      </c>
      <c r="M1720" t="s">
        <v>22</v>
      </c>
      <c r="N1720" t="s">
        <v>87</v>
      </c>
      <c r="O1720" t="s">
        <v>24</v>
      </c>
      <c r="P1720">
        <f>Tableau1_2[[#This Row],[Quantité]]*Tableau1_2[[#This Row],[Prix_Unitaire]]</f>
        <v>90000</v>
      </c>
      <c r="Q1720">
        <f>Tableau1_2[[#This Row],[Quantité]]*Tableau1_2[[#This Row],[Coût_Unitaire]]</f>
        <v>58800</v>
      </c>
      <c r="R1720">
        <f>Tableau1_2[[#This Row],[CA]]-Tableau1_2[[#This Row],[Cout Total]]</f>
        <v>31200</v>
      </c>
      <c r="S1720" s="4">
        <f>Tableau1_2[[#This Row],[Marge]]/Tableau1_2[[#This Row],[CA]]</f>
        <v>0.34666666666666668</v>
      </c>
      <c r="T1720" t="str">
        <f>TEXT(Tableau1_2[[#This Row],[Date]],"mmmm")</f>
        <v>décembre</v>
      </c>
    </row>
    <row r="1721" spans="1:20" x14ac:dyDescent="0.35">
      <c r="A1721" t="s">
        <v>2771</v>
      </c>
      <c r="B1721" s="2">
        <v>46303</v>
      </c>
      <c r="C1721" t="s">
        <v>1416</v>
      </c>
      <c r="D1721" t="s">
        <v>1717</v>
      </c>
      <c r="E1721" t="s">
        <v>190</v>
      </c>
      <c r="F1721" t="s">
        <v>191</v>
      </c>
      <c r="G1721" t="s">
        <v>34</v>
      </c>
      <c r="H1721" t="s">
        <v>141</v>
      </c>
      <c r="I1721">
        <v>1</v>
      </c>
      <c r="J1721">
        <v>160000</v>
      </c>
      <c r="K1721">
        <v>116400</v>
      </c>
      <c r="L1721" t="s">
        <v>36</v>
      </c>
      <c r="M1721" t="s">
        <v>51</v>
      </c>
      <c r="N1721" t="s">
        <v>87</v>
      </c>
      <c r="O1721" t="s">
        <v>24</v>
      </c>
      <c r="P1721">
        <f>Tableau1_2[[#This Row],[Quantité]]*Tableau1_2[[#This Row],[Prix_Unitaire]]</f>
        <v>160000</v>
      </c>
      <c r="Q1721">
        <f>Tableau1_2[[#This Row],[Quantité]]*Tableau1_2[[#This Row],[Coût_Unitaire]]</f>
        <v>116400</v>
      </c>
      <c r="R1721">
        <f>Tableau1_2[[#This Row],[CA]]-Tableau1_2[[#This Row],[Cout Total]]</f>
        <v>43600</v>
      </c>
      <c r="S1721" s="4">
        <f>Tableau1_2[[#This Row],[Marge]]/Tableau1_2[[#This Row],[CA]]</f>
        <v>0.27250000000000002</v>
      </c>
      <c r="T1721" t="str">
        <f>TEXT(Tableau1_2[[#This Row],[Date]],"mmmm")</f>
        <v>octobre</v>
      </c>
    </row>
    <row r="1722" spans="1:20" x14ac:dyDescent="0.35">
      <c r="A1722" t="s">
        <v>2772</v>
      </c>
      <c r="B1722" s="2">
        <v>46375</v>
      </c>
      <c r="C1722" t="s">
        <v>1076</v>
      </c>
      <c r="D1722" t="s">
        <v>1346</v>
      </c>
      <c r="E1722" t="s">
        <v>41</v>
      </c>
      <c r="F1722" t="s">
        <v>42</v>
      </c>
      <c r="G1722" t="s">
        <v>43</v>
      </c>
      <c r="H1722" t="s">
        <v>44</v>
      </c>
      <c r="I1722">
        <v>8</v>
      </c>
      <c r="J1722">
        <v>15000</v>
      </c>
      <c r="K1722">
        <v>9500</v>
      </c>
      <c r="L1722" t="s">
        <v>50</v>
      </c>
      <c r="M1722" t="s">
        <v>37</v>
      </c>
      <c r="N1722" t="s">
        <v>52</v>
      </c>
      <c r="O1722" t="s">
        <v>24</v>
      </c>
      <c r="P1722">
        <f>Tableau1_2[[#This Row],[Quantité]]*Tableau1_2[[#This Row],[Prix_Unitaire]]</f>
        <v>120000</v>
      </c>
      <c r="Q1722">
        <f>Tableau1_2[[#This Row],[Quantité]]*Tableau1_2[[#This Row],[Coût_Unitaire]]</f>
        <v>76000</v>
      </c>
      <c r="R1722">
        <f>Tableau1_2[[#This Row],[CA]]-Tableau1_2[[#This Row],[Cout Total]]</f>
        <v>44000</v>
      </c>
      <c r="S1722" s="4">
        <f>Tableau1_2[[#This Row],[Marge]]/Tableau1_2[[#This Row],[CA]]</f>
        <v>0.36666666666666664</v>
      </c>
      <c r="T1722" t="str">
        <f>TEXT(Tableau1_2[[#This Row],[Date]],"mmmm")</f>
        <v>décembre</v>
      </c>
    </row>
    <row r="1723" spans="1:20" x14ac:dyDescent="0.35">
      <c r="A1723" t="s">
        <v>2773</v>
      </c>
      <c r="B1723" s="2">
        <v>46302</v>
      </c>
      <c r="C1723" t="s">
        <v>1414</v>
      </c>
      <c r="D1723" t="s">
        <v>1760</v>
      </c>
      <c r="E1723" t="s">
        <v>156</v>
      </c>
      <c r="F1723" t="s">
        <v>157</v>
      </c>
      <c r="G1723" t="s">
        <v>34</v>
      </c>
      <c r="H1723" t="s">
        <v>141</v>
      </c>
      <c r="I1723">
        <v>5</v>
      </c>
      <c r="J1723">
        <v>160000</v>
      </c>
      <c r="K1723">
        <v>116400</v>
      </c>
      <c r="L1723" t="s">
        <v>36</v>
      </c>
      <c r="M1723" t="s">
        <v>31</v>
      </c>
      <c r="N1723" t="s">
        <v>87</v>
      </c>
      <c r="O1723" t="s">
        <v>24</v>
      </c>
      <c r="P1723">
        <f>Tableau1_2[[#This Row],[Quantité]]*Tableau1_2[[#This Row],[Prix_Unitaire]]</f>
        <v>800000</v>
      </c>
      <c r="Q1723">
        <f>Tableau1_2[[#This Row],[Quantité]]*Tableau1_2[[#This Row],[Coût_Unitaire]]</f>
        <v>582000</v>
      </c>
      <c r="R1723">
        <f>Tableau1_2[[#This Row],[CA]]-Tableau1_2[[#This Row],[Cout Total]]</f>
        <v>218000</v>
      </c>
      <c r="S1723" s="4">
        <f>Tableau1_2[[#This Row],[Marge]]/Tableau1_2[[#This Row],[CA]]</f>
        <v>0.27250000000000002</v>
      </c>
      <c r="T1723" t="str">
        <f>TEXT(Tableau1_2[[#This Row],[Date]],"mmmm")</f>
        <v>octobre</v>
      </c>
    </row>
    <row r="1724" spans="1:20" x14ac:dyDescent="0.35">
      <c r="A1724" t="s">
        <v>2774</v>
      </c>
      <c r="B1724" s="2">
        <v>46181</v>
      </c>
      <c r="C1724" t="s">
        <v>2775</v>
      </c>
      <c r="D1724" t="s">
        <v>1519</v>
      </c>
      <c r="E1724" t="s">
        <v>156</v>
      </c>
      <c r="F1724" t="s">
        <v>157</v>
      </c>
      <c r="G1724" t="s">
        <v>28</v>
      </c>
      <c r="H1724" t="s">
        <v>29</v>
      </c>
      <c r="I1724">
        <v>6</v>
      </c>
      <c r="J1724">
        <v>6600</v>
      </c>
      <c r="K1724">
        <v>4000</v>
      </c>
      <c r="L1724" t="s">
        <v>80</v>
      </c>
      <c r="M1724" t="s">
        <v>37</v>
      </c>
      <c r="N1724" t="s">
        <v>87</v>
      </c>
      <c r="O1724" t="s">
        <v>24</v>
      </c>
      <c r="P1724">
        <f>Tableau1_2[[#This Row],[Quantité]]*Tableau1_2[[#This Row],[Prix_Unitaire]]</f>
        <v>39600</v>
      </c>
      <c r="Q1724">
        <f>Tableau1_2[[#This Row],[Quantité]]*Tableau1_2[[#This Row],[Coût_Unitaire]]</f>
        <v>24000</v>
      </c>
      <c r="R1724">
        <f>Tableau1_2[[#This Row],[CA]]-Tableau1_2[[#This Row],[Cout Total]]</f>
        <v>15600</v>
      </c>
      <c r="S1724" s="4">
        <f>Tableau1_2[[#This Row],[Marge]]/Tableau1_2[[#This Row],[CA]]</f>
        <v>0.39393939393939392</v>
      </c>
      <c r="T1724" t="str">
        <f>TEXT(Tableau1_2[[#This Row],[Date]],"mmmm")</f>
        <v>juin</v>
      </c>
    </row>
    <row r="1725" spans="1:20" x14ac:dyDescent="0.35">
      <c r="A1725" t="s">
        <v>2776</v>
      </c>
      <c r="B1725" s="2">
        <v>46142</v>
      </c>
      <c r="C1725" t="s">
        <v>402</v>
      </c>
      <c r="D1725" t="s">
        <v>979</v>
      </c>
      <c r="E1725" t="s">
        <v>41</v>
      </c>
      <c r="F1725" t="s">
        <v>42</v>
      </c>
      <c r="G1725" t="s">
        <v>19</v>
      </c>
      <c r="H1725" t="s">
        <v>112</v>
      </c>
      <c r="I1725">
        <v>4</v>
      </c>
      <c r="J1725">
        <v>80800</v>
      </c>
      <c r="K1725">
        <v>62000</v>
      </c>
      <c r="L1725" t="s">
        <v>73</v>
      </c>
      <c r="M1725" t="s">
        <v>37</v>
      </c>
      <c r="N1725" t="s">
        <v>87</v>
      </c>
      <c r="O1725" t="s">
        <v>24</v>
      </c>
      <c r="P1725">
        <f>Tableau1_2[[#This Row],[Quantité]]*Tableau1_2[[#This Row],[Prix_Unitaire]]</f>
        <v>323200</v>
      </c>
      <c r="Q1725">
        <f>Tableau1_2[[#This Row],[Quantité]]*Tableau1_2[[#This Row],[Coût_Unitaire]]</f>
        <v>248000</v>
      </c>
      <c r="R1725">
        <f>Tableau1_2[[#This Row],[CA]]-Tableau1_2[[#This Row],[Cout Total]]</f>
        <v>75200</v>
      </c>
      <c r="S1725" s="4">
        <f>Tableau1_2[[#This Row],[Marge]]/Tableau1_2[[#This Row],[CA]]</f>
        <v>0.23267326732673269</v>
      </c>
      <c r="T1725" t="str">
        <f>TEXT(Tableau1_2[[#This Row],[Date]],"mmmm")</f>
        <v>avril</v>
      </c>
    </row>
    <row r="1726" spans="1:20" x14ac:dyDescent="0.35">
      <c r="A1726" t="s">
        <v>2777</v>
      </c>
      <c r="B1726" s="2">
        <v>46371</v>
      </c>
      <c r="C1726" t="s">
        <v>1527</v>
      </c>
      <c r="D1726" t="s">
        <v>806</v>
      </c>
      <c r="E1726" t="s">
        <v>18</v>
      </c>
      <c r="F1726" t="s">
        <v>18</v>
      </c>
      <c r="G1726" t="s">
        <v>34</v>
      </c>
      <c r="H1726" t="s">
        <v>95</v>
      </c>
      <c r="I1726">
        <v>1</v>
      </c>
      <c r="J1726">
        <v>450000</v>
      </c>
      <c r="K1726">
        <v>381100</v>
      </c>
      <c r="L1726" t="s">
        <v>96</v>
      </c>
      <c r="M1726" t="s">
        <v>22</v>
      </c>
      <c r="N1726" t="s">
        <v>52</v>
      </c>
      <c r="O1726" t="s">
        <v>91</v>
      </c>
      <c r="P1726">
        <f>Tableau1_2[[#This Row],[Quantité]]*Tableau1_2[[#This Row],[Prix_Unitaire]]</f>
        <v>450000</v>
      </c>
      <c r="Q1726">
        <f>Tableau1_2[[#This Row],[Quantité]]*Tableau1_2[[#This Row],[Coût_Unitaire]]</f>
        <v>381100</v>
      </c>
      <c r="R1726">
        <f>Tableau1_2[[#This Row],[CA]]-Tableau1_2[[#This Row],[Cout Total]]</f>
        <v>68900</v>
      </c>
      <c r="S1726" s="4">
        <f>Tableau1_2[[#This Row],[Marge]]/Tableau1_2[[#This Row],[CA]]</f>
        <v>0.15311111111111111</v>
      </c>
      <c r="T1726" t="str">
        <f>TEXT(Tableau1_2[[#This Row],[Date]],"mmmm")</f>
        <v>décembre</v>
      </c>
    </row>
    <row r="1727" spans="1:20" x14ac:dyDescent="0.35">
      <c r="A1727" t="s">
        <v>2778</v>
      </c>
      <c r="B1727" s="2">
        <v>46368</v>
      </c>
      <c r="C1727" t="s">
        <v>240</v>
      </c>
      <c r="D1727" t="s">
        <v>1824</v>
      </c>
      <c r="E1727" t="s">
        <v>190</v>
      </c>
      <c r="F1727" t="s">
        <v>191</v>
      </c>
      <c r="G1727" t="s">
        <v>34</v>
      </c>
      <c r="H1727" t="s">
        <v>158</v>
      </c>
      <c r="I1727">
        <v>6</v>
      </c>
      <c r="J1727">
        <v>95000</v>
      </c>
      <c r="K1727">
        <v>67900</v>
      </c>
      <c r="L1727" t="s">
        <v>30</v>
      </c>
      <c r="M1727" t="s">
        <v>51</v>
      </c>
      <c r="N1727" t="s">
        <v>23</v>
      </c>
      <c r="O1727" t="s">
        <v>24</v>
      </c>
      <c r="P1727">
        <f>Tableau1_2[[#This Row],[Quantité]]*Tableau1_2[[#This Row],[Prix_Unitaire]]</f>
        <v>570000</v>
      </c>
      <c r="Q1727">
        <f>Tableau1_2[[#This Row],[Quantité]]*Tableau1_2[[#This Row],[Coût_Unitaire]]</f>
        <v>407400</v>
      </c>
      <c r="R1727">
        <f>Tableau1_2[[#This Row],[CA]]-Tableau1_2[[#This Row],[Cout Total]]</f>
        <v>162600</v>
      </c>
      <c r="S1727" s="4">
        <f>Tableau1_2[[#This Row],[Marge]]/Tableau1_2[[#This Row],[CA]]</f>
        <v>0.28526315789473683</v>
      </c>
      <c r="T1727" t="str">
        <f>TEXT(Tableau1_2[[#This Row],[Date]],"mmmm")</f>
        <v>décembre</v>
      </c>
    </row>
    <row r="1728" spans="1:20" x14ac:dyDescent="0.35">
      <c r="A1728" t="s">
        <v>2779</v>
      </c>
      <c r="B1728" s="2">
        <v>46255</v>
      </c>
      <c r="C1728" t="s">
        <v>678</v>
      </c>
      <c r="D1728" t="s">
        <v>105</v>
      </c>
      <c r="E1728" t="s">
        <v>18</v>
      </c>
      <c r="F1728" t="s">
        <v>18</v>
      </c>
      <c r="G1728" t="s">
        <v>43</v>
      </c>
      <c r="H1728" t="s">
        <v>44</v>
      </c>
      <c r="I1728">
        <v>3</v>
      </c>
      <c r="J1728">
        <v>14200</v>
      </c>
      <c r="K1728">
        <v>9800</v>
      </c>
      <c r="L1728" t="s">
        <v>30</v>
      </c>
      <c r="M1728" t="s">
        <v>37</v>
      </c>
      <c r="N1728" t="s">
        <v>23</v>
      </c>
      <c r="O1728" t="s">
        <v>45</v>
      </c>
      <c r="P1728">
        <f>Tableau1_2[[#This Row],[Quantité]]*Tableau1_2[[#This Row],[Prix_Unitaire]]</f>
        <v>42600</v>
      </c>
      <c r="Q1728">
        <f>Tableau1_2[[#This Row],[Quantité]]*Tableau1_2[[#This Row],[Coût_Unitaire]]</f>
        <v>29400</v>
      </c>
      <c r="R1728">
        <f>Tableau1_2[[#This Row],[CA]]-Tableau1_2[[#This Row],[Cout Total]]</f>
        <v>13200</v>
      </c>
      <c r="S1728" s="4">
        <f>Tableau1_2[[#This Row],[Marge]]/Tableau1_2[[#This Row],[CA]]</f>
        <v>0.30985915492957744</v>
      </c>
      <c r="T1728" t="str">
        <f>TEXT(Tableau1_2[[#This Row],[Date]],"mmmm")</f>
        <v>août</v>
      </c>
    </row>
    <row r="1729" spans="1:20" x14ac:dyDescent="0.35">
      <c r="A1729" t="s">
        <v>2780</v>
      </c>
      <c r="B1729" s="2">
        <v>46321</v>
      </c>
      <c r="C1729" t="s">
        <v>1509</v>
      </c>
      <c r="D1729" t="s">
        <v>1059</v>
      </c>
      <c r="E1729" t="s">
        <v>56</v>
      </c>
      <c r="F1729" t="s">
        <v>57</v>
      </c>
      <c r="G1729" t="s">
        <v>19</v>
      </c>
      <c r="H1729" t="s">
        <v>20</v>
      </c>
      <c r="I1729">
        <v>1</v>
      </c>
      <c r="J1729">
        <v>65000</v>
      </c>
      <c r="K1729">
        <v>43600</v>
      </c>
      <c r="L1729" t="s">
        <v>80</v>
      </c>
      <c r="M1729" t="s">
        <v>37</v>
      </c>
      <c r="N1729" t="s">
        <v>52</v>
      </c>
      <c r="O1729" t="s">
        <v>91</v>
      </c>
      <c r="P1729">
        <f>Tableau1_2[[#This Row],[Quantité]]*Tableau1_2[[#This Row],[Prix_Unitaire]]</f>
        <v>65000</v>
      </c>
      <c r="Q1729">
        <f>Tableau1_2[[#This Row],[Quantité]]*Tableau1_2[[#This Row],[Coût_Unitaire]]</f>
        <v>43600</v>
      </c>
      <c r="R1729">
        <f>Tableau1_2[[#This Row],[CA]]-Tableau1_2[[#This Row],[Cout Total]]</f>
        <v>21400</v>
      </c>
      <c r="S1729" s="4">
        <f>Tableau1_2[[#This Row],[Marge]]/Tableau1_2[[#This Row],[CA]]</f>
        <v>0.32923076923076922</v>
      </c>
      <c r="T1729" t="str">
        <f>TEXT(Tableau1_2[[#This Row],[Date]],"mmmm")</f>
        <v>octobre</v>
      </c>
    </row>
    <row r="1730" spans="1:20" x14ac:dyDescent="0.35">
      <c r="A1730" t="s">
        <v>2781</v>
      </c>
      <c r="B1730" s="2">
        <v>46152</v>
      </c>
      <c r="C1730" t="s">
        <v>1524</v>
      </c>
      <c r="D1730" t="s">
        <v>1179</v>
      </c>
      <c r="E1730" t="s">
        <v>56</v>
      </c>
      <c r="F1730" t="s">
        <v>57</v>
      </c>
      <c r="G1730" t="s">
        <v>28</v>
      </c>
      <c r="H1730" t="s">
        <v>131</v>
      </c>
      <c r="I1730">
        <v>4</v>
      </c>
      <c r="J1730">
        <v>30000</v>
      </c>
      <c r="K1730">
        <v>19600</v>
      </c>
      <c r="L1730" t="s">
        <v>80</v>
      </c>
      <c r="M1730" t="s">
        <v>37</v>
      </c>
      <c r="N1730" t="s">
        <v>23</v>
      </c>
      <c r="O1730" t="s">
        <v>24</v>
      </c>
      <c r="P1730">
        <f>Tableau1_2[[#This Row],[Quantité]]*Tableau1_2[[#This Row],[Prix_Unitaire]]</f>
        <v>120000</v>
      </c>
      <c r="Q1730">
        <f>Tableau1_2[[#This Row],[Quantité]]*Tableau1_2[[#This Row],[Coût_Unitaire]]</f>
        <v>78400</v>
      </c>
      <c r="R1730">
        <f>Tableau1_2[[#This Row],[CA]]-Tableau1_2[[#This Row],[Cout Total]]</f>
        <v>41600</v>
      </c>
      <c r="S1730" s="4">
        <f>Tableau1_2[[#This Row],[Marge]]/Tableau1_2[[#This Row],[CA]]</f>
        <v>0.34666666666666668</v>
      </c>
      <c r="T1730" t="str">
        <f>TEXT(Tableau1_2[[#This Row],[Date]],"mmmm")</f>
        <v>mai</v>
      </c>
    </row>
    <row r="1731" spans="1:20" x14ac:dyDescent="0.35">
      <c r="A1731" t="s">
        <v>2782</v>
      </c>
      <c r="B1731" s="2">
        <v>46183</v>
      </c>
      <c r="C1731" t="s">
        <v>901</v>
      </c>
      <c r="D1731" t="s">
        <v>1559</v>
      </c>
      <c r="E1731" t="s">
        <v>56</v>
      </c>
      <c r="F1731" t="s">
        <v>57</v>
      </c>
      <c r="G1731" t="s">
        <v>34</v>
      </c>
      <c r="H1731" t="s">
        <v>95</v>
      </c>
      <c r="I1731">
        <v>8</v>
      </c>
      <c r="J1731">
        <v>450000</v>
      </c>
      <c r="K1731">
        <v>358900</v>
      </c>
      <c r="L1731" t="s">
        <v>80</v>
      </c>
      <c r="M1731" t="s">
        <v>37</v>
      </c>
      <c r="N1731" t="s">
        <v>23</v>
      </c>
      <c r="O1731" t="s">
        <v>24</v>
      </c>
      <c r="P1731">
        <f>Tableau1_2[[#This Row],[Quantité]]*Tableau1_2[[#This Row],[Prix_Unitaire]]</f>
        <v>3600000</v>
      </c>
      <c r="Q1731">
        <f>Tableau1_2[[#This Row],[Quantité]]*Tableau1_2[[#This Row],[Coût_Unitaire]]</f>
        <v>2871200</v>
      </c>
      <c r="R1731">
        <f>Tableau1_2[[#This Row],[CA]]-Tableau1_2[[#This Row],[Cout Total]]</f>
        <v>728800</v>
      </c>
      <c r="S1731" s="4">
        <f>Tableau1_2[[#This Row],[Marge]]/Tableau1_2[[#This Row],[CA]]</f>
        <v>0.20244444444444445</v>
      </c>
      <c r="T1731" t="str">
        <f>TEXT(Tableau1_2[[#This Row],[Date]],"mmmm")</f>
        <v>juin</v>
      </c>
    </row>
    <row r="1732" spans="1:20" x14ac:dyDescent="0.35">
      <c r="A1732" t="s">
        <v>2783</v>
      </c>
      <c r="B1732" s="2">
        <v>46192</v>
      </c>
      <c r="C1732" t="s">
        <v>399</v>
      </c>
      <c r="D1732" t="s">
        <v>2012</v>
      </c>
      <c r="E1732" t="s">
        <v>77</v>
      </c>
      <c r="F1732" t="s">
        <v>78</v>
      </c>
      <c r="G1732" t="s">
        <v>34</v>
      </c>
      <c r="H1732" t="s">
        <v>95</v>
      </c>
      <c r="I1732">
        <v>6</v>
      </c>
      <c r="J1732">
        <v>450000</v>
      </c>
      <c r="K1732">
        <v>358900</v>
      </c>
      <c r="L1732" t="s">
        <v>80</v>
      </c>
      <c r="M1732" t="s">
        <v>37</v>
      </c>
      <c r="N1732" t="s">
        <v>23</v>
      </c>
      <c r="O1732" t="s">
        <v>24</v>
      </c>
      <c r="P1732">
        <f>Tableau1_2[[#This Row],[Quantité]]*Tableau1_2[[#This Row],[Prix_Unitaire]]</f>
        <v>2700000</v>
      </c>
      <c r="Q1732">
        <f>Tableau1_2[[#This Row],[Quantité]]*Tableau1_2[[#This Row],[Coût_Unitaire]]</f>
        <v>2153400</v>
      </c>
      <c r="R1732">
        <f>Tableau1_2[[#This Row],[CA]]-Tableau1_2[[#This Row],[Cout Total]]</f>
        <v>546600</v>
      </c>
      <c r="S1732" s="4">
        <f>Tableau1_2[[#This Row],[Marge]]/Tableau1_2[[#This Row],[CA]]</f>
        <v>0.20244444444444445</v>
      </c>
      <c r="T1732" t="str">
        <f>TEXT(Tableau1_2[[#This Row],[Date]],"mmmm")</f>
        <v>juin</v>
      </c>
    </row>
    <row r="1733" spans="1:20" x14ac:dyDescent="0.35">
      <c r="A1733" t="s">
        <v>2784</v>
      </c>
      <c r="B1733" s="2">
        <v>46204</v>
      </c>
      <c r="C1733" t="s">
        <v>1243</v>
      </c>
      <c r="D1733" t="s">
        <v>1325</v>
      </c>
      <c r="E1733" t="s">
        <v>70</v>
      </c>
      <c r="F1733" t="s">
        <v>71</v>
      </c>
      <c r="G1733" t="s">
        <v>28</v>
      </c>
      <c r="H1733" t="s">
        <v>248</v>
      </c>
      <c r="I1733">
        <v>6</v>
      </c>
      <c r="J1733">
        <v>23800</v>
      </c>
      <c r="K1733">
        <v>15500</v>
      </c>
      <c r="L1733" t="s">
        <v>96</v>
      </c>
      <c r="M1733" t="s">
        <v>51</v>
      </c>
      <c r="N1733" t="s">
        <v>23</v>
      </c>
      <c r="O1733" t="s">
        <v>24</v>
      </c>
      <c r="P1733">
        <f>Tableau1_2[[#This Row],[Quantité]]*Tableau1_2[[#This Row],[Prix_Unitaire]]</f>
        <v>142800</v>
      </c>
      <c r="Q1733">
        <f>Tableau1_2[[#This Row],[Quantité]]*Tableau1_2[[#This Row],[Coût_Unitaire]]</f>
        <v>93000</v>
      </c>
      <c r="R1733">
        <f>Tableau1_2[[#This Row],[CA]]-Tableau1_2[[#This Row],[Cout Total]]</f>
        <v>49800</v>
      </c>
      <c r="S1733" s="4">
        <f>Tableau1_2[[#This Row],[Marge]]/Tableau1_2[[#This Row],[CA]]</f>
        <v>0.34873949579831931</v>
      </c>
      <c r="T1733" t="str">
        <f>TEXT(Tableau1_2[[#This Row],[Date]],"mmmm")</f>
        <v>juillet</v>
      </c>
    </row>
    <row r="1734" spans="1:20" x14ac:dyDescent="0.35">
      <c r="A1734" t="s">
        <v>2785</v>
      </c>
      <c r="B1734" s="2">
        <v>46100</v>
      </c>
      <c r="C1734" t="s">
        <v>1757</v>
      </c>
      <c r="D1734" t="s">
        <v>1581</v>
      </c>
      <c r="E1734" t="s">
        <v>70</v>
      </c>
      <c r="F1734" t="s">
        <v>71</v>
      </c>
      <c r="G1734" t="s">
        <v>34</v>
      </c>
      <c r="H1734" t="s">
        <v>158</v>
      </c>
      <c r="I1734">
        <v>5</v>
      </c>
      <c r="J1734">
        <v>99800</v>
      </c>
      <c r="K1734">
        <v>72100</v>
      </c>
      <c r="L1734" t="s">
        <v>66</v>
      </c>
      <c r="M1734" t="s">
        <v>37</v>
      </c>
      <c r="N1734" t="s">
        <v>87</v>
      </c>
      <c r="O1734" t="s">
        <v>45</v>
      </c>
      <c r="P1734">
        <f>Tableau1_2[[#This Row],[Quantité]]*Tableau1_2[[#This Row],[Prix_Unitaire]]</f>
        <v>499000</v>
      </c>
      <c r="Q1734">
        <f>Tableau1_2[[#This Row],[Quantité]]*Tableau1_2[[#This Row],[Coût_Unitaire]]</f>
        <v>360500</v>
      </c>
      <c r="R1734">
        <f>Tableau1_2[[#This Row],[CA]]-Tableau1_2[[#This Row],[Cout Total]]</f>
        <v>138500</v>
      </c>
      <c r="S1734" s="4">
        <f>Tableau1_2[[#This Row],[Marge]]/Tableau1_2[[#This Row],[CA]]</f>
        <v>0.27755511022044088</v>
      </c>
      <c r="T1734" t="str">
        <f>TEXT(Tableau1_2[[#This Row],[Date]],"mmmm")</f>
        <v>mars</v>
      </c>
    </row>
    <row r="1735" spans="1:20" x14ac:dyDescent="0.35">
      <c r="A1735" t="s">
        <v>2786</v>
      </c>
      <c r="B1735" s="2">
        <v>46281</v>
      </c>
      <c r="C1735" t="s">
        <v>1524</v>
      </c>
      <c r="D1735" t="s">
        <v>1654</v>
      </c>
      <c r="E1735" t="s">
        <v>156</v>
      </c>
      <c r="F1735" t="s">
        <v>170</v>
      </c>
      <c r="G1735" t="s">
        <v>28</v>
      </c>
      <c r="H1735" t="s">
        <v>72</v>
      </c>
      <c r="I1735">
        <v>10</v>
      </c>
      <c r="J1735">
        <v>10000</v>
      </c>
      <c r="K1735">
        <v>6000</v>
      </c>
      <c r="L1735" t="s">
        <v>36</v>
      </c>
      <c r="M1735" t="s">
        <v>37</v>
      </c>
      <c r="N1735" t="s">
        <v>52</v>
      </c>
      <c r="O1735" t="s">
        <v>24</v>
      </c>
      <c r="P1735">
        <f>Tableau1_2[[#This Row],[Quantité]]*Tableau1_2[[#This Row],[Prix_Unitaire]]</f>
        <v>100000</v>
      </c>
      <c r="Q1735">
        <f>Tableau1_2[[#This Row],[Quantité]]*Tableau1_2[[#This Row],[Coût_Unitaire]]</f>
        <v>60000</v>
      </c>
      <c r="R1735">
        <f>Tableau1_2[[#This Row],[CA]]-Tableau1_2[[#This Row],[Cout Total]]</f>
        <v>40000</v>
      </c>
      <c r="S1735" s="4">
        <f>Tableau1_2[[#This Row],[Marge]]/Tableau1_2[[#This Row],[CA]]</f>
        <v>0.4</v>
      </c>
      <c r="T1735" t="str">
        <f>TEXT(Tableau1_2[[#This Row],[Date]],"mmmm")</f>
        <v>septembre</v>
      </c>
    </row>
    <row r="1736" spans="1:20" x14ac:dyDescent="0.35">
      <c r="A1736" t="s">
        <v>2787</v>
      </c>
      <c r="B1736" s="2">
        <v>46304</v>
      </c>
      <c r="C1736" t="s">
        <v>836</v>
      </c>
      <c r="D1736" t="s">
        <v>2788</v>
      </c>
      <c r="E1736" t="s">
        <v>70</v>
      </c>
      <c r="F1736" t="s">
        <v>71</v>
      </c>
      <c r="G1736" t="s">
        <v>43</v>
      </c>
      <c r="H1736" t="s">
        <v>79</v>
      </c>
      <c r="I1736">
        <v>6</v>
      </c>
      <c r="J1736">
        <v>6000</v>
      </c>
      <c r="K1736">
        <v>4300</v>
      </c>
      <c r="L1736" t="s">
        <v>21</v>
      </c>
      <c r="M1736" t="s">
        <v>37</v>
      </c>
      <c r="N1736" t="s">
        <v>87</v>
      </c>
      <c r="O1736" t="s">
        <v>24</v>
      </c>
      <c r="P1736">
        <f>Tableau1_2[[#This Row],[Quantité]]*Tableau1_2[[#This Row],[Prix_Unitaire]]</f>
        <v>36000</v>
      </c>
      <c r="Q1736">
        <f>Tableau1_2[[#This Row],[Quantité]]*Tableau1_2[[#This Row],[Coût_Unitaire]]</f>
        <v>25800</v>
      </c>
      <c r="R1736">
        <f>Tableau1_2[[#This Row],[CA]]-Tableau1_2[[#This Row],[Cout Total]]</f>
        <v>10200</v>
      </c>
      <c r="S1736" s="4">
        <f>Tableau1_2[[#This Row],[Marge]]/Tableau1_2[[#This Row],[CA]]</f>
        <v>0.28333333333333333</v>
      </c>
      <c r="T1736" t="str">
        <f>TEXT(Tableau1_2[[#This Row],[Date]],"mmmm")</f>
        <v>octobre</v>
      </c>
    </row>
    <row r="1737" spans="1:20" x14ac:dyDescent="0.35">
      <c r="A1737" t="s">
        <v>2789</v>
      </c>
      <c r="B1737" s="2">
        <v>46095</v>
      </c>
      <c r="C1737" t="s">
        <v>1490</v>
      </c>
      <c r="D1737" t="s">
        <v>1141</v>
      </c>
      <c r="E1737" t="s">
        <v>70</v>
      </c>
      <c r="F1737" t="s">
        <v>71</v>
      </c>
      <c r="G1737" t="s">
        <v>43</v>
      </c>
      <c r="H1737" t="s">
        <v>49</v>
      </c>
      <c r="I1737">
        <v>10</v>
      </c>
      <c r="J1737">
        <v>9000</v>
      </c>
      <c r="K1737">
        <v>5600</v>
      </c>
      <c r="L1737" t="s">
        <v>80</v>
      </c>
      <c r="M1737" t="s">
        <v>37</v>
      </c>
      <c r="N1737" t="s">
        <v>52</v>
      </c>
      <c r="O1737" t="s">
        <v>45</v>
      </c>
      <c r="P1737">
        <f>Tableau1_2[[#This Row],[Quantité]]*Tableau1_2[[#This Row],[Prix_Unitaire]]</f>
        <v>90000</v>
      </c>
      <c r="Q1737">
        <f>Tableau1_2[[#This Row],[Quantité]]*Tableau1_2[[#This Row],[Coût_Unitaire]]</f>
        <v>56000</v>
      </c>
      <c r="R1737">
        <f>Tableau1_2[[#This Row],[CA]]-Tableau1_2[[#This Row],[Cout Total]]</f>
        <v>34000</v>
      </c>
      <c r="S1737" s="4">
        <f>Tableau1_2[[#This Row],[Marge]]/Tableau1_2[[#This Row],[CA]]</f>
        <v>0.37777777777777777</v>
      </c>
      <c r="T1737" t="str">
        <f>TEXT(Tableau1_2[[#This Row],[Date]],"mmmm")</f>
        <v>mars</v>
      </c>
    </row>
    <row r="1738" spans="1:20" x14ac:dyDescent="0.35">
      <c r="A1738" t="s">
        <v>2790</v>
      </c>
      <c r="B1738" s="2">
        <v>46242</v>
      </c>
      <c r="C1738" t="s">
        <v>1479</v>
      </c>
      <c r="D1738" t="s">
        <v>176</v>
      </c>
      <c r="E1738" t="s">
        <v>156</v>
      </c>
      <c r="F1738" t="s">
        <v>170</v>
      </c>
      <c r="G1738" t="s">
        <v>34</v>
      </c>
      <c r="H1738" t="s">
        <v>158</v>
      </c>
      <c r="I1738">
        <v>3</v>
      </c>
      <c r="J1738">
        <v>95000</v>
      </c>
      <c r="K1738">
        <v>67900</v>
      </c>
      <c r="L1738" t="s">
        <v>96</v>
      </c>
      <c r="M1738" t="s">
        <v>51</v>
      </c>
      <c r="N1738" t="s">
        <v>23</v>
      </c>
      <c r="O1738" t="s">
        <v>24</v>
      </c>
      <c r="P1738">
        <f>Tableau1_2[[#This Row],[Quantité]]*Tableau1_2[[#This Row],[Prix_Unitaire]]</f>
        <v>285000</v>
      </c>
      <c r="Q1738">
        <f>Tableau1_2[[#This Row],[Quantité]]*Tableau1_2[[#This Row],[Coût_Unitaire]]</f>
        <v>203700</v>
      </c>
      <c r="R1738">
        <f>Tableau1_2[[#This Row],[CA]]-Tableau1_2[[#This Row],[Cout Total]]</f>
        <v>81300</v>
      </c>
      <c r="S1738" s="4">
        <f>Tableau1_2[[#This Row],[Marge]]/Tableau1_2[[#This Row],[CA]]</f>
        <v>0.28526315789473683</v>
      </c>
      <c r="T1738" t="str">
        <f>TEXT(Tableau1_2[[#This Row],[Date]],"mmmm")</f>
        <v>août</v>
      </c>
    </row>
    <row r="1739" spans="1:20" x14ac:dyDescent="0.35">
      <c r="A1739" t="s">
        <v>2791</v>
      </c>
      <c r="B1739" s="2">
        <v>46244</v>
      </c>
      <c r="C1739" t="s">
        <v>252</v>
      </c>
      <c r="D1739" t="s">
        <v>1325</v>
      </c>
      <c r="E1739" t="s">
        <v>41</v>
      </c>
      <c r="F1739" t="s">
        <v>42</v>
      </c>
      <c r="G1739" t="s">
        <v>34</v>
      </c>
      <c r="H1739" t="s">
        <v>95</v>
      </c>
      <c r="I1739">
        <v>3</v>
      </c>
      <c r="J1739">
        <v>450000</v>
      </c>
      <c r="K1739">
        <v>381100</v>
      </c>
      <c r="L1739" t="s">
        <v>73</v>
      </c>
      <c r="M1739" t="s">
        <v>22</v>
      </c>
      <c r="N1739" t="s">
        <v>23</v>
      </c>
      <c r="O1739" t="s">
        <v>24</v>
      </c>
      <c r="P1739">
        <f>Tableau1_2[[#This Row],[Quantité]]*Tableau1_2[[#This Row],[Prix_Unitaire]]</f>
        <v>1350000</v>
      </c>
      <c r="Q1739">
        <f>Tableau1_2[[#This Row],[Quantité]]*Tableau1_2[[#This Row],[Coût_Unitaire]]</f>
        <v>1143300</v>
      </c>
      <c r="R1739">
        <f>Tableau1_2[[#This Row],[CA]]-Tableau1_2[[#This Row],[Cout Total]]</f>
        <v>206700</v>
      </c>
      <c r="S1739" s="4">
        <f>Tableau1_2[[#This Row],[Marge]]/Tableau1_2[[#This Row],[CA]]</f>
        <v>0.15311111111111111</v>
      </c>
      <c r="T1739" t="str">
        <f>TEXT(Tableau1_2[[#This Row],[Date]],"mmmm")</f>
        <v>août</v>
      </c>
    </row>
    <row r="1740" spans="1:20" x14ac:dyDescent="0.35">
      <c r="A1740" t="s">
        <v>2792</v>
      </c>
      <c r="B1740" s="2">
        <v>46223</v>
      </c>
      <c r="C1740" t="s">
        <v>2549</v>
      </c>
      <c r="D1740" t="s">
        <v>1308</v>
      </c>
      <c r="E1740" t="s">
        <v>156</v>
      </c>
      <c r="F1740" t="s">
        <v>157</v>
      </c>
      <c r="G1740" t="s">
        <v>34</v>
      </c>
      <c r="H1740" t="s">
        <v>86</v>
      </c>
      <c r="I1740">
        <v>1</v>
      </c>
      <c r="J1740">
        <v>189000</v>
      </c>
      <c r="K1740">
        <v>131000</v>
      </c>
      <c r="L1740" t="s">
        <v>50</v>
      </c>
      <c r="M1740" t="s">
        <v>37</v>
      </c>
      <c r="N1740" t="s">
        <v>52</v>
      </c>
      <c r="O1740" t="s">
        <v>24</v>
      </c>
      <c r="P1740">
        <f>Tableau1_2[[#This Row],[Quantité]]*Tableau1_2[[#This Row],[Prix_Unitaire]]</f>
        <v>189000</v>
      </c>
      <c r="Q1740">
        <f>Tableau1_2[[#This Row],[Quantité]]*Tableau1_2[[#This Row],[Coût_Unitaire]]</f>
        <v>131000</v>
      </c>
      <c r="R1740">
        <f>Tableau1_2[[#This Row],[CA]]-Tableau1_2[[#This Row],[Cout Total]]</f>
        <v>58000</v>
      </c>
      <c r="S1740" s="4">
        <f>Tableau1_2[[#This Row],[Marge]]/Tableau1_2[[#This Row],[CA]]</f>
        <v>0.30687830687830686</v>
      </c>
      <c r="T1740" t="str">
        <f>TEXT(Tableau1_2[[#This Row],[Date]],"mmmm")</f>
        <v>juillet</v>
      </c>
    </row>
    <row r="1741" spans="1:20" x14ac:dyDescent="0.35">
      <c r="A1741" t="s">
        <v>2793</v>
      </c>
      <c r="B1741" s="2">
        <v>46120</v>
      </c>
      <c r="C1741" t="s">
        <v>1047</v>
      </c>
      <c r="D1741" t="s">
        <v>2631</v>
      </c>
      <c r="E1741" t="s">
        <v>156</v>
      </c>
      <c r="F1741" t="s">
        <v>170</v>
      </c>
      <c r="G1741" t="s">
        <v>28</v>
      </c>
      <c r="H1741" t="s">
        <v>72</v>
      </c>
      <c r="I1741">
        <v>9</v>
      </c>
      <c r="J1741">
        <v>10500</v>
      </c>
      <c r="K1741">
        <v>6400</v>
      </c>
      <c r="L1741" t="s">
        <v>80</v>
      </c>
      <c r="M1741" t="s">
        <v>22</v>
      </c>
      <c r="N1741" t="s">
        <v>23</v>
      </c>
      <c r="O1741" t="s">
        <v>24</v>
      </c>
      <c r="P1741">
        <f>Tableau1_2[[#This Row],[Quantité]]*Tableau1_2[[#This Row],[Prix_Unitaire]]</f>
        <v>94500</v>
      </c>
      <c r="Q1741">
        <f>Tableau1_2[[#This Row],[Quantité]]*Tableau1_2[[#This Row],[Coût_Unitaire]]</f>
        <v>57600</v>
      </c>
      <c r="R1741">
        <f>Tableau1_2[[#This Row],[CA]]-Tableau1_2[[#This Row],[Cout Total]]</f>
        <v>36900</v>
      </c>
      <c r="S1741" s="4">
        <f>Tableau1_2[[#This Row],[Marge]]/Tableau1_2[[#This Row],[CA]]</f>
        <v>0.39047619047619048</v>
      </c>
      <c r="T1741" t="str">
        <f>TEXT(Tableau1_2[[#This Row],[Date]],"mmmm")</f>
        <v>avril</v>
      </c>
    </row>
    <row r="1742" spans="1:20" x14ac:dyDescent="0.35">
      <c r="A1742" t="s">
        <v>2794</v>
      </c>
      <c r="B1742" s="2">
        <v>46236</v>
      </c>
      <c r="C1742" t="s">
        <v>472</v>
      </c>
      <c r="D1742" t="s">
        <v>650</v>
      </c>
      <c r="E1742" t="s">
        <v>70</v>
      </c>
      <c r="F1742" t="s">
        <v>71</v>
      </c>
      <c r="G1742" t="s">
        <v>19</v>
      </c>
      <c r="H1742" t="s">
        <v>112</v>
      </c>
      <c r="I1742">
        <v>4</v>
      </c>
      <c r="J1742">
        <v>85000</v>
      </c>
      <c r="K1742">
        <v>63900</v>
      </c>
      <c r="L1742" t="s">
        <v>36</v>
      </c>
      <c r="M1742" t="s">
        <v>37</v>
      </c>
      <c r="N1742" t="s">
        <v>23</v>
      </c>
      <c r="O1742" t="s">
        <v>24</v>
      </c>
      <c r="P1742">
        <f>Tableau1_2[[#This Row],[Quantité]]*Tableau1_2[[#This Row],[Prix_Unitaire]]</f>
        <v>340000</v>
      </c>
      <c r="Q1742">
        <f>Tableau1_2[[#This Row],[Quantité]]*Tableau1_2[[#This Row],[Coût_Unitaire]]</f>
        <v>255600</v>
      </c>
      <c r="R1742">
        <f>Tableau1_2[[#This Row],[CA]]-Tableau1_2[[#This Row],[Cout Total]]</f>
        <v>84400</v>
      </c>
      <c r="S1742" s="4">
        <f>Tableau1_2[[#This Row],[Marge]]/Tableau1_2[[#This Row],[CA]]</f>
        <v>0.24823529411764705</v>
      </c>
      <c r="T1742" t="str">
        <f>TEXT(Tableau1_2[[#This Row],[Date]],"mmmm")</f>
        <v>août</v>
      </c>
    </row>
    <row r="1743" spans="1:20" x14ac:dyDescent="0.35">
      <c r="A1743" t="s">
        <v>2795</v>
      </c>
      <c r="B1743" s="2">
        <v>46109</v>
      </c>
      <c r="C1743" t="s">
        <v>1890</v>
      </c>
      <c r="D1743" t="s">
        <v>875</v>
      </c>
      <c r="E1743" t="s">
        <v>190</v>
      </c>
      <c r="F1743" t="s">
        <v>191</v>
      </c>
      <c r="G1743" t="s">
        <v>19</v>
      </c>
      <c r="H1743" t="s">
        <v>61</v>
      </c>
      <c r="I1743">
        <v>2</v>
      </c>
      <c r="J1743">
        <v>231000</v>
      </c>
      <c r="K1743">
        <v>160000</v>
      </c>
      <c r="L1743" t="s">
        <v>73</v>
      </c>
      <c r="M1743" t="s">
        <v>37</v>
      </c>
      <c r="N1743" t="s">
        <v>23</v>
      </c>
      <c r="O1743" t="s">
        <v>24</v>
      </c>
      <c r="P1743">
        <f>Tableau1_2[[#This Row],[Quantité]]*Tableau1_2[[#This Row],[Prix_Unitaire]]</f>
        <v>462000</v>
      </c>
      <c r="Q1743">
        <f>Tableau1_2[[#This Row],[Quantité]]*Tableau1_2[[#This Row],[Coût_Unitaire]]</f>
        <v>320000</v>
      </c>
      <c r="R1743">
        <f>Tableau1_2[[#This Row],[CA]]-Tableau1_2[[#This Row],[Cout Total]]</f>
        <v>142000</v>
      </c>
      <c r="S1743" s="4">
        <f>Tableau1_2[[#This Row],[Marge]]/Tableau1_2[[#This Row],[CA]]</f>
        <v>0.30735930735930733</v>
      </c>
      <c r="T1743" t="str">
        <f>TEXT(Tableau1_2[[#This Row],[Date]],"mmmm")</f>
        <v>mars</v>
      </c>
    </row>
    <row r="1744" spans="1:20" x14ac:dyDescent="0.35">
      <c r="A1744" t="s">
        <v>2796</v>
      </c>
      <c r="B1744" s="2">
        <v>46092</v>
      </c>
      <c r="C1744" t="s">
        <v>1390</v>
      </c>
      <c r="D1744" t="s">
        <v>105</v>
      </c>
      <c r="E1744" t="s">
        <v>56</v>
      </c>
      <c r="F1744" t="s">
        <v>57</v>
      </c>
      <c r="G1744" t="s">
        <v>34</v>
      </c>
      <c r="H1744" t="s">
        <v>158</v>
      </c>
      <c r="I1744">
        <v>3</v>
      </c>
      <c r="J1744">
        <v>95000</v>
      </c>
      <c r="K1744">
        <v>70000</v>
      </c>
      <c r="L1744" t="s">
        <v>80</v>
      </c>
      <c r="M1744" t="s">
        <v>51</v>
      </c>
      <c r="N1744" t="s">
        <v>23</v>
      </c>
      <c r="O1744" t="s">
        <v>24</v>
      </c>
      <c r="P1744">
        <f>Tableau1_2[[#This Row],[Quantité]]*Tableau1_2[[#This Row],[Prix_Unitaire]]</f>
        <v>285000</v>
      </c>
      <c r="Q1744">
        <f>Tableau1_2[[#This Row],[Quantité]]*Tableau1_2[[#This Row],[Coût_Unitaire]]</f>
        <v>210000</v>
      </c>
      <c r="R1744">
        <f>Tableau1_2[[#This Row],[CA]]-Tableau1_2[[#This Row],[Cout Total]]</f>
        <v>75000</v>
      </c>
      <c r="S1744" s="4">
        <f>Tableau1_2[[#This Row],[Marge]]/Tableau1_2[[#This Row],[CA]]</f>
        <v>0.26315789473684209</v>
      </c>
      <c r="T1744" t="str">
        <f>TEXT(Tableau1_2[[#This Row],[Date]],"mmmm")</f>
        <v>mars</v>
      </c>
    </row>
    <row r="1745" spans="1:20" x14ac:dyDescent="0.35">
      <c r="A1745" t="s">
        <v>2797</v>
      </c>
      <c r="B1745" s="2">
        <v>46028</v>
      </c>
      <c r="C1745" t="s">
        <v>683</v>
      </c>
      <c r="D1745" t="s">
        <v>572</v>
      </c>
      <c r="E1745" t="s">
        <v>156</v>
      </c>
      <c r="F1745" t="s">
        <v>170</v>
      </c>
      <c r="G1745" t="s">
        <v>28</v>
      </c>
      <c r="H1745" t="s">
        <v>248</v>
      </c>
      <c r="I1745">
        <v>10</v>
      </c>
      <c r="J1745">
        <v>26200</v>
      </c>
      <c r="K1745">
        <v>16000</v>
      </c>
      <c r="L1745" t="s">
        <v>66</v>
      </c>
      <c r="M1745" t="s">
        <v>37</v>
      </c>
      <c r="N1745" t="s">
        <v>52</v>
      </c>
      <c r="O1745" t="s">
        <v>24</v>
      </c>
      <c r="P1745">
        <f>Tableau1_2[[#This Row],[Quantité]]*Tableau1_2[[#This Row],[Prix_Unitaire]]</f>
        <v>262000</v>
      </c>
      <c r="Q1745">
        <f>Tableau1_2[[#This Row],[Quantité]]*Tableau1_2[[#This Row],[Coût_Unitaire]]</f>
        <v>160000</v>
      </c>
      <c r="R1745">
        <f>Tableau1_2[[#This Row],[CA]]-Tableau1_2[[#This Row],[Cout Total]]</f>
        <v>102000</v>
      </c>
      <c r="S1745" s="4">
        <f>Tableau1_2[[#This Row],[Marge]]/Tableau1_2[[#This Row],[CA]]</f>
        <v>0.38931297709923662</v>
      </c>
      <c r="T1745" t="str">
        <f>TEXT(Tableau1_2[[#This Row],[Date]],"mmmm")</f>
        <v>janvier</v>
      </c>
    </row>
    <row r="1746" spans="1:20" x14ac:dyDescent="0.35">
      <c r="A1746" t="s">
        <v>2798</v>
      </c>
      <c r="B1746" s="2">
        <v>46386</v>
      </c>
      <c r="C1746" t="s">
        <v>500</v>
      </c>
      <c r="D1746" t="s">
        <v>226</v>
      </c>
      <c r="E1746" t="s">
        <v>84</v>
      </c>
      <c r="F1746" t="s">
        <v>85</v>
      </c>
      <c r="G1746" t="s">
        <v>28</v>
      </c>
      <c r="H1746" t="s">
        <v>29</v>
      </c>
      <c r="I1746">
        <v>6</v>
      </c>
      <c r="J1746">
        <v>6600</v>
      </c>
      <c r="K1746">
        <v>3900</v>
      </c>
      <c r="L1746" t="s">
        <v>73</v>
      </c>
      <c r="M1746" t="s">
        <v>37</v>
      </c>
      <c r="N1746" t="s">
        <v>87</v>
      </c>
      <c r="O1746" t="s">
        <v>24</v>
      </c>
      <c r="P1746">
        <f>Tableau1_2[[#This Row],[Quantité]]*Tableau1_2[[#This Row],[Prix_Unitaire]]</f>
        <v>39600</v>
      </c>
      <c r="Q1746">
        <f>Tableau1_2[[#This Row],[Quantité]]*Tableau1_2[[#This Row],[Coût_Unitaire]]</f>
        <v>23400</v>
      </c>
      <c r="R1746">
        <f>Tableau1_2[[#This Row],[CA]]-Tableau1_2[[#This Row],[Cout Total]]</f>
        <v>16200</v>
      </c>
      <c r="S1746" s="4">
        <f>Tableau1_2[[#This Row],[Marge]]/Tableau1_2[[#This Row],[CA]]</f>
        <v>0.40909090909090912</v>
      </c>
      <c r="T1746" t="str">
        <f>TEXT(Tableau1_2[[#This Row],[Date]],"mmmm")</f>
        <v>décembre</v>
      </c>
    </row>
    <row r="1747" spans="1:20" x14ac:dyDescent="0.35">
      <c r="A1747" t="s">
        <v>2799</v>
      </c>
      <c r="B1747" s="2">
        <v>46382</v>
      </c>
      <c r="C1747" t="s">
        <v>199</v>
      </c>
      <c r="D1747" t="s">
        <v>218</v>
      </c>
      <c r="E1747" t="s">
        <v>41</v>
      </c>
      <c r="F1747" t="s">
        <v>42</v>
      </c>
      <c r="G1747" t="s">
        <v>43</v>
      </c>
      <c r="H1747" t="s">
        <v>44</v>
      </c>
      <c r="I1747">
        <v>9</v>
      </c>
      <c r="J1747">
        <v>14200</v>
      </c>
      <c r="K1747">
        <v>9200</v>
      </c>
      <c r="L1747" t="s">
        <v>73</v>
      </c>
      <c r="M1747" t="s">
        <v>37</v>
      </c>
      <c r="N1747" t="s">
        <v>52</v>
      </c>
      <c r="O1747" t="s">
        <v>24</v>
      </c>
      <c r="P1747">
        <f>Tableau1_2[[#This Row],[Quantité]]*Tableau1_2[[#This Row],[Prix_Unitaire]]</f>
        <v>127800</v>
      </c>
      <c r="Q1747">
        <f>Tableau1_2[[#This Row],[Quantité]]*Tableau1_2[[#This Row],[Coût_Unitaire]]</f>
        <v>82800</v>
      </c>
      <c r="R1747">
        <f>Tableau1_2[[#This Row],[CA]]-Tableau1_2[[#This Row],[Cout Total]]</f>
        <v>45000</v>
      </c>
      <c r="S1747" s="4">
        <f>Tableau1_2[[#This Row],[Marge]]/Tableau1_2[[#This Row],[CA]]</f>
        <v>0.352112676056338</v>
      </c>
      <c r="T1747" t="str">
        <f>TEXT(Tableau1_2[[#This Row],[Date]],"mmmm")</f>
        <v>décembre</v>
      </c>
    </row>
    <row r="1748" spans="1:20" x14ac:dyDescent="0.35">
      <c r="A1748" t="s">
        <v>2800</v>
      </c>
      <c r="B1748" s="2">
        <v>46348</v>
      </c>
      <c r="C1748" t="s">
        <v>1248</v>
      </c>
      <c r="D1748" t="s">
        <v>750</v>
      </c>
      <c r="E1748" t="s">
        <v>156</v>
      </c>
      <c r="F1748" t="s">
        <v>170</v>
      </c>
      <c r="G1748" t="s">
        <v>19</v>
      </c>
      <c r="H1748" t="s">
        <v>61</v>
      </c>
      <c r="I1748">
        <v>5</v>
      </c>
      <c r="J1748">
        <v>220000</v>
      </c>
      <c r="K1748">
        <v>164800</v>
      </c>
      <c r="L1748" t="s">
        <v>66</v>
      </c>
      <c r="M1748" t="s">
        <v>37</v>
      </c>
      <c r="N1748" t="s">
        <v>52</v>
      </c>
      <c r="O1748" t="s">
        <v>45</v>
      </c>
      <c r="P1748">
        <f>Tableau1_2[[#This Row],[Quantité]]*Tableau1_2[[#This Row],[Prix_Unitaire]]</f>
        <v>1100000</v>
      </c>
      <c r="Q1748">
        <f>Tableau1_2[[#This Row],[Quantité]]*Tableau1_2[[#This Row],[Coût_Unitaire]]</f>
        <v>824000</v>
      </c>
      <c r="R1748">
        <f>Tableau1_2[[#This Row],[CA]]-Tableau1_2[[#This Row],[Cout Total]]</f>
        <v>276000</v>
      </c>
      <c r="S1748" s="4">
        <f>Tableau1_2[[#This Row],[Marge]]/Tableau1_2[[#This Row],[CA]]</f>
        <v>0.25090909090909091</v>
      </c>
      <c r="T1748" t="str">
        <f>TEXT(Tableau1_2[[#This Row],[Date]],"mmmm")</f>
        <v>novembre</v>
      </c>
    </row>
    <row r="1749" spans="1:20" x14ac:dyDescent="0.35">
      <c r="A1749" t="s">
        <v>2801</v>
      </c>
      <c r="B1749" s="2">
        <v>46303</v>
      </c>
      <c r="C1749" t="s">
        <v>2802</v>
      </c>
      <c r="D1749" t="s">
        <v>1195</v>
      </c>
      <c r="E1749" t="s">
        <v>190</v>
      </c>
      <c r="F1749" t="s">
        <v>191</v>
      </c>
      <c r="G1749" t="s">
        <v>19</v>
      </c>
      <c r="H1749" t="s">
        <v>20</v>
      </c>
      <c r="I1749">
        <v>9</v>
      </c>
      <c r="J1749">
        <v>68200</v>
      </c>
      <c r="K1749">
        <v>45000</v>
      </c>
      <c r="L1749" t="s">
        <v>73</v>
      </c>
      <c r="M1749" t="s">
        <v>31</v>
      </c>
      <c r="N1749" t="s">
        <v>23</v>
      </c>
      <c r="O1749" t="s">
        <v>24</v>
      </c>
      <c r="P1749">
        <f>Tableau1_2[[#This Row],[Quantité]]*Tableau1_2[[#This Row],[Prix_Unitaire]]</f>
        <v>613800</v>
      </c>
      <c r="Q1749">
        <f>Tableau1_2[[#This Row],[Quantité]]*Tableau1_2[[#This Row],[Coût_Unitaire]]</f>
        <v>405000</v>
      </c>
      <c r="R1749">
        <f>Tableau1_2[[#This Row],[CA]]-Tableau1_2[[#This Row],[Cout Total]]</f>
        <v>208800</v>
      </c>
      <c r="S1749" s="4">
        <f>Tableau1_2[[#This Row],[Marge]]/Tableau1_2[[#This Row],[CA]]</f>
        <v>0.34017595307917886</v>
      </c>
      <c r="T1749" t="str">
        <f>TEXT(Tableau1_2[[#This Row],[Date]],"mmmm")</f>
        <v>octobre</v>
      </c>
    </row>
    <row r="1750" spans="1:20" x14ac:dyDescent="0.35">
      <c r="A1750" t="s">
        <v>2803</v>
      </c>
      <c r="B1750" s="2">
        <v>46047</v>
      </c>
      <c r="C1750" t="s">
        <v>387</v>
      </c>
      <c r="D1750" t="s">
        <v>1542</v>
      </c>
      <c r="E1750" t="s">
        <v>156</v>
      </c>
      <c r="F1750" t="s">
        <v>157</v>
      </c>
      <c r="G1750" t="s">
        <v>43</v>
      </c>
      <c r="H1750" t="s">
        <v>79</v>
      </c>
      <c r="I1750">
        <v>10</v>
      </c>
      <c r="J1750">
        <v>5700</v>
      </c>
      <c r="K1750">
        <v>4200</v>
      </c>
      <c r="L1750" t="s">
        <v>50</v>
      </c>
      <c r="M1750" t="s">
        <v>22</v>
      </c>
      <c r="N1750" t="s">
        <v>52</v>
      </c>
      <c r="O1750" t="s">
        <v>24</v>
      </c>
      <c r="P1750">
        <f>Tableau1_2[[#This Row],[Quantité]]*Tableau1_2[[#This Row],[Prix_Unitaire]]</f>
        <v>57000</v>
      </c>
      <c r="Q1750">
        <f>Tableau1_2[[#This Row],[Quantité]]*Tableau1_2[[#This Row],[Coût_Unitaire]]</f>
        <v>42000</v>
      </c>
      <c r="R1750">
        <f>Tableau1_2[[#This Row],[CA]]-Tableau1_2[[#This Row],[Cout Total]]</f>
        <v>15000</v>
      </c>
      <c r="S1750" s="4">
        <f>Tableau1_2[[#This Row],[Marge]]/Tableau1_2[[#This Row],[CA]]</f>
        <v>0.26315789473684209</v>
      </c>
      <c r="T1750" t="str">
        <f>TEXT(Tableau1_2[[#This Row],[Date]],"mmmm")</f>
        <v>janvier</v>
      </c>
    </row>
    <row r="1751" spans="1:20" x14ac:dyDescent="0.35">
      <c r="A1751" t="s">
        <v>2804</v>
      </c>
      <c r="B1751" s="2">
        <v>46299</v>
      </c>
      <c r="C1751" t="s">
        <v>1770</v>
      </c>
      <c r="D1751" t="s">
        <v>1149</v>
      </c>
      <c r="E1751" t="s">
        <v>18</v>
      </c>
      <c r="F1751" t="s">
        <v>18</v>
      </c>
      <c r="G1751" t="s">
        <v>19</v>
      </c>
      <c r="H1751" t="s">
        <v>166</v>
      </c>
      <c r="I1751">
        <v>7</v>
      </c>
      <c r="J1751">
        <v>140000</v>
      </c>
      <c r="K1751">
        <v>100000</v>
      </c>
      <c r="L1751" t="s">
        <v>36</v>
      </c>
      <c r="M1751" t="s">
        <v>37</v>
      </c>
      <c r="N1751" t="s">
        <v>87</v>
      </c>
      <c r="O1751" t="s">
        <v>24</v>
      </c>
      <c r="P1751">
        <f>Tableau1_2[[#This Row],[Quantité]]*Tableau1_2[[#This Row],[Prix_Unitaire]]</f>
        <v>980000</v>
      </c>
      <c r="Q1751">
        <f>Tableau1_2[[#This Row],[Quantité]]*Tableau1_2[[#This Row],[Coût_Unitaire]]</f>
        <v>700000</v>
      </c>
      <c r="R1751">
        <f>Tableau1_2[[#This Row],[CA]]-Tableau1_2[[#This Row],[Cout Total]]</f>
        <v>280000</v>
      </c>
      <c r="S1751" s="4">
        <f>Tableau1_2[[#This Row],[Marge]]/Tableau1_2[[#This Row],[CA]]</f>
        <v>0.2857142857142857</v>
      </c>
      <c r="T1751" t="str">
        <f>TEXT(Tableau1_2[[#This Row],[Date]],"mmmm")</f>
        <v>octobre</v>
      </c>
    </row>
    <row r="1752" spans="1:20" x14ac:dyDescent="0.35">
      <c r="A1752" t="s">
        <v>2805</v>
      </c>
      <c r="B1752" s="2">
        <v>46348</v>
      </c>
      <c r="C1752" t="s">
        <v>2806</v>
      </c>
      <c r="D1752" t="s">
        <v>627</v>
      </c>
      <c r="E1752" t="s">
        <v>77</v>
      </c>
      <c r="F1752" t="s">
        <v>78</v>
      </c>
      <c r="G1752" t="s">
        <v>43</v>
      </c>
      <c r="H1752" t="s">
        <v>177</v>
      </c>
      <c r="I1752">
        <v>4</v>
      </c>
      <c r="J1752">
        <v>18000</v>
      </c>
      <c r="K1752">
        <v>12100</v>
      </c>
      <c r="L1752" t="s">
        <v>80</v>
      </c>
      <c r="M1752" t="s">
        <v>37</v>
      </c>
      <c r="N1752" t="s">
        <v>52</v>
      </c>
      <c r="O1752" t="s">
        <v>24</v>
      </c>
      <c r="P1752">
        <f>Tableau1_2[[#This Row],[Quantité]]*Tableau1_2[[#This Row],[Prix_Unitaire]]</f>
        <v>72000</v>
      </c>
      <c r="Q1752">
        <f>Tableau1_2[[#This Row],[Quantité]]*Tableau1_2[[#This Row],[Coût_Unitaire]]</f>
        <v>48400</v>
      </c>
      <c r="R1752">
        <f>Tableau1_2[[#This Row],[CA]]-Tableau1_2[[#This Row],[Cout Total]]</f>
        <v>23600</v>
      </c>
      <c r="S1752" s="4">
        <f>Tableau1_2[[#This Row],[Marge]]/Tableau1_2[[#This Row],[CA]]</f>
        <v>0.32777777777777778</v>
      </c>
      <c r="T1752" t="str">
        <f>TEXT(Tableau1_2[[#This Row],[Date]],"mmmm")</f>
        <v>novembre</v>
      </c>
    </row>
    <row r="1753" spans="1:20" x14ac:dyDescent="0.35">
      <c r="A1753" t="s">
        <v>2807</v>
      </c>
      <c r="B1753" s="2">
        <v>46165</v>
      </c>
      <c r="C1753" t="s">
        <v>269</v>
      </c>
      <c r="D1753" t="s">
        <v>576</v>
      </c>
      <c r="E1753" t="s">
        <v>18</v>
      </c>
      <c r="F1753" t="s">
        <v>18</v>
      </c>
      <c r="G1753" t="s">
        <v>34</v>
      </c>
      <c r="H1753" t="s">
        <v>95</v>
      </c>
      <c r="I1753">
        <v>5</v>
      </c>
      <c r="J1753">
        <v>472500</v>
      </c>
      <c r="K1753">
        <v>381100</v>
      </c>
      <c r="L1753" t="s">
        <v>96</v>
      </c>
      <c r="M1753" t="s">
        <v>51</v>
      </c>
      <c r="N1753" t="s">
        <v>23</v>
      </c>
      <c r="O1753" t="s">
        <v>24</v>
      </c>
      <c r="P1753">
        <f>Tableau1_2[[#This Row],[Quantité]]*Tableau1_2[[#This Row],[Prix_Unitaire]]</f>
        <v>2362500</v>
      </c>
      <c r="Q1753">
        <f>Tableau1_2[[#This Row],[Quantité]]*Tableau1_2[[#This Row],[Coût_Unitaire]]</f>
        <v>1905500</v>
      </c>
      <c r="R1753">
        <f>Tableau1_2[[#This Row],[CA]]-Tableau1_2[[#This Row],[Cout Total]]</f>
        <v>457000</v>
      </c>
      <c r="S1753" s="4">
        <f>Tableau1_2[[#This Row],[Marge]]/Tableau1_2[[#This Row],[CA]]</f>
        <v>0.19343915343915344</v>
      </c>
      <c r="T1753" t="str">
        <f>TEXT(Tableau1_2[[#This Row],[Date]],"mmmm")</f>
        <v>mai</v>
      </c>
    </row>
    <row r="1754" spans="1:20" x14ac:dyDescent="0.35">
      <c r="A1754" t="s">
        <v>2808</v>
      </c>
      <c r="B1754" s="2">
        <v>46034</v>
      </c>
      <c r="C1754" t="s">
        <v>1214</v>
      </c>
      <c r="D1754" t="s">
        <v>1904</v>
      </c>
      <c r="E1754" t="s">
        <v>77</v>
      </c>
      <c r="F1754" t="s">
        <v>78</v>
      </c>
      <c r="G1754" t="s">
        <v>43</v>
      </c>
      <c r="H1754" t="s">
        <v>79</v>
      </c>
      <c r="I1754">
        <v>6</v>
      </c>
      <c r="J1754">
        <v>6000</v>
      </c>
      <c r="K1754">
        <v>4200</v>
      </c>
      <c r="L1754" t="s">
        <v>96</v>
      </c>
      <c r="M1754" t="s">
        <v>37</v>
      </c>
      <c r="N1754" t="s">
        <v>23</v>
      </c>
      <c r="O1754" t="s">
        <v>24</v>
      </c>
      <c r="P1754">
        <f>Tableau1_2[[#This Row],[Quantité]]*Tableau1_2[[#This Row],[Prix_Unitaire]]</f>
        <v>36000</v>
      </c>
      <c r="Q1754">
        <f>Tableau1_2[[#This Row],[Quantité]]*Tableau1_2[[#This Row],[Coût_Unitaire]]</f>
        <v>25200</v>
      </c>
      <c r="R1754">
        <f>Tableau1_2[[#This Row],[CA]]-Tableau1_2[[#This Row],[Cout Total]]</f>
        <v>10800</v>
      </c>
      <c r="S1754" s="4">
        <f>Tableau1_2[[#This Row],[Marge]]/Tableau1_2[[#This Row],[CA]]</f>
        <v>0.3</v>
      </c>
      <c r="T1754" t="str">
        <f>TEXT(Tableau1_2[[#This Row],[Date]],"mmmm")</f>
        <v>janvier</v>
      </c>
    </row>
    <row r="1755" spans="1:20" x14ac:dyDescent="0.35">
      <c r="A1755" t="s">
        <v>2809</v>
      </c>
      <c r="B1755" s="2">
        <v>46231</v>
      </c>
      <c r="C1755" t="s">
        <v>2021</v>
      </c>
      <c r="D1755" t="s">
        <v>108</v>
      </c>
      <c r="E1755" t="s">
        <v>41</v>
      </c>
      <c r="F1755" t="s">
        <v>42</v>
      </c>
      <c r="G1755" t="s">
        <v>19</v>
      </c>
      <c r="H1755" t="s">
        <v>166</v>
      </c>
      <c r="I1755">
        <v>6</v>
      </c>
      <c r="J1755">
        <v>140000</v>
      </c>
      <c r="K1755">
        <v>97000</v>
      </c>
      <c r="L1755" t="s">
        <v>30</v>
      </c>
      <c r="M1755" t="s">
        <v>37</v>
      </c>
      <c r="N1755" t="s">
        <v>23</v>
      </c>
      <c r="O1755" t="s">
        <v>24</v>
      </c>
      <c r="P1755">
        <f>Tableau1_2[[#This Row],[Quantité]]*Tableau1_2[[#This Row],[Prix_Unitaire]]</f>
        <v>840000</v>
      </c>
      <c r="Q1755">
        <f>Tableau1_2[[#This Row],[Quantité]]*Tableau1_2[[#This Row],[Coût_Unitaire]]</f>
        <v>582000</v>
      </c>
      <c r="R1755">
        <f>Tableau1_2[[#This Row],[CA]]-Tableau1_2[[#This Row],[Cout Total]]</f>
        <v>258000</v>
      </c>
      <c r="S1755" s="4">
        <f>Tableau1_2[[#This Row],[Marge]]/Tableau1_2[[#This Row],[CA]]</f>
        <v>0.30714285714285716</v>
      </c>
      <c r="T1755" t="str">
        <f>TEXT(Tableau1_2[[#This Row],[Date]],"mmmm")</f>
        <v>juillet</v>
      </c>
    </row>
    <row r="1756" spans="1:20" x14ac:dyDescent="0.35">
      <c r="A1756" t="s">
        <v>2810</v>
      </c>
      <c r="B1756" s="2">
        <v>46227</v>
      </c>
      <c r="C1756" t="s">
        <v>874</v>
      </c>
      <c r="D1756" t="s">
        <v>869</v>
      </c>
      <c r="E1756" t="s">
        <v>70</v>
      </c>
      <c r="F1756" t="s">
        <v>71</v>
      </c>
      <c r="G1756" t="s">
        <v>34</v>
      </c>
      <c r="H1756" t="s">
        <v>95</v>
      </c>
      <c r="I1756">
        <v>1</v>
      </c>
      <c r="J1756">
        <v>472500</v>
      </c>
      <c r="K1756">
        <v>358900</v>
      </c>
      <c r="L1756" t="s">
        <v>36</v>
      </c>
      <c r="M1756" t="s">
        <v>37</v>
      </c>
      <c r="N1756" t="s">
        <v>52</v>
      </c>
      <c r="O1756" t="s">
        <v>45</v>
      </c>
      <c r="P1756">
        <f>Tableau1_2[[#This Row],[Quantité]]*Tableau1_2[[#This Row],[Prix_Unitaire]]</f>
        <v>472500</v>
      </c>
      <c r="Q1756">
        <f>Tableau1_2[[#This Row],[Quantité]]*Tableau1_2[[#This Row],[Coût_Unitaire]]</f>
        <v>358900</v>
      </c>
      <c r="R1756">
        <f>Tableau1_2[[#This Row],[CA]]-Tableau1_2[[#This Row],[Cout Total]]</f>
        <v>113600</v>
      </c>
      <c r="S1756" s="4">
        <f>Tableau1_2[[#This Row],[Marge]]/Tableau1_2[[#This Row],[CA]]</f>
        <v>0.24042328042328043</v>
      </c>
      <c r="T1756" t="str">
        <f>TEXT(Tableau1_2[[#This Row],[Date]],"mmmm")</f>
        <v>juillet</v>
      </c>
    </row>
    <row r="1757" spans="1:20" x14ac:dyDescent="0.35">
      <c r="A1757" t="s">
        <v>2811</v>
      </c>
      <c r="B1757" s="2">
        <v>46346</v>
      </c>
      <c r="C1757" t="s">
        <v>1529</v>
      </c>
      <c r="D1757" t="s">
        <v>48</v>
      </c>
      <c r="E1757" t="s">
        <v>18</v>
      </c>
      <c r="F1757" t="s">
        <v>18</v>
      </c>
      <c r="G1757" t="s">
        <v>34</v>
      </c>
      <c r="H1757" t="s">
        <v>141</v>
      </c>
      <c r="I1757">
        <v>5</v>
      </c>
      <c r="J1757">
        <v>160000</v>
      </c>
      <c r="K1757">
        <v>120000</v>
      </c>
      <c r="L1757" t="s">
        <v>30</v>
      </c>
      <c r="M1757" t="s">
        <v>51</v>
      </c>
      <c r="N1757" t="s">
        <v>52</v>
      </c>
      <c r="O1757" t="s">
        <v>24</v>
      </c>
      <c r="P1757">
        <f>Tableau1_2[[#This Row],[Quantité]]*Tableau1_2[[#This Row],[Prix_Unitaire]]</f>
        <v>800000</v>
      </c>
      <c r="Q1757">
        <f>Tableau1_2[[#This Row],[Quantité]]*Tableau1_2[[#This Row],[Coût_Unitaire]]</f>
        <v>600000</v>
      </c>
      <c r="R1757">
        <f>Tableau1_2[[#This Row],[CA]]-Tableau1_2[[#This Row],[Cout Total]]</f>
        <v>200000</v>
      </c>
      <c r="S1757" s="4">
        <f>Tableau1_2[[#This Row],[Marge]]/Tableau1_2[[#This Row],[CA]]</f>
        <v>0.25</v>
      </c>
      <c r="T1757" t="str">
        <f>TEXT(Tableau1_2[[#This Row],[Date]],"mmmm")</f>
        <v>novembre</v>
      </c>
    </row>
    <row r="1758" spans="1:20" x14ac:dyDescent="0.35">
      <c r="A1758" t="s">
        <v>2812</v>
      </c>
      <c r="B1758" s="2">
        <v>46084</v>
      </c>
      <c r="C1758" t="s">
        <v>523</v>
      </c>
      <c r="D1758" t="s">
        <v>2813</v>
      </c>
      <c r="E1758" t="s">
        <v>156</v>
      </c>
      <c r="F1758" t="s">
        <v>170</v>
      </c>
      <c r="G1758" t="s">
        <v>28</v>
      </c>
      <c r="H1758" t="s">
        <v>248</v>
      </c>
      <c r="I1758">
        <v>5</v>
      </c>
      <c r="J1758">
        <v>26200</v>
      </c>
      <c r="K1758">
        <v>16500</v>
      </c>
      <c r="L1758" t="s">
        <v>73</v>
      </c>
      <c r="M1758" t="s">
        <v>51</v>
      </c>
      <c r="N1758" t="s">
        <v>23</v>
      </c>
      <c r="O1758" t="s">
        <v>24</v>
      </c>
      <c r="P1758">
        <f>Tableau1_2[[#This Row],[Quantité]]*Tableau1_2[[#This Row],[Prix_Unitaire]]</f>
        <v>131000</v>
      </c>
      <c r="Q1758">
        <f>Tableau1_2[[#This Row],[Quantité]]*Tableau1_2[[#This Row],[Coût_Unitaire]]</f>
        <v>82500</v>
      </c>
      <c r="R1758">
        <f>Tableau1_2[[#This Row],[CA]]-Tableau1_2[[#This Row],[Cout Total]]</f>
        <v>48500</v>
      </c>
      <c r="S1758" s="4">
        <f>Tableau1_2[[#This Row],[Marge]]/Tableau1_2[[#This Row],[CA]]</f>
        <v>0.37022900763358779</v>
      </c>
      <c r="T1758" t="str">
        <f>TEXT(Tableau1_2[[#This Row],[Date]],"mmmm")</f>
        <v>mars</v>
      </c>
    </row>
    <row r="1759" spans="1:20" x14ac:dyDescent="0.35">
      <c r="A1759" t="s">
        <v>2814</v>
      </c>
      <c r="B1759" s="2">
        <v>46317</v>
      </c>
      <c r="C1759" t="s">
        <v>1166</v>
      </c>
      <c r="D1759" t="s">
        <v>859</v>
      </c>
      <c r="E1759" t="s">
        <v>41</v>
      </c>
      <c r="F1759" t="s">
        <v>42</v>
      </c>
      <c r="G1759" t="s">
        <v>43</v>
      </c>
      <c r="H1759" t="s">
        <v>49</v>
      </c>
      <c r="I1759">
        <v>8</v>
      </c>
      <c r="J1759">
        <v>9400</v>
      </c>
      <c r="K1759">
        <v>5800</v>
      </c>
      <c r="L1759" t="s">
        <v>96</v>
      </c>
      <c r="M1759" t="s">
        <v>37</v>
      </c>
      <c r="N1759" t="s">
        <v>52</v>
      </c>
      <c r="O1759" t="s">
        <v>24</v>
      </c>
      <c r="P1759">
        <f>Tableau1_2[[#This Row],[Quantité]]*Tableau1_2[[#This Row],[Prix_Unitaire]]</f>
        <v>75200</v>
      </c>
      <c r="Q1759">
        <f>Tableau1_2[[#This Row],[Quantité]]*Tableau1_2[[#This Row],[Coût_Unitaire]]</f>
        <v>46400</v>
      </c>
      <c r="R1759">
        <f>Tableau1_2[[#This Row],[CA]]-Tableau1_2[[#This Row],[Cout Total]]</f>
        <v>28800</v>
      </c>
      <c r="S1759" s="4">
        <f>Tableau1_2[[#This Row],[Marge]]/Tableau1_2[[#This Row],[CA]]</f>
        <v>0.38297872340425532</v>
      </c>
      <c r="T1759" t="str">
        <f>TEXT(Tableau1_2[[#This Row],[Date]],"mmmm")</f>
        <v>octobre</v>
      </c>
    </row>
    <row r="1760" spans="1:20" x14ac:dyDescent="0.35">
      <c r="A1760" t="s">
        <v>2815</v>
      </c>
      <c r="B1760" s="2">
        <v>46124</v>
      </c>
      <c r="C1760" t="s">
        <v>664</v>
      </c>
      <c r="D1760" t="s">
        <v>1204</v>
      </c>
      <c r="E1760" t="s">
        <v>56</v>
      </c>
      <c r="F1760" t="s">
        <v>57</v>
      </c>
      <c r="G1760" t="s">
        <v>28</v>
      </c>
      <c r="H1760" t="s">
        <v>65</v>
      </c>
      <c r="I1760">
        <v>10</v>
      </c>
      <c r="J1760">
        <v>12000</v>
      </c>
      <c r="K1760">
        <v>7700</v>
      </c>
      <c r="L1760" t="s">
        <v>73</v>
      </c>
      <c r="M1760" t="s">
        <v>37</v>
      </c>
      <c r="N1760" t="s">
        <v>23</v>
      </c>
      <c r="O1760" t="s">
        <v>24</v>
      </c>
      <c r="P1760">
        <f>Tableau1_2[[#This Row],[Quantité]]*Tableau1_2[[#This Row],[Prix_Unitaire]]</f>
        <v>120000</v>
      </c>
      <c r="Q1760">
        <f>Tableau1_2[[#This Row],[Quantité]]*Tableau1_2[[#This Row],[Coût_Unitaire]]</f>
        <v>77000</v>
      </c>
      <c r="R1760">
        <f>Tableau1_2[[#This Row],[CA]]-Tableau1_2[[#This Row],[Cout Total]]</f>
        <v>43000</v>
      </c>
      <c r="S1760" s="4">
        <f>Tableau1_2[[#This Row],[Marge]]/Tableau1_2[[#This Row],[CA]]</f>
        <v>0.35833333333333334</v>
      </c>
      <c r="T1760" t="str">
        <f>TEXT(Tableau1_2[[#This Row],[Date]],"mmmm")</f>
        <v>avril</v>
      </c>
    </row>
    <row r="1761" spans="1:20" x14ac:dyDescent="0.35">
      <c r="A1761" t="s">
        <v>2816</v>
      </c>
      <c r="B1761" s="2">
        <v>46203</v>
      </c>
      <c r="C1761" t="s">
        <v>16</v>
      </c>
      <c r="D1761" t="s">
        <v>303</v>
      </c>
      <c r="E1761" t="s">
        <v>84</v>
      </c>
      <c r="F1761" t="s">
        <v>85</v>
      </c>
      <c r="G1761" t="s">
        <v>34</v>
      </c>
      <c r="H1761" t="s">
        <v>95</v>
      </c>
      <c r="I1761">
        <v>8</v>
      </c>
      <c r="J1761">
        <v>450000</v>
      </c>
      <c r="K1761">
        <v>381100</v>
      </c>
      <c r="L1761" t="s">
        <v>21</v>
      </c>
      <c r="M1761" t="s">
        <v>37</v>
      </c>
      <c r="N1761" t="s">
        <v>87</v>
      </c>
      <c r="O1761" t="s">
        <v>24</v>
      </c>
      <c r="P1761">
        <f>Tableau1_2[[#This Row],[Quantité]]*Tableau1_2[[#This Row],[Prix_Unitaire]]</f>
        <v>3600000</v>
      </c>
      <c r="Q1761">
        <f>Tableau1_2[[#This Row],[Quantité]]*Tableau1_2[[#This Row],[Coût_Unitaire]]</f>
        <v>3048800</v>
      </c>
      <c r="R1761">
        <f>Tableau1_2[[#This Row],[CA]]-Tableau1_2[[#This Row],[Cout Total]]</f>
        <v>551200</v>
      </c>
      <c r="S1761" s="4">
        <f>Tableau1_2[[#This Row],[Marge]]/Tableau1_2[[#This Row],[CA]]</f>
        <v>0.15311111111111111</v>
      </c>
      <c r="T1761" t="str">
        <f>TEXT(Tableau1_2[[#This Row],[Date]],"mmmm")</f>
        <v>juin</v>
      </c>
    </row>
    <row r="1762" spans="1:20" x14ac:dyDescent="0.35">
      <c r="A1762" t="s">
        <v>2817</v>
      </c>
      <c r="B1762" s="2">
        <v>46226</v>
      </c>
      <c r="C1762" t="s">
        <v>478</v>
      </c>
      <c r="D1762" t="s">
        <v>747</v>
      </c>
      <c r="E1762" t="s">
        <v>18</v>
      </c>
      <c r="F1762" t="s">
        <v>18</v>
      </c>
      <c r="G1762" t="s">
        <v>34</v>
      </c>
      <c r="H1762" t="s">
        <v>158</v>
      </c>
      <c r="I1762">
        <v>6</v>
      </c>
      <c r="J1762">
        <v>90200</v>
      </c>
      <c r="K1762">
        <v>67900</v>
      </c>
      <c r="L1762" t="s">
        <v>36</v>
      </c>
      <c r="M1762" t="s">
        <v>37</v>
      </c>
      <c r="N1762" t="s">
        <v>23</v>
      </c>
      <c r="O1762" t="s">
        <v>24</v>
      </c>
      <c r="P1762">
        <f>Tableau1_2[[#This Row],[Quantité]]*Tableau1_2[[#This Row],[Prix_Unitaire]]</f>
        <v>541200</v>
      </c>
      <c r="Q1762">
        <f>Tableau1_2[[#This Row],[Quantité]]*Tableau1_2[[#This Row],[Coût_Unitaire]]</f>
        <v>407400</v>
      </c>
      <c r="R1762">
        <f>Tableau1_2[[#This Row],[CA]]-Tableau1_2[[#This Row],[Cout Total]]</f>
        <v>133800</v>
      </c>
      <c r="S1762" s="4">
        <f>Tableau1_2[[#This Row],[Marge]]/Tableau1_2[[#This Row],[CA]]</f>
        <v>0.24722838137472283</v>
      </c>
      <c r="T1762" t="str">
        <f>TEXT(Tableau1_2[[#This Row],[Date]],"mmmm")</f>
        <v>juillet</v>
      </c>
    </row>
    <row r="1763" spans="1:20" x14ac:dyDescent="0.35">
      <c r="A1763" t="s">
        <v>2818</v>
      </c>
      <c r="B1763" s="2">
        <v>46332</v>
      </c>
      <c r="C1763" t="s">
        <v>82</v>
      </c>
      <c r="D1763" t="s">
        <v>1059</v>
      </c>
      <c r="E1763" t="s">
        <v>18</v>
      </c>
      <c r="F1763" t="s">
        <v>18</v>
      </c>
      <c r="G1763" t="s">
        <v>34</v>
      </c>
      <c r="H1763" t="s">
        <v>95</v>
      </c>
      <c r="I1763">
        <v>8</v>
      </c>
      <c r="J1763">
        <v>450000</v>
      </c>
      <c r="K1763">
        <v>381100</v>
      </c>
      <c r="L1763" t="s">
        <v>80</v>
      </c>
      <c r="M1763" t="s">
        <v>22</v>
      </c>
      <c r="N1763" t="s">
        <v>52</v>
      </c>
      <c r="O1763" t="s">
        <v>24</v>
      </c>
      <c r="P1763">
        <f>Tableau1_2[[#This Row],[Quantité]]*Tableau1_2[[#This Row],[Prix_Unitaire]]</f>
        <v>3600000</v>
      </c>
      <c r="Q1763">
        <f>Tableau1_2[[#This Row],[Quantité]]*Tableau1_2[[#This Row],[Coût_Unitaire]]</f>
        <v>3048800</v>
      </c>
      <c r="R1763">
        <f>Tableau1_2[[#This Row],[CA]]-Tableau1_2[[#This Row],[Cout Total]]</f>
        <v>551200</v>
      </c>
      <c r="S1763" s="4">
        <f>Tableau1_2[[#This Row],[Marge]]/Tableau1_2[[#This Row],[CA]]</f>
        <v>0.15311111111111111</v>
      </c>
      <c r="T1763" t="str">
        <f>TEXT(Tableau1_2[[#This Row],[Date]],"mmmm")</f>
        <v>novembre</v>
      </c>
    </row>
    <row r="1764" spans="1:20" x14ac:dyDescent="0.35">
      <c r="A1764" t="s">
        <v>2819</v>
      </c>
      <c r="B1764" s="2">
        <v>46374</v>
      </c>
      <c r="C1764" t="s">
        <v>916</v>
      </c>
      <c r="D1764" t="s">
        <v>2046</v>
      </c>
      <c r="E1764" t="s">
        <v>18</v>
      </c>
      <c r="F1764" t="s">
        <v>18</v>
      </c>
      <c r="G1764" t="s">
        <v>43</v>
      </c>
      <c r="H1764" t="s">
        <v>44</v>
      </c>
      <c r="I1764">
        <v>3</v>
      </c>
      <c r="J1764">
        <v>15000</v>
      </c>
      <c r="K1764">
        <v>9200</v>
      </c>
      <c r="L1764" t="s">
        <v>80</v>
      </c>
      <c r="M1764" t="s">
        <v>37</v>
      </c>
      <c r="N1764" t="s">
        <v>52</v>
      </c>
      <c r="O1764" t="s">
        <v>91</v>
      </c>
      <c r="P1764">
        <f>Tableau1_2[[#This Row],[Quantité]]*Tableau1_2[[#This Row],[Prix_Unitaire]]</f>
        <v>45000</v>
      </c>
      <c r="Q1764">
        <f>Tableau1_2[[#This Row],[Quantité]]*Tableau1_2[[#This Row],[Coût_Unitaire]]</f>
        <v>27600</v>
      </c>
      <c r="R1764">
        <f>Tableau1_2[[#This Row],[CA]]-Tableau1_2[[#This Row],[Cout Total]]</f>
        <v>17400</v>
      </c>
      <c r="S1764" s="4">
        <f>Tableau1_2[[#This Row],[Marge]]/Tableau1_2[[#This Row],[CA]]</f>
        <v>0.38666666666666666</v>
      </c>
      <c r="T1764" t="str">
        <f>TEXT(Tableau1_2[[#This Row],[Date]],"mmmm")</f>
        <v>décembre</v>
      </c>
    </row>
    <row r="1765" spans="1:20" x14ac:dyDescent="0.35">
      <c r="A1765" t="s">
        <v>2820</v>
      </c>
      <c r="B1765" s="2">
        <v>46134</v>
      </c>
      <c r="C1765" t="s">
        <v>2622</v>
      </c>
      <c r="D1765" t="s">
        <v>2721</v>
      </c>
      <c r="E1765" t="s">
        <v>18</v>
      </c>
      <c r="F1765" t="s">
        <v>18</v>
      </c>
      <c r="G1765" t="s">
        <v>28</v>
      </c>
      <c r="H1765" t="s">
        <v>29</v>
      </c>
      <c r="I1765">
        <v>7</v>
      </c>
      <c r="J1765">
        <v>6600</v>
      </c>
      <c r="K1765">
        <v>4000</v>
      </c>
      <c r="L1765" t="s">
        <v>73</v>
      </c>
      <c r="M1765" t="s">
        <v>31</v>
      </c>
      <c r="N1765" t="s">
        <v>23</v>
      </c>
      <c r="O1765" t="s">
        <v>24</v>
      </c>
      <c r="P1765">
        <f>Tableau1_2[[#This Row],[Quantité]]*Tableau1_2[[#This Row],[Prix_Unitaire]]</f>
        <v>46200</v>
      </c>
      <c r="Q1765">
        <f>Tableau1_2[[#This Row],[Quantité]]*Tableau1_2[[#This Row],[Coût_Unitaire]]</f>
        <v>28000</v>
      </c>
      <c r="R1765">
        <f>Tableau1_2[[#This Row],[CA]]-Tableau1_2[[#This Row],[Cout Total]]</f>
        <v>18200</v>
      </c>
      <c r="S1765" s="4">
        <f>Tableau1_2[[#This Row],[Marge]]/Tableau1_2[[#This Row],[CA]]</f>
        <v>0.39393939393939392</v>
      </c>
      <c r="T1765" t="str">
        <f>TEXT(Tableau1_2[[#This Row],[Date]],"mmmm")</f>
        <v>avril</v>
      </c>
    </row>
    <row r="1766" spans="1:20" x14ac:dyDescent="0.35">
      <c r="A1766" t="s">
        <v>2821</v>
      </c>
      <c r="B1766" s="2">
        <v>46168</v>
      </c>
      <c r="C1766" t="s">
        <v>126</v>
      </c>
      <c r="D1766" t="s">
        <v>406</v>
      </c>
      <c r="E1766" t="s">
        <v>56</v>
      </c>
      <c r="F1766" t="s">
        <v>57</v>
      </c>
      <c r="G1766" t="s">
        <v>28</v>
      </c>
      <c r="H1766" t="s">
        <v>248</v>
      </c>
      <c r="I1766">
        <v>3</v>
      </c>
      <c r="J1766">
        <v>25000</v>
      </c>
      <c r="K1766">
        <v>16000</v>
      </c>
      <c r="L1766" t="s">
        <v>21</v>
      </c>
      <c r="M1766" t="s">
        <v>51</v>
      </c>
      <c r="N1766" t="s">
        <v>52</v>
      </c>
      <c r="O1766" t="s">
        <v>45</v>
      </c>
      <c r="P1766">
        <f>Tableau1_2[[#This Row],[Quantité]]*Tableau1_2[[#This Row],[Prix_Unitaire]]</f>
        <v>75000</v>
      </c>
      <c r="Q1766">
        <f>Tableau1_2[[#This Row],[Quantité]]*Tableau1_2[[#This Row],[Coût_Unitaire]]</f>
        <v>48000</v>
      </c>
      <c r="R1766">
        <f>Tableau1_2[[#This Row],[CA]]-Tableau1_2[[#This Row],[Cout Total]]</f>
        <v>27000</v>
      </c>
      <c r="S1766" s="4">
        <f>Tableau1_2[[#This Row],[Marge]]/Tableau1_2[[#This Row],[CA]]</f>
        <v>0.36</v>
      </c>
      <c r="T1766" t="str">
        <f>TEXT(Tableau1_2[[#This Row],[Date]],"mmmm")</f>
        <v>mai</v>
      </c>
    </row>
    <row r="1767" spans="1:20" x14ac:dyDescent="0.35">
      <c r="A1767" t="s">
        <v>2822</v>
      </c>
      <c r="B1767" s="2">
        <v>46095</v>
      </c>
      <c r="C1767" t="s">
        <v>702</v>
      </c>
      <c r="D1767" t="s">
        <v>549</v>
      </c>
      <c r="E1767" t="s">
        <v>18</v>
      </c>
      <c r="F1767" t="s">
        <v>18</v>
      </c>
      <c r="G1767" t="s">
        <v>43</v>
      </c>
      <c r="H1767" t="s">
        <v>177</v>
      </c>
      <c r="I1767">
        <v>6</v>
      </c>
      <c r="J1767">
        <v>18900</v>
      </c>
      <c r="K1767">
        <v>12100</v>
      </c>
      <c r="L1767" t="s">
        <v>21</v>
      </c>
      <c r="M1767" t="s">
        <v>51</v>
      </c>
      <c r="N1767" t="s">
        <v>87</v>
      </c>
      <c r="O1767" t="s">
        <v>24</v>
      </c>
      <c r="P1767">
        <f>Tableau1_2[[#This Row],[Quantité]]*Tableau1_2[[#This Row],[Prix_Unitaire]]</f>
        <v>113400</v>
      </c>
      <c r="Q1767">
        <f>Tableau1_2[[#This Row],[Quantité]]*Tableau1_2[[#This Row],[Coût_Unitaire]]</f>
        <v>72600</v>
      </c>
      <c r="R1767">
        <f>Tableau1_2[[#This Row],[CA]]-Tableau1_2[[#This Row],[Cout Total]]</f>
        <v>40800</v>
      </c>
      <c r="S1767" s="4">
        <f>Tableau1_2[[#This Row],[Marge]]/Tableau1_2[[#This Row],[CA]]</f>
        <v>0.35978835978835977</v>
      </c>
      <c r="T1767" t="str">
        <f>TEXT(Tableau1_2[[#This Row],[Date]],"mmmm")</f>
        <v>mars</v>
      </c>
    </row>
    <row r="1768" spans="1:20" x14ac:dyDescent="0.35">
      <c r="A1768" t="s">
        <v>2823</v>
      </c>
      <c r="B1768" s="2">
        <v>46284</v>
      </c>
      <c r="C1768" t="s">
        <v>1539</v>
      </c>
      <c r="D1768" t="s">
        <v>639</v>
      </c>
      <c r="E1768" t="s">
        <v>56</v>
      </c>
      <c r="F1768" t="s">
        <v>57</v>
      </c>
      <c r="G1768" t="s">
        <v>28</v>
      </c>
      <c r="H1768" t="s">
        <v>65</v>
      </c>
      <c r="I1768">
        <v>10</v>
      </c>
      <c r="J1768">
        <v>12000</v>
      </c>
      <c r="K1768">
        <v>7500</v>
      </c>
      <c r="L1768" t="s">
        <v>21</v>
      </c>
      <c r="M1768" t="s">
        <v>31</v>
      </c>
      <c r="N1768" t="s">
        <v>23</v>
      </c>
      <c r="O1768" t="s">
        <v>24</v>
      </c>
      <c r="P1768">
        <f>Tableau1_2[[#This Row],[Quantité]]*Tableau1_2[[#This Row],[Prix_Unitaire]]</f>
        <v>120000</v>
      </c>
      <c r="Q1768">
        <f>Tableau1_2[[#This Row],[Quantité]]*Tableau1_2[[#This Row],[Coût_Unitaire]]</f>
        <v>75000</v>
      </c>
      <c r="R1768">
        <f>Tableau1_2[[#This Row],[CA]]-Tableau1_2[[#This Row],[Cout Total]]</f>
        <v>45000</v>
      </c>
      <c r="S1768" s="4">
        <f>Tableau1_2[[#This Row],[Marge]]/Tableau1_2[[#This Row],[CA]]</f>
        <v>0.375</v>
      </c>
      <c r="T1768" t="str">
        <f>TEXT(Tableau1_2[[#This Row],[Date]],"mmmm")</f>
        <v>septembre</v>
      </c>
    </row>
    <row r="1769" spans="1:20" x14ac:dyDescent="0.35">
      <c r="A1769" t="s">
        <v>2824</v>
      </c>
      <c r="B1769" s="2">
        <v>46180</v>
      </c>
      <c r="C1769" t="s">
        <v>1045</v>
      </c>
      <c r="D1769" t="s">
        <v>601</v>
      </c>
      <c r="E1769" t="s">
        <v>18</v>
      </c>
      <c r="F1769" t="s">
        <v>18</v>
      </c>
      <c r="G1769" t="s">
        <v>34</v>
      </c>
      <c r="H1769" t="s">
        <v>86</v>
      </c>
      <c r="I1769">
        <v>2</v>
      </c>
      <c r="J1769">
        <v>189000</v>
      </c>
      <c r="K1769">
        <v>131000</v>
      </c>
      <c r="L1769" t="s">
        <v>96</v>
      </c>
      <c r="M1769" t="s">
        <v>31</v>
      </c>
      <c r="N1769" t="s">
        <v>52</v>
      </c>
      <c r="O1769" t="s">
        <v>24</v>
      </c>
      <c r="P1769">
        <f>Tableau1_2[[#This Row],[Quantité]]*Tableau1_2[[#This Row],[Prix_Unitaire]]</f>
        <v>378000</v>
      </c>
      <c r="Q1769">
        <f>Tableau1_2[[#This Row],[Quantité]]*Tableau1_2[[#This Row],[Coût_Unitaire]]</f>
        <v>262000</v>
      </c>
      <c r="R1769">
        <f>Tableau1_2[[#This Row],[CA]]-Tableau1_2[[#This Row],[Cout Total]]</f>
        <v>116000</v>
      </c>
      <c r="S1769" s="4">
        <f>Tableau1_2[[#This Row],[Marge]]/Tableau1_2[[#This Row],[CA]]</f>
        <v>0.30687830687830686</v>
      </c>
      <c r="T1769" t="str">
        <f>TEXT(Tableau1_2[[#This Row],[Date]],"mmmm")</f>
        <v>juin</v>
      </c>
    </row>
    <row r="1770" spans="1:20" x14ac:dyDescent="0.35">
      <c r="A1770" t="s">
        <v>2825</v>
      </c>
      <c r="B1770" s="2">
        <v>46063</v>
      </c>
      <c r="C1770" t="s">
        <v>2503</v>
      </c>
      <c r="D1770" t="s">
        <v>1126</v>
      </c>
      <c r="E1770" t="s">
        <v>77</v>
      </c>
      <c r="F1770" t="s">
        <v>78</v>
      </c>
      <c r="G1770" t="s">
        <v>43</v>
      </c>
      <c r="H1770" t="s">
        <v>79</v>
      </c>
      <c r="I1770">
        <v>10</v>
      </c>
      <c r="J1770">
        <v>6300</v>
      </c>
      <c r="K1770">
        <v>4100</v>
      </c>
      <c r="L1770" t="s">
        <v>21</v>
      </c>
      <c r="M1770" t="s">
        <v>51</v>
      </c>
      <c r="N1770" t="s">
        <v>87</v>
      </c>
      <c r="O1770" t="s">
        <v>24</v>
      </c>
      <c r="P1770">
        <f>Tableau1_2[[#This Row],[Quantité]]*Tableau1_2[[#This Row],[Prix_Unitaire]]</f>
        <v>63000</v>
      </c>
      <c r="Q1770">
        <f>Tableau1_2[[#This Row],[Quantité]]*Tableau1_2[[#This Row],[Coût_Unitaire]]</f>
        <v>41000</v>
      </c>
      <c r="R1770">
        <f>Tableau1_2[[#This Row],[CA]]-Tableau1_2[[#This Row],[Cout Total]]</f>
        <v>22000</v>
      </c>
      <c r="S1770" s="4">
        <f>Tableau1_2[[#This Row],[Marge]]/Tableau1_2[[#This Row],[CA]]</f>
        <v>0.34920634920634919</v>
      </c>
      <c r="T1770" t="str">
        <f>TEXT(Tableau1_2[[#This Row],[Date]],"mmmm")</f>
        <v>février</v>
      </c>
    </row>
    <row r="1771" spans="1:20" x14ac:dyDescent="0.35">
      <c r="A1771" t="s">
        <v>2826</v>
      </c>
      <c r="B1771" s="2">
        <v>46166</v>
      </c>
      <c r="C1771" t="s">
        <v>1020</v>
      </c>
      <c r="D1771" t="s">
        <v>594</v>
      </c>
      <c r="E1771" t="s">
        <v>77</v>
      </c>
      <c r="F1771" t="s">
        <v>78</v>
      </c>
      <c r="G1771" t="s">
        <v>34</v>
      </c>
      <c r="H1771" t="s">
        <v>35</v>
      </c>
      <c r="I1771">
        <v>6</v>
      </c>
      <c r="J1771">
        <v>57800</v>
      </c>
      <c r="K1771">
        <v>39000</v>
      </c>
      <c r="L1771" t="s">
        <v>30</v>
      </c>
      <c r="M1771" t="s">
        <v>37</v>
      </c>
      <c r="N1771" t="s">
        <v>23</v>
      </c>
      <c r="O1771" t="s">
        <v>45</v>
      </c>
      <c r="P1771">
        <f>Tableau1_2[[#This Row],[Quantité]]*Tableau1_2[[#This Row],[Prix_Unitaire]]</f>
        <v>346800</v>
      </c>
      <c r="Q1771">
        <f>Tableau1_2[[#This Row],[Quantité]]*Tableau1_2[[#This Row],[Coût_Unitaire]]</f>
        <v>234000</v>
      </c>
      <c r="R1771">
        <f>Tableau1_2[[#This Row],[CA]]-Tableau1_2[[#This Row],[Cout Total]]</f>
        <v>112800</v>
      </c>
      <c r="S1771" s="4">
        <f>Tableau1_2[[#This Row],[Marge]]/Tableau1_2[[#This Row],[CA]]</f>
        <v>0.32525951557093424</v>
      </c>
      <c r="T1771" t="str">
        <f>TEXT(Tableau1_2[[#This Row],[Date]],"mmmm")</f>
        <v>mai</v>
      </c>
    </row>
    <row r="1772" spans="1:20" x14ac:dyDescent="0.35">
      <c r="A1772" t="s">
        <v>2827</v>
      </c>
      <c r="B1772" s="2">
        <v>46060</v>
      </c>
      <c r="C1772" t="s">
        <v>591</v>
      </c>
      <c r="D1772" t="s">
        <v>303</v>
      </c>
      <c r="E1772" t="s">
        <v>18</v>
      </c>
      <c r="F1772" t="s">
        <v>18</v>
      </c>
      <c r="G1772" t="s">
        <v>43</v>
      </c>
      <c r="H1772" t="s">
        <v>49</v>
      </c>
      <c r="I1772">
        <v>10</v>
      </c>
      <c r="J1772">
        <v>8600</v>
      </c>
      <c r="K1772">
        <v>5600</v>
      </c>
      <c r="L1772" t="s">
        <v>30</v>
      </c>
      <c r="M1772" t="s">
        <v>37</v>
      </c>
      <c r="N1772" t="s">
        <v>23</v>
      </c>
      <c r="O1772" t="s">
        <v>24</v>
      </c>
      <c r="P1772">
        <f>Tableau1_2[[#This Row],[Quantité]]*Tableau1_2[[#This Row],[Prix_Unitaire]]</f>
        <v>86000</v>
      </c>
      <c r="Q1772">
        <f>Tableau1_2[[#This Row],[Quantité]]*Tableau1_2[[#This Row],[Coût_Unitaire]]</f>
        <v>56000</v>
      </c>
      <c r="R1772">
        <f>Tableau1_2[[#This Row],[CA]]-Tableau1_2[[#This Row],[Cout Total]]</f>
        <v>30000</v>
      </c>
      <c r="S1772" s="4">
        <f>Tableau1_2[[#This Row],[Marge]]/Tableau1_2[[#This Row],[CA]]</f>
        <v>0.34883720930232559</v>
      </c>
      <c r="T1772" t="str">
        <f>TEXT(Tableau1_2[[#This Row],[Date]],"mmmm")</f>
        <v>février</v>
      </c>
    </row>
    <row r="1773" spans="1:20" x14ac:dyDescent="0.35">
      <c r="A1773" t="s">
        <v>2828</v>
      </c>
      <c r="B1773" s="2">
        <v>46203</v>
      </c>
      <c r="C1773" t="s">
        <v>1747</v>
      </c>
      <c r="D1773" t="s">
        <v>1581</v>
      </c>
      <c r="E1773" t="s">
        <v>41</v>
      </c>
      <c r="F1773" t="s">
        <v>42</v>
      </c>
      <c r="G1773" t="s">
        <v>34</v>
      </c>
      <c r="H1773" t="s">
        <v>141</v>
      </c>
      <c r="I1773">
        <v>9</v>
      </c>
      <c r="J1773">
        <v>160000</v>
      </c>
      <c r="K1773">
        <v>116400</v>
      </c>
      <c r="L1773" t="s">
        <v>50</v>
      </c>
      <c r="M1773" t="s">
        <v>37</v>
      </c>
      <c r="N1773" t="s">
        <v>87</v>
      </c>
      <c r="O1773" t="s">
        <v>45</v>
      </c>
      <c r="P1773">
        <f>Tableau1_2[[#This Row],[Quantité]]*Tableau1_2[[#This Row],[Prix_Unitaire]]</f>
        <v>1440000</v>
      </c>
      <c r="Q1773">
        <f>Tableau1_2[[#This Row],[Quantité]]*Tableau1_2[[#This Row],[Coût_Unitaire]]</f>
        <v>1047600</v>
      </c>
      <c r="R1773">
        <f>Tableau1_2[[#This Row],[CA]]-Tableau1_2[[#This Row],[Cout Total]]</f>
        <v>392400</v>
      </c>
      <c r="S1773" s="4">
        <f>Tableau1_2[[#This Row],[Marge]]/Tableau1_2[[#This Row],[CA]]</f>
        <v>0.27250000000000002</v>
      </c>
      <c r="T1773" t="str">
        <f>TEXT(Tableau1_2[[#This Row],[Date]],"mmmm")</f>
        <v>juin</v>
      </c>
    </row>
    <row r="1774" spans="1:20" x14ac:dyDescent="0.35">
      <c r="A1774" t="s">
        <v>2829</v>
      </c>
      <c r="B1774" s="2">
        <v>46327</v>
      </c>
      <c r="C1774" t="s">
        <v>413</v>
      </c>
      <c r="D1774" t="s">
        <v>1335</v>
      </c>
      <c r="E1774" t="s">
        <v>84</v>
      </c>
      <c r="F1774" t="s">
        <v>85</v>
      </c>
      <c r="G1774" t="s">
        <v>34</v>
      </c>
      <c r="H1774" t="s">
        <v>158</v>
      </c>
      <c r="I1774">
        <v>4</v>
      </c>
      <c r="J1774">
        <v>90200</v>
      </c>
      <c r="K1774">
        <v>72100</v>
      </c>
      <c r="L1774" t="s">
        <v>66</v>
      </c>
      <c r="M1774" t="s">
        <v>37</v>
      </c>
      <c r="N1774" t="s">
        <v>52</v>
      </c>
      <c r="O1774" t="s">
        <v>24</v>
      </c>
      <c r="P1774">
        <f>Tableau1_2[[#This Row],[Quantité]]*Tableau1_2[[#This Row],[Prix_Unitaire]]</f>
        <v>360800</v>
      </c>
      <c r="Q1774">
        <f>Tableau1_2[[#This Row],[Quantité]]*Tableau1_2[[#This Row],[Coût_Unitaire]]</f>
        <v>288400</v>
      </c>
      <c r="R1774">
        <f>Tableau1_2[[#This Row],[CA]]-Tableau1_2[[#This Row],[Cout Total]]</f>
        <v>72400</v>
      </c>
      <c r="S1774" s="4">
        <f>Tableau1_2[[#This Row],[Marge]]/Tableau1_2[[#This Row],[CA]]</f>
        <v>0.20066518847006651</v>
      </c>
      <c r="T1774" t="str">
        <f>TEXT(Tableau1_2[[#This Row],[Date]],"mmmm")</f>
        <v>novembre</v>
      </c>
    </row>
    <row r="1775" spans="1:20" x14ac:dyDescent="0.35">
      <c r="A1775" t="s">
        <v>2830</v>
      </c>
      <c r="B1775" s="2">
        <v>46191</v>
      </c>
      <c r="C1775" t="s">
        <v>172</v>
      </c>
      <c r="D1775" t="s">
        <v>278</v>
      </c>
      <c r="E1775" t="s">
        <v>77</v>
      </c>
      <c r="F1775" t="s">
        <v>78</v>
      </c>
      <c r="G1775" t="s">
        <v>19</v>
      </c>
      <c r="H1775" t="s">
        <v>112</v>
      </c>
      <c r="I1775">
        <v>5</v>
      </c>
      <c r="J1775">
        <v>80800</v>
      </c>
      <c r="K1775">
        <v>60100</v>
      </c>
      <c r="L1775" t="s">
        <v>36</v>
      </c>
      <c r="M1775" t="s">
        <v>31</v>
      </c>
      <c r="N1775" t="s">
        <v>23</v>
      </c>
      <c r="O1775" t="s">
        <v>24</v>
      </c>
      <c r="P1775">
        <f>Tableau1_2[[#This Row],[Quantité]]*Tableau1_2[[#This Row],[Prix_Unitaire]]</f>
        <v>404000</v>
      </c>
      <c r="Q1775">
        <f>Tableau1_2[[#This Row],[Quantité]]*Tableau1_2[[#This Row],[Coût_Unitaire]]</f>
        <v>300500</v>
      </c>
      <c r="R1775">
        <f>Tableau1_2[[#This Row],[CA]]-Tableau1_2[[#This Row],[Cout Total]]</f>
        <v>103500</v>
      </c>
      <c r="S1775" s="4">
        <f>Tableau1_2[[#This Row],[Marge]]/Tableau1_2[[#This Row],[CA]]</f>
        <v>0.25618811881188119</v>
      </c>
      <c r="T1775" t="str">
        <f>TEXT(Tableau1_2[[#This Row],[Date]],"mmmm")</f>
        <v>juin</v>
      </c>
    </row>
    <row r="1776" spans="1:20" x14ac:dyDescent="0.35">
      <c r="A1776" t="s">
        <v>2831</v>
      </c>
      <c r="B1776" s="2">
        <v>46311</v>
      </c>
      <c r="C1776" t="s">
        <v>699</v>
      </c>
      <c r="D1776" t="s">
        <v>215</v>
      </c>
      <c r="E1776" t="s">
        <v>190</v>
      </c>
      <c r="F1776" t="s">
        <v>191</v>
      </c>
      <c r="G1776" t="s">
        <v>34</v>
      </c>
      <c r="H1776" t="s">
        <v>35</v>
      </c>
      <c r="I1776">
        <v>7</v>
      </c>
      <c r="J1776">
        <v>52200</v>
      </c>
      <c r="K1776">
        <v>40200</v>
      </c>
      <c r="L1776" t="s">
        <v>21</v>
      </c>
      <c r="M1776" t="s">
        <v>37</v>
      </c>
      <c r="N1776" t="s">
        <v>23</v>
      </c>
      <c r="O1776" t="s">
        <v>24</v>
      </c>
      <c r="P1776">
        <f>Tableau1_2[[#This Row],[Quantité]]*Tableau1_2[[#This Row],[Prix_Unitaire]]</f>
        <v>365400</v>
      </c>
      <c r="Q1776">
        <f>Tableau1_2[[#This Row],[Quantité]]*Tableau1_2[[#This Row],[Coût_Unitaire]]</f>
        <v>281400</v>
      </c>
      <c r="R1776">
        <f>Tableau1_2[[#This Row],[CA]]-Tableau1_2[[#This Row],[Cout Total]]</f>
        <v>84000</v>
      </c>
      <c r="S1776" s="4">
        <f>Tableau1_2[[#This Row],[Marge]]/Tableau1_2[[#This Row],[CA]]</f>
        <v>0.22988505747126436</v>
      </c>
      <c r="T1776" t="str">
        <f>TEXT(Tableau1_2[[#This Row],[Date]],"mmmm")</f>
        <v>octobre</v>
      </c>
    </row>
    <row r="1777" spans="1:20" x14ac:dyDescent="0.35">
      <c r="A1777" t="s">
        <v>2832</v>
      </c>
      <c r="B1777" s="2">
        <v>46353</v>
      </c>
      <c r="C1777" t="s">
        <v>903</v>
      </c>
      <c r="D1777" t="s">
        <v>208</v>
      </c>
      <c r="E1777" t="s">
        <v>156</v>
      </c>
      <c r="F1777" t="s">
        <v>170</v>
      </c>
      <c r="G1777" t="s">
        <v>34</v>
      </c>
      <c r="H1777" t="s">
        <v>95</v>
      </c>
      <c r="I1777">
        <v>6</v>
      </c>
      <c r="J1777">
        <v>450000</v>
      </c>
      <c r="K1777">
        <v>381100</v>
      </c>
      <c r="L1777" t="s">
        <v>50</v>
      </c>
      <c r="M1777" t="s">
        <v>22</v>
      </c>
      <c r="N1777" t="s">
        <v>87</v>
      </c>
      <c r="O1777" t="s">
        <v>24</v>
      </c>
      <c r="P1777">
        <f>Tableau1_2[[#This Row],[Quantité]]*Tableau1_2[[#This Row],[Prix_Unitaire]]</f>
        <v>2700000</v>
      </c>
      <c r="Q1777">
        <f>Tableau1_2[[#This Row],[Quantité]]*Tableau1_2[[#This Row],[Coût_Unitaire]]</f>
        <v>2286600</v>
      </c>
      <c r="R1777">
        <f>Tableau1_2[[#This Row],[CA]]-Tableau1_2[[#This Row],[Cout Total]]</f>
        <v>413400</v>
      </c>
      <c r="S1777" s="4">
        <f>Tableau1_2[[#This Row],[Marge]]/Tableau1_2[[#This Row],[CA]]</f>
        <v>0.15311111111111111</v>
      </c>
      <c r="T1777" t="str">
        <f>TEXT(Tableau1_2[[#This Row],[Date]],"mmmm")</f>
        <v>novembre</v>
      </c>
    </row>
    <row r="1778" spans="1:20" x14ac:dyDescent="0.35">
      <c r="A1778" t="s">
        <v>2833</v>
      </c>
      <c r="B1778" s="2">
        <v>46367</v>
      </c>
      <c r="C1778" t="s">
        <v>2034</v>
      </c>
      <c r="D1778" t="s">
        <v>922</v>
      </c>
      <c r="E1778" t="s">
        <v>18</v>
      </c>
      <c r="F1778" t="s">
        <v>18</v>
      </c>
      <c r="G1778" t="s">
        <v>34</v>
      </c>
      <c r="H1778" t="s">
        <v>86</v>
      </c>
      <c r="I1778">
        <v>1</v>
      </c>
      <c r="J1778">
        <v>189000</v>
      </c>
      <c r="K1778">
        <v>139000</v>
      </c>
      <c r="L1778" t="s">
        <v>66</v>
      </c>
      <c r="M1778" t="s">
        <v>37</v>
      </c>
      <c r="N1778" t="s">
        <v>23</v>
      </c>
      <c r="O1778" t="s">
        <v>24</v>
      </c>
      <c r="P1778">
        <f>Tableau1_2[[#This Row],[Quantité]]*Tableau1_2[[#This Row],[Prix_Unitaire]]</f>
        <v>189000</v>
      </c>
      <c r="Q1778">
        <f>Tableau1_2[[#This Row],[Quantité]]*Tableau1_2[[#This Row],[Coût_Unitaire]]</f>
        <v>139000</v>
      </c>
      <c r="R1778">
        <f>Tableau1_2[[#This Row],[CA]]-Tableau1_2[[#This Row],[Cout Total]]</f>
        <v>50000</v>
      </c>
      <c r="S1778" s="4">
        <f>Tableau1_2[[#This Row],[Marge]]/Tableau1_2[[#This Row],[CA]]</f>
        <v>0.26455026455026454</v>
      </c>
      <c r="T1778" t="str">
        <f>TEXT(Tableau1_2[[#This Row],[Date]],"mmmm")</f>
        <v>décembre</v>
      </c>
    </row>
    <row r="1779" spans="1:20" x14ac:dyDescent="0.35">
      <c r="A1779" t="s">
        <v>2834</v>
      </c>
      <c r="B1779" s="2">
        <v>46044</v>
      </c>
      <c r="C1779" t="s">
        <v>997</v>
      </c>
      <c r="D1779" t="s">
        <v>718</v>
      </c>
      <c r="E1779" t="s">
        <v>77</v>
      </c>
      <c r="F1779" t="s">
        <v>78</v>
      </c>
      <c r="G1779" t="s">
        <v>34</v>
      </c>
      <c r="H1779" t="s">
        <v>95</v>
      </c>
      <c r="I1779">
        <v>10</v>
      </c>
      <c r="J1779">
        <v>450000</v>
      </c>
      <c r="K1779">
        <v>370000</v>
      </c>
      <c r="L1779" t="s">
        <v>21</v>
      </c>
      <c r="M1779" t="s">
        <v>22</v>
      </c>
      <c r="N1779" t="s">
        <v>23</v>
      </c>
      <c r="O1779" t="s">
        <v>24</v>
      </c>
      <c r="P1779">
        <f>Tableau1_2[[#This Row],[Quantité]]*Tableau1_2[[#This Row],[Prix_Unitaire]]</f>
        <v>4500000</v>
      </c>
      <c r="Q1779">
        <f>Tableau1_2[[#This Row],[Quantité]]*Tableau1_2[[#This Row],[Coût_Unitaire]]</f>
        <v>3700000</v>
      </c>
      <c r="R1779">
        <f>Tableau1_2[[#This Row],[CA]]-Tableau1_2[[#This Row],[Cout Total]]</f>
        <v>800000</v>
      </c>
      <c r="S1779" s="4">
        <f>Tableau1_2[[#This Row],[Marge]]/Tableau1_2[[#This Row],[CA]]</f>
        <v>0.17777777777777778</v>
      </c>
      <c r="T1779" t="str">
        <f>TEXT(Tableau1_2[[#This Row],[Date]],"mmmm")</f>
        <v>janvier</v>
      </c>
    </row>
    <row r="1780" spans="1:20" x14ac:dyDescent="0.35">
      <c r="A1780" t="s">
        <v>2835</v>
      </c>
      <c r="B1780" s="2">
        <v>46069</v>
      </c>
      <c r="C1780" t="s">
        <v>2270</v>
      </c>
      <c r="D1780" t="s">
        <v>986</v>
      </c>
      <c r="E1780" t="s">
        <v>84</v>
      </c>
      <c r="F1780" t="s">
        <v>85</v>
      </c>
      <c r="G1780" t="s">
        <v>19</v>
      </c>
      <c r="H1780" t="s">
        <v>20</v>
      </c>
      <c r="I1780">
        <v>9</v>
      </c>
      <c r="J1780">
        <v>65000</v>
      </c>
      <c r="K1780">
        <v>46400</v>
      </c>
      <c r="L1780" t="s">
        <v>36</v>
      </c>
      <c r="M1780" t="s">
        <v>37</v>
      </c>
      <c r="N1780" t="s">
        <v>23</v>
      </c>
      <c r="O1780" t="s">
        <v>24</v>
      </c>
      <c r="P1780">
        <f>Tableau1_2[[#This Row],[Quantité]]*Tableau1_2[[#This Row],[Prix_Unitaire]]</f>
        <v>585000</v>
      </c>
      <c r="Q1780">
        <f>Tableau1_2[[#This Row],[Quantité]]*Tableau1_2[[#This Row],[Coût_Unitaire]]</f>
        <v>417600</v>
      </c>
      <c r="R1780">
        <f>Tableau1_2[[#This Row],[CA]]-Tableau1_2[[#This Row],[Cout Total]]</f>
        <v>167400</v>
      </c>
      <c r="S1780" s="4">
        <f>Tableau1_2[[#This Row],[Marge]]/Tableau1_2[[#This Row],[CA]]</f>
        <v>0.28615384615384615</v>
      </c>
      <c r="T1780" t="str">
        <f>TEXT(Tableau1_2[[#This Row],[Date]],"mmmm")</f>
        <v>février</v>
      </c>
    </row>
    <row r="1781" spans="1:20" x14ac:dyDescent="0.35">
      <c r="A1781" t="s">
        <v>2836</v>
      </c>
      <c r="B1781" s="2">
        <v>46311</v>
      </c>
      <c r="C1781" t="s">
        <v>955</v>
      </c>
      <c r="D1781" t="s">
        <v>176</v>
      </c>
      <c r="E1781" t="s">
        <v>18</v>
      </c>
      <c r="F1781" t="s">
        <v>18</v>
      </c>
      <c r="G1781" t="s">
        <v>43</v>
      </c>
      <c r="H1781" t="s">
        <v>79</v>
      </c>
      <c r="I1781">
        <v>4</v>
      </c>
      <c r="J1781">
        <v>6000</v>
      </c>
      <c r="K1781">
        <v>4100</v>
      </c>
      <c r="L1781" t="s">
        <v>50</v>
      </c>
      <c r="M1781" t="s">
        <v>51</v>
      </c>
      <c r="N1781" t="s">
        <v>52</v>
      </c>
      <c r="O1781" t="s">
        <v>24</v>
      </c>
      <c r="P1781">
        <f>Tableau1_2[[#This Row],[Quantité]]*Tableau1_2[[#This Row],[Prix_Unitaire]]</f>
        <v>24000</v>
      </c>
      <c r="Q1781">
        <f>Tableau1_2[[#This Row],[Quantité]]*Tableau1_2[[#This Row],[Coût_Unitaire]]</f>
        <v>16400</v>
      </c>
      <c r="R1781">
        <f>Tableau1_2[[#This Row],[CA]]-Tableau1_2[[#This Row],[Cout Total]]</f>
        <v>7600</v>
      </c>
      <c r="S1781" s="4">
        <f>Tableau1_2[[#This Row],[Marge]]/Tableau1_2[[#This Row],[CA]]</f>
        <v>0.31666666666666665</v>
      </c>
      <c r="T1781" t="str">
        <f>TEXT(Tableau1_2[[#This Row],[Date]],"mmmm")</f>
        <v>octobre</v>
      </c>
    </row>
    <row r="1782" spans="1:20" x14ac:dyDescent="0.35">
      <c r="A1782" t="s">
        <v>2837</v>
      </c>
      <c r="B1782" s="2">
        <v>46329</v>
      </c>
      <c r="C1782" t="s">
        <v>234</v>
      </c>
      <c r="D1782" t="s">
        <v>48</v>
      </c>
      <c r="E1782" t="s">
        <v>56</v>
      </c>
      <c r="F1782" t="s">
        <v>57</v>
      </c>
      <c r="G1782" t="s">
        <v>28</v>
      </c>
      <c r="H1782" t="s">
        <v>65</v>
      </c>
      <c r="I1782">
        <v>1</v>
      </c>
      <c r="J1782">
        <v>12600</v>
      </c>
      <c r="K1782">
        <v>7700</v>
      </c>
      <c r="L1782" t="s">
        <v>36</v>
      </c>
      <c r="M1782" t="s">
        <v>31</v>
      </c>
      <c r="N1782" t="s">
        <v>52</v>
      </c>
      <c r="O1782" t="s">
        <v>24</v>
      </c>
      <c r="P1782">
        <f>Tableau1_2[[#This Row],[Quantité]]*Tableau1_2[[#This Row],[Prix_Unitaire]]</f>
        <v>12600</v>
      </c>
      <c r="Q1782">
        <f>Tableau1_2[[#This Row],[Quantité]]*Tableau1_2[[#This Row],[Coût_Unitaire]]</f>
        <v>7700</v>
      </c>
      <c r="R1782">
        <f>Tableau1_2[[#This Row],[CA]]-Tableau1_2[[#This Row],[Cout Total]]</f>
        <v>4900</v>
      </c>
      <c r="S1782" s="4">
        <f>Tableau1_2[[#This Row],[Marge]]/Tableau1_2[[#This Row],[CA]]</f>
        <v>0.3888888888888889</v>
      </c>
      <c r="T1782" t="str">
        <f>TEXT(Tableau1_2[[#This Row],[Date]],"mmmm")</f>
        <v>novembre</v>
      </c>
    </row>
    <row r="1783" spans="1:20" x14ac:dyDescent="0.35">
      <c r="A1783" t="s">
        <v>2838</v>
      </c>
      <c r="B1783" s="2">
        <v>46172</v>
      </c>
      <c r="C1783" t="s">
        <v>1793</v>
      </c>
      <c r="D1783" t="s">
        <v>90</v>
      </c>
      <c r="E1783" t="s">
        <v>190</v>
      </c>
      <c r="F1783" t="s">
        <v>191</v>
      </c>
      <c r="G1783" t="s">
        <v>34</v>
      </c>
      <c r="H1783" t="s">
        <v>158</v>
      </c>
      <c r="I1783">
        <v>5</v>
      </c>
      <c r="J1783">
        <v>90200</v>
      </c>
      <c r="K1783">
        <v>70000</v>
      </c>
      <c r="L1783" t="s">
        <v>96</v>
      </c>
      <c r="M1783" t="s">
        <v>51</v>
      </c>
      <c r="N1783" t="s">
        <v>87</v>
      </c>
      <c r="O1783" t="s">
        <v>24</v>
      </c>
      <c r="P1783">
        <f>Tableau1_2[[#This Row],[Quantité]]*Tableau1_2[[#This Row],[Prix_Unitaire]]</f>
        <v>451000</v>
      </c>
      <c r="Q1783">
        <f>Tableau1_2[[#This Row],[Quantité]]*Tableau1_2[[#This Row],[Coût_Unitaire]]</f>
        <v>350000</v>
      </c>
      <c r="R1783">
        <f>Tableau1_2[[#This Row],[CA]]-Tableau1_2[[#This Row],[Cout Total]]</f>
        <v>101000</v>
      </c>
      <c r="S1783" s="4">
        <f>Tableau1_2[[#This Row],[Marge]]/Tableau1_2[[#This Row],[CA]]</f>
        <v>0.22394678492239467</v>
      </c>
      <c r="T1783" t="str">
        <f>TEXT(Tableau1_2[[#This Row],[Date]],"mmmm")</f>
        <v>mai</v>
      </c>
    </row>
    <row r="1784" spans="1:20" x14ac:dyDescent="0.35">
      <c r="A1784" t="s">
        <v>2839</v>
      </c>
      <c r="B1784" s="2">
        <v>46070</v>
      </c>
      <c r="C1784" t="s">
        <v>489</v>
      </c>
      <c r="D1784" t="s">
        <v>473</v>
      </c>
      <c r="E1784" t="s">
        <v>18</v>
      </c>
      <c r="F1784" t="s">
        <v>18</v>
      </c>
      <c r="G1784" t="s">
        <v>19</v>
      </c>
      <c r="H1784" t="s">
        <v>112</v>
      </c>
      <c r="I1784">
        <v>3</v>
      </c>
      <c r="J1784">
        <v>85000</v>
      </c>
      <c r="K1784">
        <v>60100</v>
      </c>
      <c r="L1784" t="s">
        <v>66</v>
      </c>
      <c r="M1784" t="s">
        <v>51</v>
      </c>
      <c r="N1784" t="s">
        <v>23</v>
      </c>
      <c r="O1784" t="s">
        <v>24</v>
      </c>
      <c r="P1784">
        <f>Tableau1_2[[#This Row],[Quantité]]*Tableau1_2[[#This Row],[Prix_Unitaire]]</f>
        <v>255000</v>
      </c>
      <c r="Q1784">
        <f>Tableau1_2[[#This Row],[Quantité]]*Tableau1_2[[#This Row],[Coût_Unitaire]]</f>
        <v>180300</v>
      </c>
      <c r="R1784">
        <f>Tableau1_2[[#This Row],[CA]]-Tableau1_2[[#This Row],[Cout Total]]</f>
        <v>74700</v>
      </c>
      <c r="S1784" s="4">
        <f>Tableau1_2[[#This Row],[Marge]]/Tableau1_2[[#This Row],[CA]]</f>
        <v>0.29294117647058826</v>
      </c>
      <c r="T1784" t="str">
        <f>TEXT(Tableau1_2[[#This Row],[Date]],"mmmm")</f>
        <v>février</v>
      </c>
    </row>
    <row r="1785" spans="1:20" x14ac:dyDescent="0.35">
      <c r="A1785" t="s">
        <v>2840</v>
      </c>
      <c r="B1785" s="2">
        <v>46139</v>
      </c>
      <c r="C1785" t="s">
        <v>210</v>
      </c>
      <c r="D1785" t="s">
        <v>992</v>
      </c>
      <c r="E1785" t="s">
        <v>70</v>
      </c>
      <c r="F1785" t="s">
        <v>71</v>
      </c>
      <c r="G1785" t="s">
        <v>28</v>
      </c>
      <c r="H1785" t="s">
        <v>248</v>
      </c>
      <c r="I1785">
        <v>4</v>
      </c>
      <c r="J1785">
        <v>25000</v>
      </c>
      <c r="K1785">
        <v>16500</v>
      </c>
      <c r="L1785" t="s">
        <v>66</v>
      </c>
      <c r="M1785" t="s">
        <v>31</v>
      </c>
      <c r="N1785" t="s">
        <v>52</v>
      </c>
      <c r="O1785" t="s">
        <v>91</v>
      </c>
      <c r="P1785">
        <f>Tableau1_2[[#This Row],[Quantité]]*Tableau1_2[[#This Row],[Prix_Unitaire]]</f>
        <v>100000</v>
      </c>
      <c r="Q1785">
        <f>Tableau1_2[[#This Row],[Quantité]]*Tableau1_2[[#This Row],[Coût_Unitaire]]</f>
        <v>66000</v>
      </c>
      <c r="R1785">
        <f>Tableau1_2[[#This Row],[CA]]-Tableau1_2[[#This Row],[Cout Total]]</f>
        <v>34000</v>
      </c>
      <c r="S1785" s="4">
        <f>Tableau1_2[[#This Row],[Marge]]/Tableau1_2[[#This Row],[CA]]</f>
        <v>0.34</v>
      </c>
      <c r="T1785" t="str">
        <f>TEXT(Tableau1_2[[#This Row],[Date]],"mmmm")</f>
        <v>avril</v>
      </c>
    </row>
    <row r="1786" spans="1:20" x14ac:dyDescent="0.35">
      <c r="A1786" t="s">
        <v>2841</v>
      </c>
      <c r="B1786" s="2">
        <v>46038</v>
      </c>
      <c r="C1786" t="s">
        <v>1865</v>
      </c>
      <c r="D1786" t="s">
        <v>1559</v>
      </c>
      <c r="E1786" t="s">
        <v>84</v>
      </c>
      <c r="F1786" t="s">
        <v>85</v>
      </c>
      <c r="G1786" t="s">
        <v>34</v>
      </c>
      <c r="H1786" t="s">
        <v>86</v>
      </c>
      <c r="I1786">
        <v>1</v>
      </c>
      <c r="J1786">
        <v>189000</v>
      </c>
      <c r="K1786">
        <v>131000</v>
      </c>
      <c r="L1786" t="s">
        <v>21</v>
      </c>
      <c r="M1786" t="s">
        <v>51</v>
      </c>
      <c r="N1786" t="s">
        <v>23</v>
      </c>
      <c r="O1786" t="s">
        <v>45</v>
      </c>
      <c r="P1786">
        <f>Tableau1_2[[#This Row],[Quantité]]*Tableau1_2[[#This Row],[Prix_Unitaire]]</f>
        <v>189000</v>
      </c>
      <c r="Q1786">
        <f>Tableau1_2[[#This Row],[Quantité]]*Tableau1_2[[#This Row],[Coût_Unitaire]]</f>
        <v>131000</v>
      </c>
      <c r="R1786">
        <f>Tableau1_2[[#This Row],[CA]]-Tableau1_2[[#This Row],[Cout Total]]</f>
        <v>58000</v>
      </c>
      <c r="S1786" s="4">
        <f>Tableau1_2[[#This Row],[Marge]]/Tableau1_2[[#This Row],[CA]]</f>
        <v>0.30687830687830686</v>
      </c>
      <c r="T1786" t="str">
        <f>TEXT(Tableau1_2[[#This Row],[Date]],"mmmm")</f>
        <v>janvier</v>
      </c>
    </row>
    <row r="1787" spans="1:20" x14ac:dyDescent="0.35">
      <c r="A1787" t="s">
        <v>2842</v>
      </c>
      <c r="B1787" s="2">
        <v>46248</v>
      </c>
      <c r="C1787" t="s">
        <v>783</v>
      </c>
      <c r="D1787" t="s">
        <v>425</v>
      </c>
      <c r="E1787" t="s">
        <v>70</v>
      </c>
      <c r="F1787" t="s">
        <v>71</v>
      </c>
      <c r="G1787" t="s">
        <v>34</v>
      </c>
      <c r="H1787" t="s">
        <v>86</v>
      </c>
      <c r="I1787">
        <v>7</v>
      </c>
      <c r="J1787">
        <v>171000</v>
      </c>
      <c r="K1787">
        <v>139000</v>
      </c>
      <c r="L1787" t="s">
        <v>21</v>
      </c>
      <c r="M1787" t="s">
        <v>51</v>
      </c>
      <c r="N1787" t="s">
        <v>23</v>
      </c>
      <c r="O1787" t="s">
        <v>24</v>
      </c>
      <c r="P1787">
        <f>Tableau1_2[[#This Row],[Quantité]]*Tableau1_2[[#This Row],[Prix_Unitaire]]</f>
        <v>1197000</v>
      </c>
      <c r="Q1787">
        <f>Tableau1_2[[#This Row],[Quantité]]*Tableau1_2[[#This Row],[Coût_Unitaire]]</f>
        <v>973000</v>
      </c>
      <c r="R1787">
        <f>Tableau1_2[[#This Row],[CA]]-Tableau1_2[[#This Row],[Cout Total]]</f>
        <v>224000</v>
      </c>
      <c r="S1787" s="4">
        <f>Tableau1_2[[#This Row],[Marge]]/Tableau1_2[[#This Row],[CA]]</f>
        <v>0.1871345029239766</v>
      </c>
      <c r="T1787" t="str">
        <f>TEXT(Tableau1_2[[#This Row],[Date]],"mmmm")</f>
        <v>août</v>
      </c>
    </row>
    <row r="1788" spans="1:20" x14ac:dyDescent="0.35">
      <c r="A1788" t="s">
        <v>2843</v>
      </c>
      <c r="B1788" s="2">
        <v>46036</v>
      </c>
      <c r="C1788" t="s">
        <v>68</v>
      </c>
      <c r="D1788" t="s">
        <v>27</v>
      </c>
      <c r="E1788" t="s">
        <v>84</v>
      </c>
      <c r="F1788" t="s">
        <v>85</v>
      </c>
      <c r="G1788" t="s">
        <v>19</v>
      </c>
      <c r="H1788" t="s">
        <v>20</v>
      </c>
      <c r="I1788">
        <v>9</v>
      </c>
      <c r="J1788">
        <v>65000</v>
      </c>
      <c r="K1788">
        <v>46400</v>
      </c>
      <c r="L1788" t="s">
        <v>50</v>
      </c>
      <c r="M1788" t="s">
        <v>37</v>
      </c>
      <c r="N1788" t="s">
        <v>23</v>
      </c>
      <c r="O1788" t="s">
        <v>24</v>
      </c>
      <c r="P1788">
        <f>Tableau1_2[[#This Row],[Quantité]]*Tableau1_2[[#This Row],[Prix_Unitaire]]</f>
        <v>585000</v>
      </c>
      <c r="Q1788">
        <f>Tableau1_2[[#This Row],[Quantité]]*Tableau1_2[[#This Row],[Coût_Unitaire]]</f>
        <v>417600</v>
      </c>
      <c r="R1788">
        <f>Tableau1_2[[#This Row],[CA]]-Tableau1_2[[#This Row],[Cout Total]]</f>
        <v>167400</v>
      </c>
      <c r="S1788" s="4">
        <f>Tableau1_2[[#This Row],[Marge]]/Tableau1_2[[#This Row],[CA]]</f>
        <v>0.28615384615384615</v>
      </c>
      <c r="T1788" t="str">
        <f>TEXT(Tableau1_2[[#This Row],[Date]],"mmmm")</f>
        <v>janvier</v>
      </c>
    </row>
    <row r="1789" spans="1:20" x14ac:dyDescent="0.35">
      <c r="A1789" t="s">
        <v>2844</v>
      </c>
      <c r="B1789" s="2">
        <v>46272</v>
      </c>
      <c r="C1789" t="s">
        <v>645</v>
      </c>
      <c r="D1789" t="s">
        <v>2845</v>
      </c>
      <c r="E1789" t="s">
        <v>18</v>
      </c>
      <c r="F1789" t="s">
        <v>18</v>
      </c>
      <c r="G1789" t="s">
        <v>34</v>
      </c>
      <c r="H1789" t="s">
        <v>86</v>
      </c>
      <c r="I1789">
        <v>10</v>
      </c>
      <c r="J1789">
        <v>189000</v>
      </c>
      <c r="K1789">
        <v>135000</v>
      </c>
      <c r="L1789" t="s">
        <v>30</v>
      </c>
      <c r="M1789" t="s">
        <v>22</v>
      </c>
      <c r="N1789" t="s">
        <v>23</v>
      </c>
      <c r="O1789" t="s">
        <v>45</v>
      </c>
      <c r="P1789">
        <f>Tableau1_2[[#This Row],[Quantité]]*Tableau1_2[[#This Row],[Prix_Unitaire]]</f>
        <v>1890000</v>
      </c>
      <c r="Q1789">
        <f>Tableau1_2[[#This Row],[Quantité]]*Tableau1_2[[#This Row],[Coût_Unitaire]]</f>
        <v>1350000</v>
      </c>
      <c r="R1789">
        <f>Tableau1_2[[#This Row],[CA]]-Tableau1_2[[#This Row],[Cout Total]]</f>
        <v>540000</v>
      </c>
      <c r="S1789" s="4">
        <f>Tableau1_2[[#This Row],[Marge]]/Tableau1_2[[#This Row],[CA]]</f>
        <v>0.2857142857142857</v>
      </c>
      <c r="T1789" t="str">
        <f>TEXT(Tableau1_2[[#This Row],[Date]],"mmmm")</f>
        <v>septembre</v>
      </c>
    </row>
    <row r="1790" spans="1:20" x14ac:dyDescent="0.35">
      <c r="A1790" t="s">
        <v>2846</v>
      </c>
      <c r="B1790" s="2">
        <v>46387</v>
      </c>
      <c r="C1790" t="s">
        <v>2512</v>
      </c>
      <c r="D1790" t="s">
        <v>601</v>
      </c>
      <c r="E1790" t="s">
        <v>18</v>
      </c>
      <c r="F1790" t="s">
        <v>18</v>
      </c>
      <c r="G1790" t="s">
        <v>34</v>
      </c>
      <c r="H1790" t="s">
        <v>86</v>
      </c>
      <c r="I1790">
        <v>10</v>
      </c>
      <c r="J1790">
        <v>180000</v>
      </c>
      <c r="K1790">
        <v>139000</v>
      </c>
      <c r="L1790" t="s">
        <v>30</v>
      </c>
      <c r="M1790" t="s">
        <v>51</v>
      </c>
      <c r="N1790" t="s">
        <v>23</v>
      </c>
      <c r="O1790" t="s">
        <v>24</v>
      </c>
      <c r="P1790">
        <f>Tableau1_2[[#This Row],[Quantité]]*Tableau1_2[[#This Row],[Prix_Unitaire]]</f>
        <v>1800000</v>
      </c>
      <c r="Q1790">
        <f>Tableau1_2[[#This Row],[Quantité]]*Tableau1_2[[#This Row],[Coût_Unitaire]]</f>
        <v>1390000</v>
      </c>
      <c r="R1790">
        <f>Tableau1_2[[#This Row],[CA]]-Tableau1_2[[#This Row],[Cout Total]]</f>
        <v>410000</v>
      </c>
      <c r="S1790" s="4">
        <f>Tableau1_2[[#This Row],[Marge]]/Tableau1_2[[#This Row],[CA]]</f>
        <v>0.22777777777777777</v>
      </c>
      <c r="T1790" t="str">
        <f>TEXT(Tableau1_2[[#This Row],[Date]],"mmmm")</f>
        <v>décembre</v>
      </c>
    </row>
    <row r="1791" spans="1:20" x14ac:dyDescent="0.35">
      <c r="A1791" t="s">
        <v>2847</v>
      </c>
      <c r="B1791" s="2">
        <v>46125</v>
      </c>
      <c r="C1791" t="s">
        <v>302</v>
      </c>
      <c r="D1791" t="s">
        <v>643</v>
      </c>
      <c r="E1791" t="s">
        <v>18</v>
      </c>
      <c r="F1791" t="s">
        <v>18</v>
      </c>
      <c r="G1791" t="s">
        <v>34</v>
      </c>
      <c r="H1791" t="s">
        <v>95</v>
      </c>
      <c r="I1791">
        <v>5</v>
      </c>
      <c r="J1791">
        <v>427500</v>
      </c>
      <c r="K1791">
        <v>370000</v>
      </c>
      <c r="L1791" t="s">
        <v>36</v>
      </c>
      <c r="M1791" t="s">
        <v>51</v>
      </c>
      <c r="N1791" t="s">
        <v>23</v>
      </c>
      <c r="O1791" t="s">
        <v>24</v>
      </c>
      <c r="P1791">
        <f>Tableau1_2[[#This Row],[Quantité]]*Tableau1_2[[#This Row],[Prix_Unitaire]]</f>
        <v>2137500</v>
      </c>
      <c r="Q1791">
        <f>Tableau1_2[[#This Row],[Quantité]]*Tableau1_2[[#This Row],[Coût_Unitaire]]</f>
        <v>1850000</v>
      </c>
      <c r="R1791">
        <f>Tableau1_2[[#This Row],[CA]]-Tableau1_2[[#This Row],[Cout Total]]</f>
        <v>287500</v>
      </c>
      <c r="S1791" s="4">
        <f>Tableau1_2[[#This Row],[Marge]]/Tableau1_2[[#This Row],[CA]]</f>
        <v>0.13450292397660818</v>
      </c>
      <c r="T1791" t="str">
        <f>TEXT(Tableau1_2[[#This Row],[Date]],"mmmm")</f>
        <v>avril</v>
      </c>
    </row>
    <row r="1792" spans="1:20" x14ac:dyDescent="0.35">
      <c r="A1792" t="s">
        <v>2848</v>
      </c>
      <c r="B1792" s="2">
        <v>46082</v>
      </c>
      <c r="C1792" t="s">
        <v>427</v>
      </c>
      <c r="D1792" t="s">
        <v>1377</v>
      </c>
      <c r="E1792" t="s">
        <v>18</v>
      </c>
      <c r="F1792" t="s">
        <v>18</v>
      </c>
      <c r="G1792" t="s">
        <v>28</v>
      </c>
      <c r="H1792" t="s">
        <v>131</v>
      </c>
      <c r="I1792">
        <v>3</v>
      </c>
      <c r="J1792">
        <v>30000</v>
      </c>
      <c r="K1792">
        <v>19600</v>
      </c>
      <c r="L1792" t="s">
        <v>96</v>
      </c>
      <c r="M1792" t="s">
        <v>37</v>
      </c>
      <c r="N1792" t="s">
        <v>52</v>
      </c>
      <c r="O1792" t="s">
        <v>45</v>
      </c>
      <c r="P1792">
        <f>Tableau1_2[[#This Row],[Quantité]]*Tableau1_2[[#This Row],[Prix_Unitaire]]</f>
        <v>90000</v>
      </c>
      <c r="Q1792">
        <f>Tableau1_2[[#This Row],[Quantité]]*Tableau1_2[[#This Row],[Coût_Unitaire]]</f>
        <v>58800</v>
      </c>
      <c r="R1792">
        <f>Tableau1_2[[#This Row],[CA]]-Tableau1_2[[#This Row],[Cout Total]]</f>
        <v>31200</v>
      </c>
      <c r="S1792" s="4">
        <f>Tableau1_2[[#This Row],[Marge]]/Tableau1_2[[#This Row],[CA]]</f>
        <v>0.34666666666666668</v>
      </c>
      <c r="T1792" t="str">
        <f>TEXT(Tableau1_2[[#This Row],[Date]],"mmmm")</f>
        <v>mars</v>
      </c>
    </row>
    <row r="1793" spans="1:20" x14ac:dyDescent="0.35">
      <c r="A1793" t="s">
        <v>2849</v>
      </c>
      <c r="B1793" s="2">
        <v>46255</v>
      </c>
      <c r="C1793" t="s">
        <v>148</v>
      </c>
      <c r="D1793" t="s">
        <v>1439</v>
      </c>
      <c r="E1793" t="s">
        <v>18</v>
      </c>
      <c r="F1793" t="s">
        <v>18</v>
      </c>
      <c r="G1793" t="s">
        <v>19</v>
      </c>
      <c r="H1793" t="s">
        <v>61</v>
      </c>
      <c r="I1793">
        <v>10</v>
      </c>
      <c r="J1793">
        <v>231000</v>
      </c>
      <c r="K1793">
        <v>164800</v>
      </c>
      <c r="L1793" t="s">
        <v>30</v>
      </c>
      <c r="M1793" t="s">
        <v>51</v>
      </c>
      <c r="N1793" t="s">
        <v>87</v>
      </c>
      <c r="O1793" t="s">
        <v>24</v>
      </c>
      <c r="P1793">
        <f>Tableau1_2[[#This Row],[Quantité]]*Tableau1_2[[#This Row],[Prix_Unitaire]]</f>
        <v>2310000</v>
      </c>
      <c r="Q1793">
        <f>Tableau1_2[[#This Row],[Quantité]]*Tableau1_2[[#This Row],[Coût_Unitaire]]</f>
        <v>1648000</v>
      </c>
      <c r="R1793">
        <f>Tableau1_2[[#This Row],[CA]]-Tableau1_2[[#This Row],[Cout Total]]</f>
        <v>662000</v>
      </c>
      <c r="S1793" s="4">
        <f>Tableau1_2[[#This Row],[Marge]]/Tableau1_2[[#This Row],[CA]]</f>
        <v>0.2865800865800866</v>
      </c>
      <c r="T1793" t="str">
        <f>TEXT(Tableau1_2[[#This Row],[Date]],"mmmm")</f>
        <v>août</v>
      </c>
    </row>
    <row r="1794" spans="1:20" x14ac:dyDescent="0.35">
      <c r="A1794" t="s">
        <v>2850</v>
      </c>
      <c r="B1794" s="2">
        <v>46368</v>
      </c>
      <c r="C1794" t="s">
        <v>2851</v>
      </c>
      <c r="D1794" t="s">
        <v>806</v>
      </c>
      <c r="E1794" t="s">
        <v>18</v>
      </c>
      <c r="F1794" t="s">
        <v>18</v>
      </c>
      <c r="G1794" t="s">
        <v>28</v>
      </c>
      <c r="H1794" t="s">
        <v>65</v>
      </c>
      <c r="I1794">
        <v>5</v>
      </c>
      <c r="J1794">
        <v>12000</v>
      </c>
      <c r="K1794">
        <v>7300</v>
      </c>
      <c r="L1794" t="s">
        <v>73</v>
      </c>
      <c r="M1794" t="s">
        <v>31</v>
      </c>
      <c r="N1794" t="s">
        <v>23</v>
      </c>
      <c r="O1794" t="s">
        <v>24</v>
      </c>
      <c r="P1794">
        <f>Tableau1_2[[#This Row],[Quantité]]*Tableau1_2[[#This Row],[Prix_Unitaire]]</f>
        <v>60000</v>
      </c>
      <c r="Q1794">
        <f>Tableau1_2[[#This Row],[Quantité]]*Tableau1_2[[#This Row],[Coût_Unitaire]]</f>
        <v>36500</v>
      </c>
      <c r="R1794">
        <f>Tableau1_2[[#This Row],[CA]]-Tableau1_2[[#This Row],[Cout Total]]</f>
        <v>23500</v>
      </c>
      <c r="S1794" s="4">
        <f>Tableau1_2[[#This Row],[Marge]]/Tableau1_2[[#This Row],[CA]]</f>
        <v>0.39166666666666666</v>
      </c>
      <c r="T1794" t="str">
        <f>TEXT(Tableau1_2[[#This Row],[Date]],"mmmm")</f>
        <v>décembre</v>
      </c>
    </row>
    <row r="1795" spans="1:20" x14ac:dyDescent="0.35">
      <c r="A1795" t="s">
        <v>2852</v>
      </c>
      <c r="B1795" s="2">
        <v>46179</v>
      </c>
      <c r="C1795" t="s">
        <v>1119</v>
      </c>
      <c r="D1795" t="s">
        <v>650</v>
      </c>
      <c r="E1795" t="s">
        <v>70</v>
      </c>
      <c r="F1795" t="s">
        <v>71</v>
      </c>
      <c r="G1795" t="s">
        <v>43</v>
      </c>
      <c r="H1795" t="s">
        <v>79</v>
      </c>
      <c r="I1795">
        <v>2</v>
      </c>
      <c r="J1795">
        <v>6300</v>
      </c>
      <c r="K1795">
        <v>4300</v>
      </c>
      <c r="L1795" t="s">
        <v>30</v>
      </c>
      <c r="M1795" t="s">
        <v>37</v>
      </c>
      <c r="N1795" t="s">
        <v>52</v>
      </c>
      <c r="O1795" t="s">
        <v>24</v>
      </c>
      <c r="P1795">
        <f>Tableau1_2[[#This Row],[Quantité]]*Tableau1_2[[#This Row],[Prix_Unitaire]]</f>
        <v>12600</v>
      </c>
      <c r="Q1795">
        <f>Tableau1_2[[#This Row],[Quantité]]*Tableau1_2[[#This Row],[Coût_Unitaire]]</f>
        <v>8600</v>
      </c>
      <c r="R1795">
        <f>Tableau1_2[[#This Row],[CA]]-Tableau1_2[[#This Row],[Cout Total]]</f>
        <v>4000</v>
      </c>
      <c r="S1795" s="4">
        <f>Tableau1_2[[#This Row],[Marge]]/Tableau1_2[[#This Row],[CA]]</f>
        <v>0.31746031746031744</v>
      </c>
      <c r="T1795" t="str">
        <f>TEXT(Tableau1_2[[#This Row],[Date]],"mmmm")</f>
        <v>juin</v>
      </c>
    </row>
    <row r="1796" spans="1:20" x14ac:dyDescent="0.35">
      <c r="A1796" t="s">
        <v>2853</v>
      </c>
      <c r="B1796" s="2">
        <v>46309</v>
      </c>
      <c r="C1796" t="s">
        <v>1255</v>
      </c>
      <c r="D1796" t="s">
        <v>731</v>
      </c>
      <c r="E1796" t="s">
        <v>70</v>
      </c>
      <c r="F1796" t="s">
        <v>71</v>
      </c>
      <c r="G1796" t="s">
        <v>43</v>
      </c>
      <c r="H1796" t="s">
        <v>44</v>
      </c>
      <c r="I1796">
        <v>3</v>
      </c>
      <c r="J1796">
        <v>15000</v>
      </c>
      <c r="K1796">
        <v>9200</v>
      </c>
      <c r="L1796" t="s">
        <v>73</v>
      </c>
      <c r="M1796" t="s">
        <v>31</v>
      </c>
      <c r="N1796" t="s">
        <v>23</v>
      </c>
      <c r="O1796" t="s">
        <v>24</v>
      </c>
      <c r="P1796">
        <f>Tableau1_2[[#This Row],[Quantité]]*Tableau1_2[[#This Row],[Prix_Unitaire]]</f>
        <v>45000</v>
      </c>
      <c r="Q1796">
        <f>Tableau1_2[[#This Row],[Quantité]]*Tableau1_2[[#This Row],[Coût_Unitaire]]</f>
        <v>27600</v>
      </c>
      <c r="R1796">
        <f>Tableau1_2[[#This Row],[CA]]-Tableau1_2[[#This Row],[Cout Total]]</f>
        <v>17400</v>
      </c>
      <c r="S1796" s="4">
        <f>Tableau1_2[[#This Row],[Marge]]/Tableau1_2[[#This Row],[CA]]</f>
        <v>0.38666666666666666</v>
      </c>
      <c r="T1796" t="str">
        <f>TEXT(Tableau1_2[[#This Row],[Date]],"mmmm")</f>
        <v>octobre</v>
      </c>
    </row>
    <row r="1797" spans="1:20" x14ac:dyDescent="0.35">
      <c r="A1797" t="s">
        <v>2854</v>
      </c>
      <c r="B1797" s="2">
        <v>46258</v>
      </c>
      <c r="C1797" t="s">
        <v>664</v>
      </c>
      <c r="D1797" t="s">
        <v>1128</v>
      </c>
      <c r="E1797" t="s">
        <v>18</v>
      </c>
      <c r="F1797" t="s">
        <v>18</v>
      </c>
      <c r="G1797" t="s">
        <v>43</v>
      </c>
      <c r="H1797" t="s">
        <v>79</v>
      </c>
      <c r="I1797">
        <v>10</v>
      </c>
      <c r="J1797">
        <v>6300</v>
      </c>
      <c r="K1797">
        <v>4200</v>
      </c>
      <c r="L1797" t="s">
        <v>66</v>
      </c>
      <c r="M1797" t="s">
        <v>37</v>
      </c>
      <c r="N1797" t="s">
        <v>87</v>
      </c>
      <c r="O1797" t="s">
        <v>24</v>
      </c>
      <c r="P1797">
        <f>Tableau1_2[[#This Row],[Quantité]]*Tableau1_2[[#This Row],[Prix_Unitaire]]</f>
        <v>63000</v>
      </c>
      <c r="Q1797">
        <f>Tableau1_2[[#This Row],[Quantité]]*Tableau1_2[[#This Row],[Coût_Unitaire]]</f>
        <v>42000</v>
      </c>
      <c r="R1797">
        <f>Tableau1_2[[#This Row],[CA]]-Tableau1_2[[#This Row],[Cout Total]]</f>
        <v>21000</v>
      </c>
      <c r="S1797" s="4">
        <f>Tableau1_2[[#This Row],[Marge]]/Tableau1_2[[#This Row],[CA]]</f>
        <v>0.33333333333333331</v>
      </c>
      <c r="T1797" t="str">
        <f>TEXT(Tableau1_2[[#This Row],[Date]],"mmmm")</f>
        <v>août</v>
      </c>
    </row>
    <row r="1798" spans="1:20" x14ac:dyDescent="0.35">
      <c r="A1798" t="s">
        <v>2855</v>
      </c>
      <c r="B1798" s="2">
        <v>46070</v>
      </c>
      <c r="C1798" t="s">
        <v>687</v>
      </c>
      <c r="D1798" t="s">
        <v>235</v>
      </c>
      <c r="E1798" t="s">
        <v>18</v>
      </c>
      <c r="F1798" t="s">
        <v>18</v>
      </c>
      <c r="G1798" t="s">
        <v>34</v>
      </c>
      <c r="H1798" t="s">
        <v>95</v>
      </c>
      <c r="I1798">
        <v>2</v>
      </c>
      <c r="J1798">
        <v>472500</v>
      </c>
      <c r="K1798">
        <v>358900</v>
      </c>
      <c r="L1798" t="s">
        <v>80</v>
      </c>
      <c r="M1798" t="s">
        <v>37</v>
      </c>
      <c r="N1798" t="s">
        <v>52</v>
      </c>
      <c r="O1798" t="s">
        <v>24</v>
      </c>
      <c r="P1798">
        <f>Tableau1_2[[#This Row],[Quantité]]*Tableau1_2[[#This Row],[Prix_Unitaire]]</f>
        <v>945000</v>
      </c>
      <c r="Q1798">
        <f>Tableau1_2[[#This Row],[Quantité]]*Tableau1_2[[#This Row],[Coût_Unitaire]]</f>
        <v>717800</v>
      </c>
      <c r="R1798">
        <f>Tableau1_2[[#This Row],[CA]]-Tableau1_2[[#This Row],[Cout Total]]</f>
        <v>227200</v>
      </c>
      <c r="S1798" s="4">
        <f>Tableau1_2[[#This Row],[Marge]]/Tableau1_2[[#This Row],[CA]]</f>
        <v>0.24042328042328043</v>
      </c>
      <c r="T1798" t="str">
        <f>TEXT(Tableau1_2[[#This Row],[Date]],"mmmm")</f>
        <v>février</v>
      </c>
    </row>
    <row r="1799" spans="1:20" x14ac:dyDescent="0.35">
      <c r="A1799" t="s">
        <v>2856</v>
      </c>
      <c r="B1799" s="2">
        <v>46093</v>
      </c>
      <c r="C1799" t="s">
        <v>350</v>
      </c>
      <c r="D1799" t="s">
        <v>374</v>
      </c>
      <c r="E1799" t="s">
        <v>18</v>
      </c>
      <c r="F1799" t="s">
        <v>18</v>
      </c>
      <c r="G1799" t="s">
        <v>34</v>
      </c>
      <c r="H1799" t="s">
        <v>158</v>
      </c>
      <c r="I1799">
        <v>5</v>
      </c>
      <c r="J1799">
        <v>99800</v>
      </c>
      <c r="K1799">
        <v>67900</v>
      </c>
      <c r="L1799" t="s">
        <v>66</v>
      </c>
      <c r="M1799" t="s">
        <v>31</v>
      </c>
      <c r="N1799" t="s">
        <v>23</v>
      </c>
      <c r="O1799" t="s">
        <v>24</v>
      </c>
      <c r="P1799">
        <f>Tableau1_2[[#This Row],[Quantité]]*Tableau1_2[[#This Row],[Prix_Unitaire]]</f>
        <v>499000</v>
      </c>
      <c r="Q1799">
        <f>Tableau1_2[[#This Row],[Quantité]]*Tableau1_2[[#This Row],[Coût_Unitaire]]</f>
        <v>339500</v>
      </c>
      <c r="R1799">
        <f>Tableau1_2[[#This Row],[CA]]-Tableau1_2[[#This Row],[Cout Total]]</f>
        <v>159500</v>
      </c>
      <c r="S1799" s="4">
        <f>Tableau1_2[[#This Row],[Marge]]/Tableau1_2[[#This Row],[CA]]</f>
        <v>0.31963927855711421</v>
      </c>
      <c r="T1799" t="str">
        <f>TEXT(Tableau1_2[[#This Row],[Date]],"mmmm")</f>
        <v>mars</v>
      </c>
    </row>
    <row r="1800" spans="1:20" x14ac:dyDescent="0.35">
      <c r="A1800" t="s">
        <v>2857</v>
      </c>
      <c r="B1800" s="2">
        <v>46351</v>
      </c>
      <c r="C1800" t="s">
        <v>1386</v>
      </c>
      <c r="D1800" t="s">
        <v>1906</v>
      </c>
      <c r="E1800" t="s">
        <v>18</v>
      </c>
      <c r="F1800" t="s">
        <v>18</v>
      </c>
      <c r="G1800" t="s">
        <v>19</v>
      </c>
      <c r="H1800" t="s">
        <v>20</v>
      </c>
      <c r="I1800">
        <v>9</v>
      </c>
      <c r="J1800">
        <v>65000</v>
      </c>
      <c r="K1800">
        <v>45000</v>
      </c>
      <c r="L1800" t="s">
        <v>66</v>
      </c>
      <c r="M1800" t="s">
        <v>37</v>
      </c>
      <c r="N1800" t="s">
        <v>23</v>
      </c>
      <c r="O1800" t="s">
        <v>24</v>
      </c>
      <c r="P1800">
        <f>Tableau1_2[[#This Row],[Quantité]]*Tableau1_2[[#This Row],[Prix_Unitaire]]</f>
        <v>585000</v>
      </c>
      <c r="Q1800">
        <f>Tableau1_2[[#This Row],[Quantité]]*Tableau1_2[[#This Row],[Coût_Unitaire]]</f>
        <v>405000</v>
      </c>
      <c r="R1800">
        <f>Tableau1_2[[#This Row],[CA]]-Tableau1_2[[#This Row],[Cout Total]]</f>
        <v>180000</v>
      </c>
      <c r="S1800" s="4">
        <f>Tableau1_2[[#This Row],[Marge]]/Tableau1_2[[#This Row],[CA]]</f>
        <v>0.30769230769230771</v>
      </c>
      <c r="T1800" t="str">
        <f>TEXT(Tableau1_2[[#This Row],[Date]],"mmmm")</f>
        <v>novembre</v>
      </c>
    </row>
    <row r="1801" spans="1:20" x14ac:dyDescent="0.35">
      <c r="A1801" t="s">
        <v>2858</v>
      </c>
      <c r="B1801" s="2">
        <v>46053</v>
      </c>
      <c r="C1801" t="s">
        <v>1253</v>
      </c>
      <c r="D1801" t="s">
        <v>137</v>
      </c>
      <c r="E1801" t="s">
        <v>18</v>
      </c>
      <c r="F1801" t="s">
        <v>18</v>
      </c>
      <c r="G1801" t="s">
        <v>34</v>
      </c>
      <c r="H1801" t="s">
        <v>95</v>
      </c>
      <c r="I1801">
        <v>9</v>
      </c>
      <c r="J1801">
        <v>427500</v>
      </c>
      <c r="K1801">
        <v>370000</v>
      </c>
      <c r="L1801" t="s">
        <v>66</v>
      </c>
      <c r="M1801" t="s">
        <v>22</v>
      </c>
      <c r="N1801" t="s">
        <v>23</v>
      </c>
      <c r="O1801" t="s">
        <v>24</v>
      </c>
      <c r="P1801">
        <f>Tableau1_2[[#This Row],[Quantité]]*Tableau1_2[[#This Row],[Prix_Unitaire]]</f>
        <v>3847500</v>
      </c>
      <c r="Q1801">
        <f>Tableau1_2[[#This Row],[Quantité]]*Tableau1_2[[#This Row],[Coût_Unitaire]]</f>
        <v>3330000</v>
      </c>
      <c r="R1801">
        <f>Tableau1_2[[#This Row],[CA]]-Tableau1_2[[#This Row],[Cout Total]]</f>
        <v>517500</v>
      </c>
      <c r="S1801" s="4">
        <f>Tableau1_2[[#This Row],[Marge]]/Tableau1_2[[#This Row],[CA]]</f>
        <v>0.13450292397660818</v>
      </c>
      <c r="T1801" t="str">
        <f>TEXT(Tableau1_2[[#This Row],[Date]],"mmmm")</f>
        <v>janvier</v>
      </c>
    </row>
    <row r="1802" spans="1:20" x14ac:dyDescent="0.35">
      <c r="A1802" t="s">
        <v>2859</v>
      </c>
      <c r="B1802" s="2">
        <v>46214</v>
      </c>
      <c r="C1802" t="s">
        <v>2218</v>
      </c>
      <c r="D1802" t="s">
        <v>2223</v>
      </c>
      <c r="E1802" t="s">
        <v>77</v>
      </c>
      <c r="F1802" t="s">
        <v>78</v>
      </c>
      <c r="G1802" t="s">
        <v>34</v>
      </c>
      <c r="H1802" t="s">
        <v>86</v>
      </c>
      <c r="I1802">
        <v>10</v>
      </c>
      <c r="J1802">
        <v>189000</v>
      </c>
      <c r="K1802">
        <v>131000</v>
      </c>
      <c r="L1802" t="s">
        <v>66</v>
      </c>
      <c r="M1802" t="s">
        <v>37</v>
      </c>
      <c r="N1802" t="s">
        <v>52</v>
      </c>
      <c r="O1802" t="s">
        <v>24</v>
      </c>
      <c r="P1802">
        <f>Tableau1_2[[#This Row],[Quantité]]*Tableau1_2[[#This Row],[Prix_Unitaire]]</f>
        <v>1890000</v>
      </c>
      <c r="Q1802">
        <f>Tableau1_2[[#This Row],[Quantité]]*Tableau1_2[[#This Row],[Coût_Unitaire]]</f>
        <v>1310000</v>
      </c>
      <c r="R1802">
        <f>Tableau1_2[[#This Row],[CA]]-Tableau1_2[[#This Row],[Cout Total]]</f>
        <v>580000</v>
      </c>
      <c r="S1802" s="4">
        <f>Tableau1_2[[#This Row],[Marge]]/Tableau1_2[[#This Row],[CA]]</f>
        <v>0.30687830687830686</v>
      </c>
      <c r="T1802" t="str">
        <f>TEXT(Tableau1_2[[#This Row],[Date]],"mmmm")</f>
        <v>juillet</v>
      </c>
    </row>
    <row r="1803" spans="1:20" x14ac:dyDescent="0.35">
      <c r="A1803" t="s">
        <v>2860</v>
      </c>
      <c r="B1803" s="2">
        <v>46146</v>
      </c>
      <c r="C1803" t="s">
        <v>484</v>
      </c>
      <c r="D1803" t="s">
        <v>1947</v>
      </c>
      <c r="E1803" t="s">
        <v>156</v>
      </c>
      <c r="F1803" t="s">
        <v>170</v>
      </c>
      <c r="G1803" t="s">
        <v>34</v>
      </c>
      <c r="H1803" t="s">
        <v>86</v>
      </c>
      <c r="I1803">
        <v>10</v>
      </c>
      <c r="J1803">
        <v>180000</v>
      </c>
      <c r="K1803">
        <v>139000</v>
      </c>
      <c r="L1803" t="s">
        <v>73</v>
      </c>
      <c r="M1803" t="s">
        <v>51</v>
      </c>
      <c r="N1803" t="s">
        <v>52</v>
      </c>
      <c r="O1803" t="s">
        <v>24</v>
      </c>
      <c r="P1803">
        <f>Tableau1_2[[#This Row],[Quantité]]*Tableau1_2[[#This Row],[Prix_Unitaire]]</f>
        <v>1800000</v>
      </c>
      <c r="Q1803">
        <f>Tableau1_2[[#This Row],[Quantité]]*Tableau1_2[[#This Row],[Coût_Unitaire]]</f>
        <v>1390000</v>
      </c>
      <c r="R1803">
        <f>Tableau1_2[[#This Row],[CA]]-Tableau1_2[[#This Row],[Cout Total]]</f>
        <v>410000</v>
      </c>
      <c r="S1803" s="4">
        <f>Tableau1_2[[#This Row],[Marge]]/Tableau1_2[[#This Row],[CA]]</f>
        <v>0.22777777777777777</v>
      </c>
      <c r="T1803" t="str">
        <f>TEXT(Tableau1_2[[#This Row],[Date]],"mmmm")</f>
        <v>mai</v>
      </c>
    </row>
    <row r="1804" spans="1:20" x14ac:dyDescent="0.35">
      <c r="A1804" t="s">
        <v>2861</v>
      </c>
      <c r="B1804" s="2">
        <v>46186</v>
      </c>
      <c r="C1804" t="s">
        <v>1506</v>
      </c>
      <c r="D1804" t="s">
        <v>1262</v>
      </c>
      <c r="E1804" t="s">
        <v>41</v>
      </c>
      <c r="F1804" t="s">
        <v>42</v>
      </c>
      <c r="G1804" t="s">
        <v>34</v>
      </c>
      <c r="H1804" t="s">
        <v>35</v>
      </c>
      <c r="I1804">
        <v>9</v>
      </c>
      <c r="J1804">
        <v>55000</v>
      </c>
      <c r="K1804">
        <v>37800</v>
      </c>
      <c r="L1804" t="s">
        <v>36</v>
      </c>
      <c r="M1804" t="s">
        <v>37</v>
      </c>
      <c r="N1804" t="s">
        <v>23</v>
      </c>
      <c r="O1804" t="s">
        <v>45</v>
      </c>
      <c r="P1804">
        <f>Tableau1_2[[#This Row],[Quantité]]*Tableau1_2[[#This Row],[Prix_Unitaire]]</f>
        <v>495000</v>
      </c>
      <c r="Q1804">
        <f>Tableau1_2[[#This Row],[Quantité]]*Tableau1_2[[#This Row],[Coût_Unitaire]]</f>
        <v>340200</v>
      </c>
      <c r="R1804">
        <f>Tableau1_2[[#This Row],[CA]]-Tableau1_2[[#This Row],[Cout Total]]</f>
        <v>154800</v>
      </c>
      <c r="S1804" s="4">
        <f>Tableau1_2[[#This Row],[Marge]]/Tableau1_2[[#This Row],[CA]]</f>
        <v>0.31272727272727274</v>
      </c>
      <c r="T1804" t="str">
        <f>TEXT(Tableau1_2[[#This Row],[Date]],"mmmm")</f>
        <v>juin</v>
      </c>
    </row>
    <row r="1805" spans="1:20" x14ac:dyDescent="0.35">
      <c r="A1805" t="s">
        <v>2862</v>
      </c>
      <c r="B1805" s="2">
        <v>46197</v>
      </c>
      <c r="C1805" t="s">
        <v>2107</v>
      </c>
      <c r="D1805" t="s">
        <v>137</v>
      </c>
      <c r="E1805" t="s">
        <v>84</v>
      </c>
      <c r="F1805" t="s">
        <v>85</v>
      </c>
      <c r="G1805" t="s">
        <v>43</v>
      </c>
      <c r="H1805" t="s">
        <v>44</v>
      </c>
      <c r="I1805">
        <v>10</v>
      </c>
      <c r="J1805">
        <v>14200</v>
      </c>
      <c r="K1805">
        <v>9500</v>
      </c>
      <c r="L1805" t="s">
        <v>73</v>
      </c>
      <c r="M1805" t="s">
        <v>37</v>
      </c>
      <c r="N1805" t="s">
        <v>23</v>
      </c>
      <c r="O1805" t="s">
        <v>24</v>
      </c>
      <c r="P1805">
        <f>Tableau1_2[[#This Row],[Quantité]]*Tableau1_2[[#This Row],[Prix_Unitaire]]</f>
        <v>142000</v>
      </c>
      <c r="Q1805">
        <f>Tableau1_2[[#This Row],[Quantité]]*Tableau1_2[[#This Row],[Coût_Unitaire]]</f>
        <v>95000</v>
      </c>
      <c r="R1805">
        <f>Tableau1_2[[#This Row],[CA]]-Tableau1_2[[#This Row],[Cout Total]]</f>
        <v>47000</v>
      </c>
      <c r="S1805" s="4">
        <f>Tableau1_2[[#This Row],[Marge]]/Tableau1_2[[#This Row],[CA]]</f>
        <v>0.33098591549295775</v>
      </c>
      <c r="T1805" t="str">
        <f>TEXT(Tableau1_2[[#This Row],[Date]],"mmmm")</f>
        <v>juin</v>
      </c>
    </row>
    <row r="1806" spans="1:20" x14ac:dyDescent="0.35">
      <c r="A1806" t="s">
        <v>2863</v>
      </c>
      <c r="B1806" s="2">
        <v>46084</v>
      </c>
      <c r="C1806" t="s">
        <v>759</v>
      </c>
      <c r="D1806" t="s">
        <v>1311</v>
      </c>
      <c r="E1806" t="s">
        <v>41</v>
      </c>
      <c r="F1806" t="s">
        <v>42</v>
      </c>
      <c r="G1806" t="s">
        <v>34</v>
      </c>
      <c r="H1806" t="s">
        <v>158</v>
      </c>
      <c r="I1806">
        <v>9</v>
      </c>
      <c r="J1806">
        <v>95000</v>
      </c>
      <c r="K1806">
        <v>72100</v>
      </c>
      <c r="L1806" t="s">
        <v>21</v>
      </c>
      <c r="M1806" t="s">
        <v>51</v>
      </c>
      <c r="N1806" t="s">
        <v>52</v>
      </c>
      <c r="O1806" t="s">
        <v>24</v>
      </c>
      <c r="P1806">
        <f>Tableau1_2[[#This Row],[Quantité]]*Tableau1_2[[#This Row],[Prix_Unitaire]]</f>
        <v>855000</v>
      </c>
      <c r="Q1806">
        <f>Tableau1_2[[#This Row],[Quantité]]*Tableau1_2[[#This Row],[Coût_Unitaire]]</f>
        <v>648900</v>
      </c>
      <c r="R1806">
        <f>Tableau1_2[[#This Row],[CA]]-Tableau1_2[[#This Row],[Cout Total]]</f>
        <v>206100</v>
      </c>
      <c r="S1806" s="4">
        <f>Tableau1_2[[#This Row],[Marge]]/Tableau1_2[[#This Row],[CA]]</f>
        <v>0.24105263157894738</v>
      </c>
      <c r="T1806" t="str">
        <f>TEXT(Tableau1_2[[#This Row],[Date]],"mmmm")</f>
        <v>mars</v>
      </c>
    </row>
    <row r="1807" spans="1:20" x14ac:dyDescent="0.35">
      <c r="A1807" t="s">
        <v>2864</v>
      </c>
      <c r="B1807" s="2">
        <v>46166</v>
      </c>
      <c r="C1807" t="s">
        <v>2806</v>
      </c>
      <c r="D1807" t="s">
        <v>990</v>
      </c>
      <c r="E1807" t="s">
        <v>190</v>
      </c>
      <c r="F1807" t="s">
        <v>191</v>
      </c>
      <c r="G1807" t="s">
        <v>43</v>
      </c>
      <c r="H1807" t="s">
        <v>79</v>
      </c>
      <c r="I1807">
        <v>5</v>
      </c>
      <c r="J1807">
        <v>5700</v>
      </c>
      <c r="K1807">
        <v>4200</v>
      </c>
      <c r="L1807" t="s">
        <v>21</v>
      </c>
      <c r="M1807" t="s">
        <v>37</v>
      </c>
      <c r="N1807" t="s">
        <v>23</v>
      </c>
      <c r="O1807" t="s">
        <v>91</v>
      </c>
      <c r="P1807">
        <f>Tableau1_2[[#This Row],[Quantité]]*Tableau1_2[[#This Row],[Prix_Unitaire]]</f>
        <v>28500</v>
      </c>
      <c r="Q1807">
        <f>Tableau1_2[[#This Row],[Quantité]]*Tableau1_2[[#This Row],[Coût_Unitaire]]</f>
        <v>21000</v>
      </c>
      <c r="R1807">
        <f>Tableau1_2[[#This Row],[CA]]-Tableau1_2[[#This Row],[Cout Total]]</f>
        <v>7500</v>
      </c>
      <c r="S1807" s="4">
        <f>Tableau1_2[[#This Row],[Marge]]/Tableau1_2[[#This Row],[CA]]</f>
        <v>0.26315789473684209</v>
      </c>
      <c r="T1807" t="str">
        <f>TEXT(Tableau1_2[[#This Row],[Date]],"mmmm")</f>
        <v>mai</v>
      </c>
    </row>
    <row r="1808" spans="1:20" x14ac:dyDescent="0.35">
      <c r="A1808" t="s">
        <v>2865</v>
      </c>
      <c r="B1808" s="2">
        <v>46273</v>
      </c>
      <c r="C1808" t="s">
        <v>33</v>
      </c>
      <c r="D1808" t="s">
        <v>1228</v>
      </c>
      <c r="E1808" t="s">
        <v>18</v>
      </c>
      <c r="F1808" t="s">
        <v>18</v>
      </c>
      <c r="G1808" t="s">
        <v>43</v>
      </c>
      <c r="H1808" t="s">
        <v>49</v>
      </c>
      <c r="I1808">
        <v>4</v>
      </c>
      <c r="J1808">
        <v>9400</v>
      </c>
      <c r="K1808">
        <v>5600</v>
      </c>
      <c r="L1808" t="s">
        <v>96</v>
      </c>
      <c r="M1808" t="s">
        <v>37</v>
      </c>
      <c r="N1808" t="s">
        <v>87</v>
      </c>
      <c r="O1808" t="s">
        <v>24</v>
      </c>
      <c r="P1808">
        <f>Tableau1_2[[#This Row],[Quantité]]*Tableau1_2[[#This Row],[Prix_Unitaire]]</f>
        <v>37600</v>
      </c>
      <c r="Q1808">
        <f>Tableau1_2[[#This Row],[Quantité]]*Tableau1_2[[#This Row],[Coût_Unitaire]]</f>
        <v>22400</v>
      </c>
      <c r="R1808">
        <f>Tableau1_2[[#This Row],[CA]]-Tableau1_2[[#This Row],[Cout Total]]</f>
        <v>15200</v>
      </c>
      <c r="S1808" s="4">
        <f>Tableau1_2[[#This Row],[Marge]]/Tableau1_2[[#This Row],[CA]]</f>
        <v>0.40425531914893614</v>
      </c>
      <c r="T1808" t="str">
        <f>TEXT(Tableau1_2[[#This Row],[Date]],"mmmm")</f>
        <v>septembre</v>
      </c>
    </row>
    <row r="1809" spans="1:20" x14ac:dyDescent="0.35">
      <c r="A1809" t="s">
        <v>2866</v>
      </c>
      <c r="B1809" s="2">
        <v>46030</v>
      </c>
      <c r="C1809" t="s">
        <v>2489</v>
      </c>
      <c r="D1809" t="s">
        <v>476</v>
      </c>
      <c r="E1809" t="s">
        <v>70</v>
      </c>
      <c r="F1809" t="s">
        <v>71</v>
      </c>
      <c r="G1809" t="s">
        <v>43</v>
      </c>
      <c r="H1809" t="s">
        <v>177</v>
      </c>
      <c r="I1809">
        <v>3</v>
      </c>
      <c r="J1809">
        <v>18900</v>
      </c>
      <c r="K1809">
        <v>12100</v>
      </c>
      <c r="L1809" t="s">
        <v>80</v>
      </c>
      <c r="M1809" t="s">
        <v>51</v>
      </c>
      <c r="N1809" t="s">
        <v>23</v>
      </c>
      <c r="O1809" t="s">
        <v>24</v>
      </c>
      <c r="P1809">
        <f>Tableau1_2[[#This Row],[Quantité]]*Tableau1_2[[#This Row],[Prix_Unitaire]]</f>
        <v>56700</v>
      </c>
      <c r="Q1809">
        <f>Tableau1_2[[#This Row],[Quantité]]*Tableau1_2[[#This Row],[Coût_Unitaire]]</f>
        <v>36300</v>
      </c>
      <c r="R1809">
        <f>Tableau1_2[[#This Row],[CA]]-Tableau1_2[[#This Row],[Cout Total]]</f>
        <v>20400</v>
      </c>
      <c r="S1809" s="4">
        <f>Tableau1_2[[#This Row],[Marge]]/Tableau1_2[[#This Row],[CA]]</f>
        <v>0.35978835978835977</v>
      </c>
      <c r="T1809" t="str">
        <f>TEXT(Tableau1_2[[#This Row],[Date]],"mmmm")</f>
        <v>janvier</v>
      </c>
    </row>
    <row r="1810" spans="1:20" x14ac:dyDescent="0.35">
      <c r="A1810" t="s">
        <v>2867</v>
      </c>
      <c r="B1810" s="2">
        <v>46212</v>
      </c>
      <c r="C1810" t="s">
        <v>593</v>
      </c>
      <c r="D1810" t="s">
        <v>306</v>
      </c>
      <c r="E1810" t="s">
        <v>190</v>
      </c>
      <c r="F1810" t="s">
        <v>191</v>
      </c>
      <c r="G1810" t="s">
        <v>19</v>
      </c>
      <c r="H1810" t="s">
        <v>112</v>
      </c>
      <c r="I1810">
        <v>8</v>
      </c>
      <c r="J1810">
        <v>85000</v>
      </c>
      <c r="K1810">
        <v>63900</v>
      </c>
      <c r="L1810" t="s">
        <v>36</v>
      </c>
      <c r="M1810" t="s">
        <v>22</v>
      </c>
      <c r="N1810" t="s">
        <v>52</v>
      </c>
      <c r="O1810" t="s">
        <v>24</v>
      </c>
      <c r="P1810">
        <f>Tableau1_2[[#This Row],[Quantité]]*Tableau1_2[[#This Row],[Prix_Unitaire]]</f>
        <v>680000</v>
      </c>
      <c r="Q1810">
        <f>Tableau1_2[[#This Row],[Quantité]]*Tableau1_2[[#This Row],[Coût_Unitaire]]</f>
        <v>511200</v>
      </c>
      <c r="R1810">
        <f>Tableau1_2[[#This Row],[CA]]-Tableau1_2[[#This Row],[Cout Total]]</f>
        <v>168800</v>
      </c>
      <c r="S1810" s="4">
        <f>Tableau1_2[[#This Row],[Marge]]/Tableau1_2[[#This Row],[CA]]</f>
        <v>0.24823529411764705</v>
      </c>
      <c r="T1810" t="str">
        <f>TEXT(Tableau1_2[[#This Row],[Date]],"mmmm")</f>
        <v>juillet</v>
      </c>
    </row>
    <row r="1811" spans="1:20" x14ac:dyDescent="0.35">
      <c r="A1811" t="s">
        <v>2868</v>
      </c>
      <c r="B1811" s="2">
        <v>46099</v>
      </c>
      <c r="C1811" t="s">
        <v>1064</v>
      </c>
      <c r="D1811" t="s">
        <v>524</v>
      </c>
      <c r="E1811" t="s">
        <v>56</v>
      </c>
      <c r="F1811" t="s">
        <v>57</v>
      </c>
      <c r="G1811" t="s">
        <v>34</v>
      </c>
      <c r="H1811" t="s">
        <v>95</v>
      </c>
      <c r="I1811">
        <v>1</v>
      </c>
      <c r="J1811">
        <v>472500</v>
      </c>
      <c r="K1811">
        <v>381100</v>
      </c>
      <c r="L1811" t="s">
        <v>50</v>
      </c>
      <c r="M1811" t="s">
        <v>37</v>
      </c>
      <c r="N1811" t="s">
        <v>52</v>
      </c>
      <c r="O1811" t="s">
        <v>45</v>
      </c>
      <c r="P1811">
        <f>Tableau1_2[[#This Row],[Quantité]]*Tableau1_2[[#This Row],[Prix_Unitaire]]</f>
        <v>472500</v>
      </c>
      <c r="Q1811">
        <f>Tableau1_2[[#This Row],[Quantité]]*Tableau1_2[[#This Row],[Coût_Unitaire]]</f>
        <v>381100</v>
      </c>
      <c r="R1811">
        <f>Tableau1_2[[#This Row],[CA]]-Tableau1_2[[#This Row],[Cout Total]]</f>
        <v>91400</v>
      </c>
      <c r="S1811" s="4">
        <f>Tableau1_2[[#This Row],[Marge]]/Tableau1_2[[#This Row],[CA]]</f>
        <v>0.19343915343915344</v>
      </c>
      <c r="T1811" t="str">
        <f>TEXT(Tableau1_2[[#This Row],[Date]],"mmmm")</f>
        <v>mars</v>
      </c>
    </row>
    <row r="1812" spans="1:20" x14ac:dyDescent="0.35">
      <c r="A1812" t="s">
        <v>2869</v>
      </c>
      <c r="B1812" s="2">
        <v>46230</v>
      </c>
      <c r="C1812" t="s">
        <v>858</v>
      </c>
      <c r="D1812" t="s">
        <v>17</v>
      </c>
      <c r="E1812" t="s">
        <v>18</v>
      </c>
      <c r="F1812" t="s">
        <v>18</v>
      </c>
      <c r="G1812" t="s">
        <v>19</v>
      </c>
      <c r="H1812" t="s">
        <v>20</v>
      </c>
      <c r="I1812">
        <v>3</v>
      </c>
      <c r="J1812">
        <v>65000</v>
      </c>
      <c r="K1812">
        <v>45000</v>
      </c>
      <c r="L1812" t="s">
        <v>36</v>
      </c>
      <c r="M1812" t="s">
        <v>37</v>
      </c>
      <c r="N1812" t="s">
        <v>23</v>
      </c>
      <c r="O1812" t="s">
        <v>24</v>
      </c>
      <c r="P1812">
        <f>Tableau1_2[[#This Row],[Quantité]]*Tableau1_2[[#This Row],[Prix_Unitaire]]</f>
        <v>195000</v>
      </c>
      <c r="Q1812">
        <f>Tableau1_2[[#This Row],[Quantité]]*Tableau1_2[[#This Row],[Coût_Unitaire]]</f>
        <v>135000</v>
      </c>
      <c r="R1812">
        <f>Tableau1_2[[#This Row],[CA]]-Tableau1_2[[#This Row],[Cout Total]]</f>
        <v>60000</v>
      </c>
      <c r="S1812" s="4">
        <f>Tableau1_2[[#This Row],[Marge]]/Tableau1_2[[#This Row],[CA]]</f>
        <v>0.30769230769230771</v>
      </c>
      <c r="T1812" t="str">
        <f>TEXT(Tableau1_2[[#This Row],[Date]],"mmmm")</f>
        <v>juillet</v>
      </c>
    </row>
    <row r="1813" spans="1:20" x14ac:dyDescent="0.35">
      <c r="A1813" t="s">
        <v>2870</v>
      </c>
      <c r="B1813" s="2">
        <v>46375</v>
      </c>
      <c r="C1813" t="s">
        <v>39</v>
      </c>
      <c r="D1813" t="s">
        <v>1136</v>
      </c>
      <c r="E1813" t="s">
        <v>18</v>
      </c>
      <c r="F1813" t="s">
        <v>18</v>
      </c>
      <c r="G1813" t="s">
        <v>19</v>
      </c>
      <c r="H1813" t="s">
        <v>61</v>
      </c>
      <c r="I1813">
        <v>4</v>
      </c>
      <c r="J1813">
        <v>220000</v>
      </c>
      <c r="K1813">
        <v>155200</v>
      </c>
      <c r="L1813" t="s">
        <v>30</v>
      </c>
      <c r="M1813" t="s">
        <v>31</v>
      </c>
      <c r="N1813" t="s">
        <v>52</v>
      </c>
      <c r="O1813" t="s">
        <v>24</v>
      </c>
      <c r="P1813">
        <f>Tableau1_2[[#This Row],[Quantité]]*Tableau1_2[[#This Row],[Prix_Unitaire]]</f>
        <v>880000</v>
      </c>
      <c r="Q1813">
        <f>Tableau1_2[[#This Row],[Quantité]]*Tableau1_2[[#This Row],[Coût_Unitaire]]</f>
        <v>620800</v>
      </c>
      <c r="R1813">
        <f>Tableau1_2[[#This Row],[CA]]-Tableau1_2[[#This Row],[Cout Total]]</f>
        <v>259200</v>
      </c>
      <c r="S1813" s="4">
        <f>Tableau1_2[[#This Row],[Marge]]/Tableau1_2[[#This Row],[CA]]</f>
        <v>0.29454545454545455</v>
      </c>
      <c r="T1813" t="str">
        <f>TEXT(Tableau1_2[[#This Row],[Date]],"mmmm")</f>
        <v>décembre</v>
      </c>
    </row>
    <row r="1814" spans="1:20" x14ac:dyDescent="0.35">
      <c r="A1814" t="s">
        <v>2871</v>
      </c>
      <c r="B1814" s="2">
        <v>46297</v>
      </c>
      <c r="C1814" t="s">
        <v>1156</v>
      </c>
      <c r="D1814" t="s">
        <v>854</v>
      </c>
      <c r="E1814" t="s">
        <v>18</v>
      </c>
      <c r="F1814" t="s">
        <v>18</v>
      </c>
      <c r="G1814" t="s">
        <v>43</v>
      </c>
      <c r="H1814" t="s">
        <v>44</v>
      </c>
      <c r="I1814">
        <v>1</v>
      </c>
      <c r="J1814">
        <v>15000</v>
      </c>
      <c r="K1814">
        <v>9200</v>
      </c>
      <c r="L1814" t="s">
        <v>80</v>
      </c>
      <c r="M1814" t="s">
        <v>31</v>
      </c>
      <c r="N1814" t="s">
        <v>52</v>
      </c>
      <c r="O1814" t="s">
        <v>24</v>
      </c>
      <c r="P1814">
        <f>Tableau1_2[[#This Row],[Quantité]]*Tableau1_2[[#This Row],[Prix_Unitaire]]</f>
        <v>15000</v>
      </c>
      <c r="Q1814">
        <f>Tableau1_2[[#This Row],[Quantité]]*Tableau1_2[[#This Row],[Coût_Unitaire]]</f>
        <v>9200</v>
      </c>
      <c r="R1814">
        <f>Tableau1_2[[#This Row],[CA]]-Tableau1_2[[#This Row],[Cout Total]]</f>
        <v>5800</v>
      </c>
      <c r="S1814" s="4">
        <f>Tableau1_2[[#This Row],[Marge]]/Tableau1_2[[#This Row],[CA]]</f>
        <v>0.38666666666666666</v>
      </c>
      <c r="T1814" t="str">
        <f>TEXT(Tableau1_2[[#This Row],[Date]],"mmmm")</f>
        <v>octobre</v>
      </c>
    </row>
    <row r="1815" spans="1:20" x14ac:dyDescent="0.35">
      <c r="A1815" t="s">
        <v>2872</v>
      </c>
      <c r="B1815" s="2">
        <v>46228</v>
      </c>
      <c r="C1815" t="s">
        <v>63</v>
      </c>
      <c r="D1815" t="s">
        <v>1836</v>
      </c>
      <c r="E1815" t="s">
        <v>156</v>
      </c>
      <c r="F1815" t="s">
        <v>157</v>
      </c>
      <c r="G1815" t="s">
        <v>34</v>
      </c>
      <c r="H1815" t="s">
        <v>35</v>
      </c>
      <c r="I1815">
        <v>3</v>
      </c>
      <c r="J1815">
        <v>55000</v>
      </c>
      <c r="K1815">
        <v>37800</v>
      </c>
      <c r="L1815" t="s">
        <v>21</v>
      </c>
      <c r="M1815" t="s">
        <v>31</v>
      </c>
      <c r="N1815" t="s">
        <v>23</v>
      </c>
      <c r="O1815" t="s">
        <v>24</v>
      </c>
      <c r="P1815">
        <f>Tableau1_2[[#This Row],[Quantité]]*Tableau1_2[[#This Row],[Prix_Unitaire]]</f>
        <v>165000</v>
      </c>
      <c r="Q1815">
        <f>Tableau1_2[[#This Row],[Quantité]]*Tableau1_2[[#This Row],[Coût_Unitaire]]</f>
        <v>113400</v>
      </c>
      <c r="R1815">
        <f>Tableau1_2[[#This Row],[CA]]-Tableau1_2[[#This Row],[Cout Total]]</f>
        <v>51600</v>
      </c>
      <c r="S1815" s="4">
        <f>Tableau1_2[[#This Row],[Marge]]/Tableau1_2[[#This Row],[CA]]</f>
        <v>0.31272727272727274</v>
      </c>
      <c r="T1815" t="str">
        <f>TEXT(Tableau1_2[[#This Row],[Date]],"mmmm")</f>
        <v>juillet</v>
      </c>
    </row>
    <row r="1816" spans="1:20" x14ac:dyDescent="0.35">
      <c r="A1816" t="s">
        <v>2873</v>
      </c>
      <c r="B1816" s="2">
        <v>46211</v>
      </c>
      <c r="C1816" t="s">
        <v>1007</v>
      </c>
      <c r="D1816" t="s">
        <v>422</v>
      </c>
      <c r="E1816" t="s">
        <v>41</v>
      </c>
      <c r="F1816" t="s">
        <v>42</v>
      </c>
      <c r="G1816" t="s">
        <v>19</v>
      </c>
      <c r="H1816" t="s">
        <v>20</v>
      </c>
      <c r="I1816">
        <v>3</v>
      </c>
      <c r="J1816">
        <v>65000</v>
      </c>
      <c r="K1816">
        <v>43600</v>
      </c>
      <c r="L1816" t="s">
        <v>73</v>
      </c>
      <c r="M1816" t="s">
        <v>31</v>
      </c>
      <c r="N1816" t="s">
        <v>52</v>
      </c>
      <c r="O1816" t="s">
        <v>24</v>
      </c>
      <c r="P1816">
        <f>Tableau1_2[[#This Row],[Quantité]]*Tableau1_2[[#This Row],[Prix_Unitaire]]</f>
        <v>195000</v>
      </c>
      <c r="Q1816">
        <f>Tableau1_2[[#This Row],[Quantité]]*Tableau1_2[[#This Row],[Coût_Unitaire]]</f>
        <v>130800</v>
      </c>
      <c r="R1816">
        <f>Tableau1_2[[#This Row],[CA]]-Tableau1_2[[#This Row],[Cout Total]]</f>
        <v>64200</v>
      </c>
      <c r="S1816" s="4">
        <f>Tableau1_2[[#This Row],[Marge]]/Tableau1_2[[#This Row],[CA]]</f>
        <v>0.32923076923076922</v>
      </c>
      <c r="T1816" t="str">
        <f>TEXT(Tableau1_2[[#This Row],[Date]],"mmmm")</f>
        <v>juillet</v>
      </c>
    </row>
    <row r="1817" spans="1:20" x14ac:dyDescent="0.35">
      <c r="A1817" t="s">
        <v>2874</v>
      </c>
      <c r="B1817" s="2">
        <v>46089</v>
      </c>
      <c r="C1817" t="s">
        <v>446</v>
      </c>
      <c r="D1817" t="s">
        <v>69</v>
      </c>
      <c r="E1817" t="s">
        <v>18</v>
      </c>
      <c r="F1817" t="s">
        <v>18</v>
      </c>
      <c r="G1817" t="s">
        <v>19</v>
      </c>
      <c r="H1817" t="s">
        <v>112</v>
      </c>
      <c r="I1817">
        <v>5</v>
      </c>
      <c r="J1817">
        <v>80800</v>
      </c>
      <c r="K1817">
        <v>62000</v>
      </c>
      <c r="L1817" t="s">
        <v>96</v>
      </c>
      <c r="M1817" t="s">
        <v>37</v>
      </c>
      <c r="N1817" t="s">
        <v>23</v>
      </c>
      <c r="O1817" t="s">
        <v>24</v>
      </c>
      <c r="P1817">
        <f>Tableau1_2[[#This Row],[Quantité]]*Tableau1_2[[#This Row],[Prix_Unitaire]]</f>
        <v>404000</v>
      </c>
      <c r="Q1817">
        <f>Tableau1_2[[#This Row],[Quantité]]*Tableau1_2[[#This Row],[Coût_Unitaire]]</f>
        <v>310000</v>
      </c>
      <c r="R1817">
        <f>Tableau1_2[[#This Row],[CA]]-Tableau1_2[[#This Row],[Cout Total]]</f>
        <v>94000</v>
      </c>
      <c r="S1817" s="4">
        <f>Tableau1_2[[#This Row],[Marge]]/Tableau1_2[[#This Row],[CA]]</f>
        <v>0.23267326732673269</v>
      </c>
      <c r="T1817" t="str">
        <f>TEXT(Tableau1_2[[#This Row],[Date]],"mmmm")</f>
        <v>mars</v>
      </c>
    </row>
    <row r="1818" spans="1:20" x14ac:dyDescent="0.35">
      <c r="A1818" t="s">
        <v>2875</v>
      </c>
      <c r="B1818" s="2">
        <v>46126</v>
      </c>
      <c r="C1818" t="s">
        <v>212</v>
      </c>
      <c r="D1818" t="s">
        <v>1202</v>
      </c>
      <c r="E1818" t="s">
        <v>156</v>
      </c>
      <c r="F1818" t="s">
        <v>170</v>
      </c>
      <c r="G1818" t="s">
        <v>34</v>
      </c>
      <c r="H1818" t="s">
        <v>141</v>
      </c>
      <c r="I1818">
        <v>3</v>
      </c>
      <c r="J1818">
        <v>168000</v>
      </c>
      <c r="K1818">
        <v>116400</v>
      </c>
      <c r="L1818" t="s">
        <v>36</v>
      </c>
      <c r="M1818" t="s">
        <v>31</v>
      </c>
      <c r="N1818" t="s">
        <v>23</v>
      </c>
      <c r="O1818" t="s">
        <v>24</v>
      </c>
      <c r="P1818">
        <f>Tableau1_2[[#This Row],[Quantité]]*Tableau1_2[[#This Row],[Prix_Unitaire]]</f>
        <v>504000</v>
      </c>
      <c r="Q1818">
        <f>Tableau1_2[[#This Row],[Quantité]]*Tableau1_2[[#This Row],[Coût_Unitaire]]</f>
        <v>349200</v>
      </c>
      <c r="R1818">
        <f>Tableau1_2[[#This Row],[CA]]-Tableau1_2[[#This Row],[Cout Total]]</f>
        <v>154800</v>
      </c>
      <c r="S1818" s="4">
        <f>Tableau1_2[[#This Row],[Marge]]/Tableau1_2[[#This Row],[CA]]</f>
        <v>0.30714285714285716</v>
      </c>
      <c r="T1818" t="str">
        <f>TEXT(Tableau1_2[[#This Row],[Date]],"mmmm")</f>
        <v>avril</v>
      </c>
    </row>
    <row r="1819" spans="1:20" x14ac:dyDescent="0.35">
      <c r="A1819" t="s">
        <v>2876</v>
      </c>
      <c r="B1819" s="2">
        <v>46305</v>
      </c>
      <c r="C1819" t="s">
        <v>825</v>
      </c>
      <c r="D1819" t="s">
        <v>501</v>
      </c>
      <c r="E1819" t="s">
        <v>18</v>
      </c>
      <c r="F1819" t="s">
        <v>18</v>
      </c>
      <c r="G1819" t="s">
        <v>43</v>
      </c>
      <c r="H1819" t="s">
        <v>44</v>
      </c>
      <c r="I1819">
        <v>4</v>
      </c>
      <c r="J1819">
        <v>15000</v>
      </c>
      <c r="K1819">
        <v>9200</v>
      </c>
      <c r="L1819" t="s">
        <v>21</v>
      </c>
      <c r="M1819" t="s">
        <v>22</v>
      </c>
      <c r="N1819" t="s">
        <v>23</v>
      </c>
      <c r="O1819" t="s">
        <v>24</v>
      </c>
      <c r="P1819">
        <f>Tableau1_2[[#This Row],[Quantité]]*Tableau1_2[[#This Row],[Prix_Unitaire]]</f>
        <v>60000</v>
      </c>
      <c r="Q1819">
        <f>Tableau1_2[[#This Row],[Quantité]]*Tableau1_2[[#This Row],[Coût_Unitaire]]</f>
        <v>36800</v>
      </c>
      <c r="R1819">
        <f>Tableau1_2[[#This Row],[CA]]-Tableau1_2[[#This Row],[Cout Total]]</f>
        <v>23200</v>
      </c>
      <c r="S1819" s="4">
        <f>Tableau1_2[[#This Row],[Marge]]/Tableau1_2[[#This Row],[CA]]</f>
        <v>0.38666666666666666</v>
      </c>
      <c r="T1819" t="str">
        <f>TEXT(Tableau1_2[[#This Row],[Date]],"mmmm")</f>
        <v>octobre</v>
      </c>
    </row>
    <row r="1820" spans="1:20" x14ac:dyDescent="0.35">
      <c r="A1820" t="s">
        <v>2877</v>
      </c>
      <c r="B1820" s="2">
        <v>46154</v>
      </c>
      <c r="C1820" t="s">
        <v>205</v>
      </c>
      <c r="D1820" t="s">
        <v>1000</v>
      </c>
      <c r="E1820" t="s">
        <v>77</v>
      </c>
      <c r="F1820" t="s">
        <v>78</v>
      </c>
      <c r="G1820" t="s">
        <v>34</v>
      </c>
      <c r="H1820" t="s">
        <v>158</v>
      </c>
      <c r="I1820">
        <v>4</v>
      </c>
      <c r="J1820">
        <v>90200</v>
      </c>
      <c r="K1820">
        <v>72100</v>
      </c>
      <c r="L1820" t="s">
        <v>36</v>
      </c>
      <c r="M1820" t="s">
        <v>31</v>
      </c>
      <c r="N1820" t="s">
        <v>23</v>
      </c>
      <c r="O1820" t="s">
        <v>24</v>
      </c>
      <c r="P1820">
        <f>Tableau1_2[[#This Row],[Quantité]]*Tableau1_2[[#This Row],[Prix_Unitaire]]</f>
        <v>360800</v>
      </c>
      <c r="Q1820">
        <f>Tableau1_2[[#This Row],[Quantité]]*Tableau1_2[[#This Row],[Coût_Unitaire]]</f>
        <v>288400</v>
      </c>
      <c r="R1820">
        <f>Tableau1_2[[#This Row],[CA]]-Tableau1_2[[#This Row],[Cout Total]]</f>
        <v>72400</v>
      </c>
      <c r="S1820" s="4">
        <f>Tableau1_2[[#This Row],[Marge]]/Tableau1_2[[#This Row],[CA]]</f>
        <v>0.20066518847006651</v>
      </c>
      <c r="T1820" t="str">
        <f>TEXT(Tableau1_2[[#This Row],[Date]],"mmmm")</f>
        <v>mai</v>
      </c>
    </row>
    <row r="1821" spans="1:20" x14ac:dyDescent="0.35">
      <c r="A1821" t="s">
        <v>2878</v>
      </c>
      <c r="B1821" s="2">
        <v>46255</v>
      </c>
      <c r="C1821" t="s">
        <v>638</v>
      </c>
      <c r="D1821" t="s">
        <v>2213</v>
      </c>
      <c r="E1821" t="s">
        <v>156</v>
      </c>
      <c r="F1821" t="s">
        <v>157</v>
      </c>
      <c r="G1821" t="s">
        <v>34</v>
      </c>
      <c r="H1821" t="s">
        <v>158</v>
      </c>
      <c r="I1821">
        <v>6</v>
      </c>
      <c r="J1821">
        <v>95000</v>
      </c>
      <c r="K1821">
        <v>67900</v>
      </c>
      <c r="L1821" t="s">
        <v>21</v>
      </c>
      <c r="M1821" t="s">
        <v>37</v>
      </c>
      <c r="N1821" t="s">
        <v>87</v>
      </c>
      <c r="O1821" t="s">
        <v>45</v>
      </c>
      <c r="P1821">
        <f>Tableau1_2[[#This Row],[Quantité]]*Tableau1_2[[#This Row],[Prix_Unitaire]]</f>
        <v>570000</v>
      </c>
      <c r="Q1821">
        <f>Tableau1_2[[#This Row],[Quantité]]*Tableau1_2[[#This Row],[Coût_Unitaire]]</f>
        <v>407400</v>
      </c>
      <c r="R1821">
        <f>Tableau1_2[[#This Row],[CA]]-Tableau1_2[[#This Row],[Cout Total]]</f>
        <v>162600</v>
      </c>
      <c r="S1821" s="4">
        <f>Tableau1_2[[#This Row],[Marge]]/Tableau1_2[[#This Row],[CA]]</f>
        <v>0.28526315789473683</v>
      </c>
      <c r="T1821" t="str">
        <f>TEXT(Tableau1_2[[#This Row],[Date]],"mmmm")</f>
        <v>août</v>
      </c>
    </row>
    <row r="1822" spans="1:20" x14ac:dyDescent="0.35">
      <c r="A1822" t="s">
        <v>2879</v>
      </c>
      <c r="B1822" s="2">
        <v>46191</v>
      </c>
      <c r="C1822" t="s">
        <v>612</v>
      </c>
      <c r="D1822" t="s">
        <v>1954</v>
      </c>
      <c r="E1822" t="s">
        <v>18</v>
      </c>
      <c r="F1822" t="s">
        <v>18</v>
      </c>
      <c r="G1822" t="s">
        <v>43</v>
      </c>
      <c r="H1822" t="s">
        <v>49</v>
      </c>
      <c r="I1822">
        <v>6</v>
      </c>
      <c r="J1822">
        <v>9000</v>
      </c>
      <c r="K1822">
        <v>5800</v>
      </c>
      <c r="L1822" t="s">
        <v>36</v>
      </c>
      <c r="M1822" t="s">
        <v>37</v>
      </c>
      <c r="N1822" t="s">
        <v>87</v>
      </c>
      <c r="O1822" t="s">
        <v>24</v>
      </c>
      <c r="P1822">
        <f>Tableau1_2[[#This Row],[Quantité]]*Tableau1_2[[#This Row],[Prix_Unitaire]]</f>
        <v>54000</v>
      </c>
      <c r="Q1822">
        <f>Tableau1_2[[#This Row],[Quantité]]*Tableau1_2[[#This Row],[Coût_Unitaire]]</f>
        <v>34800</v>
      </c>
      <c r="R1822">
        <f>Tableau1_2[[#This Row],[CA]]-Tableau1_2[[#This Row],[Cout Total]]</f>
        <v>19200</v>
      </c>
      <c r="S1822" s="4">
        <f>Tableau1_2[[#This Row],[Marge]]/Tableau1_2[[#This Row],[CA]]</f>
        <v>0.35555555555555557</v>
      </c>
      <c r="T1822" t="str">
        <f>TEXT(Tableau1_2[[#This Row],[Date]],"mmmm")</f>
        <v>juin</v>
      </c>
    </row>
    <row r="1823" spans="1:20" x14ac:dyDescent="0.35">
      <c r="A1823" t="s">
        <v>2880</v>
      </c>
      <c r="B1823" s="2">
        <v>46285</v>
      </c>
      <c r="C1823" t="s">
        <v>1701</v>
      </c>
      <c r="D1823" t="s">
        <v>1689</v>
      </c>
      <c r="E1823" t="s">
        <v>18</v>
      </c>
      <c r="F1823" t="s">
        <v>18</v>
      </c>
      <c r="G1823" t="s">
        <v>34</v>
      </c>
      <c r="H1823" t="s">
        <v>141</v>
      </c>
      <c r="I1823">
        <v>1</v>
      </c>
      <c r="J1823">
        <v>152000</v>
      </c>
      <c r="K1823">
        <v>123600</v>
      </c>
      <c r="L1823" t="s">
        <v>80</v>
      </c>
      <c r="M1823" t="s">
        <v>37</v>
      </c>
      <c r="N1823" t="s">
        <v>23</v>
      </c>
      <c r="O1823" t="s">
        <v>45</v>
      </c>
      <c r="P1823">
        <f>Tableau1_2[[#This Row],[Quantité]]*Tableau1_2[[#This Row],[Prix_Unitaire]]</f>
        <v>152000</v>
      </c>
      <c r="Q1823">
        <f>Tableau1_2[[#This Row],[Quantité]]*Tableau1_2[[#This Row],[Coût_Unitaire]]</f>
        <v>123600</v>
      </c>
      <c r="R1823">
        <f>Tableau1_2[[#This Row],[CA]]-Tableau1_2[[#This Row],[Cout Total]]</f>
        <v>28400</v>
      </c>
      <c r="S1823" s="4">
        <f>Tableau1_2[[#This Row],[Marge]]/Tableau1_2[[#This Row],[CA]]</f>
        <v>0.18684210526315789</v>
      </c>
      <c r="T1823" t="str">
        <f>TEXT(Tableau1_2[[#This Row],[Date]],"mmmm")</f>
        <v>septembre</v>
      </c>
    </row>
    <row r="1824" spans="1:20" x14ac:dyDescent="0.35">
      <c r="A1824" t="s">
        <v>2881</v>
      </c>
      <c r="B1824" s="2">
        <v>46300</v>
      </c>
      <c r="C1824" t="s">
        <v>148</v>
      </c>
      <c r="D1824" t="s">
        <v>2517</v>
      </c>
      <c r="E1824" t="s">
        <v>41</v>
      </c>
      <c r="F1824" t="s">
        <v>42</v>
      </c>
      <c r="G1824" t="s">
        <v>34</v>
      </c>
      <c r="H1824" t="s">
        <v>95</v>
      </c>
      <c r="I1824">
        <v>6</v>
      </c>
      <c r="J1824">
        <v>450000</v>
      </c>
      <c r="K1824">
        <v>358900</v>
      </c>
      <c r="L1824" t="s">
        <v>80</v>
      </c>
      <c r="M1824" t="s">
        <v>31</v>
      </c>
      <c r="N1824" t="s">
        <v>52</v>
      </c>
      <c r="O1824" t="s">
        <v>24</v>
      </c>
      <c r="P1824">
        <f>Tableau1_2[[#This Row],[Quantité]]*Tableau1_2[[#This Row],[Prix_Unitaire]]</f>
        <v>2700000</v>
      </c>
      <c r="Q1824">
        <f>Tableau1_2[[#This Row],[Quantité]]*Tableau1_2[[#This Row],[Coût_Unitaire]]</f>
        <v>2153400</v>
      </c>
      <c r="R1824">
        <f>Tableau1_2[[#This Row],[CA]]-Tableau1_2[[#This Row],[Cout Total]]</f>
        <v>546600</v>
      </c>
      <c r="S1824" s="4">
        <f>Tableau1_2[[#This Row],[Marge]]/Tableau1_2[[#This Row],[CA]]</f>
        <v>0.20244444444444445</v>
      </c>
      <c r="T1824" t="str">
        <f>TEXT(Tableau1_2[[#This Row],[Date]],"mmmm")</f>
        <v>octobre</v>
      </c>
    </row>
    <row r="1825" spans="1:20" x14ac:dyDescent="0.35">
      <c r="A1825" t="s">
        <v>2882</v>
      </c>
      <c r="B1825" s="2">
        <v>46124</v>
      </c>
      <c r="C1825" t="s">
        <v>1340</v>
      </c>
      <c r="D1825" t="s">
        <v>2682</v>
      </c>
      <c r="E1825" t="s">
        <v>18</v>
      </c>
      <c r="F1825" t="s">
        <v>18</v>
      </c>
      <c r="G1825" t="s">
        <v>28</v>
      </c>
      <c r="H1825" t="s">
        <v>65</v>
      </c>
      <c r="I1825">
        <v>1</v>
      </c>
      <c r="J1825">
        <v>12000</v>
      </c>
      <c r="K1825">
        <v>7500</v>
      </c>
      <c r="L1825" t="s">
        <v>96</v>
      </c>
      <c r="M1825" t="s">
        <v>37</v>
      </c>
      <c r="N1825" t="s">
        <v>52</v>
      </c>
      <c r="O1825" t="s">
        <v>24</v>
      </c>
      <c r="P1825">
        <f>Tableau1_2[[#This Row],[Quantité]]*Tableau1_2[[#This Row],[Prix_Unitaire]]</f>
        <v>12000</v>
      </c>
      <c r="Q1825">
        <f>Tableau1_2[[#This Row],[Quantité]]*Tableau1_2[[#This Row],[Coût_Unitaire]]</f>
        <v>7500</v>
      </c>
      <c r="R1825">
        <f>Tableau1_2[[#This Row],[CA]]-Tableau1_2[[#This Row],[Cout Total]]</f>
        <v>4500</v>
      </c>
      <c r="S1825" s="4">
        <f>Tableau1_2[[#This Row],[Marge]]/Tableau1_2[[#This Row],[CA]]</f>
        <v>0.375</v>
      </c>
      <c r="T1825" t="str">
        <f>TEXT(Tableau1_2[[#This Row],[Date]],"mmmm")</f>
        <v>avril</v>
      </c>
    </row>
    <row r="1826" spans="1:20" x14ac:dyDescent="0.35">
      <c r="A1826" t="s">
        <v>2883</v>
      </c>
      <c r="B1826" s="2">
        <v>46344</v>
      </c>
      <c r="C1826" t="s">
        <v>664</v>
      </c>
      <c r="D1826" t="s">
        <v>1258</v>
      </c>
      <c r="E1826" t="s">
        <v>41</v>
      </c>
      <c r="F1826" t="s">
        <v>42</v>
      </c>
      <c r="G1826" t="s">
        <v>19</v>
      </c>
      <c r="H1826" t="s">
        <v>20</v>
      </c>
      <c r="I1826">
        <v>10</v>
      </c>
      <c r="J1826">
        <v>61800</v>
      </c>
      <c r="K1826">
        <v>43600</v>
      </c>
      <c r="L1826" t="s">
        <v>30</v>
      </c>
      <c r="M1826" t="s">
        <v>22</v>
      </c>
      <c r="N1826" t="s">
        <v>52</v>
      </c>
      <c r="O1826" t="s">
        <v>91</v>
      </c>
      <c r="P1826">
        <f>Tableau1_2[[#This Row],[Quantité]]*Tableau1_2[[#This Row],[Prix_Unitaire]]</f>
        <v>618000</v>
      </c>
      <c r="Q1826">
        <f>Tableau1_2[[#This Row],[Quantité]]*Tableau1_2[[#This Row],[Coût_Unitaire]]</f>
        <v>436000</v>
      </c>
      <c r="R1826">
        <f>Tableau1_2[[#This Row],[CA]]-Tableau1_2[[#This Row],[Cout Total]]</f>
        <v>182000</v>
      </c>
      <c r="S1826" s="4">
        <f>Tableau1_2[[#This Row],[Marge]]/Tableau1_2[[#This Row],[CA]]</f>
        <v>0.29449838187702265</v>
      </c>
      <c r="T1826" t="str">
        <f>TEXT(Tableau1_2[[#This Row],[Date]],"mmmm")</f>
        <v>novembre</v>
      </c>
    </row>
    <row r="1827" spans="1:20" x14ac:dyDescent="0.35">
      <c r="A1827" t="s">
        <v>2884</v>
      </c>
      <c r="B1827" s="2">
        <v>46259</v>
      </c>
      <c r="C1827" t="s">
        <v>205</v>
      </c>
      <c r="D1827" t="s">
        <v>276</v>
      </c>
      <c r="E1827" t="s">
        <v>18</v>
      </c>
      <c r="F1827" t="s">
        <v>18</v>
      </c>
      <c r="G1827" t="s">
        <v>43</v>
      </c>
      <c r="H1827" t="s">
        <v>162</v>
      </c>
      <c r="I1827">
        <v>1</v>
      </c>
      <c r="J1827">
        <v>7600</v>
      </c>
      <c r="K1827">
        <v>5200</v>
      </c>
      <c r="L1827" t="s">
        <v>80</v>
      </c>
      <c r="M1827" t="s">
        <v>37</v>
      </c>
      <c r="N1827" t="s">
        <v>23</v>
      </c>
      <c r="O1827" t="s">
        <v>91</v>
      </c>
      <c r="P1827">
        <f>Tableau1_2[[#This Row],[Quantité]]*Tableau1_2[[#This Row],[Prix_Unitaire]]</f>
        <v>7600</v>
      </c>
      <c r="Q1827">
        <f>Tableau1_2[[#This Row],[Quantité]]*Tableau1_2[[#This Row],[Coût_Unitaire]]</f>
        <v>5200</v>
      </c>
      <c r="R1827">
        <f>Tableau1_2[[#This Row],[CA]]-Tableau1_2[[#This Row],[Cout Total]]</f>
        <v>2400</v>
      </c>
      <c r="S1827" s="4">
        <f>Tableau1_2[[#This Row],[Marge]]/Tableau1_2[[#This Row],[CA]]</f>
        <v>0.31578947368421051</v>
      </c>
      <c r="T1827" t="str">
        <f>TEXT(Tableau1_2[[#This Row],[Date]],"mmmm")</f>
        <v>août</v>
      </c>
    </row>
    <row r="1828" spans="1:20" x14ac:dyDescent="0.35">
      <c r="A1828" t="s">
        <v>2885</v>
      </c>
      <c r="B1828" s="2">
        <v>46180</v>
      </c>
      <c r="C1828" t="s">
        <v>1673</v>
      </c>
      <c r="D1828" t="s">
        <v>76</v>
      </c>
      <c r="E1828" t="s">
        <v>190</v>
      </c>
      <c r="F1828" t="s">
        <v>191</v>
      </c>
      <c r="G1828" t="s">
        <v>19</v>
      </c>
      <c r="H1828" t="s">
        <v>112</v>
      </c>
      <c r="I1828">
        <v>6</v>
      </c>
      <c r="J1828">
        <v>89200</v>
      </c>
      <c r="K1828">
        <v>62000</v>
      </c>
      <c r="L1828" t="s">
        <v>36</v>
      </c>
      <c r="M1828" t="s">
        <v>37</v>
      </c>
      <c r="N1828" t="s">
        <v>87</v>
      </c>
      <c r="O1828" t="s">
        <v>24</v>
      </c>
      <c r="P1828">
        <f>Tableau1_2[[#This Row],[Quantité]]*Tableau1_2[[#This Row],[Prix_Unitaire]]</f>
        <v>535200</v>
      </c>
      <c r="Q1828">
        <f>Tableau1_2[[#This Row],[Quantité]]*Tableau1_2[[#This Row],[Coût_Unitaire]]</f>
        <v>372000</v>
      </c>
      <c r="R1828">
        <f>Tableau1_2[[#This Row],[CA]]-Tableau1_2[[#This Row],[Cout Total]]</f>
        <v>163200</v>
      </c>
      <c r="S1828" s="4">
        <f>Tableau1_2[[#This Row],[Marge]]/Tableau1_2[[#This Row],[CA]]</f>
        <v>0.30493273542600896</v>
      </c>
      <c r="T1828" t="str">
        <f>TEXT(Tableau1_2[[#This Row],[Date]],"mmmm")</f>
        <v>juin</v>
      </c>
    </row>
    <row r="1829" spans="1:20" x14ac:dyDescent="0.35">
      <c r="A1829" t="s">
        <v>2886</v>
      </c>
      <c r="B1829" s="2">
        <v>46343</v>
      </c>
      <c r="C1829" t="s">
        <v>1653</v>
      </c>
      <c r="D1829" t="s">
        <v>1219</v>
      </c>
      <c r="E1829" t="s">
        <v>56</v>
      </c>
      <c r="F1829" t="s">
        <v>57</v>
      </c>
      <c r="G1829" t="s">
        <v>28</v>
      </c>
      <c r="H1829" t="s">
        <v>131</v>
      </c>
      <c r="I1829">
        <v>4</v>
      </c>
      <c r="J1829">
        <v>30000</v>
      </c>
      <c r="K1829">
        <v>19600</v>
      </c>
      <c r="L1829" t="s">
        <v>30</v>
      </c>
      <c r="M1829" t="s">
        <v>37</v>
      </c>
      <c r="N1829" t="s">
        <v>87</v>
      </c>
      <c r="O1829" t="s">
        <v>24</v>
      </c>
      <c r="P1829">
        <f>Tableau1_2[[#This Row],[Quantité]]*Tableau1_2[[#This Row],[Prix_Unitaire]]</f>
        <v>120000</v>
      </c>
      <c r="Q1829">
        <f>Tableau1_2[[#This Row],[Quantité]]*Tableau1_2[[#This Row],[Coût_Unitaire]]</f>
        <v>78400</v>
      </c>
      <c r="R1829">
        <f>Tableau1_2[[#This Row],[CA]]-Tableau1_2[[#This Row],[Cout Total]]</f>
        <v>41600</v>
      </c>
      <c r="S1829" s="4">
        <f>Tableau1_2[[#This Row],[Marge]]/Tableau1_2[[#This Row],[CA]]</f>
        <v>0.34666666666666668</v>
      </c>
      <c r="T1829" t="str">
        <f>TEXT(Tableau1_2[[#This Row],[Date]],"mmmm")</f>
        <v>novembre</v>
      </c>
    </row>
    <row r="1830" spans="1:20" x14ac:dyDescent="0.35">
      <c r="A1830" t="s">
        <v>2887</v>
      </c>
      <c r="B1830" s="2">
        <v>46256</v>
      </c>
      <c r="C1830" t="s">
        <v>481</v>
      </c>
      <c r="D1830" t="s">
        <v>155</v>
      </c>
      <c r="E1830" t="s">
        <v>18</v>
      </c>
      <c r="F1830" t="s">
        <v>18</v>
      </c>
      <c r="G1830" t="s">
        <v>43</v>
      </c>
      <c r="H1830" t="s">
        <v>177</v>
      </c>
      <c r="I1830">
        <v>10</v>
      </c>
      <c r="J1830">
        <v>18000</v>
      </c>
      <c r="K1830">
        <v>12500</v>
      </c>
      <c r="L1830" t="s">
        <v>96</v>
      </c>
      <c r="M1830" t="s">
        <v>37</v>
      </c>
      <c r="N1830" t="s">
        <v>23</v>
      </c>
      <c r="O1830" t="s">
        <v>24</v>
      </c>
      <c r="P1830">
        <f>Tableau1_2[[#This Row],[Quantité]]*Tableau1_2[[#This Row],[Prix_Unitaire]]</f>
        <v>180000</v>
      </c>
      <c r="Q1830">
        <f>Tableau1_2[[#This Row],[Quantité]]*Tableau1_2[[#This Row],[Coût_Unitaire]]</f>
        <v>125000</v>
      </c>
      <c r="R1830">
        <f>Tableau1_2[[#This Row],[CA]]-Tableau1_2[[#This Row],[Cout Total]]</f>
        <v>55000</v>
      </c>
      <c r="S1830" s="4">
        <f>Tableau1_2[[#This Row],[Marge]]/Tableau1_2[[#This Row],[CA]]</f>
        <v>0.30555555555555558</v>
      </c>
      <c r="T1830" t="str">
        <f>TEXT(Tableau1_2[[#This Row],[Date]],"mmmm")</f>
        <v>août</v>
      </c>
    </row>
    <row r="1831" spans="1:20" x14ac:dyDescent="0.35">
      <c r="A1831" t="s">
        <v>2888</v>
      </c>
      <c r="B1831" s="2">
        <v>46256</v>
      </c>
      <c r="C1831" t="s">
        <v>836</v>
      </c>
      <c r="D1831" t="s">
        <v>1299</v>
      </c>
      <c r="E1831" t="s">
        <v>77</v>
      </c>
      <c r="F1831" t="s">
        <v>78</v>
      </c>
      <c r="G1831" t="s">
        <v>34</v>
      </c>
      <c r="H1831" t="s">
        <v>141</v>
      </c>
      <c r="I1831">
        <v>1</v>
      </c>
      <c r="J1831">
        <v>152000</v>
      </c>
      <c r="K1831">
        <v>116400</v>
      </c>
      <c r="L1831" t="s">
        <v>73</v>
      </c>
      <c r="M1831" t="s">
        <v>37</v>
      </c>
      <c r="N1831" t="s">
        <v>52</v>
      </c>
      <c r="O1831" t="s">
        <v>24</v>
      </c>
      <c r="P1831">
        <f>Tableau1_2[[#This Row],[Quantité]]*Tableau1_2[[#This Row],[Prix_Unitaire]]</f>
        <v>152000</v>
      </c>
      <c r="Q1831">
        <f>Tableau1_2[[#This Row],[Quantité]]*Tableau1_2[[#This Row],[Coût_Unitaire]]</f>
        <v>116400</v>
      </c>
      <c r="R1831">
        <f>Tableau1_2[[#This Row],[CA]]-Tableau1_2[[#This Row],[Cout Total]]</f>
        <v>35600</v>
      </c>
      <c r="S1831" s="4">
        <f>Tableau1_2[[#This Row],[Marge]]/Tableau1_2[[#This Row],[CA]]</f>
        <v>0.23421052631578948</v>
      </c>
      <c r="T1831" t="str">
        <f>TEXT(Tableau1_2[[#This Row],[Date]],"mmmm")</f>
        <v>août</v>
      </c>
    </row>
    <row r="1832" spans="1:20" x14ac:dyDescent="0.35">
      <c r="A1832" t="s">
        <v>2889</v>
      </c>
      <c r="B1832" s="2">
        <v>46223</v>
      </c>
      <c r="C1832" t="s">
        <v>916</v>
      </c>
      <c r="D1832" t="s">
        <v>2890</v>
      </c>
      <c r="E1832" t="s">
        <v>156</v>
      </c>
      <c r="F1832" t="s">
        <v>170</v>
      </c>
      <c r="G1832" t="s">
        <v>28</v>
      </c>
      <c r="H1832" t="s">
        <v>29</v>
      </c>
      <c r="I1832">
        <v>10</v>
      </c>
      <c r="J1832">
        <v>6600</v>
      </c>
      <c r="K1832">
        <v>4000</v>
      </c>
      <c r="L1832" t="s">
        <v>96</v>
      </c>
      <c r="M1832" t="s">
        <v>31</v>
      </c>
      <c r="N1832" t="s">
        <v>87</v>
      </c>
      <c r="O1832" t="s">
        <v>24</v>
      </c>
      <c r="P1832">
        <f>Tableau1_2[[#This Row],[Quantité]]*Tableau1_2[[#This Row],[Prix_Unitaire]]</f>
        <v>66000</v>
      </c>
      <c r="Q1832">
        <f>Tableau1_2[[#This Row],[Quantité]]*Tableau1_2[[#This Row],[Coût_Unitaire]]</f>
        <v>40000</v>
      </c>
      <c r="R1832">
        <f>Tableau1_2[[#This Row],[CA]]-Tableau1_2[[#This Row],[Cout Total]]</f>
        <v>26000</v>
      </c>
      <c r="S1832" s="4">
        <f>Tableau1_2[[#This Row],[Marge]]/Tableau1_2[[#This Row],[CA]]</f>
        <v>0.39393939393939392</v>
      </c>
      <c r="T1832" t="str">
        <f>TEXT(Tableau1_2[[#This Row],[Date]],"mmmm")</f>
        <v>juillet</v>
      </c>
    </row>
    <row r="1833" spans="1:20" x14ac:dyDescent="0.35">
      <c r="A1833" t="s">
        <v>2891</v>
      </c>
      <c r="B1833" s="2">
        <v>46027</v>
      </c>
      <c r="C1833" t="s">
        <v>578</v>
      </c>
      <c r="D1833" t="s">
        <v>986</v>
      </c>
      <c r="E1833" t="s">
        <v>18</v>
      </c>
      <c r="F1833" t="s">
        <v>18</v>
      </c>
      <c r="G1833" t="s">
        <v>28</v>
      </c>
      <c r="H1833" t="s">
        <v>131</v>
      </c>
      <c r="I1833">
        <v>2</v>
      </c>
      <c r="J1833">
        <v>30000</v>
      </c>
      <c r="K1833">
        <v>19000</v>
      </c>
      <c r="L1833" t="s">
        <v>73</v>
      </c>
      <c r="M1833" t="s">
        <v>31</v>
      </c>
      <c r="N1833" t="s">
        <v>52</v>
      </c>
      <c r="O1833" t="s">
        <v>24</v>
      </c>
      <c r="P1833">
        <f>Tableau1_2[[#This Row],[Quantité]]*Tableau1_2[[#This Row],[Prix_Unitaire]]</f>
        <v>60000</v>
      </c>
      <c r="Q1833">
        <f>Tableau1_2[[#This Row],[Quantité]]*Tableau1_2[[#This Row],[Coût_Unitaire]]</f>
        <v>38000</v>
      </c>
      <c r="R1833">
        <f>Tableau1_2[[#This Row],[CA]]-Tableau1_2[[#This Row],[Cout Total]]</f>
        <v>22000</v>
      </c>
      <c r="S1833" s="4">
        <f>Tableau1_2[[#This Row],[Marge]]/Tableau1_2[[#This Row],[CA]]</f>
        <v>0.36666666666666664</v>
      </c>
      <c r="T1833" t="str">
        <f>TEXT(Tableau1_2[[#This Row],[Date]],"mmmm")</f>
        <v>janvier</v>
      </c>
    </row>
    <row r="1834" spans="1:20" x14ac:dyDescent="0.35">
      <c r="A1834" t="s">
        <v>2892</v>
      </c>
      <c r="B1834" s="2">
        <v>46305</v>
      </c>
      <c r="C1834" t="s">
        <v>2457</v>
      </c>
      <c r="D1834" t="s">
        <v>984</v>
      </c>
      <c r="E1834" t="s">
        <v>41</v>
      </c>
      <c r="F1834" t="s">
        <v>42</v>
      </c>
      <c r="G1834" t="s">
        <v>34</v>
      </c>
      <c r="H1834" t="s">
        <v>35</v>
      </c>
      <c r="I1834">
        <v>3</v>
      </c>
      <c r="J1834">
        <v>55000</v>
      </c>
      <c r="K1834">
        <v>37800</v>
      </c>
      <c r="L1834" t="s">
        <v>66</v>
      </c>
      <c r="M1834" t="s">
        <v>37</v>
      </c>
      <c r="N1834" t="s">
        <v>23</v>
      </c>
      <c r="O1834" t="s">
        <v>91</v>
      </c>
      <c r="P1834">
        <f>Tableau1_2[[#This Row],[Quantité]]*Tableau1_2[[#This Row],[Prix_Unitaire]]</f>
        <v>165000</v>
      </c>
      <c r="Q1834">
        <f>Tableau1_2[[#This Row],[Quantité]]*Tableau1_2[[#This Row],[Coût_Unitaire]]</f>
        <v>113400</v>
      </c>
      <c r="R1834">
        <f>Tableau1_2[[#This Row],[CA]]-Tableau1_2[[#This Row],[Cout Total]]</f>
        <v>51600</v>
      </c>
      <c r="S1834" s="4">
        <f>Tableau1_2[[#This Row],[Marge]]/Tableau1_2[[#This Row],[CA]]</f>
        <v>0.31272727272727274</v>
      </c>
      <c r="T1834" t="str">
        <f>TEXT(Tableau1_2[[#This Row],[Date]],"mmmm")</f>
        <v>octobre</v>
      </c>
    </row>
    <row r="1835" spans="1:20" x14ac:dyDescent="0.35">
      <c r="A1835" t="s">
        <v>2893</v>
      </c>
      <c r="B1835" s="2">
        <v>46228</v>
      </c>
      <c r="C1835" t="s">
        <v>1201</v>
      </c>
      <c r="D1835" t="s">
        <v>1048</v>
      </c>
      <c r="E1835" t="s">
        <v>56</v>
      </c>
      <c r="F1835" t="s">
        <v>57</v>
      </c>
      <c r="G1835" t="s">
        <v>43</v>
      </c>
      <c r="H1835" t="s">
        <v>49</v>
      </c>
      <c r="I1835">
        <v>6</v>
      </c>
      <c r="J1835">
        <v>9000</v>
      </c>
      <c r="K1835">
        <v>5800</v>
      </c>
      <c r="L1835" t="s">
        <v>73</v>
      </c>
      <c r="M1835" t="s">
        <v>31</v>
      </c>
      <c r="N1835" t="s">
        <v>23</v>
      </c>
      <c r="O1835" t="s">
        <v>24</v>
      </c>
      <c r="P1835">
        <f>Tableau1_2[[#This Row],[Quantité]]*Tableau1_2[[#This Row],[Prix_Unitaire]]</f>
        <v>54000</v>
      </c>
      <c r="Q1835">
        <f>Tableau1_2[[#This Row],[Quantité]]*Tableau1_2[[#This Row],[Coût_Unitaire]]</f>
        <v>34800</v>
      </c>
      <c r="R1835">
        <f>Tableau1_2[[#This Row],[CA]]-Tableau1_2[[#This Row],[Cout Total]]</f>
        <v>19200</v>
      </c>
      <c r="S1835" s="4">
        <f>Tableau1_2[[#This Row],[Marge]]/Tableau1_2[[#This Row],[CA]]</f>
        <v>0.35555555555555557</v>
      </c>
      <c r="T1835" t="str">
        <f>TEXT(Tableau1_2[[#This Row],[Date]],"mmmm")</f>
        <v>juillet</v>
      </c>
    </row>
    <row r="1836" spans="1:20" x14ac:dyDescent="0.35">
      <c r="A1836" t="s">
        <v>2894</v>
      </c>
      <c r="B1836" s="2">
        <v>46127</v>
      </c>
      <c r="C1836" t="s">
        <v>2584</v>
      </c>
      <c r="D1836" t="s">
        <v>747</v>
      </c>
      <c r="E1836" t="s">
        <v>70</v>
      </c>
      <c r="F1836" t="s">
        <v>71</v>
      </c>
      <c r="G1836" t="s">
        <v>34</v>
      </c>
      <c r="H1836" t="s">
        <v>141</v>
      </c>
      <c r="I1836">
        <v>1</v>
      </c>
      <c r="J1836">
        <v>152000</v>
      </c>
      <c r="K1836">
        <v>123600</v>
      </c>
      <c r="L1836" t="s">
        <v>73</v>
      </c>
      <c r="M1836" t="s">
        <v>51</v>
      </c>
      <c r="N1836" t="s">
        <v>52</v>
      </c>
      <c r="O1836" t="s">
        <v>24</v>
      </c>
      <c r="P1836">
        <f>Tableau1_2[[#This Row],[Quantité]]*Tableau1_2[[#This Row],[Prix_Unitaire]]</f>
        <v>152000</v>
      </c>
      <c r="Q1836">
        <f>Tableau1_2[[#This Row],[Quantité]]*Tableau1_2[[#This Row],[Coût_Unitaire]]</f>
        <v>123600</v>
      </c>
      <c r="R1836">
        <f>Tableau1_2[[#This Row],[CA]]-Tableau1_2[[#This Row],[Cout Total]]</f>
        <v>28400</v>
      </c>
      <c r="S1836" s="4">
        <f>Tableau1_2[[#This Row],[Marge]]/Tableau1_2[[#This Row],[CA]]</f>
        <v>0.18684210526315789</v>
      </c>
      <c r="T1836" t="str">
        <f>TEXT(Tableau1_2[[#This Row],[Date]],"mmmm")</f>
        <v>avril</v>
      </c>
    </row>
    <row r="1837" spans="1:20" x14ac:dyDescent="0.35">
      <c r="A1837" t="s">
        <v>2895</v>
      </c>
      <c r="B1837" s="2">
        <v>46238</v>
      </c>
      <c r="C1837" t="s">
        <v>727</v>
      </c>
      <c r="D1837" t="s">
        <v>1181</v>
      </c>
      <c r="E1837" t="s">
        <v>190</v>
      </c>
      <c r="F1837" t="s">
        <v>191</v>
      </c>
      <c r="G1837" t="s">
        <v>28</v>
      </c>
      <c r="H1837" t="s">
        <v>131</v>
      </c>
      <c r="I1837">
        <v>1</v>
      </c>
      <c r="J1837">
        <v>30000</v>
      </c>
      <c r="K1837">
        <v>19600</v>
      </c>
      <c r="L1837" t="s">
        <v>96</v>
      </c>
      <c r="M1837" t="s">
        <v>51</v>
      </c>
      <c r="N1837" t="s">
        <v>23</v>
      </c>
      <c r="O1837" t="s">
        <v>45</v>
      </c>
      <c r="P1837">
        <f>Tableau1_2[[#This Row],[Quantité]]*Tableau1_2[[#This Row],[Prix_Unitaire]]</f>
        <v>30000</v>
      </c>
      <c r="Q1837">
        <f>Tableau1_2[[#This Row],[Quantité]]*Tableau1_2[[#This Row],[Coût_Unitaire]]</f>
        <v>19600</v>
      </c>
      <c r="R1837">
        <f>Tableau1_2[[#This Row],[CA]]-Tableau1_2[[#This Row],[Cout Total]]</f>
        <v>10400</v>
      </c>
      <c r="S1837" s="4">
        <f>Tableau1_2[[#This Row],[Marge]]/Tableau1_2[[#This Row],[CA]]</f>
        <v>0.34666666666666668</v>
      </c>
      <c r="T1837" t="str">
        <f>TEXT(Tableau1_2[[#This Row],[Date]],"mmmm")</f>
        <v>août</v>
      </c>
    </row>
    <row r="1838" spans="1:20" x14ac:dyDescent="0.35">
      <c r="A1838" t="s">
        <v>2896</v>
      </c>
      <c r="B1838" s="2">
        <v>46248</v>
      </c>
      <c r="C1838" t="s">
        <v>1040</v>
      </c>
      <c r="D1838" t="s">
        <v>294</v>
      </c>
      <c r="E1838" t="s">
        <v>84</v>
      </c>
      <c r="F1838" t="s">
        <v>85</v>
      </c>
      <c r="G1838" t="s">
        <v>19</v>
      </c>
      <c r="H1838" t="s">
        <v>166</v>
      </c>
      <c r="I1838">
        <v>1</v>
      </c>
      <c r="J1838">
        <v>140000</v>
      </c>
      <c r="K1838">
        <v>100000</v>
      </c>
      <c r="L1838" t="s">
        <v>66</v>
      </c>
      <c r="M1838" t="s">
        <v>51</v>
      </c>
      <c r="N1838" t="s">
        <v>87</v>
      </c>
      <c r="O1838" t="s">
        <v>45</v>
      </c>
      <c r="P1838">
        <f>Tableau1_2[[#This Row],[Quantité]]*Tableau1_2[[#This Row],[Prix_Unitaire]]</f>
        <v>140000</v>
      </c>
      <c r="Q1838">
        <f>Tableau1_2[[#This Row],[Quantité]]*Tableau1_2[[#This Row],[Coût_Unitaire]]</f>
        <v>100000</v>
      </c>
      <c r="R1838">
        <f>Tableau1_2[[#This Row],[CA]]-Tableau1_2[[#This Row],[Cout Total]]</f>
        <v>40000</v>
      </c>
      <c r="S1838" s="4">
        <f>Tableau1_2[[#This Row],[Marge]]/Tableau1_2[[#This Row],[CA]]</f>
        <v>0.2857142857142857</v>
      </c>
      <c r="T1838" t="str">
        <f>TEXT(Tableau1_2[[#This Row],[Date]],"mmmm")</f>
        <v>août</v>
      </c>
    </row>
    <row r="1839" spans="1:20" x14ac:dyDescent="0.35">
      <c r="A1839" t="s">
        <v>2897</v>
      </c>
      <c r="B1839" s="2">
        <v>46372</v>
      </c>
      <c r="C1839" t="s">
        <v>1201</v>
      </c>
      <c r="D1839" t="s">
        <v>2213</v>
      </c>
      <c r="E1839" t="s">
        <v>56</v>
      </c>
      <c r="F1839" t="s">
        <v>57</v>
      </c>
      <c r="G1839" t="s">
        <v>28</v>
      </c>
      <c r="H1839" t="s">
        <v>65</v>
      </c>
      <c r="I1839">
        <v>6</v>
      </c>
      <c r="J1839">
        <v>12000</v>
      </c>
      <c r="K1839">
        <v>7700</v>
      </c>
      <c r="L1839" t="s">
        <v>73</v>
      </c>
      <c r="M1839" t="s">
        <v>51</v>
      </c>
      <c r="N1839" t="s">
        <v>87</v>
      </c>
      <c r="O1839" t="s">
        <v>45</v>
      </c>
      <c r="P1839">
        <f>Tableau1_2[[#This Row],[Quantité]]*Tableau1_2[[#This Row],[Prix_Unitaire]]</f>
        <v>72000</v>
      </c>
      <c r="Q1839">
        <f>Tableau1_2[[#This Row],[Quantité]]*Tableau1_2[[#This Row],[Coût_Unitaire]]</f>
        <v>46200</v>
      </c>
      <c r="R1839">
        <f>Tableau1_2[[#This Row],[CA]]-Tableau1_2[[#This Row],[Cout Total]]</f>
        <v>25800</v>
      </c>
      <c r="S1839" s="4">
        <f>Tableau1_2[[#This Row],[Marge]]/Tableau1_2[[#This Row],[CA]]</f>
        <v>0.35833333333333334</v>
      </c>
      <c r="T1839" t="str">
        <f>TEXT(Tableau1_2[[#This Row],[Date]],"mmmm")</f>
        <v>décembre</v>
      </c>
    </row>
    <row r="1840" spans="1:20" x14ac:dyDescent="0.35">
      <c r="A1840" t="s">
        <v>2898</v>
      </c>
      <c r="B1840" s="2">
        <v>46325</v>
      </c>
      <c r="C1840" t="s">
        <v>1192</v>
      </c>
      <c r="D1840" t="s">
        <v>406</v>
      </c>
      <c r="E1840" t="s">
        <v>190</v>
      </c>
      <c r="F1840" t="s">
        <v>191</v>
      </c>
      <c r="G1840" t="s">
        <v>43</v>
      </c>
      <c r="H1840" t="s">
        <v>79</v>
      </c>
      <c r="I1840">
        <v>5</v>
      </c>
      <c r="J1840">
        <v>6000</v>
      </c>
      <c r="K1840">
        <v>4200</v>
      </c>
      <c r="L1840" t="s">
        <v>30</v>
      </c>
      <c r="M1840" t="s">
        <v>37</v>
      </c>
      <c r="N1840" t="s">
        <v>23</v>
      </c>
      <c r="O1840" t="s">
        <v>24</v>
      </c>
      <c r="P1840">
        <f>Tableau1_2[[#This Row],[Quantité]]*Tableau1_2[[#This Row],[Prix_Unitaire]]</f>
        <v>30000</v>
      </c>
      <c r="Q1840">
        <f>Tableau1_2[[#This Row],[Quantité]]*Tableau1_2[[#This Row],[Coût_Unitaire]]</f>
        <v>21000</v>
      </c>
      <c r="R1840">
        <f>Tableau1_2[[#This Row],[CA]]-Tableau1_2[[#This Row],[Cout Total]]</f>
        <v>9000</v>
      </c>
      <c r="S1840" s="4">
        <f>Tableau1_2[[#This Row],[Marge]]/Tableau1_2[[#This Row],[CA]]</f>
        <v>0.3</v>
      </c>
      <c r="T1840" t="str">
        <f>TEXT(Tableau1_2[[#This Row],[Date]],"mmmm")</f>
        <v>octobre</v>
      </c>
    </row>
    <row r="1841" spans="1:20" x14ac:dyDescent="0.35">
      <c r="A1841" t="s">
        <v>2899</v>
      </c>
      <c r="B1841" s="2">
        <v>46060</v>
      </c>
      <c r="C1841" t="s">
        <v>733</v>
      </c>
      <c r="D1841" t="s">
        <v>1954</v>
      </c>
      <c r="E1841" t="s">
        <v>77</v>
      </c>
      <c r="F1841" t="s">
        <v>78</v>
      </c>
      <c r="G1841" t="s">
        <v>34</v>
      </c>
      <c r="H1841" t="s">
        <v>95</v>
      </c>
      <c r="I1841">
        <v>4</v>
      </c>
      <c r="J1841">
        <v>472500</v>
      </c>
      <c r="K1841">
        <v>370000</v>
      </c>
      <c r="L1841" t="s">
        <v>96</v>
      </c>
      <c r="M1841" t="s">
        <v>37</v>
      </c>
      <c r="N1841" t="s">
        <v>87</v>
      </c>
      <c r="O1841" t="s">
        <v>91</v>
      </c>
      <c r="P1841">
        <f>Tableau1_2[[#This Row],[Quantité]]*Tableau1_2[[#This Row],[Prix_Unitaire]]</f>
        <v>1890000</v>
      </c>
      <c r="Q1841">
        <f>Tableau1_2[[#This Row],[Quantité]]*Tableau1_2[[#This Row],[Coût_Unitaire]]</f>
        <v>1480000</v>
      </c>
      <c r="R1841">
        <f>Tableau1_2[[#This Row],[CA]]-Tableau1_2[[#This Row],[Cout Total]]</f>
        <v>410000</v>
      </c>
      <c r="S1841" s="4">
        <f>Tableau1_2[[#This Row],[Marge]]/Tableau1_2[[#This Row],[CA]]</f>
        <v>0.21693121693121692</v>
      </c>
      <c r="T1841" t="str">
        <f>TEXT(Tableau1_2[[#This Row],[Date]],"mmmm")</f>
        <v>février</v>
      </c>
    </row>
    <row r="1842" spans="1:20" x14ac:dyDescent="0.35">
      <c r="A1842" t="s">
        <v>2900</v>
      </c>
      <c r="B1842" s="2">
        <v>46262</v>
      </c>
      <c r="C1842" t="s">
        <v>730</v>
      </c>
      <c r="D1842" t="s">
        <v>507</v>
      </c>
      <c r="E1842" t="s">
        <v>18</v>
      </c>
      <c r="F1842" t="s">
        <v>18</v>
      </c>
      <c r="G1842" t="s">
        <v>34</v>
      </c>
      <c r="H1842" t="s">
        <v>141</v>
      </c>
      <c r="I1842">
        <v>7</v>
      </c>
      <c r="J1842">
        <v>160000</v>
      </c>
      <c r="K1842">
        <v>120000</v>
      </c>
      <c r="L1842" t="s">
        <v>21</v>
      </c>
      <c r="M1842" t="s">
        <v>37</v>
      </c>
      <c r="N1842" t="s">
        <v>23</v>
      </c>
      <c r="O1842" t="s">
        <v>24</v>
      </c>
      <c r="P1842">
        <f>Tableau1_2[[#This Row],[Quantité]]*Tableau1_2[[#This Row],[Prix_Unitaire]]</f>
        <v>1120000</v>
      </c>
      <c r="Q1842">
        <f>Tableau1_2[[#This Row],[Quantité]]*Tableau1_2[[#This Row],[Coût_Unitaire]]</f>
        <v>840000</v>
      </c>
      <c r="R1842">
        <f>Tableau1_2[[#This Row],[CA]]-Tableau1_2[[#This Row],[Cout Total]]</f>
        <v>280000</v>
      </c>
      <c r="S1842" s="4">
        <f>Tableau1_2[[#This Row],[Marge]]/Tableau1_2[[#This Row],[CA]]</f>
        <v>0.25</v>
      </c>
      <c r="T1842" t="str">
        <f>TEXT(Tableau1_2[[#This Row],[Date]],"mmmm")</f>
        <v>août</v>
      </c>
    </row>
    <row r="1843" spans="1:20" x14ac:dyDescent="0.35">
      <c r="A1843" t="s">
        <v>2901</v>
      </c>
      <c r="B1843" s="2">
        <v>46177</v>
      </c>
      <c r="C1843" t="s">
        <v>1446</v>
      </c>
      <c r="D1843" t="s">
        <v>507</v>
      </c>
      <c r="E1843" t="s">
        <v>18</v>
      </c>
      <c r="F1843" t="s">
        <v>18</v>
      </c>
      <c r="G1843" t="s">
        <v>34</v>
      </c>
      <c r="H1843" t="s">
        <v>86</v>
      </c>
      <c r="I1843">
        <v>7</v>
      </c>
      <c r="J1843">
        <v>171000</v>
      </c>
      <c r="K1843">
        <v>131000</v>
      </c>
      <c r="L1843" t="s">
        <v>21</v>
      </c>
      <c r="M1843" t="s">
        <v>51</v>
      </c>
      <c r="N1843" t="s">
        <v>52</v>
      </c>
      <c r="O1843" t="s">
        <v>91</v>
      </c>
      <c r="P1843">
        <f>Tableau1_2[[#This Row],[Quantité]]*Tableau1_2[[#This Row],[Prix_Unitaire]]</f>
        <v>1197000</v>
      </c>
      <c r="Q1843">
        <f>Tableau1_2[[#This Row],[Quantité]]*Tableau1_2[[#This Row],[Coût_Unitaire]]</f>
        <v>917000</v>
      </c>
      <c r="R1843">
        <f>Tableau1_2[[#This Row],[CA]]-Tableau1_2[[#This Row],[Cout Total]]</f>
        <v>280000</v>
      </c>
      <c r="S1843" s="4">
        <f>Tableau1_2[[#This Row],[Marge]]/Tableau1_2[[#This Row],[CA]]</f>
        <v>0.23391812865497075</v>
      </c>
      <c r="T1843" t="str">
        <f>TEXT(Tableau1_2[[#This Row],[Date]],"mmmm")</f>
        <v>juin</v>
      </c>
    </row>
    <row r="1844" spans="1:20" x14ac:dyDescent="0.35">
      <c r="A1844" t="s">
        <v>2902</v>
      </c>
      <c r="B1844" s="2">
        <v>46046</v>
      </c>
      <c r="C1844" t="s">
        <v>1642</v>
      </c>
      <c r="D1844" t="s">
        <v>504</v>
      </c>
      <c r="E1844" t="s">
        <v>84</v>
      </c>
      <c r="F1844" t="s">
        <v>85</v>
      </c>
      <c r="G1844" t="s">
        <v>19</v>
      </c>
      <c r="H1844" t="s">
        <v>20</v>
      </c>
      <c r="I1844">
        <v>4</v>
      </c>
      <c r="J1844">
        <v>61800</v>
      </c>
      <c r="K1844">
        <v>46400</v>
      </c>
      <c r="L1844" t="s">
        <v>30</v>
      </c>
      <c r="M1844" t="s">
        <v>22</v>
      </c>
      <c r="N1844" t="s">
        <v>23</v>
      </c>
      <c r="O1844" t="s">
        <v>24</v>
      </c>
      <c r="P1844">
        <f>Tableau1_2[[#This Row],[Quantité]]*Tableau1_2[[#This Row],[Prix_Unitaire]]</f>
        <v>247200</v>
      </c>
      <c r="Q1844">
        <f>Tableau1_2[[#This Row],[Quantité]]*Tableau1_2[[#This Row],[Coût_Unitaire]]</f>
        <v>185600</v>
      </c>
      <c r="R1844">
        <f>Tableau1_2[[#This Row],[CA]]-Tableau1_2[[#This Row],[Cout Total]]</f>
        <v>61600</v>
      </c>
      <c r="S1844" s="4">
        <f>Tableau1_2[[#This Row],[Marge]]/Tableau1_2[[#This Row],[CA]]</f>
        <v>0.24919093851132687</v>
      </c>
      <c r="T1844" t="str">
        <f>TEXT(Tableau1_2[[#This Row],[Date]],"mmmm")</f>
        <v>janvier</v>
      </c>
    </row>
    <row r="1845" spans="1:20" x14ac:dyDescent="0.35">
      <c r="A1845" t="s">
        <v>2903</v>
      </c>
      <c r="B1845" s="2">
        <v>46282</v>
      </c>
      <c r="C1845" t="s">
        <v>2904</v>
      </c>
      <c r="D1845" t="s">
        <v>540</v>
      </c>
      <c r="E1845" t="s">
        <v>56</v>
      </c>
      <c r="F1845" t="s">
        <v>57</v>
      </c>
      <c r="G1845" t="s">
        <v>43</v>
      </c>
      <c r="H1845" t="s">
        <v>49</v>
      </c>
      <c r="I1845">
        <v>2</v>
      </c>
      <c r="J1845">
        <v>9400</v>
      </c>
      <c r="K1845">
        <v>6000</v>
      </c>
      <c r="L1845" t="s">
        <v>66</v>
      </c>
      <c r="M1845" t="s">
        <v>51</v>
      </c>
      <c r="N1845" t="s">
        <v>23</v>
      </c>
      <c r="O1845" t="s">
        <v>91</v>
      </c>
      <c r="P1845">
        <f>Tableau1_2[[#This Row],[Quantité]]*Tableau1_2[[#This Row],[Prix_Unitaire]]</f>
        <v>18800</v>
      </c>
      <c r="Q1845">
        <f>Tableau1_2[[#This Row],[Quantité]]*Tableau1_2[[#This Row],[Coût_Unitaire]]</f>
        <v>12000</v>
      </c>
      <c r="R1845">
        <f>Tableau1_2[[#This Row],[CA]]-Tableau1_2[[#This Row],[Cout Total]]</f>
        <v>6800</v>
      </c>
      <c r="S1845" s="4">
        <f>Tableau1_2[[#This Row],[Marge]]/Tableau1_2[[#This Row],[CA]]</f>
        <v>0.36170212765957449</v>
      </c>
      <c r="T1845" t="str">
        <f>TEXT(Tableau1_2[[#This Row],[Date]],"mmmm")</f>
        <v>septembre</v>
      </c>
    </row>
    <row r="1846" spans="1:20" x14ac:dyDescent="0.35">
      <c r="A1846" t="s">
        <v>2905</v>
      </c>
      <c r="B1846" s="2">
        <v>46280</v>
      </c>
      <c r="C1846" t="s">
        <v>183</v>
      </c>
      <c r="D1846" t="s">
        <v>514</v>
      </c>
      <c r="E1846" t="s">
        <v>18</v>
      </c>
      <c r="F1846" t="s">
        <v>18</v>
      </c>
      <c r="G1846" t="s">
        <v>34</v>
      </c>
      <c r="H1846" t="s">
        <v>86</v>
      </c>
      <c r="I1846">
        <v>10</v>
      </c>
      <c r="J1846">
        <v>171000</v>
      </c>
      <c r="K1846">
        <v>131000</v>
      </c>
      <c r="L1846" t="s">
        <v>96</v>
      </c>
      <c r="M1846" t="s">
        <v>37</v>
      </c>
      <c r="N1846" t="s">
        <v>87</v>
      </c>
      <c r="O1846" t="s">
        <v>24</v>
      </c>
      <c r="P1846">
        <f>Tableau1_2[[#This Row],[Quantité]]*Tableau1_2[[#This Row],[Prix_Unitaire]]</f>
        <v>1710000</v>
      </c>
      <c r="Q1846">
        <f>Tableau1_2[[#This Row],[Quantité]]*Tableau1_2[[#This Row],[Coût_Unitaire]]</f>
        <v>1310000</v>
      </c>
      <c r="R1846">
        <f>Tableau1_2[[#This Row],[CA]]-Tableau1_2[[#This Row],[Cout Total]]</f>
        <v>400000</v>
      </c>
      <c r="S1846" s="4">
        <f>Tableau1_2[[#This Row],[Marge]]/Tableau1_2[[#This Row],[CA]]</f>
        <v>0.23391812865497075</v>
      </c>
      <c r="T1846" t="str">
        <f>TEXT(Tableau1_2[[#This Row],[Date]],"mmmm")</f>
        <v>septembre</v>
      </c>
    </row>
    <row r="1847" spans="1:20" x14ac:dyDescent="0.35">
      <c r="A1847" t="s">
        <v>2906</v>
      </c>
      <c r="B1847" s="2">
        <v>46156</v>
      </c>
      <c r="C1847" t="s">
        <v>1143</v>
      </c>
      <c r="D1847" t="s">
        <v>1908</v>
      </c>
      <c r="E1847" t="s">
        <v>41</v>
      </c>
      <c r="F1847" t="s">
        <v>42</v>
      </c>
      <c r="G1847" t="s">
        <v>19</v>
      </c>
      <c r="H1847" t="s">
        <v>112</v>
      </c>
      <c r="I1847">
        <v>4</v>
      </c>
      <c r="J1847">
        <v>89200</v>
      </c>
      <c r="K1847">
        <v>60100</v>
      </c>
      <c r="L1847" t="s">
        <v>96</v>
      </c>
      <c r="M1847" t="s">
        <v>37</v>
      </c>
      <c r="N1847" t="s">
        <v>52</v>
      </c>
      <c r="O1847" t="s">
        <v>24</v>
      </c>
      <c r="P1847">
        <f>Tableau1_2[[#This Row],[Quantité]]*Tableau1_2[[#This Row],[Prix_Unitaire]]</f>
        <v>356800</v>
      </c>
      <c r="Q1847">
        <f>Tableau1_2[[#This Row],[Quantité]]*Tableau1_2[[#This Row],[Coût_Unitaire]]</f>
        <v>240400</v>
      </c>
      <c r="R1847">
        <f>Tableau1_2[[#This Row],[CA]]-Tableau1_2[[#This Row],[Cout Total]]</f>
        <v>116400</v>
      </c>
      <c r="S1847" s="4">
        <f>Tableau1_2[[#This Row],[Marge]]/Tableau1_2[[#This Row],[CA]]</f>
        <v>0.32623318385650224</v>
      </c>
      <c r="T1847" t="str">
        <f>TEXT(Tableau1_2[[#This Row],[Date]],"mmmm")</f>
        <v>mai</v>
      </c>
    </row>
    <row r="1848" spans="1:20" x14ac:dyDescent="0.35">
      <c r="A1848" t="s">
        <v>2907</v>
      </c>
      <c r="B1848" s="2">
        <v>46215</v>
      </c>
      <c r="C1848" t="s">
        <v>1463</v>
      </c>
      <c r="D1848" t="s">
        <v>356</v>
      </c>
      <c r="E1848" t="s">
        <v>190</v>
      </c>
      <c r="F1848" t="s">
        <v>191</v>
      </c>
      <c r="G1848" t="s">
        <v>19</v>
      </c>
      <c r="H1848" t="s">
        <v>112</v>
      </c>
      <c r="I1848">
        <v>8</v>
      </c>
      <c r="J1848">
        <v>85000</v>
      </c>
      <c r="K1848">
        <v>62000</v>
      </c>
      <c r="L1848" t="s">
        <v>66</v>
      </c>
      <c r="M1848" t="s">
        <v>31</v>
      </c>
      <c r="N1848" t="s">
        <v>23</v>
      </c>
      <c r="O1848" t="s">
        <v>45</v>
      </c>
      <c r="P1848">
        <f>Tableau1_2[[#This Row],[Quantité]]*Tableau1_2[[#This Row],[Prix_Unitaire]]</f>
        <v>680000</v>
      </c>
      <c r="Q1848">
        <f>Tableau1_2[[#This Row],[Quantité]]*Tableau1_2[[#This Row],[Coût_Unitaire]]</f>
        <v>496000</v>
      </c>
      <c r="R1848">
        <f>Tableau1_2[[#This Row],[CA]]-Tableau1_2[[#This Row],[Cout Total]]</f>
        <v>184000</v>
      </c>
      <c r="S1848" s="4">
        <f>Tableau1_2[[#This Row],[Marge]]/Tableau1_2[[#This Row],[CA]]</f>
        <v>0.27058823529411763</v>
      </c>
      <c r="T1848" t="str">
        <f>TEXT(Tableau1_2[[#This Row],[Date]],"mmmm")</f>
        <v>juillet</v>
      </c>
    </row>
    <row r="1849" spans="1:20" x14ac:dyDescent="0.35">
      <c r="A1849" t="s">
        <v>2908</v>
      </c>
      <c r="B1849" s="2">
        <v>46368</v>
      </c>
      <c r="C1849" t="s">
        <v>2909</v>
      </c>
      <c r="D1849" t="s">
        <v>1591</v>
      </c>
      <c r="E1849" t="s">
        <v>190</v>
      </c>
      <c r="F1849" t="s">
        <v>191</v>
      </c>
      <c r="G1849" t="s">
        <v>34</v>
      </c>
      <c r="H1849" t="s">
        <v>95</v>
      </c>
      <c r="I1849">
        <v>9</v>
      </c>
      <c r="J1849">
        <v>450000</v>
      </c>
      <c r="K1849">
        <v>381100</v>
      </c>
      <c r="L1849" t="s">
        <v>36</v>
      </c>
      <c r="M1849" t="s">
        <v>37</v>
      </c>
      <c r="N1849" t="s">
        <v>23</v>
      </c>
      <c r="O1849" t="s">
        <v>24</v>
      </c>
      <c r="P1849">
        <f>Tableau1_2[[#This Row],[Quantité]]*Tableau1_2[[#This Row],[Prix_Unitaire]]</f>
        <v>4050000</v>
      </c>
      <c r="Q1849">
        <f>Tableau1_2[[#This Row],[Quantité]]*Tableau1_2[[#This Row],[Coût_Unitaire]]</f>
        <v>3429900</v>
      </c>
      <c r="R1849">
        <f>Tableau1_2[[#This Row],[CA]]-Tableau1_2[[#This Row],[Cout Total]]</f>
        <v>620100</v>
      </c>
      <c r="S1849" s="4">
        <f>Tableau1_2[[#This Row],[Marge]]/Tableau1_2[[#This Row],[CA]]</f>
        <v>0.15311111111111111</v>
      </c>
      <c r="T1849" t="str">
        <f>TEXT(Tableau1_2[[#This Row],[Date]],"mmmm")</f>
        <v>décembre</v>
      </c>
    </row>
    <row r="1850" spans="1:20" x14ac:dyDescent="0.35">
      <c r="A1850" t="s">
        <v>2910</v>
      </c>
      <c r="B1850" s="2">
        <v>46223</v>
      </c>
      <c r="C1850" t="s">
        <v>193</v>
      </c>
      <c r="D1850" t="s">
        <v>2245</v>
      </c>
      <c r="E1850" t="s">
        <v>84</v>
      </c>
      <c r="F1850" t="s">
        <v>85</v>
      </c>
      <c r="G1850" t="s">
        <v>19</v>
      </c>
      <c r="H1850" t="s">
        <v>20</v>
      </c>
      <c r="I1850">
        <v>3</v>
      </c>
      <c r="J1850">
        <v>65000</v>
      </c>
      <c r="K1850">
        <v>43600</v>
      </c>
      <c r="L1850" t="s">
        <v>80</v>
      </c>
      <c r="M1850" t="s">
        <v>31</v>
      </c>
      <c r="N1850" t="s">
        <v>23</v>
      </c>
      <c r="O1850" t="s">
        <v>24</v>
      </c>
      <c r="P1850">
        <f>Tableau1_2[[#This Row],[Quantité]]*Tableau1_2[[#This Row],[Prix_Unitaire]]</f>
        <v>195000</v>
      </c>
      <c r="Q1850">
        <f>Tableau1_2[[#This Row],[Quantité]]*Tableau1_2[[#This Row],[Coût_Unitaire]]</f>
        <v>130800</v>
      </c>
      <c r="R1850">
        <f>Tableau1_2[[#This Row],[CA]]-Tableau1_2[[#This Row],[Cout Total]]</f>
        <v>64200</v>
      </c>
      <c r="S1850" s="4">
        <f>Tableau1_2[[#This Row],[Marge]]/Tableau1_2[[#This Row],[CA]]</f>
        <v>0.32923076923076922</v>
      </c>
      <c r="T1850" t="str">
        <f>TEXT(Tableau1_2[[#This Row],[Date]],"mmmm")</f>
        <v>juillet</v>
      </c>
    </row>
    <row r="1851" spans="1:20" x14ac:dyDescent="0.35">
      <c r="A1851" t="s">
        <v>2911</v>
      </c>
      <c r="B1851" s="2">
        <v>46266</v>
      </c>
      <c r="C1851" t="s">
        <v>2559</v>
      </c>
      <c r="D1851" t="s">
        <v>213</v>
      </c>
      <c r="E1851" t="s">
        <v>56</v>
      </c>
      <c r="F1851" t="s">
        <v>57</v>
      </c>
      <c r="G1851" t="s">
        <v>19</v>
      </c>
      <c r="H1851" t="s">
        <v>61</v>
      </c>
      <c r="I1851">
        <v>10</v>
      </c>
      <c r="J1851">
        <v>220000</v>
      </c>
      <c r="K1851">
        <v>155200</v>
      </c>
      <c r="L1851" t="s">
        <v>30</v>
      </c>
      <c r="M1851" t="s">
        <v>31</v>
      </c>
      <c r="N1851" t="s">
        <v>52</v>
      </c>
      <c r="O1851" t="s">
        <v>24</v>
      </c>
      <c r="P1851">
        <f>Tableau1_2[[#This Row],[Quantité]]*Tableau1_2[[#This Row],[Prix_Unitaire]]</f>
        <v>2200000</v>
      </c>
      <c r="Q1851">
        <f>Tableau1_2[[#This Row],[Quantité]]*Tableau1_2[[#This Row],[Coût_Unitaire]]</f>
        <v>1552000</v>
      </c>
      <c r="R1851">
        <f>Tableau1_2[[#This Row],[CA]]-Tableau1_2[[#This Row],[Cout Total]]</f>
        <v>648000</v>
      </c>
      <c r="S1851" s="4">
        <f>Tableau1_2[[#This Row],[Marge]]/Tableau1_2[[#This Row],[CA]]</f>
        <v>0.29454545454545455</v>
      </c>
      <c r="T1851" t="str">
        <f>TEXT(Tableau1_2[[#This Row],[Date]],"mmmm")</f>
        <v>septembre</v>
      </c>
    </row>
    <row r="1852" spans="1:20" x14ac:dyDescent="0.35">
      <c r="A1852" t="s">
        <v>2912</v>
      </c>
      <c r="B1852" s="2">
        <v>46320</v>
      </c>
      <c r="C1852" t="s">
        <v>1237</v>
      </c>
      <c r="D1852" t="s">
        <v>922</v>
      </c>
      <c r="E1852" t="s">
        <v>18</v>
      </c>
      <c r="F1852" t="s">
        <v>18</v>
      </c>
      <c r="G1852" t="s">
        <v>43</v>
      </c>
      <c r="H1852" t="s">
        <v>79</v>
      </c>
      <c r="I1852">
        <v>3</v>
      </c>
      <c r="J1852">
        <v>6300</v>
      </c>
      <c r="K1852">
        <v>4100</v>
      </c>
      <c r="L1852" t="s">
        <v>96</v>
      </c>
      <c r="M1852" t="s">
        <v>31</v>
      </c>
      <c r="N1852" t="s">
        <v>87</v>
      </c>
      <c r="O1852" t="s">
        <v>91</v>
      </c>
      <c r="P1852">
        <f>Tableau1_2[[#This Row],[Quantité]]*Tableau1_2[[#This Row],[Prix_Unitaire]]</f>
        <v>18900</v>
      </c>
      <c r="Q1852">
        <f>Tableau1_2[[#This Row],[Quantité]]*Tableau1_2[[#This Row],[Coût_Unitaire]]</f>
        <v>12300</v>
      </c>
      <c r="R1852">
        <f>Tableau1_2[[#This Row],[CA]]-Tableau1_2[[#This Row],[Cout Total]]</f>
        <v>6600</v>
      </c>
      <c r="S1852" s="4">
        <f>Tableau1_2[[#This Row],[Marge]]/Tableau1_2[[#This Row],[CA]]</f>
        <v>0.34920634920634919</v>
      </c>
      <c r="T1852" t="str">
        <f>TEXT(Tableau1_2[[#This Row],[Date]],"mmmm")</f>
        <v>octobre</v>
      </c>
    </row>
    <row r="1853" spans="1:20" x14ac:dyDescent="0.35">
      <c r="A1853" t="s">
        <v>2913</v>
      </c>
      <c r="B1853" s="2">
        <v>46358</v>
      </c>
      <c r="C1853" t="s">
        <v>261</v>
      </c>
      <c r="D1853" t="s">
        <v>388</v>
      </c>
      <c r="E1853" t="s">
        <v>70</v>
      </c>
      <c r="F1853" t="s">
        <v>71</v>
      </c>
      <c r="G1853" t="s">
        <v>19</v>
      </c>
      <c r="H1853" t="s">
        <v>112</v>
      </c>
      <c r="I1853">
        <v>4</v>
      </c>
      <c r="J1853">
        <v>85000</v>
      </c>
      <c r="K1853">
        <v>60100</v>
      </c>
      <c r="L1853" t="s">
        <v>80</v>
      </c>
      <c r="M1853" t="s">
        <v>37</v>
      </c>
      <c r="N1853" t="s">
        <v>52</v>
      </c>
      <c r="O1853" t="s">
        <v>24</v>
      </c>
      <c r="P1853">
        <f>Tableau1_2[[#This Row],[Quantité]]*Tableau1_2[[#This Row],[Prix_Unitaire]]</f>
        <v>340000</v>
      </c>
      <c r="Q1853">
        <f>Tableau1_2[[#This Row],[Quantité]]*Tableau1_2[[#This Row],[Coût_Unitaire]]</f>
        <v>240400</v>
      </c>
      <c r="R1853">
        <f>Tableau1_2[[#This Row],[CA]]-Tableau1_2[[#This Row],[Cout Total]]</f>
        <v>99600</v>
      </c>
      <c r="S1853" s="4">
        <f>Tableau1_2[[#This Row],[Marge]]/Tableau1_2[[#This Row],[CA]]</f>
        <v>0.29294117647058826</v>
      </c>
      <c r="T1853" t="str">
        <f>TEXT(Tableau1_2[[#This Row],[Date]],"mmmm")</f>
        <v>décembre</v>
      </c>
    </row>
    <row r="1854" spans="1:20" x14ac:dyDescent="0.35">
      <c r="A1854" t="s">
        <v>2914</v>
      </c>
      <c r="B1854" s="2">
        <v>46267</v>
      </c>
      <c r="C1854" t="s">
        <v>605</v>
      </c>
      <c r="D1854" t="s">
        <v>83</v>
      </c>
      <c r="E1854" t="s">
        <v>156</v>
      </c>
      <c r="F1854" t="s">
        <v>157</v>
      </c>
      <c r="G1854" t="s">
        <v>19</v>
      </c>
      <c r="H1854" t="s">
        <v>112</v>
      </c>
      <c r="I1854">
        <v>3</v>
      </c>
      <c r="J1854">
        <v>89200</v>
      </c>
      <c r="K1854">
        <v>60100</v>
      </c>
      <c r="L1854" t="s">
        <v>21</v>
      </c>
      <c r="M1854" t="s">
        <v>51</v>
      </c>
      <c r="N1854" t="s">
        <v>23</v>
      </c>
      <c r="O1854" t="s">
        <v>24</v>
      </c>
      <c r="P1854">
        <f>Tableau1_2[[#This Row],[Quantité]]*Tableau1_2[[#This Row],[Prix_Unitaire]]</f>
        <v>267600</v>
      </c>
      <c r="Q1854">
        <f>Tableau1_2[[#This Row],[Quantité]]*Tableau1_2[[#This Row],[Coût_Unitaire]]</f>
        <v>180300</v>
      </c>
      <c r="R1854">
        <f>Tableau1_2[[#This Row],[CA]]-Tableau1_2[[#This Row],[Cout Total]]</f>
        <v>87300</v>
      </c>
      <c r="S1854" s="4">
        <f>Tableau1_2[[#This Row],[Marge]]/Tableau1_2[[#This Row],[CA]]</f>
        <v>0.32623318385650224</v>
      </c>
      <c r="T1854" t="str">
        <f>TEXT(Tableau1_2[[#This Row],[Date]],"mmmm")</f>
        <v>septembre</v>
      </c>
    </row>
    <row r="1855" spans="1:20" x14ac:dyDescent="0.35">
      <c r="A1855" t="s">
        <v>2915</v>
      </c>
      <c r="B1855" s="2">
        <v>46213</v>
      </c>
      <c r="C1855" t="s">
        <v>825</v>
      </c>
      <c r="D1855" t="s">
        <v>1157</v>
      </c>
      <c r="E1855" t="s">
        <v>18</v>
      </c>
      <c r="F1855" t="s">
        <v>18</v>
      </c>
      <c r="G1855" t="s">
        <v>34</v>
      </c>
      <c r="H1855" t="s">
        <v>141</v>
      </c>
      <c r="I1855">
        <v>3</v>
      </c>
      <c r="J1855">
        <v>160000</v>
      </c>
      <c r="K1855">
        <v>120000</v>
      </c>
      <c r="L1855" t="s">
        <v>36</v>
      </c>
      <c r="M1855" t="s">
        <v>37</v>
      </c>
      <c r="N1855" t="s">
        <v>52</v>
      </c>
      <c r="O1855" t="s">
        <v>24</v>
      </c>
      <c r="P1855">
        <f>Tableau1_2[[#This Row],[Quantité]]*Tableau1_2[[#This Row],[Prix_Unitaire]]</f>
        <v>480000</v>
      </c>
      <c r="Q1855">
        <f>Tableau1_2[[#This Row],[Quantité]]*Tableau1_2[[#This Row],[Coût_Unitaire]]</f>
        <v>360000</v>
      </c>
      <c r="R1855">
        <f>Tableau1_2[[#This Row],[CA]]-Tableau1_2[[#This Row],[Cout Total]]</f>
        <v>120000</v>
      </c>
      <c r="S1855" s="4">
        <f>Tableau1_2[[#This Row],[Marge]]/Tableau1_2[[#This Row],[CA]]</f>
        <v>0.25</v>
      </c>
      <c r="T1855" t="str">
        <f>TEXT(Tableau1_2[[#This Row],[Date]],"mmmm")</f>
        <v>juillet</v>
      </c>
    </row>
    <row r="1856" spans="1:20" x14ac:dyDescent="0.35">
      <c r="A1856" t="s">
        <v>2916</v>
      </c>
      <c r="B1856" s="2">
        <v>46143</v>
      </c>
      <c r="C1856" t="s">
        <v>671</v>
      </c>
      <c r="D1856" t="s">
        <v>397</v>
      </c>
      <c r="E1856" t="s">
        <v>41</v>
      </c>
      <c r="F1856" t="s">
        <v>42</v>
      </c>
      <c r="G1856" t="s">
        <v>19</v>
      </c>
      <c r="H1856" t="s">
        <v>166</v>
      </c>
      <c r="I1856">
        <v>5</v>
      </c>
      <c r="J1856">
        <v>147000</v>
      </c>
      <c r="K1856">
        <v>100000</v>
      </c>
      <c r="L1856" t="s">
        <v>36</v>
      </c>
      <c r="M1856" t="s">
        <v>51</v>
      </c>
      <c r="N1856" t="s">
        <v>23</v>
      </c>
      <c r="O1856" t="s">
        <v>24</v>
      </c>
      <c r="P1856">
        <f>Tableau1_2[[#This Row],[Quantité]]*Tableau1_2[[#This Row],[Prix_Unitaire]]</f>
        <v>735000</v>
      </c>
      <c r="Q1856">
        <f>Tableau1_2[[#This Row],[Quantité]]*Tableau1_2[[#This Row],[Coût_Unitaire]]</f>
        <v>500000</v>
      </c>
      <c r="R1856">
        <f>Tableau1_2[[#This Row],[CA]]-Tableau1_2[[#This Row],[Cout Total]]</f>
        <v>235000</v>
      </c>
      <c r="S1856" s="4">
        <f>Tableau1_2[[#This Row],[Marge]]/Tableau1_2[[#This Row],[CA]]</f>
        <v>0.31972789115646261</v>
      </c>
      <c r="T1856" t="str">
        <f>TEXT(Tableau1_2[[#This Row],[Date]],"mmmm")</f>
        <v>mai</v>
      </c>
    </row>
    <row r="1857" spans="1:20" x14ac:dyDescent="0.35">
      <c r="A1857" t="s">
        <v>2917</v>
      </c>
      <c r="B1857" s="2">
        <v>46228</v>
      </c>
      <c r="C1857" t="s">
        <v>1879</v>
      </c>
      <c r="D1857" t="s">
        <v>2098</v>
      </c>
      <c r="E1857" t="s">
        <v>18</v>
      </c>
      <c r="F1857" t="s">
        <v>18</v>
      </c>
      <c r="G1857" t="s">
        <v>34</v>
      </c>
      <c r="H1857" t="s">
        <v>35</v>
      </c>
      <c r="I1857">
        <v>6</v>
      </c>
      <c r="J1857">
        <v>57800</v>
      </c>
      <c r="K1857">
        <v>37800</v>
      </c>
      <c r="L1857" t="s">
        <v>96</v>
      </c>
      <c r="M1857" t="s">
        <v>31</v>
      </c>
      <c r="N1857" t="s">
        <v>23</v>
      </c>
      <c r="O1857" t="s">
        <v>24</v>
      </c>
      <c r="P1857">
        <f>Tableau1_2[[#This Row],[Quantité]]*Tableau1_2[[#This Row],[Prix_Unitaire]]</f>
        <v>346800</v>
      </c>
      <c r="Q1857">
        <f>Tableau1_2[[#This Row],[Quantité]]*Tableau1_2[[#This Row],[Coût_Unitaire]]</f>
        <v>226800</v>
      </c>
      <c r="R1857">
        <f>Tableau1_2[[#This Row],[CA]]-Tableau1_2[[#This Row],[Cout Total]]</f>
        <v>120000</v>
      </c>
      <c r="S1857" s="4">
        <f>Tableau1_2[[#This Row],[Marge]]/Tableau1_2[[#This Row],[CA]]</f>
        <v>0.34602076124567471</v>
      </c>
      <c r="T1857" t="str">
        <f>TEXT(Tableau1_2[[#This Row],[Date]],"mmmm")</f>
        <v>juillet</v>
      </c>
    </row>
    <row r="1858" spans="1:20" x14ac:dyDescent="0.35">
      <c r="A1858" t="s">
        <v>2918</v>
      </c>
      <c r="B1858" s="2">
        <v>46268</v>
      </c>
      <c r="C1858" t="s">
        <v>621</v>
      </c>
      <c r="D1858" t="s">
        <v>501</v>
      </c>
      <c r="E1858" t="s">
        <v>18</v>
      </c>
      <c r="F1858" t="s">
        <v>18</v>
      </c>
      <c r="G1858" t="s">
        <v>34</v>
      </c>
      <c r="H1858" t="s">
        <v>35</v>
      </c>
      <c r="I1858">
        <v>5</v>
      </c>
      <c r="J1858">
        <v>52200</v>
      </c>
      <c r="K1858">
        <v>39000</v>
      </c>
      <c r="L1858" t="s">
        <v>50</v>
      </c>
      <c r="M1858" t="s">
        <v>37</v>
      </c>
      <c r="N1858" t="s">
        <v>52</v>
      </c>
      <c r="O1858" t="s">
        <v>24</v>
      </c>
      <c r="P1858">
        <f>Tableau1_2[[#This Row],[Quantité]]*Tableau1_2[[#This Row],[Prix_Unitaire]]</f>
        <v>261000</v>
      </c>
      <c r="Q1858">
        <f>Tableau1_2[[#This Row],[Quantité]]*Tableau1_2[[#This Row],[Coût_Unitaire]]</f>
        <v>195000</v>
      </c>
      <c r="R1858">
        <f>Tableau1_2[[#This Row],[CA]]-Tableau1_2[[#This Row],[Cout Total]]</f>
        <v>66000</v>
      </c>
      <c r="S1858" s="4">
        <f>Tableau1_2[[#This Row],[Marge]]/Tableau1_2[[#This Row],[CA]]</f>
        <v>0.25287356321839083</v>
      </c>
      <c r="T1858" t="str">
        <f>TEXT(Tableau1_2[[#This Row],[Date]],"mmmm")</f>
        <v>septembre</v>
      </c>
    </row>
    <row r="1859" spans="1:20" x14ac:dyDescent="0.35">
      <c r="A1859" t="s">
        <v>2919</v>
      </c>
      <c r="B1859" s="2">
        <v>46049</v>
      </c>
      <c r="C1859" t="s">
        <v>877</v>
      </c>
      <c r="D1859" t="s">
        <v>1760</v>
      </c>
      <c r="E1859" t="s">
        <v>56</v>
      </c>
      <c r="F1859" t="s">
        <v>57</v>
      </c>
      <c r="G1859" t="s">
        <v>34</v>
      </c>
      <c r="H1859" t="s">
        <v>86</v>
      </c>
      <c r="I1859">
        <v>4</v>
      </c>
      <c r="J1859">
        <v>189000</v>
      </c>
      <c r="K1859">
        <v>131000</v>
      </c>
      <c r="L1859" t="s">
        <v>30</v>
      </c>
      <c r="M1859" t="s">
        <v>37</v>
      </c>
      <c r="N1859" t="s">
        <v>23</v>
      </c>
      <c r="O1859" t="s">
        <v>24</v>
      </c>
      <c r="P1859">
        <f>Tableau1_2[[#This Row],[Quantité]]*Tableau1_2[[#This Row],[Prix_Unitaire]]</f>
        <v>756000</v>
      </c>
      <c r="Q1859">
        <f>Tableau1_2[[#This Row],[Quantité]]*Tableau1_2[[#This Row],[Coût_Unitaire]]</f>
        <v>524000</v>
      </c>
      <c r="R1859">
        <f>Tableau1_2[[#This Row],[CA]]-Tableau1_2[[#This Row],[Cout Total]]</f>
        <v>232000</v>
      </c>
      <c r="S1859" s="4">
        <f>Tableau1_2[[#This Row],[Marge]]/Tableau1_2[[#This Row],[CA]]</f>
        <v>0.30687830687830686</v>
      </c>
      <c r="T1859" t="str">
        <f>TEXT(Tableau1_2[[#This Row],[Date]],"mmmm")</f>
        <v>janvier</v>
      </c>
    </row>
    <row r="1860" spans="1:20" x14ac:dyDescent="0.35">
      <c r="A1860" t="s">
        <v>2920</v>
      </c>
      <c r="B1860" s="2">
        <v>46175</v>
      </c>
      <c r="C1860" t="s">
        <v>361</v>
      </c>
      <c r="D1860" t="s">
        <v>144</v>
      </c>
      <c r="E1860" t="s">
        <v>77</v>
      </c>
      <c r="F1860" t="s">
        <v>78</v>
      </c>
      <c r="G1860" t="s">
        <v>34</v>
      </c>
      <c r="H1860" t="s">
        <v>35</v>
      </c>
      <c r="I1860">
        <v>5</v>
      </c>
      <c r="J1860">
        <v>52200</v>
      </c>
      <c r="K1860">
        <v>39000</v>
      </c>
      <c r="L1860" t="s">
        <v>80</v>
      </c>
      <c r="M1860" t="s">
        <v>37</v>
      </c>
      <c r="N1860" t="s">
        <v>23</v>
      </c>
      <c r="O1860" t="s">
        <v>45</v>
      </c>
      <c r="P1860">
        <f>Tableau1_2[[#This Row],[Quantité]]*Tableau1_2[[#This Row],[Prix_Unitaire]]</f>
        <v>261000</v>
      </c>
      <c r="Q1860">
        <f>Tableau1_2[[#This Row],[Quantité]]*Tableau1_2[[#This Row],[Coût_Unitaire]]</f>
        <v>195000</v>
      </c>
      <c r="R1860">
        <f>Tableau1_2[[#This Row],[CA]]-Tableau1_2[[#This Row],[Cout Total]]</f>
        <v>66000</v>
      </c>
      <c r="S1860" s="4">
        <f>Tableau1_2[[#This Row],[Marge]]/Tableau1_2[[#This Row],[CA]]</f>
        <v>0.25287356321839083</v>
      </c>
      <c r="T1860" t="str">
        <f>TEXT(Tableau1_2[[#This Row],[Date]],"mmmm")</f>
        <v>juin</v>
      </c>
    </row>
    <row r="1861" spans="1:20" x14ac:dyDescent="0.35">
      <c r="A1861" t="s">
        <v>2921</v>
      </c>
      <c r="B1861" s="2">
        <v>46086</v>
      </c>
      <c r="C1861" t="s">
        <v>976</v>
      </c>
      <c r="D1861" t="s">
        <v>1077</v>
      </c>
      <c r="E1861" t="s">
        <v>41</v>
      </c>
      <c r="F1861" t="s">
        <v>42</v>
      </c>
      <c r="G1861" t="s">
        <v>19</v>
      </c>
      <c r="H1861" t="s">
        <v>166</v>
      </c>
      <c r="I1861">
        <v>4</v>
      </c>
      <c r="J1861">
        <v>133000</v>
      </c>
      <c r="K1861">
        <v>97000</v>
      </c>
      <c r="L1861" t="s">
        <v>36</v>
      </c>
      <c r="M1861" t="s">
        <v>51</v>
      </c>
      <c r="N1861" t="s">
        <v>87</v>
      </c>
      <c r="O1861" t="s">
        <v>24</v>
      </c>
      <c r="P1861">
        <f>Tableau1_2[[#This Row],[Quantité]]*Tableau1_2[[#This Row],[Prix_Unitaire]]</f>
        <v>532000</v>
      </c>
      <c r="Q1861">
        <f>Tableau1_2[[#This Row],[Quantité]]*Tableau1_2[[#This Row],[Coût_Unitaire]]</f>
        <v>388000</v>
      </c>
      <c r="R1861">
        <f>Tableau1_2[[#This Row],[CA]]-Tableau1_2[[#This Row],[Cout Total]]</f>
        <v>144000</v>
      </c>
      <c r="S1861" s="4">
        <f>Tableau1_2[[#This Row],[Marge]]/Tableau1_2[[#This Row],[CA]]</f>
        <v>0.27067669172932329</v>
      </c>
      <c r="T1861" t="str">
        <f>TEXT(Tableau1_2[[#This Row],[Date]],"mmmm")</f>
        <v>mars</v>
      </c>
    </row>
    <row r="1862" spans="1:20" x14ac:dyDescent="0.35">
      <c r="A1862" t="s">
        <v>2922</v>
      </c>
      <c r="B1862" s="2">
        <v>46333</v>
      </c>
      <c r="C1862" t="s">
        <v>853</v>
      </c>
      <c r="D1862" t="s">
        <v>703</v>
      </c>
      <c r="E1862" t="s">
        <v>18</v>
      </c>
      <c r="F1862" t="s">
        <v>18</v>
      </c>
      <c r="G1862" t="s">
        <v>43</v>
      </c>
      <c r="H1862" t="s">
        <v>177</v>
      </c>
      <c r="I1862">
        <v>10</v>
      </c>
      <c r="J1862">
        <v>18000</v>
      </c>
      <c r="K1862">
        <v>12100</v>
      </c>
      <c r="L1862" t="s">
        <v>96</v>
      </c>
      <c r="M1862" t="s">
        <v>37</v>
      </c>
      <c r="N1862" t="s">
        <v>23</v>
      </c>
      <c r="O1862" t="s">
        <v>24</v>
      </c>
      <c r="P1862">
        <f>Tableau1_2[[#This Row],[Quantité]]*Tableau1_2[[#This Row],[Prix_Unitaire]]</f>
        <v>180000</v>
      </c>
      <c r="Q1862">
        <f>Tableau1_2[[#This Row],[Quantité]]*Tableau1_2[[#This Row],[Coût_Unitaire]]</f>
        <v>121000</v>
      </c>
      <c r="R1862">
        <f>Tableau1_2[[#This Row],[CA]]-Tableau1_2[[#This Row],[Cout Total]]</f>
        <v>59000</v>
      </c>
      <c r="S1862" s="4">
        <f>Tableau1_2[[#This Row],[Marge]]/Tableau1_2[[#This Row],[CA]]</f>
        <v>0.32777777777777778</v>
      </c>
      <c r="T1862" t="str">
        <f>TEXT(Tableau1_2[[#This Row],[Date]],"mmmm")</f>
        <v>novembre</v>
      </c>
    </row>
    <row r="1863" spans="1:20" x14ac:dyDescent="0.35">
      <c r="A1863" t="s">
        <v>2923</v>
      </c>
      <c r="B1863" s="2">
        <v>46210</v>
      </c>
      <c r="C1863" t="s">
        <v>196</v>
      </c>
      <c r="D1863" t="s">
        <v>435</v>
      </c>
      <c r="E1863" t="s">
        <v>190</v>
      </c>
      <c r="F1863" t="s">
        <v>191</v>
      </c>
      <c r="G1863" t="s">
        <v>19</v>
      </c>
      <c r="H1863" t="s">
        <v>166</v>
      </c>
      <c r="I1863">
        <v>1</v>
      </c>
      <c r="J1863">
        <v>140000</v>
      </c>
      <c r="K1863">
        <v>97000</v>
      </c>
      <c r="L1863" t="s">
        <v>50</v>
      </c>
      <c r="M1863" t="s">
        <v>51</v>
      </c>
      <c r="N1863" t="s">
        <v>87</v>
      </c>
      <c r="O1863" t="s">
        <v>24</v>
      </c>
      <c r="P1863">
        <f>Tableau1_2[[#This Row],[Quantité]]*Tableau1_2[[#This Row],[Prix_Unitaire]]</f>
        <v>140000</v>
      </c>
      <c r="Q1863">
        <f>Tableau1_2[[#This Row],[Quantité]]*Tableau1_2[[#This Row],[Coût_Unitaire]]</f>
        <v>97000</v>
      </c>
      <c r="R1863">
        <f>Tableau1_2[[#This Row],[CA]]-Tableau1_2[[#This Row],[Cout Total]]</f>
        <v>43000</v>
      </c>
      <c r="S1863" s="4">
        <f>Tableau1_2[[#This Row],[Marge]]/Tableau1_2[[#This Row],[CA]]</f>
        <v>0.30714285714285716</v>
      </c>
      <c r="T1863" t="str">
        <f>TEXT(Tableau1_2[[#This Row],[Date]],"mmmm")</f>
        <v>juillet</v>
      </c>
    </row>
    <row r="1864" spans="1:20" x14ac:dyDescent="0.35">
      <c r="A1864" t="s">
        <v>2924</v>
      </c>
      <c r="B1864" s="2">
        <v>46351</v>
      </c>
      <c r="C1864" t="s">
        <v>799</v>
      </c>
      <c r="D1864" t="s">
        <v>1171</v>
      </c>
      <c r="E1864" t="s">
        <v>156</v>
      </c>
      <c r="F1864" t="s">
        <v>157</v>
      </c>
      <c r="G1864" t="s">
        <v>34</v>
      </c>
      <c r="H1864" t="s">
        <v>35</v>
      </c>
      <c r="I1864">
        <v>7</v>
      </c>
      <c r="J1864">
        <v>57800</v>
      </c>
      <c r="K1864">
        <v>40200</v>
      </c>
      <c r="L1864" t="s">
        <v>36</v>
      </c>
      <c r="M1864" t="s">
        <v>37</v>
      </c>
      <c r="N1864" t="s">
        <v>23</v>
      </c>
      <c r="O1864" t="s">
        <v>24</v>
      </c>
      <c r="P1864">
        <f>Tableau1_2[[#This Row],[Quantité]]*Tableau1_2[[#This Row],[Prix_Unitaire]]</f>
        <v>404600</v>
      </c>
      <c r="Q1864">
        <f>Tableau1_2[[#This Row],[Quantité]]*Tableau1_2[[#This Row],[Coût_Unitaire]]</f>
        <v>281400</v>
      </c>
      <c r="R1864">
        <f>Tableau1_2[[#This Row],[CA]]-Tableau1_2[[#This Row],[Cout Total]]</f>
        <v>123200</v>
      </c>
      <c r="S1864" s="4">
        <f>Tableau1_2[[#This Row],[Marge]]/Tableau1_2[[#This Row],[CA]]</f>
        <v>0.30449826989619377</v>
      </c>
      <c r="T1864" t="str">
        <f>TEXT(Tableau1_2[[#This Row],[Date]],"mmmm")</f>
        <v>novembre</v>
      </c>
    </row>
    <row r="1865" spans="1:20" x14ac:dyDescent="0.35">
      <c r="A1865" t="s">
        <v>2925</v>
      </c>
      <c r="B1865" s="2">
        <v>46093</v>
      </c>
      <c r="C1865" t="s">
        <v>437</v>
      </c>
      <c r="D1865" t="s">
        <v>414</v>
      </c>
      <c r="E1865" t="s">
        <v>41</v>
      </c>
      <c r="F1865" t="s">
        <v>42</v>
      </c>
      <c r="G1865" t="s">
        <v>34</v>
      </c>
      <c r="H1865" t="s">
        <v>86</v>
      </c>
      <c r="I1865">
        <v>4</v>
      </c>
      <c r="J1865">
        <v>171000</v>
      </c>
      <c r="K1865">
        <v>131000</v>
      </c>
      <c r="L1865" t="s">
        <v>30</v>
      </c>
      <c r="M1865" t="s">
        <v>37</v>
      </c>
      <c r="N1865" t="s">
        <v>87</v>
      </c>
      <c r="O1865" t="s">
        <v>45</v>
      </c>
      <c r="P1865">
        <f>Tableau1_2[[#This Row],[Quantité]]*Tableau1_2[[#This Row],[Prix_Unitaire]]</f>
        <v>684000</v>
      </c>
      <c r="Q1865">
        <f>Tableau1_2[[#This Row],[Quantité]]*Tableau1_2[[#This Row],[Coût_Unitaire]]</f>
        <v>524000</v>
      </c>
      <c r="R1865">
        <f>Tableau1_2[[#This Row],[CA]]-Tableau1_2[[#This Row],[Cout Total]]</f>
        <v>160000</v>
      </c>
      <c r="S1865" s="4">
        <f>Tableau1_2[[#This Row],[Marge]]/Tableau1_2[[#This Row],[CA]]</f>
        <v>0.23391812865497075</v>
      </c>
      <c r="T1865" t="str">
        <f>TEXT(Tableau1_2[[#This Row],[Date]],"mmmm")</f>
        <v>mars</v>
      </c>
    </row>
    <row r="1866" spans="1:20" x14ac:dyDescent="0.35">
      <c r="A1866" t="s">
        <v>2926</v>
      </c>
      <c r="B1866" s="2">
        <v>46376</v>
      </c>
      <c r="C1866" t="s">
        <v>825</v>
      </c>
      <c r="D1866" t="s">
        <v>2174</v>
      </c>
      <c r="E1866" t="s">
        <v>156</v>
      </c>
      <c r="F1866" t="s">
        <v>170</v>
      </c>
      <c r="G1866" t="s">
        <v>19</v>
      </c>
      <c r="H1866" t="s">
        <v>20</v>
      </c>
      <c r="I1866">
        <v>9</v>
      </c>
      <c r="J1866">
        <v>61800</v>
      </c>
      <c r="K1866">
        <v>46400</v>
      </c>
      <c r="L1866" t="s">
        <v>96</v>
      </c>
      <c r="M1866" t="s">
        <v>22</v>
      </c>
      <c r="N1866" t="s">
        <v>23</v>
      </c>
      <c r="O1866" t="s">
        <v>24</v>
      </c>
      <c r="P1866">
        <f>Tableau1_2[[#This Row],[Quantité]]*Tableau1_2[[#This Row],[Prix_Unitaire]]</f>
        <v>556200</v>
      </c>
      <c r="Q1866">
        <f>Tableau1_2[[#This Row],[Quantité]]*Tableau1_2[[#This Row],[Coût_Unitaire]]</f>
        <v>417600</v>
      </c>
      <c r="R1866">
        <f>Tableau1_2[[#This Row],[CA]]-Tableau1_2[[#This Row],[Cout Total]]</f>
        <v>138600</v>
      </c>
      <c r="S1866" s="4">
        <f>Tableau1_2[[#This Row],[Marge]]/Tableau1_2[[#This Row],[CA]]</f>
        <v>0.24919093851132687</v>
      </c>
      <c r="T1866" t="str">
        <f>TEXT(Tableau1_2[[#This Row],[Date]],"mmmm")</f>
        <v>décembre</v>
      </c>
    </row>
    <row r="1867" spans="1:20" x14ac:dyDescent="0.35">
      <c r="A1867" t="s">
        <v>2927</v>
      </c>
      <c r="B1867" s="2">
        <v>46175</v>
      </c>
      <c r="C1867" t="s">
        <v>319</v>
      </c>
      <c r="D1867" t="s">
        <v>974</v>
      </c>
      <c r="E1867" t="s">
        <v>18</v>
      </c>
      <c r="F1867" t="s">
        <v>18</v>
      </c>
      <c r="G1867" t="s">
        <v>34</v>
      </c>
      <c r="H1867" t="s">
        <v>141</v>
      </c>
      <c r="I1867">
        <v>8</v>
      </c>
      <c r="J1867">
        <v>160000</v>
      </c>
      <c r="K1867">
        <v>123600</v>
      </c>
      <c r="L1867" t="s">
        <v>96</v>
      </c>
      <c r="M1867" t="s">
        <v>22</v>
      </c>
      <c r="N1867" t="s">
        <v>23</v>
      </c>
      <c r="O1867" t="s">
        <v>24</v>
      </c>
      <c r="P1867">
        <f>Tableau1_2[[#This Row],[Quantité]]*Tableau1_2[[#This Row],[Prix_Unitaire]]</f>
        <v>1280000</v>
      </c>
      <c r="Q1867">
        <f>Tableau1_2[[#This Row],[Quantité]]*Tableau1_2[[#This Row],[Coût_Unitaire]]</f>
        <v>988800</v>
      </c>
      <c r="R1867">
        <f>Tableau1_2[[#This Row],[CA]]-Tableau1_2[[#This Row],[Cout Total]]</f>
        <v>291200</v>
      </c>
      <c r="S1867" s="4">
        <f>Tableau1_2[[#This Row],[Marge]]/Tableau1_2[[#This Row],[CA]]</f>
        <v>0.22750000000000001</v>
      </c>
      <c r="T1867" t="str">
        <f>TEXT(Tableau1_2[[#This Row],[Date]],"mmmm")</f>
        <v>juin</v>
      </c>
    </row>
    <row r="1868" spans="1:20" x14ac:dyDescent="0.35">
      <c r="A1868" t="s">
        <v>2928</v>
      </c>
      <c r="B1868" s="2">
        <v>46061</v>
      </c>
      <c r="C1868" t="s">
        <v>503</v>
      </c>
      <c r="D1868" t="s">
        <v>650</v>
      </c>
      <c r="E1868" t="s">
        <v>18</v>
      </c>
      <c r="F1868" t="s">
        <v>18</v>
      </c>
      <c r="G1868" t="s">
        <v>19</v>
      </c>
      <c r="H1868" t="s">
        <v>166</v>
      </c>
      <c r="I1868">
        <v>8</v>
      </c>
      <c r="J1868">
        <v>140000</v>
      </c>
      <c r="K1868">
        <v>103000</v>
      </c>
      <c r="L1868" t="s">
        <v>50</v>
      </c>
      <c r="M1868" t="s">
        <v>37</v>
      </c>
      <c r="N1868" t="s">
        <v>87</v>
      </c>
      <c r="O1868" t="s">
        <v>24</v>
      </c>
      <c r="P1868">
        <f>Tableau1_2[[#This Row],[Quantité]]*Tableau1_2[[#This Row],[Prix_Unitaire]]</f>
        <v>1120000</v>
      </c>
      <c r="Q1868">
        <f>Tableau1_2[[#This Row],[Quantité]]*Tableau1_2[[#This Row],[Coût_Unitaire]]</f>
        <v>824000</v>
      </c>
      <c r="R1868">
        <f>Tableau1_2[[#This Row],[CA]]-Tableau1_2[[#This Row],[Cout Total]]</f>
        <v>296000</v>
      </c>
      <c r="S1868" s="4">
        <f>Tableau1_2[[#This Row],[Marge]]/Tableau1_2[[#This Row],[CA]]</f>
        <v>0.26428571428571429</v>
      </c>
      <c r="T1868" t="str">
        <f>TEXT(Tableau1_2[[#This Row],[Date]],"mmmm")</f>
        <v>février</v>
      </c>
    </row>
    <row r="1869" spans="1:20" x14ac:dyDescent="0.35">
      <c r="A1869" t="s">
        <v>2929</v>
      </c>
      <c r="B1869" s="2">
        <v>46083</v>
      </c>
      <c r="C1869" t="s">
        <v>210</v>
      </c>
      <c r="D1869" t="s">
        <v>1598</v>
      </c>
      <c r="E1869" t="s">
        <v>18</v>
      </c>
      <c r="F1869" t="s">
        <v>18</v>
      </c>
      <c r="G1869" t="s">
        <v>34</v>
      </c>
      <c r="H1869" t="s">
        <v>141</v>
      </c>
      <c r="I1869">
        <v>7</v>
      </c>
      <c r="J1869">
        <v>168000</v>
      </c>
      <c r="K1869">
        <v>116400</v>
      </c>
      <c r="L1869" t="s">
        <v>80</v>
      </c>
      <c r="M1869" t="s">
        <v>51</v>
      </c>
      <c r="N1869" t="s">
        <v>52</v>
      </c>
      <c r="O1869" t="s">
        <v>45</v>
      </c>
      <c r="P1869">
        <f>Tableau1_2[[#This Row],[Quantité]]*Tableau1_2[[#This Row],[Prix_Unitaire]]</f>
        <v>1176000</v>
      </c>
      <c r="Q1869">
        <f>Tableau1_2[[#This Row],[Quantité]]*Tableau1_2[[#This Row],[Coût_Unitaire]]</f>
        <v>814800</v>
      </c>
      <c r="R1869">
        <f>Tableau1_2[[#This Row],[CA]]-Tableau1_2[[#This Row],[Cout Total]]</f>
        <v>361200</v>
      </c>
      <c r="S1869" s="4">
        <f>Tableau1_2[[#This Row],[Marge]]/Tableau1_2[[#This Row],[CA]]</f>
        <v>0.30714285714285716</v>
      </c>
      <c r="T1869" t="str">
        <f>TEXT(Tableau1_2[[#This Row],[Date]],"mmmm")</f>
        <v>mars</v>
      </c>
    </row>
    <row r="1870" spans="1:20" x14ac:dyDescent="0.35">
      <c r="A1870" t="s">
        <v>2930</v>
      </c>
      <c r="B1870" s="2">
        <v>46245</v>
      </c>
      <c r="C1870" t="s">
        <v>431</v>
      </c>
      <c r="D1870" t="s">
        <v>1276</v>
      </c>
      <c r="E1870" t="s">
        <v>41</v>
      </c>
      <c r="F1870" t="s">
        <v>42</v>
      </c>
      <c r="G1870" t="s">
        <v>28</v>
      </c>
      <c r="H1870" t="s">
        <v>131</v>
      </c>
      <c r="I1870">
        <v>6</v>
      </c>
      <c r="J1870">
        <v>31500</v>
      </c>
      <c r="K1870">
        <v>19000</v>
      </c>
      <c r="L1870" t="s">
        <v>21</v>
      </c>
      <c r="M1870" t="s">
        <v>31</v>
      </c>
      <c r="N1870" t="s">
        <v>52</v>
      </c>
      <c r="O1870" t="s">
        <v>24</v>
      </c>
      <c r="P1870">
        <f>Tableau1_2[[#This Row],[Quantité]]*Tableau1_2[[#This Row],[Prix_Unitaire]]</f>
        <v>189000</v>
      </c>
      <c r="Q1870">
        <f>Tableau1_2[[#This Row],[Quantité]]*Tableau1_2[[#This Row],[Coût_Unitaire]]</f>
        <v>114000</v>
      </c>
      <c r="R1870">
        <f>Tableau1_2[[#This Row],[CA]]-Tableau1_2[[#This Row],[Cout Total]]</f>
        <v>75000</v>
      </c>
      <c r="S1870" s="4">
        <f>Tableau1_2[[#This Row],[Marge]]/Tableau1_2[[#This Row],[CA]]</f>
        <v>0.3968253968253968</v>
      </c>
      <c r="T1870" t="str">
        <f>TEXT(Tableau1_2[[#This Row],[Date]],"mmmm")</f>
        <v>août</v>
      </c>
    </row>
    <row r="1871" spans="1:20" x14ac:dyDescent="0.35">
      <c r="A1871" t="s">
        <v>2931</v>
      </c>
      <c r="B1871" s="2">
        <v>46280</v>
      </c>
      <c r="C1871" t="s">
        <v>1143</v>
      </c>
      <c r="D1871" t="s">
        <v>672</v>
      </c>
      <c r="E1871" t="s">
        <v>70</v>
      </c>
      <c r="F1871" t="s">
        <v>71</v>
      </c>
      <c r="G1871" t="s">
        <v>43</v>
      </c>
      <c r="H1871" t="s">
        <v>44</v>
      </c>
      <c r="I1871">
        <v>7</v>
      </c>
      <c r="J1871">
        <v>14200</v>
      </c>
      <c r="K1871">
        <v>9500</v>
      </c>
      <c r="L1871" t="s">
        <v>80</v>
      </c>
      <c r="M1871" t="s">
        <v>51</v>
      </c>
      <c r="N1871" t="s">
        <v>52</v>
      </c>
      <c r="O1871" t="s">
        <v>45</v>
      </c>
      <c r="P1871">
        <f>Tableau1_2[[#This Row],[Quantité]]*Tableau1_2[[#This Row],[Prix_Unitaire]]</f>
        <v>99400</v>
      </c>
      <c r="Q1871">
        <f>Tableau1_2[[#This Row],[Quantité]]*Tableau1_2[[#This Row],[Coût_Unitaire]]</f>
        <v>66500</v>
      </c>
      <c r="R1871">
        <f>Tableau1_2[[#This Row],[CA]]-Tableau1_2[[#This Row],[Cout Total]]</f>
        <v>32900</v>
      </c>
      <c r="S1871" s="4">
        <f>Tableau1_2[[#This Row],[Marge]]/Tableau1_2[[#This Row],[CA]]</f>
        <v>0.33098591549295775</v>
      </c>
      <c r="T1871" t="str">
        <f>TEXT(Tableau1_2[[#This Row],[Date]],"mmmm")</f>
        <v>septembre</v>
      </c>
    </row>
    <row r="1872" spans="1:20" x14ac:dyDescent="0.35">
      <c r="A1872" t="s">
        <v>2932</v>
      </c>
      <c r="B1872" s="2">
        <v>46283</v>
      </c>
      <c r="C1872" t="s">
        <v>730</v>
      </c>
      <c r="D1872" t="s">
        <v>340</v>
      </c>
      <c r="E1872" t="s">
        <v>41</v>
      </c>
      <c r="F1872" t="s">
        <v>42</v>
      </c>
      <c r="G1872" t="s">
        <v>34</v>
      </c>
      <c r="H1872" t="s">
        <v>158</v>
      </c>
      <c r="I1872">
        <v>1</v>
      </c>
      <c r="J1872">
        <v>95000</v>
      </c>
      <c r="K1872">
        <v>72100</v>
      </c>
      <c r="L1872" t="s">
        <v>73</v>
      </c>
      <c r="M1872" t="s">
        <v>51</v>
      </c>
      <c r="N1872" t="s">
        <v>23</v>
      </c>
      <c r="O1872" t="s">
        <v>24</v>
      </c>
      <c r="P1872">
        <f>Tableau1_2[[#This Row],[Quantité]]*Tableau1_2[[#This Row],[Prix_Unitaire]]</f>
        <v>95000</v>
      </c>
      <c r="Q1872">
        <f>Tableau1_2[[#This Row],[Quantité]]*Tableau1_2[[#This Row],[Coût_Unitaire]]</f>
        <v>72100</v>
      </c>
      <c r="R1872">
        <f>Tableau1_2[[#This Row],[CA]]-Tableau1_2[[#This Row],[Cout Total]]</f>
        <v>22900</v>
      </c>
      <c r="S1872" s="4">
        <f>Tableau1_2[[#This Row],[Marge]]/Tableau1_2[[#This Row],[CA]]</f>
        <v>0.24105263157894738</v>
      </c>
      <c r="T1872" t="str">
        <f>TEXT(Tableau1_2[[#This Row],[Date]],"mmmm")</f>
        <v>septembre</v>
      </c>
    </row>
    <row r="1873" spans="1:20" x14ac:dyDescent="0.35">
      <c r="A1873" t="s">
        <v>2933</v>
      </c>
      <c r="B1873" s="2">
        <v>46202</v>
      </c>
      <c r="C1873" t="s">
        <v>995</v>
      </c>
      <c r="D1873" t="s">
        <v>540</v>
      </c>
      <c r="E1873" t="s">
        <v>18</v>
      </c>
      <c r="F1873" t="s">
        <v>18</v>
      </c>
      <c r="G1873" t="s">
        <v>34</v>
      </c>
      <c r="H1873" t="s">
        <v>158</v>
      </c>
      <c r="I1873">
        <v>6</v>
      </c>
      <c r="J1873">
        <v>99800</v>
      </c>
      <c r="K1873">
        <v>67900</v>
      </c>
      <c r="L1873" t="s">
        <v>21</v>
      </c>
      <c r="M1873" t="s">
        <v>31</v>
      </c>
      <c r="N1873" t="s">
        <v>23</v>
      </c>
      <c r="O1873" t="s">
        <v>24</v>
      </c>
      <c r="P1873">
        <f>Tableau1_2[[#This Row],[Quantité]]*Tableau1_2[[#This Row],[Prix_Unitaire]]</f>
        <v>598800</v>
      </c>
      <c r="Q1873">
        <f>Tableau1_2[[#This Row],[Quantité]]*Tableau1_2[[#This Row],[Coût_Unitaire]]</f>
        <v>407400</v>
      </c>
      <c r="R1873">
        <f>Tableau1_2[[#This Row],[CA]]-Tableau1_2[[#This Row],[Cout Total]]</f>
        <v>191400</v>
      </c>
      <c r="S1873" s="4">
        <f>Tableau1_2[[#This Row],[Marge]]/Tableau1_2[[#This Row],[CA]]</f>
        <v>0.31963927855711421</v>
      </c>
      <c r="T1873" t="str">
        <f>TEXT(Tableau1_2[[#This Row],[Date]],"mmmm")</f>
        <v>juin</v>
      </c>
    </row>
    <row r="1874" spans="1:20" x14ac:dyDescent="0.35">
      <c r="A1874" t="s">
        <v>2934</v>
      </c>
      <c r="B1874" s="2">
        <v>46321</v>
      </c>
      <c r="C1874" t="s">
        <v>1857</v>
      </c>
      <c r="D1874" t="s">
        <v>189</v>
      </c>
      <c r="E1874" t="s">
        <v>84</v>
      </c>
      <c r="F1874" t="s">
        <v>85</v>
      </c>
      <c r="G1874" t="s">
        <v>34</v>
      </c>
      <c r="H1874" t="s">
        <v>141</v>
      </c>
      <c r="I1874">
        <v>6</v>
      </c>
      <c r="J1874">
        <v>160000</v>
      </c>
      <c r="K1874">
        <v>116400</v>
      </c>
      <c r="L1874" t="s">
        <v>21</v>
      </c>
      <c r="M1874" t="s">
        <v>37</v>
      </c>
      <c r="N1874" t="s">
        <v>52</v>
      </c>
      <c r="O1874" t="s">
        <v>45</v>
      </c>
      <c r="P1874">
        <f>Tableau1_2[[#This Row],[Quantité]]*Tableau1_2[[#This Row],[Prix_Unitaire]]</f>
        <v>960000</v>
      </c>
      <c r="Q1874">
        <f>Tableau1_2[[#This Row],[Quantité]]*Tableau1_2[[#This Row],[Coût_Unitaire]]</f>
        <v>698400</v>
      </c>
      <c r="R1874">
        <f>Tableau1_2[[#This Row],[CA]]-Tableau1_2[[#This Row],[Cout Total]]</f>
        <v>261600</v>
      </c>
      <c r="S1874" s="4">
        <f>Tableau1_2[[#This Row],[Marge]]/Tableau1_2[[#This Row],[CA]]</f>
        <v>0.27250000000000002</v>
      </c>
      <c r="T1874" t="str">
        <f>TEXT(Tableau1_2[[#This Row],[Date]],"mmmm")</f>
        <v>octobre</v>
      </c>
    </row>
    <row r="1875" spans="1:20" x14ac:dyDescent="0.35">
      <c r="A1875" t="s">
        <v>2935</v>
      </c>
      <c r="B1875" s="2">
        <v>46263</v>
      </c>
      <c r="C1875" t="s">
        <v>2011</v>
      </c>
      <c r="D1875" t="s">
        <v>403</v>
      </c>
      <c r="E1875" t="s">
        <v>41</v>
      </c>
      <c r="F1875" t="s">
        <v>42</v>
      </c>
      <c r="G1875" t="s">
        <v>28</v>
      </c>
      <c r="H1875" t="s">
        <v>65</v>
      </c>
      <c r="I1875">
        <v>6</v>
      </c>
      <c r="J1875">
        <v>12000</v>
      </c>
      <c r="K1875">
        <v>7500</v>
      </c>
      <c r="L1875" t="s">
        <v>50</v>
      </c>
      <c r="M1875" t="s">
        <v>51</v>
      </c>
      <c r="N1875" t="s">
        <v>52</v>
      </c>
      <c r="O1875" t="s">
        <v>24</v>
      </c>
      <c r="P1875">
        <f>Tableau1_2[[#This Row],[Quantité]]*Tableau1_2[[#This Row],[Prix_Unitaire]]</f>
        <v>72000</v>
      </c>
      <c r="Q1875">
        <f>Tableau1_2[[#This Row],[Quantité]]*Tableau1_2[[#This Row],[Coût_Unitaire]]</f>
        <v>45000</v>
      </c>
      <c r="R1875">
        <f>Tableau1_2[[#This Row],[CA]]-Tableau1_2[[#This Row],[Cout Total]]</f>
        <v>27000</v>
      </c>
      <c r="S1875" s="4">
        <f>Tableau1_2[[#This Row],[Marge]]/Tableau1_2[[#This Row],[CA]]</f>
        <v>0.375</v>
      </c>
      <c r="T1875" t="str">
        <f>TEXT(Tableau1_2[[#This Row],[Date]],"mmmm")</f>
        <v>août</v>
      </c>
    </row>
    <row r="1876" spans="1:20" x14ac:dyDescent="0.35">
      <c r="A1876" t="s">
        <v>2936</v>
      </c>
      <c r="B1876" s="2">
        <v>46298</v>
      </c>
      <c r="C1876" t="s">
        <v>1051</v>
      </c>
      <c r="D1876" t="s">
        <v>2016</v>
      </c>
      <c r="E1876" t="s">
        <v>41</v>
      </c>
      <c r="F1876" t="s">
        <v>42</v>
      </c>
      <c r="G1876" t="s">
        <v>34</v>
      </c>
      <c r="H1876" t="s">
        <v>95</v>
      </c>
      <c r="I1876">
        <v>7</v>
      </c>
      <c r="J1876">
        <v>450000</v>
      </c>
      <c r="K1876">
        <v>381100</v>
      </c>
      <c r="L1876" t="s">
        <v>50</v>
      </c>
      <c r="M1876" t="s">
        <v>51</v>
      </c>
      <c r="N1876" t="s">
        <v>52</v>
      </c>
      <c r="O1876" t="s">
        <v>45</v>
      </c>
      <c r="P1876">
        <f>Tableau1_2[[#This Row],[Quantité]]*Tableau1_2[[#This Row],[Prix_Unitaire]]</f>
        <v>3150000</v>
      </c>
      <c r="Q1876">
        <f>Tableau1_2[[#This Row],[Quantité]]*Tableau1_2[[#This Row],[Coût_Unitaire]]</f>
        <v>2667700</v>
      </c>
      <c r="R1876">
        <f>Tableau1_2[[#This Row],[CA]]-Tableau1_2[[#This Row],[Cout Total]]</f>
        <v>482300</v>
      </c>
      <c r="S1876" s="4">
        <f>Tableau1_2[[#This Row],[Marge]]/Tableau1_2[[#This Row],[CA]]</f>
        <v>0.15311111111111111</v>
      </c>
      <c r="T1876" t="str">
        <f>TEXT(Tableau1_2[[#This Row],[Date]],"mmmm")</f>
        <v>octobre</v>
      </c>
    </row>
    <row r="1877" spans="1:20" x14ac:dyDescent="0.35">
      <c r="A1877" t="s">
        <v>2937</v>
      </c>
      <c r="B1877" s="2">
        <v>46375</v>
      </c>
      <c r="C1877" t="s">
        <v>1788</v>
      </c>
      <c r="D1877" t="s">
        <v>1038</v>
      </c>
      <c r="E1877" t="s">
        <v>56</v>
      </c>
      <c r="F1877" t="s">
        <v>57</v>
      </c>
      <c r="G1877" t="s">
        <v>19</v>
      </c>
      <c r="H1877" t="s">
        <v>20</v>
      </c>
      <c r="I1877">
        <v>3</v>
      </c>
      <c r="J1877">
        <v>68200</v>
      </c>
      <c r="K1877">
        <v>43600</v>
      </c>
      <c r="L1877" t="s">
        <v>73</v>
      </c>
      <c r="M1877" t="s">
        <v>37</v>
      </c>
      <c r="N1877" t="s">
        <v>52</v>
      </c>
      <c r="O1877" t="s">
        <v>45</v>
      </c>
      <c r="P1877">
        <f>Tableau1_2[[#This Row],[Quantité]]*Tableau1_2[[#This Row],[Prix_Unitaire]]</f>
        <v>204600</v>
      </c>
      <c r="Q1877">
        <f>Tableau1_2[[#This Row],[Quantité]]*Tableau1_2[[#This Row],[Coût_Unitaire]]</f>
        <v>130800</v>
      </c>
      <c r="R1877">
        <f>Tableau1_2[[#This Row],[CA]]-Tableau1_2[[#This Row],[Cout Total]]</f>
        <v>73800</v>
      </c>
      <c r="S1877" s="4">
        <f>Tableau1_2[[#This Row],[Marge]]/Tableau1_2[[#This Row],[CA]]</f>
        <v>0.36070381231671556</v>
      </c>
      <c r="T1877" t="str">
        <f>TEXT(Tableau1_2[[#This Row],[Date]],"mmmm")</f>
        <v>décembre</v>
      </c>
    </row>
    <row r="1878" spans="1:20" x14ac:dyDescent="0.35">
      <c r="A1878" t="s">
        <v>2938</v>
      </c>
      <c r="B1878" s="2">
        <v>46095</v>
      </c>
      <c r="C1878" t="s">
        <v>791</v>
      </c>
      <c r="D1878" t="s">
        <v>152</v>
      </c>
      <c r="E1878" t="s">
        <v>18</v>
      </c>
      <c r="F1878" t="s">
        <v>18</v>
      </c>
      <c r="G1878" t="s">
        <v>34</v>
      </c>
      <c r="H1878" t="s">
        <v>35</v>
      </c>
      <c r="I1878">
        <v>7</v>
      </c>
      <c r="J1878">
        <v>52200</v>
      </c>
      <c r="K1878">
        <v>37800</v>
      </c>
      <c r="L1878" t="s">
        <v>80</v>
      </c>
      <c r="M1878" t="s">
        <v>22</v>
      </c>
      <c r="N1878" t="s">
        <v>23</v>
      </c>
      <c r="O1878" t="s">
        <v>24</v>
      </c>
      <c r="P1878">
        <f>Tableau1_2[[#This Row],[Quantité]]*Tableau1_2[[#This Row],[Prix_Unitaire]]</f>
        <v>365400</v>
      </c>
      <c r="Q1878">
        <f>Tableau1_2[[#This Row],[Quantité]]*Tableau1_2[[#This Row],[Coût_Unitaire]]</f>
        <v>264600</v>
      </c>
      <c r="R1878">
        <f>Tableau1_2[[#This Row],[CA]]-Tableau1_2[[#This Row],[Cout Total]]</f>
        <v>100800</v>
      </c>
      <c r="S1878" s="4">
        <f>Tableau1_2[[#This Row],[Marge]]/Tableau1_2[[#This Row],[CA]]</f>
        <v>0.27586206896551724</v>
      </c>
      <c r="T1878" t="str">
        <f>TEXT(Tableau1_2[[#This Row],[Date]],"mmmm")</f>
        <v>mars</v>
      </c>
    </row>
    <row r="1879" spans="1:20" x14ac:dyDescent="0.35">
      <c r="A1879" t="s">
        <v>2939</v>
      </c>
      <c r="B1879" s="2">
        <v>46182</v>
      </c>
      <c r="C1879" t="s">
        <v>908</v>
      </c>
      <c r="D1879" t="s">
        <v>986</v>
      </c>
      <c r="E1879" t="s">
        <v>18</v>
      </c>
      <c r="F1879" t="s">
        <v>18</v>
      </c>
      <c r="G1879" t="s">
        <v>19</v>
      </c>
      <c r="H1879" t="s">
        <v>112</v>
      </c>
      <c r="I1879">
        <v>10</v>
      </c>
      <c r="J1879">
        <v>89200</v>
      </c>
      <c r="K1879">
        <v>60100</v>
      </c>
      <c r="L1879" t="s">
        <v>30</v>
      </c>
      <c r="M1879" t="s">
        <v>37</v>
      </c>
      <c r="N1879" t="s">
        <v>52</v>
      </c>
      <c r="O1879" t="s">
        <v>24</v>
      </c>
      <c r="P1879">
        <f>Tableau1_2[[#This Row],[Quantité]]*Tableau1_2[[#This Row],[Prix_Unitaire]]</f>
        <v>892000</v>
      </c>
      <c r="Q1879">
        <f>Tableau1_2[[#This Row],[Quantité]]*Tableau1_2[[#This Row],[Coût_Unitaire]]</f>
        <v>601000</v>
      </c>
      <c r="R1879">
        <f>Tableau1_2[[#This Row],[CA]]-Tableau1_2[[#This Row],[Cout Total]]</f>
        <v>291000</v>
      </c>
      <c r="S1879" s="4">
        <f>Tableau1_2[[#This Row],[Marge]]/Tableau1_2[[#This Row],[CA]]</f>
        <v>0.32623318385650224</v>
      </c>
      <c r="T1879" t="str">
        <f>TEXT(Tableau1_2[[#This Row],[Date]],"mmmm")</f>
        <v>juin</v>
      </c>
    </row>
    <row r="1880" spans="1:20" x14ac:dyDescent="0.35">
      <c r="A1880" t="s">
        <v>2940</v>
      </c>
      <c r="B1880" s="2">
        <v>46035</v>
      </c>
      <c r="C1880" t="s">
        <v>172</v>
      </c>
      <c r="D1880" t="s">
        <v>1126</v>
      </c>
      <c r="E1880" t="s">
        <v>18</v>
      </c>
      <c r="F1880" t="s">
        <v>18</v>
      </c>
      <c r="G1880" t="s">
        <v>34</v>
      </c>
      <c r="H1880" t="s">
        <v>158</v>
      </c>
      <c r="I1880">
        <v>5</v>
      </c>
      <c r="J1880">
        <v>95000</v>
      </c>
      <c r="K1880">
        <v>70000</v>
      </c>
      <c r="L1880" t="s">
        <v>50</v>
      </c>
      <c r="M1880" t="s">
        <v>37</v>
      </c>
      <c r="N1880" t="s">
        <v>23</v>
      </c>
      <c r="O1880" t="s">
        <v>45</v>
      </c>
      <c r="P1880">
        <f>Tableau1_2[[#This Row],[Quantité]]*Tableau1_2[[#This Row],[Prix_Unitaire]]</f>
        <v>475000</v>
      </c>
      <c r="Q1880">
        <f>Tableau1_2[[#This Row],[Quantité]]*Tableau1_2[[#This Row],[Coût_Unitaire]]</f>
        <v>350000</v>
      </c>
      <c r="R1880">
        <f>Tableau1_2[[#This Row],[CA]]-Tableau1_2[[#This Row],[Cout Total]]</f>
        <v>125000</v>
      </c>
      <c r="S1880" s="4">
        <f>Tableau1_2[[#This Row],[Marge]]/Tableau1_2[[#This Row],[CA]]</f>
        <v>0.26315789473684209</v>
      </c>
      <c r="T1880" t="str">
        <f>TEXT(Tableau1_2[[#This Row],[Date]],"mmmm")</f>
        <v>janvier</v>
      </c>
    </row>
    <row r="1881" spans="1:20" x14ac:dyDescent="0.35">
      <c r="A1881" t="s">
        <v>2941</v>
      </c>
      <c r="B1881" s="2">
        <v>46225</v>
      </c>
      <c r="C1881" t="s">
        <v>1448</v>
      </c>
      <c r="D1881" t="s">
        <v>2443</v>
      </c>
      <c r="E1881" t="s">
        <v>18</v>
      </c>
      <c r="F1881" t="s">
        <v>18</v>
      </c>
      <c r="G1881" t="s">
        <v>19</v>
      </c>
      <c r="H1881" t="s">
        <v>112</v>
      </c>
      <c r="I1881">
        <v>6</v>
      </c>
      <c r="J1881">
        <v>85000</v>
      </c>
      <c r="K1881">
        <v>63900</v>
      </c>
      <c r="L1881" t="s">
        <v>73</v>
      </c>
      <c r="M1881" t="s">
        <v>51</v>
      </c>
      <c r="N1881" t="s">
        <v>52</v>
      </c>
      <c r="O1881" t="s">
        <v>24</v>
      </c>
      <c r="P1881">
        <f>Tableau1_2[[#This Row],[Quantité]]*Tableau1_2[[#This Row],[Prix_Unitaire]]</f>
        <v>510000</v>
      </c>
      <c r="Q1881">
        <f>Tableau1_2[[#This Row],[Quantité]]*Tableau1_2[[#This Row],[Coût_Unitaire]]</f>
        <v>383400</v>
      </c>
      <c r="R1881">
        <f>Tableau1_2[[#This Row],[CA]]-Tableau1_2[[#This Row],[Cout Total]]</f>
        <v>126600</v>
      </c>
      <c r="S1881" s="4">
        <f>Tableau1_2[[#This Row],[Marge]]/Tableau1_2[[#This Row],[CA]]</f>
        <v>0.24823529411764705</v>
      </c>
      <c r="T1881" t="str">
        <f>TEXT(Tableau1_2[[#This Row],[Date]],"mmmm")</f>
        <v>juillet</v>
      </c>
    </row>
    <row r="1882" spans="1:20" x14ac:dyDescent="0.35">
      <c r="A1882" t="s">
        <v>2942</v>
      </c>
      <c r="B1882" s="2">
        <v>46101</v>
      </c>
      <c r="C1882" t="s">
        <v>1185</v>
      </c>
      <c r="D1882" t="s">
        <v>1921</v>
      </c>
      <c r="E1882" t="s">
        <v>41</v>
      </c>
      <c r="F1882" t="s">
        <v>42</v>
      </c>
      <c r="G1882" t="s">
        <v>34</v>
      </c>
      <c r="H1882" t="s">
        <v>86</v>
      </c>
      <c r="I1882">
        <v>8</v>
      </c>
      <c r="J1882">
        <v>189000</v>
      </c>
      <c r="K1882">
        <v>135000</v>
      </c>
      <c r="L1882" t="s">
        <v>50</v>
      </c>
      <c r="M1882" t="s">
        <v>37</v>
      </c>
      <c r="N1882" t="s">
        <v>52</v>
      </c>
      <c r="O1882" t="s">
        <v>24</v>
      </c>
      <c r="P1882">
        <f>Tableau1_2[[#This Row],[Quantité]]*Tableau1_2[[#This Row],[Prix_Unitaire]]</f>
        <v>1512000</v>
      </c>
      <c r="Q1882">
        <f>Tableau1_2[[#This Row],[Quantité]]*Tableau1_2[[#This Row],[Coût_Unitaire]]</f>
        <v>1080000</v>
      </c>
      <c r="R1882">
        <f>Tableau1_2[[#This Row],[CA]]-Tableau1_2[[#This Row],[Cout Total]]</f>
        <v>432000</v>
      </c>
      <c r="S1882" s="4">
        <f>Tableau1_2[[#This Row],[Marge]]/Tableau1_2[[#This Row],[CA]]</f>
        <v>0.2857142857142857</v>
      </c>
      <c r="T1882" t="str">
        <f>TEXT(Tableau1_2[[#This Row],[Date]],"mmmm")</f>
        <v>mars</v>
      </c>
    </row>
    <row r="1883" spans="1:20" x14ac:dyDescent="0.35">
      <c r="A1883" t="s">
        <v>2943</v>
      </c>
      <c r="B1883" s="2">
        <v>46032</v>
      </c>
      <c r="C1883" t="s">
        <v>212</v>
      </c>
      <c r="D1883" t="s">
        <v>1839</v>
      </c>
      <c r="E1883" t="s">
        <v>77</v>
      </c>
      <c r="F1883" t="s">
        <v>78</v>
      </c>
      <c r="G1883" t="s">
        <v>43</v>
      </c>
      <c r="H1883" t="s">
        <v>79</v>
      </c>
      <c r="I1883">
        <v>3</v>
      </c>
      <c r="J1883">
        <v>6000</v>
      </c>
      <c r="K1883">
        <v>4100</v>
      </c>
      <c r="L1883" t="s">
        <v>80</v>
      </c>
      <c r="M1883" t="s">
        <v>51</v>
      </c>
      <c r="N1883" t="s">
        <v>23</v>
      </c>
      <c r="O1883" t="s">
        <v>24</v>
      </c>
      <c r="P1883">
        <f>Tableau1_2[[#This Row],[Quantité]]*Tableau1_2[[#This Row],[Prix_Unitaire]]</f>
        <v>18000</v>
      </c>
      <c r="Q1883">
        <f>Tableau1_2[[#This Row],[Quantité]]*Tableau1_2[[#This Row],[Coût_Unitaire]]</f>
        <v>12300</v>
      </c>
      <c r="R1883">
        <f>Tableau1_2[[#This Row],[CA]]-Tableau1_2[[#This Row],[Cout Total]]</f>
        <v>5700</v>
      </c>
      <c r="S1883" s="4">
        <f>Tableau1_2[[#This Row],[Marge]]/Tableau1_2[[#This Row],[CA]]</f>
        <v>0.31666666666666665</v>
      </c>
      <c r="T1883" t="str">
        <f>TEXT(Tableau1_2[[#This Row],[Date]],"mmmm")</f>
        <v>janvier</v>
      </c>
    </row>
    <row r="1884" spans="1:20" x14ac:dyDescent="0.35">
      <c r="A1884" t="s">
        <v>2944</v>
      </c>
      <c r="B1884" s="2">
        <v>46241</v>
      </c>
      <c r="C1884" t="s">
        <v>290</v>
      </c>
      <c r="D1884" t="s">
        <v>889</v>
      </c>
      <c r="E1884" t="s">
        <v>84</v>
      </c>
      <c r="F1884" t="s">
        <v>85</v>
      </c>
      <c r="G1884" t="s">
        <v>43</v>
      </c>
      <c r="H1884" t="s">
        <v>79</v>
      </c>
      <c r="I1884">
        <v>4</v>
      </c>
      <c r="J1884">
        <v>6300</v>
      </c>
      <c r="K1884">
        <v>4200</v>
      </c>
      <c r="L1884" t="s">
        <v>66</v>
      </c>
      <c r="M1884" t="s">
        <v>51</v>
      </c>
      <c r="N1884" t="s">
        <v>52</v>
      </c>
      <c r="O1884" t="s">
        <v>24</v>
      </c>
      <c r="P1884">
        <f>Tableau1_2[[#This Row],[Quantité]]*Tableau1_2[[#This Row],[Prix_Unitaire]]</f>
        <v>25200</v>
      </c>
      <c r="Q1884">
        <f>Tableau1_2[[#This Row],[Quantité]]*Tableau1_2[[#This Row],[Coût_Unitaire]]</f>
        <v>16800</v>
      </c>
      <c r="R1884">
        <f>Tableau1_2[[#This Row],[CA]]-Tableau1_2[[#This Row],[Cout Total]]</f>
        <v>8400</v>
      </c>
      <c r="S1884" s="4">
        <f>Tableau1_2[[#This Row],[Marge]]/Tableau1_2[[#This Row],[CA]]</f>
        <v>0.33333333333333331</v>
      </c>
      <c r="T1884" t="str">
        <f>TEXT(Tableau1_2[[#This Row],[Date]],"mmmm")</f>
        <v>août</v>
      </c>
    </row>
    <row r="1885" spans="1:20" x14ac:dyDescent="0.35">
      <c r="A1885" t="s">
        <v>2945</v>
      </c>
      <c r="B1885" s="2">
        <v>46067</v>
      </c>
      <c r="C1885" t="s">
        <v>353</v>
      </c>
      <c r="D1885" t="s">
        <v>1052</v>
      </c>
      <c r="E1885" t="s">
        <v>84</v>
      </c>
      <c r="F1885" t="s">
        <v>85</v>
      </c>
      <c r="G1885" t="s">
        <v>34</v>
      </c>
      <c r="H1885" t="s">
        <v>86</v>
      </c>
      <c r="I1885">
        <v>10</v>
      </c>
      <c r="J1885">
        <v>180000</v>
      </c>
      <c r="K1885">
        <v>131000</v>
      </c>
      <c r="L1885" t="s">
        <v>80</v>
      </c>
      <c r="M1885" t="s">
        <v>51</v>
      </c>
      <c r="N1885" t="s">
        <v>23</v>
      </c>
      <c r="O1885" t="s">
        <v>24</v>
      </c>
      <c r="P1885">
        <f>Tableau1_2[[#This Row],[Quantité]]*Tableau1_2[[#This Row],[Prix_Unitaire]]</f>
        <v>1800000</v>
      </c>
      <c r="Q1885">
        <f>Tableau1_2[[#This Row],[Quantité]]*Tableau1_2[[#This Row],[Coût_Unitaire]]</f>
        <v>1310000</v>
      </c>
      <c r="R1885">
        <f>Tableau1_2[[#This Row],[CA]]-Tableau1_2[[#This Row],[Cout Total]]</f>
        <v>490000</v>
      </c>
      <c r="S1885" s="4">
        <f>Tableau1_2[[#This Row],[Marge]]/Tableau1_2[[#This Row],[CA]]</f>
        <v>0.2722222222222222</v>
      </c>
      <c r="T1885" t="str">
        <f>TEXT(Tableau1_2[[#This Row],[Date]],"mmmm")</f>
        <v>février</v>
      </c>
    </row>
    <row r="1886" spans="1:20" x14ac:dyDescent="0.35">
      <c r="A1886" t="s">
        <v>2946</v>
      </c>
      <c r="B1886" s="2">
        <v>46115</v>
      </c>
      <c r="C1886" t="s">
        <v>730</v>
      </c>
      <c r="D1886" t="s">
        <v>627</v>
      </c>
      <c r="E1886" t="s">
        <v>84</v>
      </c>
      <c r="F1886" t="s">
        <v>85</v>
      </c>
      <c r="G1886" t="s">
        <v>19</v>
      </c>
      <c r="H1886" t="s">
        <v>20</v>
      </c>
      <c r="I1886">
        <v>7</v>
      </c>
      <c r="J1886">
        <v>65000</v>
      </c>
      <c r="K1886">
        <v>45000</v>
      </c>
      <c r="L1886" t="s">
        <v>36</v>
      </c>
      <c r="M1886" t="s">
        <v>22</v>
      </c>
      <c r="N1886" t="s">
        <v>87</v>
      </c>
      <c r="O1886" t="s">
        <v>24</v>
      </c>
      <c r="P1886">
        <f>Tableau1_2[[#This Row],[Quantité]]*Tableau1_2[[#This Row],[Prix_Unitaire]]</f>
        <v>455000</v>
      </c>
      <c r="Q1886">
        <f>Tableau1_2[[#This Row],[Quantité]]*Tableau1_2[[#This Row],[Coût_Unitaire]]</f>
        <v>315000</v>
      </c>
      <c r="R1886">
        <f>Tableau1_2[[#This Row],[CA]]-Tableau1_2[[#This Row],[Cout Total]]</f>
        <v>140000</v>
      </c>
      <c r="S1886" s="4">
        <f>Tableau1_2[[#This Row],[Marge]]/Tableau1_2[[#This Row],[CA]]</f>
        <v>0.30769230769230771</v>
      </c>
      <c r="T1886" t="str">
        <f>TEXT(Tableau1_2[[#This Row],[Date]],"mmmm")</f>
        <v>avril</v>
      </c>
    </row>
    <row r="1887" spans="1:20" x14ac:dyDescent="0.35">
      <c r="A1887" t="s">
        <v>2947</v>
      </c>
      <c r="B1887" s="2">
        <v>46078</v>
      </c>
      <c r="C1887" t="s">
        <v>413</v>
      </c>
      <c r="D1887" t="s">
        <v>1094</v>
      </c>
      <c r="E1887" t="s">
        <v>190</v>
      </c>
      <c r="F1887" t="s">
        <v>191</v>
      </c>
      <c r="G1887" t="s">
        <v>19</v>
      </c>
      <c r="H1887" t="s">
        <v>166</v>
      </c>
      <c r="I1887">
        <v>6</v>
      </c>
      <c r="J1887">
        <v>147000</v>
      </c>
      <c r="K1887">
        <v>100000</v>
      </c>
      <c r="L1887" t="s">
        <v>36</v>
      </c>
      <c r="M1887" t="s">
        <v>22</v>
      </c>
      <c r="N1887" t="s">
        <v>52</v>
      </c>
      <c r="O1887" t="s">
        <v>24</v>
      </c>
      <c r="P1887">
        <f>Tableau1_2[[#This Row],[Quantité]]*Tableau1_2[[#This Row],[Prix_Unitaire]]</f>
        <v>882000</v>
      </c>
      <c r="Q1887">
        <f>Tableau1_2[[#This Row],[Quantité]]*Tableau1_2[[#This Row],[Coût_Unitaire]]</f>
        <v>600000</v>
      </c>
      <c r="R1887">
        <f>Tableau1_2[[#This Row],[CA]]-Tableau1_2[[#This Row],[Cout Total]]</f>
        <v>282000</v>
      </c>
      <c r="S1887" s="4">
        <f>Tableau1_2[[#This Row],[Marge]]/Tableau1_2[[#This Row],[CA]]</f>
        <v>0.31972789115646261</v>
      </c>
      <c r="T1887" t="str">
        <f>TEXT(Tableau1_2[[#This Row],[Date]],"mmmm")</f>
        <v>février</v>
      </c>
    </row>
    <row r="1888" spans="1:20" x14ac:dyDescent="0.35">
      <c r="A1888" t="s">
        <v>2948</v>
      </c>
      <c r="B1888" s="2">
        <v>46368</v>
      </c>
      <c r="C1888" t="s">
        <v>863</v>
      </c>
      <c r="D1888" t="s">
        <v>646</v>
      </c>
      <c r="E1888" t="s">
        <v>18</v>
      </c>
      <c r="F1888" t="s">
        <v>18</v>
      </c>
      <c r="G1888" t="s">
        <v>34</v>
      </c>
      <c r="H1888" t="s">
        <v>35</v>
      </c>
      <c r="I1888">
        <v>7</v>
      </c>
      <c r="J1888">
        <v>52200</v>
      </c>
      <c r="K1888">
        <v>39000</v>
      </c>
      <c r="L1888" t="s">
        <v>73</v>
      </c>
      <c r="M1888" t="s">
        <v>31</v>
      </c>
      <c r="N1888" t="s">
        <v>23</v>
      </c>
      <c r="O1888" t="s">
        <v>45</v>
      </c>
      <c r="P1888">
        <f>Tableau1_2[[#This Row],[Quantité]]*Tableau1_2[[#This Row],[Prix_Unitaire]]</f>
        <v>365400</v>
      </c>
      <c r="Q1888">
        <f>Tableau1_2[[#This Row],[Quantité]]*Tableau1_2[[#This Row],[Coût_Unitaire]]</f>
        <v>273000</v>
      </c>
      <c r="R1888">
        <f>Tableau1_2[[#This Row],[CA]]-Tableau1_2[[#This Row],[Cout Total]]</f>
        <v>92400</v>
      </c>
      <c r="S1888" s="4">
        <f>Tableau1_2[[#This Row],[Marge]]/Tableau1_2[[#This Row],[CA]]</f>
        <v>0.25287356321839083</v>
      </c>
      <c r="T1888" t="str">
        <f>TEXT(Tableau1_2[[#This Row],[Date]],"mmmm")</f>
        <v>décembre</v>
      </c>
    </row>
    <row r="1889" spans="1:20" x14ac:dyDescent="0.35">
      <c r="A1889" t="s">
        <v>2949</v>
      </c>
      <c r="B1889" s="2">
        <v>46124</v>
      </c>
      <c r="C1889" t="s">
        <v>621</v>
      </c>
      <c r="D1889" t="s">
        <v>665</v>
      </c>
      <c r="E1889" t="s">
        <v>84</v>
      </c>
      <c r="F1889" t="s">
        <v>85</v>
      </c>
      <c r="G1889" t="s">
        <v>34</v>
      </c>
      <c r="H1889" t="s">
        <v>86</v>
      </c>
      <c r="I1889">
        <v>5</v>
      </c>
      <c r="J1889">
        <v>180000</v>
      </c>
      <c r="K1889">
        <v>139000</v>
      </c>
      <c r="L1889" t="s">
        <v>96</v>
      </c>
      <c r="M1889" t="s">
        <v>31</v>
      </c>
      <c r="N1889" t="s">
        <v>23</v>
      </c>
      <c r="O1889" t="s">
        <v>91</v>
      </c>
      <c r="P1889">
        <f>Tableau1_2[[#This Row],[Quantité]]*Tableau1_2[[#This Row],[Prix_Unitaire]]</f>
        <v>900000</v>
      </c>
      <c r="Q1889">
        <f>Tableau1_2[[#This Row],[Quantité]]*Tableau1_2[[#This Row],[Coût_Unitaire]]</f>
        <v>695000</v>
      </c>
      <c r="R1889">
        <f>Tableau1_2[[#This Row],[CA]]-Tableau1_2[[#This Row],[Cout Total]]</f>
        <v>205000</v>
      </c>
      <c r="S1889" s="4">
        <f>Tableau1_2[[#This Row],[Marge]]/Tableau1_2[[#This Row],[CA]]</f>
        <v>0.22777777777777777</v>
      </c>
      <c r="T1889" t="str">
        <f>TEXT(Tableau1_2[[#This Row],[Date]],"mmmm")</f>
        <v>avril</v>
      </c>
    </row>
    <row r="1890" spans="1:20" x14ac:dyDescent="0.35">
      <c r="A1890" t="s">
        <v>2950</v>
      </c>
      <c r="B1890" s="2">
        <v>46230</v>
      </c>
      <c r="C1890" t="s">
        <v>110</v>
      </c>
      <c r="D1890" t="s">
        <v>1262</v>
      </c>
      <c r="E1890" t="s">
        <v>18</v>
      </c>
      <c r="F1890" t="s">
        <v>18</v>
      </c>
      <c r="G1890" t="s">
        <v>34</v>
      </c>
      <c r="H1890" t="s">
        <v>95</v>
      </c>
      <c r="I1890">
        <v>2</v>
      </c>
      <c r="J1890">
        <v>427500</v>
      </c>
      <c r="K1890">
        <v>370000</v>
      </c>
      <c r="L1890" t="s">
        <v>80</v>
      </c>
      <c r="M1890" t="s">
        <v>22</v>
      </c>
      <c r="N1890" t="s">
        <v>52</v>
      </c>
      <c r="O1890" t="s">
        <v>91</v>
      </c>
      <c r="P1890">
        <f>Tableau1_2[[#This Row],[Quantité]]*Tableau1_2[[#This Row],[Prix_Unitaire]]</f>
        <v>855000</v>
      </c>
      <c r="Q1890">
        <f>Tableau1_2[[#This Row],[Quantité]]*Tableau1_2[[#This Row],[Coût_Unitaire]]</f>
        <v>740000</v>
      </c>
      <c r="R1890">
        <f>Tableau1_2[[#This Row],[CA]]-Tableau1_2[[#This Row],[Cout Total]]</f>
        <v>115000</v>
      </c>
      <c r="S1890" s="4">
        <f>Tableau1_2[[#This Row],[Marge]]/Tableau1_2[[#This Row],[CA]]</f>
        <v>0.13450292397660818</v>
      </c>
      <c r="T1890" t="str">
        <f>TEXT(Tableau1_2[[#This Row],[Date]],"mmmm")</f>
        <v>juillet</v>
      </c>
    </row>
    <row r="1891" spans="1:20" x14ac:dyDescent="0.35">
      <c r="A1891" t="s">
        <v>2951</v>
      </c>
      <c r="B1891" s="2">
        <v>46240</v>
      </c>
      <c r="C1891" t="s">
        <v>104</v>
      </c>
      <c r="D1891" t="s">
        <v>667</v>
      </c>
      <c r="E1891" t="s">
        <v>56</v>
      </c>
      <c r="F1891" t="s">
        <v>57</v>
      </c>
      <c r="G1891" t="s">
        <v>43</v>
      </c>
      <c r="H1891" t="s">
        <v>44</v>
      </c>
      <c r="I1891">
        <v>2</v>
      </c>
      <c r="J1891">
        <v>15800</v>
      </c>
      <c r="K1891">
        <v>9800</v>
      </c>
      <c r="L1891" t="s">
        <v>50</v>
      </c>
      <c r="M1891" t="s">
        <v>51</v>
      </c>
      <c r="N1891" t="s">
        <v>87</v>
      </c>
      <c r="O1891" t="s">
        <v>91</v>
      </c>
      <c r="P1891">
        <f>Tableau1_2[[#This Row],[Quantité]]*Tableau1_2[[#This Row],[Prix_Unitaire]]</f>
        <v>31600</v>
      </c>
      <c r="Q1891">
        <f>Tableau1_2[[#This Row],[Quantité]]*Tableau1_2[[#This Row],[Coût_Unitaire]]</f>
        <v>19600</v>
      </c>
      <c r="R1891">
        <f>Tableau1_2[[#This Row],[CA]]-Tableau1_2[[#This Row],[Cout Total]]</f>
        <v>12000</v>
      </c>
      <c r="S1891" s="4">
        <f>Tableau1_2[[#This Row],[Marge]]/Tableau1_2[[#This Row],[CA]]</f>
        <v>0.379746835443038</v>
      </c>
      <c r="T1891" t="str">
        <f>TEXT(Tableau1_2[[#This Row],[Date]],"mmmm")</f>
        <v>août</v>
      </c>
    </row>
    <row r="1892" spans="1:20" x14ac:dyDescent="0.35">
      <c r="A1892" t="s">
        <v>2952</v>
      </c>
      <c r="B1892" s="2">
        <v>46225</v>
      </c>
      <c r="C1892" t="s">
        <v>2107</v>
      </c>
      <c r="D1892" t="s">
        <v>979</v>
      </c>
      <c r="E1892" t="s">
        <v>18</v>
      </c>
      <c r="F1892" t="s">
        <v>18</v>
      </c>
      <c r="G1892" t="s">
        <v>28</v>
      </c>
      <c r="H1892" t="s">
        <v>72</v>
      </c>
      <c r="I1892">
        <v>5</v>
      </c>
      <c r="J1892">
        <v>10500</v>
      </c>
      <c r="K1892">
        <v>6200</v>
      </c>
      <c r="L1892" t="s">
        <v>96</v>
      </c>
      <c r="M1892" t="s">
        <v>22</v>
      </c>
      <c r="N1892" t="s">
        <v>87</v>
      </c>
      <c r="O1892" t="s">
        <v>91</v>
      </c>
      <c r="P1892">
        <f>Tableau1_2[[#This Row],[Quantité]]*Tableau1_2[[#This Row],[Prix_Unitaire]]</f>
        <v>52500</v>
      </c>
      <c r="Q1892">
        <f>Tableau1_2[[#This Row],[Quantité]]*Tableau1_2[[#This Row],[Coût_Unitaire]]</f>
        <v>31000</v>
      </c>
      <c r="R1892">
        <f>Tableau1_2[[#This Row],[CA]]-Tableau1_2[[#This Row],[Cout Total]]</f>
        <v>21500</v>
      </c>
      <c r="S1892" s="4">
        <f>Tableau1_2[[#This Row],[Marge]]/Tableau1_2[[#This Row],[CA]]</f>
        <v>0.40952380952380951</v>
      </c>
      <c r="T1892" t="str">
        <f>TEXT(Tableau1_2[[#This Row],[Date]],"mmmm")</f>
        <v>juillet</v>
      </c>
    </row>
    <row r="1893" spans="1:20" x14ac:dyDescent="0.35">
      <c r="A1893" t="s">
        <v>2953</v>
      </c>
      <c r="B1893" s="2">
        <v>46142</v>
      </c>
      <c r="C1893" t="s">
        <v>791</v>
      </c>
      <c r="D1893" t="s">
        <v>1913</v>
      </c>
      <c r="E1893" t="s">
        <v>77</v>
      </c>
      <c r="F1893" t="s">
        <v>78</v>
      </c>
      <c r="G1893" t="s">
        <v>34</v>
      </c>
      <c r="H1893" t="s">
        <v>141</v>
      </c>
      <c r="I1893">
        <v>10</v>
      </c>
      <c r="J1893">
        <v>152000</v>
      </c>
      <c r="K1893">
        <v>116400</v>
      </c>
      <c r="L1893" t="s">
        <v>80</v>
      </c>
      <c r="M1893" t="s">
        <v>51</v>
      </c>
      <c r="N1893" t="s">
        <v>23</v>
      </c>
      <c r="O1893" t="s">
        <v>91</v>
      </c>
      <c r="P1893">
        <f>Tableau1_2[[#This Row],[Quantité]]*Tableau1_2[[#This Row],[Prix_Unitaire]]</f>
        <v>1520000</v>
      </c>
      <c r="Q1893">
        <f>Tableau1_2[[#This Row],[Quantité]]*Tableau1_2[[#This Row],[Coût_Unitaire]]</f>
        <v>1164000</v>
      </c>
      <c r="R1893">
        <f>Tableau1_2[[#This Row],[CA]]-Tableau1_2[[#This Row],[Cout Total]]</f>
        <v>356000</v>
      </c>
      <c r="S1893" s="4">
        <f>Tableau1_2[[#This Row],[Marge]]/Tableau1_2[[#This Row],[CA]]</f>
        <v>0.23421052631578948</v>
      </c>
      <c r="T1893" t="str">
        <f>TEXT(Tableau1_2[[#This Row],[Date]],"mmmm")</f>
        <v>avril</v>
      </c>
    </row>
    <row r="1894" spans="1:20" x14ac:dyDescent="0.35">
      <c r="A1894" t="s">
        <v>2954</v>
      </c>
      <c r="B1894" s="2">
        <v>46269</v>
      </c>
      <c r="C1894" t="s">
        <v>868</v>
      </c>
      <c r="D1894" t="s">
        <v>1262</v>
      </c>
      <c r="E1894" t="s">
        <v>190</v>
      </c>
      <c r="F1894" t="s">
        <v>191</v>
      </c>
      <c r="G1894" t="s">
        <v>34</v>
      </c>
      <c r="H1894" t="s">
        <v>86</v>
      </c>
      <c r="I1894">
        <v>5</v>
      </c>
      <c r="J1894">
        <v>189000</v>
      </c>
      <c r="K1894">
        <v>135000</v>
      </c>
      <c r="L1894" t="s">
        <v>96</v>
      </c>
      <c r="M1894" t="s">
        <v>51</v>
      </c>
      <c r="N1894" t="s">
        <v>52</v>
      </c>
      <c r="O1894" t="s">
        <v>24</v>
      </c>
      <c r="P1894">
        <f>Tableau1_2[[#This Row],[Quantité]]*Tableau1_2[[#This Row],[Prix_Unitaire]]</f>
        <v>945000</v>
      </c>
      <c r="Q1894">
        <f>Tableau1_2[[#This Row],[Quantité]]*Tableau1_2[[#This Row],[Coût_Unitaire]]</f>
        <v>675000</v>
      </c>
      <c r="R1894">
        <f>Tableau1_2[[#This Row],[CA]]-Tableau1_2[[#This Row],[Cout Total]]</f>
        <v>270000</v>
      </c>
      <c r="S1894" s="4">
        <f>Tableau1_2[[#This Row],[Marge]]/Tableau1_2[[#This Row],[CA]]</f>
        <v>0.2857142857142857</v>
      </c>
      <c r="T1894" t="str">
        <f>TEXT(Tableau1_2[[#This Row],[Date]],"mmmm")</f>
        <v>septembre</v>
      </c>
    </row>
    <row r="1895" spans="1:20" x14ac:dyDescent="0.35">
      <c r="A1895" t="s">
        <v>2955</v>
      </c>
      <c r="B1895" s="2">
        <v>46372</v>
      </c>
      <c r="C1895" t="s">
        <v>916</v>
      </c>
      <c r="D1895" t="s">
        <v>1120</v>
      </c>
      <c r="E1895" t="s">
        <v>18</v>
      </c>
      <c r="F1895" t="s">
        <v>18</v>
      </c>
      <c r="G1895" t="s">
        <v>19</v>
      </c>
      <c r="H1895" t="s">
        <v>112</v>
      </c>
      <c r="I1895">
        <v>9</v>
      </c>
      <c r="J1895">
        <v>85000</v>
      </c>
      <c r="K1895">
        <v>62000</v>
      </c>
      <c r="L1895" t="s">
        <v>80</v>
      </c>
      <c r="M1895" t="s">
        <v>22</v>
      </c>
      <c r="N1895" t="s">
        <v>23</v>
      </c>
      <c r="O1895" t="s">
        <v>24</v>
      </c>
      <c r="P1895">
        <f>Tableau1_2[[#This Row],[Quantité]]*Tableau1_2[[#This Row],[Prix_Unitaire]]</f>
        <v>765000</v>
      </c>
      <c r="Q1895">
        <f>Tableau1_2[[#This Row],[Quantité]]*Tableau1_2[[#This Row],[Coût_Unitaire]]</f>
        <v>558000</v>
      </c>
      <c r="R1895">
        <f>Tableau1_2[[#This Row],[CA]]-Tableau1_2[[#This Row],[Cout Total]]</f>
        <v>207000</v>
      </c>
      <c r="S1895" s="4">
        <f>Tableau1_2[[#This Row],[Marge]]/Tableau1_2[[#This Row],[CA]]</f>
        <v>0.27058823529411763</v>
      </c>
      <c r="T1895" t="str">
        <f>TEXT(Tableau1_2[[#This Row],[Date]],"mmmm")</f>
        <v>décembre</v>
      </c>
    </row>
    <row r="1896" spans="1:20" x14ac:dyDescent="0.35">
      <c r="A1896" t="s">
        <v>2956</v>
      </c>
      <c r="B1896" s="2">
        <v>46068</v>
      </c>
      <c r="C1896" t="s">
        <v>1575</v>
      </c>
      <c r="D1896" t="s">
        <v>1132</v>
      </c>
      <c r="E1896" t="s">
        <v>18</v>
      </c>
      <c r="F1896" t="s">
        <v>18</v>
      </c>
      <c r="G1896" t="s">
        <v>28</v>
      </c>
      <c r="H1896" t="s">
        <v>65</v>
      </c>
      <c r="I1896">
        <v>4</v>
      </c>
      <c r="J1896">
        <v>11400</v>
      </c>
      <c r="K1896">
        <v>7500</v>
      </c>
      <c r="L1896" t="s">
        <v>36</v>
      </c>
      <c r="M1896" t="s">
        <v>37</v>
      </c>
      <c r="N1896" t="s">
        <v>52</v>
      </c>
      <c r="O1896" t="s">
        <v>24</v>
      </c>
      <c r="P1896">
        <f>Tableau1_2[[#This Row],[Quantité]]*Tableau1_2[[#This Row],[Prix_Unitaire]]</f>
        <v>45600</v>
      </c>
      <c r="Q1896">
        <f>Tableau1_2[[#This Row],[Quantité]]*Tableau1_2[[#This Row],[Coût_Unitaire]]</f>
        <v>30000</v>
      </c>
      <c r="R1896">
        <f>Tableau1_2[[#This Row],[CA]]-Tableau1_2[[#This Row],[Cout Total]]</f>
        <v>15600</v>
      </c>
      <c r="S1896" s="4">
        <f>Tableau1_2[[#This Row],[Marge]]/Tableau1_2[[#This Row],[CA]]</f>
        <v>0.34210526315789475</v>
      </c>
      <c r="T1896" t="str">
        <f>TEXT(Tableau1_2[[#This Row],[Date]],"mmmm")</f>
        <v>février</v>
      </c>
    </row>
    <row r="1897" spans="1:20" x14ac:dyDescent="0.35">
      <c r="A1897" t="s">
        <v>2957</v>
      </c>
      <c r="B1897" s="2">
        <v>46220</v>
      </c>
      <c r="C1897" t="s">
        <v>2620</v>
      </c>
      <c r="D1897" t="s">
        <v>669</v>
      </c>
      <c r="E1897" t="s">
        <v>18</v>
      </c>
      <c r="F1897" t="s">
        <v>18</v>
      </c>
      <c r="G1897" t="s">
        <v>34</v>
      </c>
      <c r="H1897" t="s">
        <v>86</v>
      </c>
      <c r="I1897">
        <v>9</v>
      </c>
      <c r="J1897">
        <v>171000</v>
      </c>
      <c r="K1897">
        <v>135000</v>
      </c>
      <c r="L1897" t="s">
        <v>50</v>
      </c>
      <c r="M1897" t="s">
        <v>51</v>
      </c>
      <c r="N1897" t="s">
        <v>23</v>
      </c>
      <c r="O1897" t="s">
        <v>24</v>
      </c>
      <c r="P1897">
        <f>Tableau1_2[[#This Row],[Quantité]]*Tableau1_2[[#This Row],[Prix_Unitaire]]</f>
        <v>1539000</v>
      </c>
      <c r="Q1897">
        <f>Tableau1_2[[#This Row],[Quantité]]*Tableau1_2[[#This Row],[Coût_Unitaire]]</f>
        <v>1215000</v>
      </c>
      <c r="R1897">
        <f>Tableau1_2[[#This Row],[CA]]-Tableau1_2[[#This Row],[Cout Total]]</f>
        <v>324000</v>
      </c>
      <c r="S1897" s="4">
        <f>Tableau1_2[[#This Row],[Marge]]/Tableau1_2[[#This Row],[CA]]</f>
        <v>0.21052631578947367</v>
      </c>
      <c r="T1897" t="str">
        <f>TEXT(Tableau1_2[[#This Row],[Date]],"mmmm")</f>
        <v>juillet</v>
      </c>
    </row>
    <row r="1898" spans="1:20" x14ac:dyDescent="0.35">
      <c r="A1898" t="s">
        <v>2958</v>
      </c>
      <c r="B1898" s="2">
        <v>46222</v>
      </c>
      <c r="C1898" t="s">
        <v>2107</v>
      </c>
      <c r="D1898" t="s">
        <v>1120</v>
      </c>
      <c r="E1898" t="s">
        <v>18</v>
      </c>
      <c r="F1898" t="s">
        <v>18</v>
      </c>
      <c r="G1898" t="s">
        <v>28</v>
      </c>
      <c r="H1898" t="s">
        <v>248</v>
      </c>
      <c r="I1898">
        <v>8</v>
      </c>
      <c r="J1898">
        <v>26200</v>
      </c>
      <c r="K1898">
        <v>16000</v>
      </c>
      <c r="L1898" t="s">
        <v>50</v>
      </c>
      <c r="M1898" t="s">
        <v>37</v>
      </c>
      <c r="N1898" t="s">
        <v>52</v>
      </c>
      <c r="O1898" t="s">
        <v>24</v>
      </c>
      <c r="P1898">
        <f>Tableau1_2[[#This Row],[Quantité]]*Tableau1_2[[#This Row],[Prix_Unitaire]]</f>
        <v>209600</v>
      </c>
      <c r="Q1898">
        <f>Tableau1_2[[#This Row],[Quantité]]*Tableau1_2[[#This Row],[Coût_Unitaire]]</f>
        <v>128000</v>
      </c>
      <c r="R1898">
        <f>Tableau1_2[[#This Row],[CA]]-Tableau1_2[[#This Row],[Cout Total]]</f>
        <v>81600</v>
      </c>
      <c r="S1898" s="4">
        <f>Tableau1_2[[#This Row],[Marge]]/Tableau1_2[[#This Row],[CA]]</f>
        <v>0.38931297709923662</v>
      </c>
      <c r="T1898" t="str">
        <f>TEXT(Tableau1_2[[#This Row],[Date]],"mmmm")</f>
        <v>juillet</v>
      </c>
    </row>
    <row r="1899" spans="1:20" x14ac:dyDescent="0.35">
      <c r="A1899" t="s">
        <v>2959</v>
      </c>
      <c r="B1899" s="2">
        <v>46332</v>
      </c>
      <c r="C1899" t="s">
        <v>1321</v>
      </c>
      <c r="D1899" t="s">
        <v>2012</v>
      </c>
      <c r="E1899" t="s">
        <v>84</v>
      </c>
      <c r="F1899" t="s">
        <v>85</v>
      </c>
      <c r="G1899" t="s">
        <v>34</v>
      </c>
      <c r="H1899" t="s">
        <v>35</v>
      </c>
      <c r="I1899">
        <v>1</v>
      </c>
      <c r="J1899">
        <v>55000</v>
      </c>
      <c r="K1899">
        <v>39000</v>
      </c>
      <c r="L1899" t="s">
        <v>36</v>
      </c>
      <c r="M1899" t="s">
        <v>37</v>
      </c>
      <c r="N1899" t="s">
        <v>23</v>
      </c>
      <c r="O1899" t="s">
        <v>45</v>
      </c>
      <c r="P1899">
        <f>Tableau1_2[[#This Row],[Quantité]]*Tableau1_2[[#This Row],[Prix_Unitaire]]</f>
        <v>55000</v>
      </c>
      <c r="Q1899">
        <f>Tableau1_2[[#This Row],[Quantité]]*Tableau1_2[[#This Row],[Coût_Unitaire]]</f>
        <v>39000</v>
      </c>
      <c r="R1899">
        <f>Tableau1_2[[#This Row],[CA]]-Tableau1_2[[#This Row],[Cout Total]]</f>
        <v>16000</v>
      </c>
      <c r="S1899" s="4">
        <f>Tableau1_2[[#This Row],[Marge]]/Tableau1_2[[#This Row],[CA]]</f>
        <v>0.29090909090909089</v>
      </c>
      <c r="T1899" t="str">
        <f>TEXT(Tableau1_2[[#This Row],[Date]],"mmmm")</f>
        <v>novembre</v>
      </c>
    </row>
    <row r="1900" spans="1:20" x14ac:dyDescent="0.35">
      <c r="A1900" t="s">
        <v>2960</v>
      </c>
      <c r="B1900" s="2">
        <v>46373</v>
      </c>
      <c r="C1900" t="s">
        <v>727</v>
      </c>
      <c r="D1900" t="s">
        <v>276</v>
      </c>
      <c r="E1900" t="s">
        <v>190</v>
      </c>
      <c r="F1900" t="s">
        <v>191</v>
      </c>
      <c r="G1900" t="s">
        <v>19</v>
      </c>
      <c r="H1900" t="s">
        <v>61</v>
      </c>
      <c r="I1900">
        <v>9</v>
      </c>
      <c r="J1900">
        <v>231000</v>
      </c>
      <c r="K1900">
        <v>160000</v>
      </c>
      <c r="L1900" t="s">
        <v>21</v>
      </c>
      <c r="M1900" t="s">
        <v>31</v>
      </c>
      <c r="N1900" t="s">
        <v>23</v>
      </c>
      <c r="O1900" t="s">
        <v>24</v>
      </c>
      <c r="P1900">
        <f>Tableau1_2[[#This Row],[Quantité]]*Tableau1_2[[#This Row],[Prix_Unitaire]]</f>
        <v>2079000</v>
      </c>
      <c r="Q1900">
        <f>Tableau1_2[[#This Row],[Quantité]]*Tableau1_2[[#This Row],[Coût_Unitaire]]</f>
        <v>1440000</v>
      </c>
      <c r="R1900">
        <f>Tableau1_2[[#This Row],[CA]]-Tableau1_2[[#This Row],[Cout Total]]</f>
        <v>639000</v>
      </c>
      <c r="S1900" s="4">
        <f>Tableau1_2[[#This Row],[Marge]]/Tableau1_2[[#This Row],[CA]]</f>
        <v>0.30735930735930733</v>
      </c>
      <c r="T1900" t="str">
        <f>TEXT(Tableau1_2[[#This Row],[Date]],"mmmm")</f>
        <v>décembre</v>
      </c>
    </row>
    <row r="1901" spans="1:20" x14ac:dyDescent="0.35">
      <c r="A1901" t="s">
        <v>2961</v>
      </c>
      <c r="B1901" s="2">
        <v>46198</v>
      </c>
      <c r="C1901" t="s">
        <v>1410</v>
      </c>
      <c r="D1901" t="s">
        <v>1954</v>
      </c>
      <c r="E1901" t="s">
        <v>156</v>
      </c>
      <c r="F1901" t="s">
        <v>157</v>
      </c>
      <c r="G1901" t="s">
        <v>19</v>
      </c>
      <c r="H1901" t="s">
        <v>112</v>
      </c>
      <c r="I1901">
        <v>4</v>
      </c>
      <c r="J1901">
        <v>85000</v>
      </c>
      <c r="K1901">
        <v>60100</v>
      </c>
      <c r="L1901" t="s">
        <v>30</v>
      </c>
      <c r="M1901" t="s">
        <v>51</v>
      </c>
      <c r="N1901" t="s">
        <v>23</v>
      </c>
      <c r="O1901" t="s">
        <v>24</v>
      </c>
      <c r="P1901">
        <f>Tableau1_2[[#This Row],[Quantité]]*Tableau1_2[[#This Row],[Prix_Unitaire]]</f>
        <v>340000</v>
      </c>
      <c r="Q1901">
        <f>Tableau1_2[[#This Row],[Quantité]]*Tableau1_2[[#This Row],[Coût_Unitaire]]</f>
        <v>240400</v>
      </c>
      <c r="R1901">
        <f>Tableau1_2[[#This Row],[CA]]-Tableau1_2[[#This Row],[Cout Total]]</f>
        <v>99600</v>
      </c>
      <c r="S1901" s="4">
        <f>Tableau1_2[[#This Row],[Marge]]/Tableau1_2[[#This Row],[CA]]</f>
        <v>0.29294117647058826</v>
      </c>
      <c r="T1901" t="str">
        <f>TEXT(Tableau1_2[[#This Row],[Date]],"mmmm")</f>
        <v>juin</v>
      </c>
    </row>
    <row r="1902" spans="1:20" x14ac:dyDescent="0.35">
      <c r="A1902" t="s">
        <v>2962</v>
      </c>
      <c r="B1902" s="2">
        <v>46155</v>
      </c>
      <c r="C1902" t="s">
        <v>908</v>
      </c>
      <c r="D1902" t="s">
        <v>2174</v>
      </c>
      <c r="E1902" t="s">
        <v>190</v>
      </c>
      <c r="F1902" t="s">
        <v>191</v>
      </c>
      <c r="G1902" t="s">
        <v>19</v>
      </c>
      <c r="H1902" t="s">
        <v>61</v>
      </c>
      <c r="I1902">
        <v>8</v>
      </c>
      <c r="J1902">
        <v>209000</v>
      </c>
      <c r="K1902">
        <v>155200</v>
      </c>
      <c r="L1902" t="s">
        <v>36</v>
      </c>
      <c r="M1902" t="s">
        <v>31</v>
      </c>
      <c r="N1902" t="s">
        <v>23</v>
      </c>
      <c r="O1902" t="s">
        <v>45</v>
      </c>
      <c r="P1902">
        <f>Tableau1_2[[#This Row],[Quantité]]*Tableau1_2[[#This Row],[Prix_Unitaire]]</f>
        <v>1672000</v>
      </c>
      <c r="Q1902">
        <f>Tableau1_2[[#This Row],[Quantité]]*Tableau1_2[[#This Row],[Coût_Unitaire]]</f>
        <v>1241600</v>
      </c>
      <c r="R1902">
        <f>Tableau1_2[[#This Row],[CA]]-Tableau1_2[[#This Row],[Cout Total]]</f>
        <v>430400</v>
      </c>
      <c r="S1902" s="4">
        <f>Tableau1_2[[#This Row],[Marge]]/Tableau1_2[[#This Row],[CA]]</f>
        <v>0.25741626794258371</v>
      </c>
      <c r="T1902" t="str">
        <f>TEXT(Tableau1_2[[#This Row],[Date]],"mmmm")</f>
        <v>mai</v>
      </c>
    </row>
    <row r="1903" spans="1:20" x14ac:dyDescent="0.35">
      <c r="A1903" t="s">
        <v>2963</v>
      </c>
      <c r="B1903" s="2">
        <v>46128</v>
      </c>
      <c r="C1903" t="s">
        <v>908</v>
      </c>
      <c r="D1903" t="s">
        <v>2721</v>
      </c>
      <c r="E1903" t="s">
        <v>18</v>
      </c>
      <c r="F1903" t="s">
        <v>18</v>
      </c>
      <c r="G1903" t="s">
        <v>28</v>
      </c>
      <c r="H1903" t="s">
        <v>131</v>
      </c>
      <c r="I1903">
        <v>4</v>
      </c>
      <c r="J1903">
        <v>31500</v>
      </c>
      <c r="K1903">
        <v>19000</v>
      </c>
      <c r="L1903" t="s">
        <v>66</v>
      </c>
      <c r="M1903" t="s">
        <v>51</v>
      </c>
      <c r="N1903" t="s">
        <v>23</v>
      </c>
      <c r="O1903" t="s">
        <v>24</v>
      </c>
      <c r="P1903">
        <f>Tableau1_2[[#This Row],[Quantité]]*Tableau1_2[[#This Row],[Prix_Unitaire]]</f>
        <v>126000</v>
      </c>
      <c r="Q1903">
        <f>Tableau1_2[[#This Row],[Quantité]]*Tableau1_2[[#This Row],[Coût_Unitaire]]</f>
        <v>76000</v>
      </c>
      <c r="R1903">
        <f>Tableau1_2[[#This Row],[CA]]-Tableau1_2[[#This Row],[Cout Total]]</f>
        <v>50000</v>
      </c>
      <c r="S1903" s="4">
        <f>Tableau1_2[[#This Row],[Marge]]/Tableau1_2[[#This Row],[CA]]</f>
        <v>0.3968253968253968</v>
      </c>
      <c r="T1903" t="str">
        <f>TEXT(Tableau1_2[[#This Row],[Date]],"mmmm")</f>
        <v>avril</v>
      </c>
    </row>
    <row r="1904" spans="1:20" x14ac:dyDescent="0.35">
      <c r="A1904" t="s">
        <v>2964</v>
      </c>
      <c r="B1904" s="2">
        <v>46362</v>
      </c>
      <c r="C1904" t="s">
        <v>2965</v>
      </c>
      <c r="D1904" t="s">
        <v>27</v>
      </c>
      <c r="E1904" t="s">
        <v>18</v>
      </c>
      <c r="F1904" t="s">
        <v>18</v>
      </c>
      <c r="G1904" t="s">
        <v>19</v>
      </c>
      <c r="H1904" t="s">
        <v>112</v>
      </c>
      <c r="I1904">
        <v>10</v>
      </c>
      <c r="J1904">
        <v>80800</v>
      </c>
      <c r="K1904">
        <v>60100</v>
      </c>
      <c r="L1904" t="s">
        <v>66</v>
      </c>
      <c r="M1904" t="s">
        <v>51</v>
      </c>
      <c r="N1904" t="s">
        <v>23</v>
      </c>
      <c r="O1904" t="s">
        <v>24</v>
      </c>
      <c r="P1904">
        <f>Tableau1_2[[#This Row],[Quantité]]*Tableau1_2[[#This Row],[Prix_Unitaire]]</f>
        <v>808000</v>
      </c>
      <c r="Q1904">
        <f>Tableau1_2[[#This Row],[Quantité]]*Tableau1_2[[#This Row],[Coût_Unitaire]]</f>
        <v>601000</v>
      </c>
      <c r="R1904">
        <f>Tableau1_2[[#This Row],[CA]]-Tableau1_2[[#This Row],[Cout Total]]</f>
        <v>207000</v>
      </c>
      <c r="S1904" s="4">
        <f>Tableau1_2[[#This Row],[Marge]]/Tableau1_2[[#This Row],[CA]]</f>
        <v>0.25618811881188119</v>
      </c>
      <c r="T1904" t="str">
        <f>TEXT(Tableau1_2[[#This Row],[Date]],"mmmm")</f>
        <v>décembre</v>
      </c>
    </row>
    <row r="1905" spans="1:20" x14ac:dyDescent="0.35">
      <c r="A1905" t="s">
        <v>2966</v>
      </c>
      <c r="B1905" s="2">
        <v>46372</v>
      </c>
      <c r="C1905" t="s">
        <v>1759</v>
      </c>
      <c r="D1905" t="s">
        <v>990</v>
      </c>
      <c r="E1905" t="s">
        <v>18</v>
      </c>
      <c r="F1905" t="s">
        <v>18</v>
      </c>
      <c r="G1905" t="s">
        <v>34</v>
      </c>
      <c r="H1905" t="s">
        <v>141</v>
      </c>
      <c r="I1905">
        <v>9</v>
      </c>
      <c r="J1905">
        <v>160000</v>
      </c>
      <c r="K1905">
        <v>116400</v>
      </c>
      <c r="L1905" t="s">
        <v>21</v>
      </c>
      <c r="M1905" t="s">
        <v>51</v>
      </c>
      <c r="N1905" t="s">
        <v>23</v>
      </c>
      <c r="O1905" t="s">
        <v>24</v>
      </c>
      <c r="P1905">
        <f>Tableau1_2[[#This Row],[Quantité]]*Tableau1_2[[#This Row],[Prix_Unitaire]]</f>
        <v>1440000</v>
      </c>
      <c r="Q1905">
        <f>Tableau1_2[[#This Row],[Quantité]]*Tableau1_2[[#This Row],[Coût_Unitaire]]</f>
        <v>1047600</v>
      </c>
      <c r="R1905">
        <f>Tableau1_2[[#This Row],[CA]]-Tableau1_2[[#This Row],[Cout Total]]</f>
        <v>392400</v>
      </c>
      <c r="S1905" s="4">
        <f>Tableau1_2[[#This Row],[Marge]]/Tableau1_2[[#This Row],[CA]]</f>
        <v>0.27250000000000002</v>
      </c>
      <c r="T1905" t="str">
        <f>TEXT(Tableau1_2[[#This Row],[Date]],"mmmm")</f>
        <v>décembre</v>
      </c>
    </row>
    <row r="1906" spans="1:20" x14ac:dyDescent="0.35">
      <c r="A1906" t="s">
        <v>2967</v>
      </c>
      <c r="B1906" s="2">
        <v>46370</v>
      </c>
      <c r="C1906" t="s">
        <v>202</v>
      </c>
      <c r="D1906" t="s">
        <v>1699</v>
      </c>
      <c r="E1906" t="s">
        <v>41</v>
      </c>
      <c r="F1906" t="s">
        <v>42</v>
      </c>
      <c r="G1906" t="s">
        <v>19</v>
      </c>
      <c r="H1906" t="s">
        <v>112</v>
      </c>
      <c r="I1906">
        <v>2</v>
      </c>
      <c r="J1906">
        <v>80800</v>
      </c>
      <c r="K1906">
        <v>62000</v>
      </c>
      <c r="L1906" t="s">
        <v>36</v>
      </c>
      <c r="M1906" t="s">
        <v>37</v>
      </c>
      <c r="N1906" t="s">
        <v>23</v>
      </c>
      <c r="O1906" t="s">
        <v>24</v>
      </c>
      <c r="P1906">
        <f>Tableau1_2[[#This Row],[Quantité]]*Tableau1_2[[#This Row],[Prix_Unitaire]]</f>
        <v>161600</v>
      </c>
      <c r="Q1906">
        <f>Tableau1_2[[#This Row],[Quantité]]*Tableau1_2[[#This Row],[Coût_Unitaire]]</f>
        <v>124000</v>
      </c>
      <c r="R1906">
        <f>Tableau1_2[[#This Row],[CA]]-Tableau1_2[[#This Row],[Cout Total]]</f>
        <v>37600</v>
      </c>
      <c r="S1906" s="4">
        <f>Tableau1_2[[#This Row],[Marge]]/Tableau1_2[[#This Row],[CA]]</f>
        <v>0.23267326732673269</v>
      </c>
      <c r="T1906" t="str">
        <f>TEXT(Tableau1_2[[#This Row],[Date]],"mmmm")</f>
        <v>décembre</v>
      </c>
    </row>
    <row r="1907" spans="1:20" x14ac:dyDescent="0.35">
      <c r="A1907" t="s">
        <v>2968</v>
      </c>
      <c r="B1907" s="2">
        <v>46268</v>
      </c>
      <c r="C1907" t="s">
        <v>707</v>
      </c>
      <c r="D1907" t="s">
        <v>371</v>
      </c>
      <c r="E1907" t="s">
        <v>41</v>
      </c>
      <c r="F1907" t="s">
        <v>42</v>
      </c>
      <c r="G1907" t="s">
        <v>34</v>
      </c>
      <c r="H1907" t="s">
        <v>86</v>
      </c>
      <c r="I1907">
        <v>4</v>
      </c>
      <c r="J1907">
        <v>180000</v>
      </c>
      <c r="K1907">
        <v>139000</v>
      </c>
      <c r="L1907" t="s">
        <v>30</v>
      </c>
      <c r="M1907" t="s">
        <v>37</v>
      </c>
      <c r="N1907" t="s">
        <v>52</v>
      </c>
      <c r="O1907" t="s">
        <v>24</v>
      </c>
      <c r="P1907">
        <f>Tableau1_2[[#This Row],[Quantité]]*Tableau1_2[[#This Row],[Prix_Unitaire]]</f>
        <v>720000</v>
      </c>
      <c r="Q1907">
        <f>Tableau1_2[[#This Row],[Quantité]]*Tableau1_2[[#This Row],[Coût_Unitaire]]</f>
        <v>556000</v>
      </c>
      <c r="R1907">
        <f>Tableau1_2[[#This Row],[CA]]-Tableau1_2[[#This Row],[Cout Total]]</f>
        <v>164000</v>
      </c>
      <c r="S1907" s="4">
        <f>Tableau1_2[[#This Row],[Marge]]/Tableau1_2[[#This Row],[CA]]</f>
        <v>0.22777777777777777</v>
      </c>
      <c r="T1907" t="str">
        <f>TEXT(Tableau1_2[[#This Row],[Date]],"mmmm")</f>
        <v>septembre</v>
      </c>
    </row>
    <row r="1908" spans="1:20" x14ac:dyDescent="0.35">
      <c r="A1908" t="s">
        <v>2969</v>
      </c>
      <c r="B1908" s="2">
        <v>46195</v>
      </c>
      <c r="C1908" t="s">
        <v>962</v>
      </c>
      <c r="D1908" t="s">
        <v>715</v>
      </c>
      <c r="E1908" t="s">
        <v>70</v>
      </c>
      <c r="F1908" t="s">
        <v>71</v>
      </c>
      <c r="G1908" t="s">
        <v>34</v>
      </c>
      <c r="H1908" t="s">
        <v>141</v>
      </c>
      <c r="I1908">
        <v>6</v>
      </c>
      <c r="J1908">
        <v>168000</v>
      </c>
      <c r="K1908">
        <v>116400</v>
      </c>
      <c r="L1908" t="s">
        <v>36</v>
      </c>
      <c r="M1908" t="s">
        <v>37</v>
      </c>
      <c r="N1908" t="s">
        <v>87</v>
      </c>
      <c r="O1908" t="s">
        <v>24</v>
      </c>
      <c r="P1908">
        <f>Tableau1_2[[#This Row],[Quantité]]*Tableau1_2[[#This Row],[Prix_Unitaire]]</f>
        <v>1008000</v>
      </c>
      <c r="Q1908">
        <f>Tableau1_2[[#This Row],[Quantité]]*Tableau1_2[[#This Row],[Coût_Unitaire]]</f>
        <v>698400</v>
      </c>
      <c r="R1908">
        <f>Tableau1_2[[#This Row],[CA]]-Tableau1_2[[#This Row],[Cout Total]]</f>
        <v>309600</v>
      </c>
      <c r="S1908" s="4">
        <f>Tableau1_2[[#This Row],[Marge]]/Tableau1_2[[#This Row],[CA]]</f>
        <v>0.30714285714285716</v>
      </c>
      <c r="T1908" t="str">
        <f>TEXT(Tableau1_2[[#This Row],[Date]],"mmmm")</f>
        <v>juin</v>
      </c>
    </row>
    <row r="1909" spans="1:20" x14ac:dyDescent="0.35">
      <c r="A1909" t="s">
        <v>2970</v>
      </c>
      <c r="B1909" s="2">
        <v>46275</v>
      </c>
      <c r="C1909" t="s">
        <v>334</v>
      </c>
      <c r="D1909" t="s">
        <v>284</v>
      </c>
      <c r="E1909" t="s">
        <v>84</v>
      </c>
      <c r="F1909" t="s">
        <v>85</v>
      </c>
      <c r="G1909" t="s">
        <v>34</v>
      </c>
      <c r="H1909" t="s">
        <v>35</v>
      </c>
      <c r="I1909">
        <v>3</v>
      </c>
      <c r="J1909">
        <v>52200</v>
      </c>
      <c r="K1909">
        <v>37800</v>
      </c>
      <c r="L1909" t="s">
        <v>50</v>
      </c>
      <c r="M1909" t="s">
        <v>37</v>
      </c>
      <c r="N1909" t="s">
        <v>52</v>
      </c>
      <c r="O1909" t="s">
        <v>24</v>
      </c>
      <c r="P1909">
        <f>Tableau1_2[[#This Row],[Quantité]]*Tableau1_2[[#This Row],[Prix_Unitaire]]</f>
        <v>156600</v>
      </c>
      <c r="Q1909">
        <f>Tableau1_2[[#This Row],[Quantité]]*Tableau1_2[[#This Row],[Coût_Unitaire]]</f>
        <v>113400</v>
      </c>
      <c r="R1909">
        <f>Tableau1_2[[#This Row],[CA]]-Tableau1_2[[#This Row],[Cout Total]]</f>
        <v>43200</v>
      </c>
      <c r="S1909" s="4">
        <f>Tableau1_2[[#This Row],[Marge]]/Tableau1_2[[#This Row],[CA]]</f>
        <v>0.27586206896551724</v>
      </c>
      <c r="T1909" t="str">
        <f>TEXT(Tableau1_2[[#This Row],[Date]],"mmmm")</f>
        <v>septembre</v>
      </c>
    </row>
    <row r="1910" spans="1:20" x14ac:dyDescent="0.35">
      <c r="A1910" t="s">
        <v>2971</v>
      </c>
      <c r="B1910" s="2">
        <v>46158</v>
      </c>
      <c r="C1910" t="s">
        <v>1327</v>
      </c>
      <c r="D1910" t="s">
        <v>1189</v>
      </c>
      <c r="E1910" t="s">
        <v>18</v>
      </c>
      <c r="F1910" t="s">
        <v>18</v>
      </c>
      <c r="G1910" t="s">
        <v>34</v>
      </c>
      <c r="H1910" t="s">
        <v>158</v>
      </c>
      <c r="I1910">
        <v>5</v>
      </c>
      <c r="J1910">
        <v>90200</v>
      </c>
      <c r="K1910">
        <v>72100</v>
      </c>
      <c r="L1910" t="s">
        <v>36</v>
      </c>
      <c r="M1910" t="s">
        <v>51</v>
      </c>
      <c r="N1910" t="s">
        <v>52</v>
      </c>
      <c r="O1910" t="s">
        <v>45</v>
      </c>
      <c r="P1910">
        <f>Tableau1_2[[#This Row],[Quantité]]*Tableau1_2[[#This Row],[Prix_Unitaire]]</f>
        <v>451000</v>
      </c>
      <c r="Q1910">
        <f>Tableau1_2[[#This Row],[Quantité]]*Tableau1_2[[#This Row],[Coût_Unitaire]]</f>
        <v>360500</v>
      </c>
      <c r="R1910">
        <f>Tableau1_2[[#This Row],[CA]]-Tableau1_2[[#This Row],[Cout Total]]</f>
        <v>90500</v>
      </c>
      <c r="S1910" s="4">
        <f>Tableau1_2[[#This Row],[Marge]]/Tableau1_2[[#This Row],[CA]]</f>
        <v>0.20066518847006651</v>
      </c>
      <c r="T1910" t="str">
        <f>TEXT(Tableau1_2[[#This Row],[Date]],"mmmm")</f>
        <v>mai</v>
      </c>
    </row>
    <row r="1911" spans="1:20" x14ac:dyDescent="0.35">
      <c r="A1911" t="s">
        <v>2972</v>
      </c>
      <c r="B1911" s="2">
        <v>46023</v>
      </c>
      <c r="C1911" t="s">
        <v>1446</v>
      </c>
      <c r="D1911" t="s">
        <v>1686</v>
      </c>
      <c r="E1911" t="s">
        <v>84</v>
      </c>
      <c r="F1911" t="s">
        <v>85</v>
      </c>
      <c r="G1911" t="s">
        <v>43</v>
      </c>
      <c r="H1911" t="s">
        <v>162</v>
      </c>
      <c r="I1911">
        <v>9</v>
      </c>
      <c r="J1911">
        <v>8000</v>
      </c>
      <c r="K1911">
        <v>5000</v>
      </c>
      <c r="L1911" t="s">
        <v>36</v>
      </c>
      <c r="M1911" t="s">
        <v>31</v>
      </c>
      <c r="N1911" t="s">
        <v>87</v>
      </c>
      <c r="O1911" t="s">
        <v>24</v>
      </c>
      <c r="P1911">
        <f>Tableau1_2[[#This Row],[Quantité]]*Tableau1_2[[#This Row],[Prix_Unitaire]]</f>
        <v>72000</v>
      </c>
      <c r="Q1911">
        <f>Tableau1_2[[#This Row],[Quantité]]*Tableau1_2[[#This Row],[Coût_Unitaire]]</f>
        <v>45000</v>
      </c>
      <c r="R1911">
        <f>Tableau1_2[[#This Row],[CA]]-Tableau1_2[[#This Row],[Cout Total]]</f>
        <v>27000</v>
      </c>
      <c r="S1911" s="4">
        <f>Tableau1_2[[#This Row],[Marge]]/Tableau1_2[[#This Row],[CA]]</f>
        <v>0.375</v>
      </c>
      <c r="T1911" t="str">
        <f>TEXT(Tableau1_2[[#This Row],[Date]],"mmmm")</f>
        <v>janvier</v>
      </c>
    </row>
    <row r="1912" spans="1:20" x14ac:dyDescent="0.35">
      <c r="A1912" t="s">
        <v>2973</v>
      </c>
      <c r="B1912" s="2">
        <v>46207</v>
      </c>
      <c r="C1912" t="s">
        <v>68</v>
      </c>
      <c r="D1912" t="s">
        <v>76</v>
      </c>
      <c r="E1912" t="s">
        <v>41</v>
      </c>
      <c r="F1912" t="s">
        <v>42</v>
      </c>
      <c r="G1912" t="s">
        <v>19</v>
      </c>
      <c r="H1912" t="s">
        <v>20</v>
      </c>
      <c r="I1912">
        <v>9</v>
      </c>
      <c r="J1912">
        <v>65000</v>
      </c>
      <c r="K1912">
        <v>45000</v>
      </c>
      <c r="L1912" t="s">
        <v>50</v>
      </c>
      <c r="M1912" t="s">
        <v>37</v>
      </c>
      <c r="N1912" t="s">
        <v>52</v>
      </c>
      <c r="O1912" t="s">
        <v>24</v>
      </c>
      <c r="P1912">
        <f>Tableau1_2[[#This Row],[Quantité]]*Tableau1_2[[#This Row],[Prix_Unitaire]]</f>
        <v>585000</v>
      </c>
      <c r="Q1912">
        <f>Tableau1_2[[#This Row],[Quantité]]*Tableau1_2[[#This Row],[Coût_Unitaire]]</f>
        <v>405000</v>
      </c>
      <c r="R1912">
        <f>Tableau1_2[[#This Row],[CA]]-Tableau1_2[[#This Row],[Cout Total]]</f>
        <v>180000</v>
      </c>
      <c r="S1912" s="4">
        <f>Tableau1_2[[#This Row],[Marge]]/Tableau1_2[[#This Row],[CA]]</f>
        <v>0.30769230769230771</v>
      </c>
      <c r="T1912" t="str">
        <f>TEXT(Tableau1_2[[#This Row],[Date]],"mmmm")</f>
        <v>juillet</v>
      </c>
    </row>
    <row r="1913" spans="1:20" x14ac:dyDescent="0.35">
      <c r="A1913" t="s">
        <v>2974</v>
      </c>
      <c r="B1913" s="2">
        <v>46272</v>
      </c>
      <c r="C1913" t="s">
        <v>853</v>
      </c>
      <c r="D1913" t="s">
        <v>688</v>
      </c>
      <c r="E1913" t="s">
        <v>84</v>
      </c>
      <c r="F1913" t="s">
        <v>85</v>
      </c>
      <c r="G1913" t="s">
        <v>34</v>
      </c>
      <c r="H1913" t="s">
        <v>95</v>
      </c>
      <c r="I1913">
        <v>5</v>
      </c>
      <c r="J1913">
        <v>450000</v>
      </c>
      <c r="K1913">
        <v>381100</v>
      </c>
      <c r="L1913" t="s">
        <v>36</v>
      </c>
      <c r="M1913" t="s">
        <v>37</v>
      </c>
      <c r="N1913" t="s">
        <v>23</v>
      </c>
      <c r="O1913" t="s">
        <v>24</v>
      </c>
      <c r="P1913">
        <f>Tableau1_2[[#This Row],[Quantité]]*Tableau1_2[[#This Row],[Prix_Unitaire]]</f>
        <v>2250000</v>
      </c>
      <c r="Q1913">
        <f>Tableau1_2[[#This Row],[Quantité]]*Tableau1_2[[#This Row],[Coût_Unitaire]]</f>
        <v>1905500</v>
      </c>
      <c r="R1913">
        <f>Tableau1_2[[#This Row],[CA]]-Tableau1_2[[#This Row],[Cout Total]]</f>
        <v>344500</v>
      </c>
      <c r="S1913" s="4">
        <f>Tableau1_2[[#This Row],[Marge]]/Tableau1_2[[#This Row],[CA]]</f>
        <v>0.15311111111111111</v>
      </c>
      <c r="T1913" t="str">
        <f>TEXT(Tableau1_2[[#This Row],[Date]],"mmmm")</f>
        <v>septembre</v>
      </c>
    </row>
    <row r="1914" spans="1:20" x14ac:dyDescent="0.35">
      <c r="A1914" t="s">
        <v>2975</v>
      </c>
      <c r="B1914" s="2">
        <v>46269</v>
      </c>
      <c r="C1914" t="s">
        <v>1642</v>
      </c>
      <c r="D1914" t="s">
        <v>1313</v>
      </c>
      <c r="E1914" t="s">
        <v>18</v>
      </c>
      <c r="F1914" t="s">
        <v>18</v>
      </c>
      <c r="G1914" t="s">
        <v>34</v>
      </c>
      <c r="H1914" t="s">
        <v>35</v>
      </c>
      <c r="I1914">
        <v>6</v>
      </c>
      <c r="J1914">
        <v>55000</v>
      </c>
      <c r="K1914">
        <v>39000</v>
      </c>
      <c r="L1914" t="s">
        <v>50</v>
      </c>
      <c r="M1914" t="s">
        <v>37</v>
      </c>
      <c r="N1914" t="s">
        <v>87</v>
      </c>
      <c r="O1914" t="s">
        <v>24</v>
      </c>
      <c r="P1914">
        <f>Tableau1_2[[#This Row],[Quantité]]*Tableau1_2[[#This Row],[Prix_Unitaire]]</f>
        <v>330000</v>
      </c>
      <c r="Q1914">
        <f>Tableau1_2[[#This Row],[Quantité]]*Tableau1_2[[#This Row],[Coût_Unitaire]]</f>
        <v>234000</v>
      </c>
      <c r="R1914">
        <f>Tableau1_2[[#This Row],[CA]]-Tableau1_2[[#This Row],[Cout Total]]</f>
        <v>96000</v>
      </c>
      <c r="S1914" s="4">
        <f>Tableau1_2[[#This Row],[Marge]]/Tableau1_2[[#This Row],[CA]]</f>
        <v>0.29090909090909089</v>
      </c>
      <c r="T1914" t="str">
        <f>TEXT(Tableau1_2[[#This Row],[Date]],"mmmm")</f>
        <v>septembre</v>
      </c>
    </row>
    <row r="1915" spans="1:20" x14ac:dyDescent="0.35">
      <c r="A1915" t="s">
        <v>2976</v>
      </c>
      <c r="B1915" s="2">
        <v>46303</v>
      </c>
      <c r="C1915" t="s">
        <v>472</v>
      </c>
      <c r="D1915" t="s">
        <v>1217</v>
      </c>
      <c r="E1915" t="s">
        <v>70</v>
      </c>
      <c r="F1915" t="s">
        <v>71</v>
      </c>
      <c r="G1915" t="s">
        <v>43</v>
      </c>
      <c r="H1915" t="s">
        <v>177</v>
      </c>
      <c r="I1915">
        <v>5</v>
      </c>
      <c r="J1915">
        <v>18000</v>
      </c>
      <c r="K1915">
        <v>12900</v>
      </c>
      <c r="L1915" t="s">
        <v>80</v>
      </c>
      <c r="M1915" t="s">
        <v>51</v>
      </c>
      <c r="N1915" t="s">
        <v>23</v>
      </c>
      <c r="O1915" t="s">
        <v>91</v>
      </c>
      <c r="P1915">
        <f>Tableau1_2[[#This Row],[Quantité]]*Tableau1_2[[#This Row],[Prix_Unitaire]]</f>
        <v>90000</v>
      </c>
      <c r="Q1915">
        <f>Tableau1_2[[#This Row],[Quantité]]*Tableau1_2[[#This Row],[Coût_Unitaire]]</f>
        <v>64500</v>
      </c>
      <c r="R1915">
        <f>Tableau1_2[[#This Row],[CA]]-Tableau1_2[[#This Row],[Cout Total]]</f>
        <v>25500</v>
      </c>
      <c r="S1915" s="4">
        <f>Tableau1_2[[#This Row],[Marge]]/Tableau1_2[[#This Row],[CA]]</f>
        <v>0.28333333333333333</v>
      </c>
      <c r="T1915" t="str">
        <f>TEXT(Tableau1_2[[#This Row],[Date]],"mmmm")</f>
        <v>octobre</v>
      </c>
    </row>
    <row r="1916" spans="1:20" x14ac:dyDescent="0.35">
      <c r="A1916" t="s">
        <v>2977</v>
      </c>
      <c r="B1916" s="2">
        <v>46206</v>
      </c>
      <c r="C1916" t="s">
        <v>1527</v>
      </c>
      <c r="D1916" t="s">
        <v>581</v>
      </c>
      <c r="E1916" t="s">
        <v>18</v>
      </c>
      <c r="F1916" t="s">
        <v>18</v>
      </c>
      <c r="G1916" t="s">
        <v>34</v>
      </c>
      <c r="H1916" t="s">
        <v>86</v>
      </c>
      <c r="I1916">
        <v>5</v>
      </c>
      <c r="J1916">
        <v>180000</v>
      </c>
      <c r="K1916">
        <v>135000</v>
      </c>
      <c r="L1916" t="s">
        <v>36</v>
      </c>
      <c r="M1916" t="s">
        <v>37</v>
      </c>
      <c r="N1916" t="s">
        <v>23</v>
      </c>
      <c r="O1916" t="s">
        <v>45</v>
      </c>
      <c r="P1916">
        <f>Tableau1_2[[#This Row],[Quantité]]*Tableau1_2[[#This Row],[Prix_Unitaire]]</f>
        <v>900000</v>
      </c>
      <c r="Q1916">
        <f>Tableau1_2[[#This Row],[Quantité]]*Tableau1_2[[#This Row],[Coût_Unitaire]]</f>
        <v>675000</v>
      </c>
      <c r="R1916">
        <f>Tableau1_2[[#This Row],[CA]]-Tableau1_2[[#This Row],[Cout Total]]</f>
        <v>225000</v>
      </c>
      <c r="S1916" s="4">
        <f>Tableau1_2[[#This Row],[Marge]]/Tableau1_2[[#This Row],[CA]]</f>
        <v>0.25</v>
      </c>
      <c r="T1916" t="str">
        <f>TEXT(Tableau1_2[[#This Row],[Date]],"mmmm")</f>
        <v>juillet</v>
      </c>
    </row>
    <row r="1917" spans="1:20" x14ac:dyDescent="0.35">
      <c r="A1917" t="s">
        <v>2978</v>
      </c>
      <c r="B1917" s="2">
        <v>46267</v>
      </c>
      <c r="C1917" t="s">
        <v>1658</v>
      </c>
      <c r="D1917" t="s">
        <v>1396</v>
      </c>
      <c r="E1917" t="s">
        <v>56</v>
      </c>
      <c r="F1917" t="s">
        <v>57</v>
      </c>
      <c r="G1917" t="s">
        <v>19</v>
      </c>
      <c r="H1917" t="s">
        <v>112</v>
      </c>
      <c r="I1917">
        <v>7</v>
      </c>
      <c r="J1917">
        <v>85000</v>
      </c>
      <c r="K1917">
        <v>60100</v>
      </c>
      <c r="L1917" t="s">
        <v>21</v>
      </c>
      <c r="M1917" t="s">
        <v>37</v>
      </c>
      <c r="N1917" t="s">
        <v>87</v>
      </c>
      <c r="O1917" t="s">
        <v>24</v>
      </c>
      <c r="P1917">
        <f>Tableau1_2[[#This Row],[Quantité]]*Tableau1_2[[#This Row],[Prix_Unitaire]]</f>
        <v>595000</v>
      </c>
      <c r="Q1917">
        <f>Tableau1_2[[#This Row],[Quantité]]*Tableau1_2[[#This Row],[Coût_Unitaire]]</f>
        <v>420700</v>
      </c>
      <c r="R1917">
        <f>Tableau1_2[[#This Row],[CA]]-Tableau1_2[[#This Row],[Cout Total]]</f>
        <v>174300</v>
      </c>
      <c r="S1917" s="4">
        <f>Tableau1_2[[#This Row],[Marge]]/Tableau1_2[[#This Row],[CA]]</f>
        <v>0.29294117647058826</v>
      </c>
      <c r="T1917" t="str">
        <f>TEXT(Tableau1_2[[#This Row],[Date]],"mmmm")</f>
        <v>septembre</v>
      </c>
    </row>
    <row r="1918" spans="1:20" x14ac:dyDescent="0.35">
      <c r="A1918" t="s">
        <v>2979</v>
      </c>
      <c r="B1918" s="2">
        <v>46325</v>
      </c>
      <c r="C1918" t="s">
        <v>2457</v>
      </c>
      <c r="D1918" t="s">
        <v>1906</v>
      </c>
      <c r="E1918" t="s">
        <v>156</v>
      </c>
      <c r="F1918" t="s">
        <v>157</v>
      </c>
      <c r="G1918" t="s">
        <v>34</v>
      </c>
      <c r="H1918" t="s">
        <v>141</v>
      </c>
      <c r="I1918">
        <v>10</v>
      </c>
      <c r="J1918">
        <v>160000</v>
      </c>
      <c r="K1918">
        <v>116400</v>
      </c>
      <c r="L1918" t="s">
        <v>50</v>
      </c>
      <c r="M1918" t="s">
        <v>22</v>
      </c>
      <c r="N1918" t="s">
        <v>23</v>
      </c>
      <c r="O1918" t="s">
        <v>24</v>
      </c>
      <c r="P1918">
        <f>Tableau1_2[[#This Row],[Quantité]]*Tableau1_2[[#This Row],[Prix_Unitaire]]</f>
        <v>1600000</v>
      </c>
      <c r="Q1918">
        <f>Tableau1_2[[#This Row],[Quantité]]*Tableau1_2[[#This Row],[Coût_Unitaire]]</f>
        <v>1164000</v>
      </c>
      <c r="R1918">
        <f>Tableau1_2[[#This Row],[CA]]-Tableau1_2[[#This Row],[Cout Total]]</f>
        <v>436000</v>
      </c>
      <c r="S1918" s="4">
        <f>Tableau1_2[[#This Row],[Marge]]/Tableau1_2[[#This Row],[CA]]</f>
        <v>0.27250000000000002</v>
      </c>
      <c r="T1918" t="str">
        <f>TEXT(Tableau1_2[[#This Row],[Date]],"mmmm")</f>
        <v>octobre</v>
      </c>
    </row>
    <row r="1919" spans="1:20" x14ac:dyDescent="0.35">
      <c r="A1919" t="s">
        <v>2980</v>
      </c>
      <c r="B1919" s="2">
        <v>46247</v>
      </c>
      <c r="C1919" t="s">
        <v>746</v>
      </c>
      <c r="D1919" t="s">
        <v>814</v>
      </c>
      <c r="E1919" t="s">
        <v>156</v>
      </c>
      <c r="F1919" t="s">
        <v>170</v>
      </c>
      <c r="G1919" t="s">
        <v>34</v>
      </c>
      <c r="H1919" t="s">
        <v>141</v>
      </c>
      <c r="I1919">
        <v>3</v>
      </c>
      <c r="J1919">
        <v>152000</v>
      </c>
      <c r="K1919">
        <v>116400</v>
      </c>
      <c r="L1919" t="s">
        <v>96</v>
      </c>
      <c r="M1919" t="s">
        <v>51</v>
      </c>
      <c r="N1919" t="s">
        <v>23</v>
      </c>
      <c r="O1919" t="s">
        <v>24</v>
      </c>
      <c r="P1919">
        <f>Tableau1_2[[#This Row],[Quantité]]*Tableau1_2[[#This Row],[Prix_Unitaire]]</f>
        <v>456000</v>
      </c>
      <c r="Q1919">
        <f>Tableau1_2[[#This Row],[Quantité]]*Tableau1_2[[#This Row],[Coût_Unitaire]]</f>
        <v>349200</v>
      </c>
      <c r="R1919">
        <f>Tableau1_2[[#This Row],[CA]]-Tableau1_2[[#This Row],[Cout Total]]</f>
        <v>106800</v>
      </c>
      <c r="S1919" s="4">
        <f>Tableau1_2[[#This Row],[Marge]]/Tableau1_2[[#This Row],[CA]]</f>
        <v>0.23421052631578948</v>
      </c>
      <c r="T1919" t="str">
        <f>TEXT(Tableau1_2[[#This Row],[Date]],"mmmm")</f>
        <v>août</v>
      </c>
    </row>
    <row r="1920" spans="1:20" x14ac:dyDescent="0.35">
      <c r="A1920" t="s">
        <v>2981</v>
      </c>
      <c r="B1920" s="2">
        <v>46074</v>
      </c>
      <c r="C1920" t="s">
        <v>302</v>
      </c>
      <c r="D1920" t="s">
        <v>2133</v>
      </c>
      <c r="E1920" t="s">
        <v>156</v>
      </c>
      <c r="F1920" t="s">
        <v>170</v>
      </c>
      <c r="G1920" t="s">
        <v>43</v>
      </c>
      <c r="H1920" t="s">
        <v>162</v>
      </c>
      <c r="I1920">
        <v>1</v>
      </c>
      <c r="J1920">
        <v>8400</v>
      </c>
      <c r="K1920">
        <v>5000</v>
      </c>
      <c r="L1920" t="s">
        <v>36</v>
      </c>
      <c r="M1920" t="s">
        <v>51</v>
      </c>
      <c r="N1920" t="s">
        <v>87</v>
      </c>
      <c r="O1920" t="s">
        <v>91</v>
      </c>
      <c r="P1920">
        <f>Tableau1_2[[#This Row],[Quantité]]*Tableau1_2[[#This Row],[Prix_Unitaire]]</f>
        <v>8400</v>
      </c>
      <c r="Q1920">
        <f>Tableau1_2[[#This Row],[Quantité]]*Tableau1_2[[#This Row],[Coût_Unitaire]]</f>
        <v>5000</v>
      </c>
      <c r="R1920">
        <f>Tableau1_2[[#This Row],[CA]]-Tableau1_2[[#This Row],[Cout Total]]</f>
        <v>3400</v>
      </c>
      <c r="S1920" s="4">
        <f>Tableau1_2[[#This Row],[Marge]]/Tableau1_2[[#This Row],[CA]]</f>
        <v>0.40476190476190477</v>
      </c>
      <c r="T1920" t="str">
        <f>TEXT(Tableau1_2[[#This Row],[Date]],"mmmm")</f>
        <v>février</v>
      </c>
    </row>
    <row r="1921" spans="1:20" x14ac:dyDescent="0.35">
      <c r="A1921" t="s">
        <v>2982</v>
      </c>
      <c r="B1921" s="2">
        <v>46239</v>
      </c>
      <c r="C1921" t="s">
        <v>164</v>
      </c>
      <c r="D1921" t="s">
        <v>2890</v>
      </c>
      <c r="E1921" t="s">
        <v>18</v>
      </c>
      <c r="F1921" t="s">
        <v>18</v>
      </c>
      <c r="G1921" t="s">
        <v>28</v>
      </c>
      <c r="H1921" t="s">
        <v>131</v>
      </c>
      <c r="I1921">
        <v>7</v>
      </c>
      <c r="J1921">
        <v>28500</v>
      </c>
      <c r="K1921">
        <v>18400</v>
      </c>
      <c r="L1921" t="s">
        <v>80</v>
      </c>
      <c r="M1921" t="s">
        <v>37</v>
      </c>
      <c r="N1921" t="s">
        <v>87</v>
      </c>
      <c r="O1921" t="s">
        <v>24</v>
      </c>
      <c r="P1921">
        <f>Tableau1_2[[#This Row],[Quantité]]*Tableau1_2[[#This Row],[Prix_Unitaire]]</f>
        <v>199500</v>
      </c>
      <c r="Q1921">
        <f>Tableau1_2[[#This Row],[Quantité]]*Tableau1_2[[#This Row],[Coût_Unitaire]]</f>
        <v>128800</v>
      </c>
      <c r="R1921">
        <f>Tableau1_2[[#This Row],[CA]]-Tableau1_2[[#This Row],[Cout Total]]</f>
        <v>70700</v>
      </c>
      <c r="S1921" s="4">
        <f>Tableau1_2[[#This Row],[Marge]]/Tableau1_2[[#This Row],[CA]]</f>
        <v>0.35438596491228069</v>
      </c>
      <c r="T1921" t="str">
        <f>TEXT(Tableau1_2[[#This Row],[Date]],"mmmm")</f>
        <v>août</v>
      </c>
    </row>
    <row r="1922" spans="1:20" x14ac:dyDescent="0.35">
      <c r="A1922" t="s">
        <v>2983</v>
      </c>
      <c r="B1922" s="2">
        <v>46318</v>
      </c>
      <c r="C1922" t="s">
        <v>458</v>
      </c>
      <c r="D1922" t="s">
        <v>203</v>
      </c>
      <c r="E1922" t="s">
        <v>18</v>
      </c>
      <c r="F1922" t="s">
        <v>18</v>
      </c>
      <c r="G1922" t="s">
        <v>34</v>
      </c>
      <c r="H1922" t="s">
        <v>35</v>
      </c>
      <c r="I1922">
        <v>4</v>
      </c>
      <c r="J1922">
        <v>52200</v>
      </c>
      <c r="K1922">
        <v>39000</v>
      </c>
      <c r="L1922" t="s">
        <v>66</v>
      </c>
      <c r="M1922" t="s">
        <v>37</v>
      </c>
      <c r="N1922" t="s">
        <v>23</v>
      </c>
      <c r="O1922" t="s">
        <v>24</v>
      </c>
      <c r="P1922">
        <f>Tableau1_2[[#This Row],[Quantité]]*Tableau1_2[[#This Row],[Prix_Unitaire]]</f>
        <v>208800</v>
      </c>
      <c r="Q1922">
        <f>Tableau1_2[[#This Row],[Quantité]]*Tableau1_2[[#This Row],[Coût_Unitaire]]</f>
        <v>156000</v>
      </c>
      <c r="R1922">
        <f>Tableau1_2[[#This Row],[CA]]-Tableau1_2[[#This Row],[Cout Total]]</f>
        <v>52800</v>
      </c>
      <c r="S1922" s="4">
        <f>Tableau1_2[[#This Row],[Marge]]/Tableau1_2[[#This Row],[CA]]</f>
        <v>0.25287356321839083</v>
      </c>
      <c r="T1922" t="str">
        <f>TEXT(Tableau1_2[[#This Row],[Date]],"mmmm")</f>
        <v>octobre</v>
      </c>
    </row>
    <row r="1923" spans="1:20" x14ac:dyDescent="0.35">
      <c r="A1923" t="s">
        <v>2985</v>
      </c>
      <c r="B1923" s="2">
        <v>46142</v>
      </c>
      <c r="C1923" t="s">
        <v>364</v>
      </c>
      <c r="D1923" t="s">
        <v>1141</v>
      </c>
      <c r="E1923" t="s">
        <v>41</v>
      </c>
      <c r="F1923" t="s">
        <v>42</v>
      </c>
      <c r="G1923" t="s">
        <v>28</v>
      </c>
      <c r="H1923" t="s">
        <v>248</v>
      </c>
      <c r="I1923">
        <v>9</v>
      </c>
      <c r="J1923">
        <v>25000</v>
      </c>
      <c r="K1923">
        <v>16500</v>
      </c>
      <c r="L1923" t="s">
        <v>50</v>
      </c>
      <c r="M1923" t="s">
        <v>51</v>
      </c>
      <c r="N1923" t="s">
        <v>23</v>
      </c>
      <c r="O1923" t="s">
        <v>24</v>
      </c>
      <c r="P1923">
        <f>Tableau1_2[[#This Row],[Quantité]]*Tableau1_2[[#This Row],[Prix_Unitaire]]</f>
        <v>225000</v>
      </c>
      <c r="Q1923">
        <f>Tableau1_2[[#This Row],[Quantité]]*Tableau1_2[[#This Row],[Coût_Unitaire]]</f>
        <v>148500</v>
      </c>
      <c r="R1923">
        <f>Tableau1_2[[#This Row],[CA]]-Tableau1_2[[#This Row],[Cout Total]]</f>
        <v>76500</v>
      </c>
      <c r="S1923" s="4">
        <f>Tableau1_2[[#This Row],[Marge]]/Tableau1_2[[#This Row],[CA]]</f>
        <v>0.34</v>
      </c>
      <c r="T1923" t="str">
        <f>TEXT(Tableau1_2[[#This Row],[Date]],"mmmm")</f>
        <v>avril</v>
      </c>
    </row>
    <row r="1924" spans="1:20" x14ac:dyDescent="0.35">
      <c r="A1924" t="s">
        <v>2986</v>
      </c>
      <c r="B1924" s="2">
        <v>46073</v>
      </c>
      <c r="C1924" t="s">
        <v>334</v>
      </c>
      <c r="D1924" t="s">
        <v>340</v>
      </c>
      <c r="E1924" t="s">
        <v>18</v>
      </c>
      <c r="F1924" t="s">
        <v>18</v>
      </c>
      <c r="G1924" t="s">
        <v>43</v>
      </c>
      <c r="H1924" t="s">
        <v>162</v>
      </c>
      <c r="I1924">
        <v>10</v>
      </c>
      <c r="J1924">
        <v>8000</v>
      </c>
      <c r="K1924">
        <v>5000</v>
      </c>
      <c r="L1924" t="s">
        <v>96</v>
      </c>
      <c r="M1924" t="s">
        <v>51</v>
      </c>
      <c r="N1924" t="s">
        <v>87</v>
      </c>
      <c r="O1924" t="s">
        <v>91</v>
      </c>
      <c r="P1924">
        <f>Tableau1_2[[#This Row],[Quantité]]*Tableau1_2[[#This Row],[Prix_Unitaire]]</f>
        <v>80000</v>
      </c>
      <c r="Q1924">
        <f>Tableau1_2[[#This Row],[Quantité]]*Tableau1_2[[#This Row],[Coût_Unitaire]]</f>
        <v>50000</v>
      </c>
      <c r="R1924">
        <f>Tableau1_2[[#This Row],[CA]]-Tableau1_2[[#This Row],[Cout Total]]</f>
        <v>30000</v>
      </c>
      <c r="S1924" s="4">
        <f>Tableau1_2[[#This Row],[Marge]]/Tableau1_2[[#This Row],[CA]]</f>
        <v>0.375</v>
      </c>
      <c r="T1924" t="str">
        <f>TEXT(Tableau1_2[[#This Row],[Date]],"mmmm")</f>
        <v>février</v>
      </c>
    </row>
    <row r="1925" spans="1:20" x14ac:dyDescent="0.35">
      <c r="A1925" t="s">
        <v>2987</v>
      </c>
      <c r="B1925" s="2">
        <v>46285</v>
      </c>
      <c r="C1925" t="s">
        <v>246</v>
      </c>
      <c r="D1925" t="s">
        <v>391</v>
      </c>
      <c r="E1925" t="s">
        <v>70</v>
      </c>
      <c r="F1925" t="s">
        <v>71</v>
      </c>
      <c r="G1925" t="s">
        <v>34</v>
      </c>
      <c r="H1925" t="s">
        <v>158</v>
      </c>
      <c r="I1925">
        <v>9</v>
      </c>
      <c r="J1925">
        <v>90200</v>
      </c>
      <c r="K1925">
        <v>72100</v>
      </c>
      <c r="L1925" t="s">
        <v>50</v>
      </c>
      <c r="M1925" t="s">
        <v>51</v>
      </c>
      <c r="N1925" t="s">
        <v>23</v>
      </c>
      <c r="O1925" t="s">
        <v>91</v>
      </c>
      <c r="P1925">
        <f>Tableau1_2[[#This Row],[Quantité]]*Tableau1_2[[#This Row],[Prix_Unitaire]]</f>
        <v>811800</v>
      </c>
      <c r="Q1925">
        <f>Tableau1_2[[#This Row],[Quantité]]*Tableau1_2[[#This Row],[Coût_Unitaire]]</f>
        <v>648900</v>
      </c>
      <c r="R1925">
        <f>Tableau1_2[[#This Row],[CA]]-Tableau1_2[[#This Row],[Cout Total]]</f>
        <v>162900</v>
      </c>
      <c r="S1925" s="4">
        <f>Tableau1_2[[#This Row],[Marge]]/Tableau1_2[[#This Row],[CA]]</f>
        <v>0.20066518847006651</v>
      </c>
      <c r="T1925" t="str">
        <f>TEXT(Tableau1_2[[#This Row],[Date]],"mmmm")</f>
        <v>septembre</v>
      </c>
    </row>
    <row r="1926" spans="1:20" x14ac:dyDescent="0.35">
      <c r="A1926" t="s">
        <v>2988</v>
      </c>
      <c r="B1926" s="2">
        <v>46258</v>
      </c>
      <c r="C1926" t="s">
        <v>1882</v>
      </c>
      <c r="D1926" t="s">
        <v>1546</v>
      </c>
      <c r="E1926" t="s">
        <v>70</v>
      </c>
      <c r="F1926" t="s">
        <v>71</v>
      </c>
      <c r="G1926" t="s">
        <v>43</v>
      </c>
      <c r="H1926" t="s">
        <v>79</v>
      </c>
      <c r="I1926">
        <v>1</v>
      </c>
      <c r="J1926">
        <v>6000</v>
      </c>
      <c r="K1926">
        <v>4300</v>
      </c>
      <c r="L1926" t="s">
        <v>50</v>
      </c>
      <c r="M1926" t="s">
        <v>37</v>
      </c>
      <c r="N1926" t="s">
        <v>52</v>
      </c>
      <c r="O1926" t="s">
        <v>24</v>
      </c>
      <c r="P1926">
        <f>Tableau1_2[[#This Row],[Quantité]]*Tableau1_2[[#This Row],[Prix_Unitaire]]</f>
        <v>6000</v>
      </c>
      <c r="Q1926">
        <f>Tableau1_2[[#This Row],[Quantité]]*Tableau1_2[[#This Row],[Coût_Unitaire]]</f>
        <v>4300</v>
      </c>
      <c r="R1926">
        <f>Tableau1_2[[#This Row],[CA]]-Tableau1_2[[#This Row],[Cout Total]]</f>
        <v>1700</v>
      </c>
      <c r="S1926" s="4">
        <f>Tableau1_2[[#This Row],[Marge]]/Tableau1_2[[#This Row],[CA]]</f>
        <v>0.28333333333333333</v>
      </c>
      <c r="T1926" t="str">
        <f>TEXT(Tableau1_2[[#This Row],[Date]],"mmmm")</f>
        <v>août</v>
      </c>
    </row>
    <row r="1927" spans="1:20" x14ac:dyDescent="0.35">
      <c r="A1927" t="s">
        <v>2989</v>
      </c>
      <c r="B1927" s="2">
        <v>46252</v>
      </c>
      <c r="C1927" t="s">
        <v>217</v>
      </c>
      <c r="D1927" t="s">
        <v>2535</v>
      </c>
      <c r="E1927" t="s">
        <v>18</v>
      </c>
      <c r="F1927" t="s">
        <v>18</v>
      </c>
      <c r="G1927" t="s">
        <v>19</v>
      </c>
      <c r="H1927" t="s">
        <v>112</v>
      </c>
      <c r="I1927">
        <v>4</v>
      </c>
      <c r="J1927">
        <v>89200</v>
      </c>
      <c r="K1927">
        <v>63900</v>
      </c>
      <c r="L1927" t="s">
        <v>21</v>
      </c>
      <c r="M1927" t="s">
        <v>37</v>
      </c>
      <c r="N1927" t="s">
        <v>23</v>
      </c>
      <c r="O1927" t="s">
        <v>24</v>
      </c>
      <c r="P1927">
        <f>Tableau1_2[[#This Row],[Quantité]]*Tableau1_2[[#This Row],[Prix_Unitaire]]</f>
        <v>356800</v>
      </c>
      <c r="Q1927">
        <f>Tableau1_2[[#This Row],[Quantité]]*Tableau1_2[[#This Row],[Coût_Unitaire]]</f>
        <v>255600</v>
      </c>
      <c r="R1927">
        <f>Tableau1_2[[#This Row],[CA]]-Tableau1_2[[#This Row],[Cout Total]]</f>
        <v>101200</v>
      </c>
      <c r="S1927" s="4">
        <f>Tableau1_2[[#This Row],[Marge]]/Tableau1_2[[#This Row],[CA]]</f>
        <v>0.28363228699551568</v>
      </c>
      <c r="T1927" t="str">
        <f>TEXT(Tableau1_2[[#This Row],[Date]],"mmmm")</f>
        <v>août</v>
      </c>
    </row>
    <row r="1928" spans="1:20" x14ac:dyDescent="0.35">
      <c r="A1928" t="s">
        <v>2990</v>
      </c>
      <c r="B1928" s="2">
        <v>46275</v>
      </c>
      <c r="C1928" t="s">
        <v>757</v>
      </c>
      <c r="D1928" t="s">
        <v>83</v>
      </c>
      <c r="E1928" t="s">
        <v>190</v>
      </c>
      <c r="F1928" t="s">
        <v>191</v>
      </c>
      <c r="G1928" t="s">
        <v>34</v>
      </c>
      <c r="H1928" t="s">
        <v>86</v>
      </c>
      <c r="I1928">
        <v>6</v>
      </c>
      <c r="J1928">
        <v>171000</v>
      </c>
      <c r="K1928">
        <v>139000</v>
      </c>
      <c r="L1928" t="s">
        <v>50</v>
      </c>
      <c r="M1928" t="s">
        <v>37</v>
      </c>
      <c r="N1928" t="s">
        <v>23</v>
      </c>
      <c r="O1928" t="s">
        <v>45</v>
      </c>
      <c r="P1928">
        <f>Tableau1_2[[#This Row],[Quantité]]*Tableau1_2[[#This Row],[Prix_Unitaire]]</f>
        <v>1026000</v>
      </c>
      <c r="Q1928">
        <f>Tableau1_2[[#This Row],[Quantité]]*Tableau1_2[[#This Row],[Coût_Unitaire]]</f>
        <v>834000</v>
      </c>
      <c r="R1928">
        <f>Tableau1_2[[#This Row],[CA]]-Tableau1_2[[#This Row],[Cout Total]]</f>
        <v>192000</v>
      </c>
      <c r="S1928" s="4">
        <f>Tableau1_2[[#This Row],[Marge]]/Tableau1_2[[#This Row],[CA]]</f>
        <v>0.1871345029239766</v>
      </c>
      <c r="T1928" t="str">
        <f>TEXT(Tableau1_2[[#This Row],[Date]],"mmmm")</f>
        <v>septembre</v>
      </c>
    </row>
    <row r="1929" spans="1:20" x14ac:dyDescent="0.35">
      <c r="A1929" t="s">
        <v>2991</v>
      </c>
      <c r="B1929" s="2">
        <v>46295</v>
      </c>
      <c r="C1929" t="s">
        <v>2745</v>
      </c>
      <c r="D1929" t="s">
        <v>294</v>
      </c>
      <c r="E1929" t="s">
        <v>70</v>
      </c>
      <c r="F1929" t="s">
        <v>71</v>
      </c>
      <c r="G1929" t="s">
        <v>43</v>
      </c>
      <c r="H1929" t="s">
        <v>49</v>
      </c>
      <c r="I1929">
        <v>10</v>
      </c>
      <c r="J1929">
        <v>9400</v>
      </c>
      <c r="K1929">
        <v>5600</v>
      </c>
      <c r="L1929" t="s">
        <v>21</v>
      </c>
      <c r="M1929" t="s">
        <v>37</v>
      </c>
      <c r="N1929" t="s">
        <v>23</v>
      </c>
      <c r="O1929" t="s">
        <v>91</v>
      </c>
      <c r="P1929">
        <f>Tableau1_2[[#This Row],[Quantité]]*Tableau1_2[[#This Row],[Prix_Unitaire]]</f>
        <v>94000</v>
      </c>
      <c r="Q1929">
        <f>Tableau1_2[[#This Row],[Quantité]]*Tableau1_2[[#This Row],[Coût_Unitaire]]</f>
        <v>56000</v>
      </c>
      <c r="R1929">
        <f>Tableau1_2[[#This Row],[CA]]-Tableau1_2[[#This Row],[Cout Total]]</f>
        <v>38000</v>
      </c>
      <c r="S1929" s="4">
        <f>Tableau1_2[[#This Row],[Marge]]/Tableau1_2[[#This Row],[CA]]</f>
        <v>0.40425531914893614</v>
      </c>
      <c r="T1929" t="str">
        <f>TEXT(Tableau1_2[[#This Row],[Date]],"mmmm")</f>
        <v>septembre</v>
      </c>
    </row>
    <row r="1930" spans="1:20" x14ac:dyDescent="0.35">
      <c r="A1930" t="s">
        <v>2992</v>
      </c>
      <c r="B1930" s="2">
        <v>46211</v>
      </c>
      <c r="C1930" t="s">
        <v>945</v>
      </c>
      <c r="D1930" t="s">
        <v>1382</v>
      </c>
      <c r="E1930" t="s">
        <v>41</v>
      </c>
      <c r="F1930" t="s">
        <v>42</v>
      </c>
      <c r="G1930" t="s">
        <v>43</v>
      </c>
      <c r="H1930" t="s">
        <v>49</v>
      </c>
      <c r="I1930">
        <v>9</v>
      </c>
      <c r="J1930">
        <v>9400</v>
      </c>
      <c r="K1930">
        <v>5600</v>
      </c>
      <c r="L1930" t="s">
        <v>50</v>
      </c>
      <c r="M1930" t="s">
        <v>22</v>
      </c>
      <c r="N1930" t="s">
        <v>52</v>
      </c>
      <c r="O1930" t="s">
        <v>24</v>
      </c>
      <c r="P1930">
        <f>Tableau1_2[[#This Row],[Quantité]]*Tableau1_2[[#This Row],[Prix_Unitaire]]</f>
        <v>84600</v>
      </c>
      <c r="Q1930">
        <f>Tableau1_2[[#This Row],[Quantité]]*Tableau1_2[[#This Row],[Coût_Unitaire]]</f>
        <v>50400</v>
      </c>
      <c r="R1930">
        <f>Tableau1_2[[#This Row],[CA]]-Tableau1_2[[#This Row],[Cout Total]]</f>
        <v>34200</v>
      </c>
      <c r="S1930" s="4">
        <f>Tableau1_2[[#This Row],[Marge]]/Tableau1_2[[#This Row],[CA]]</f>
        <v>0.40425531914893614</v>
      </c>
      <c r="T1930" t="str">
        <f>TEXT(Tableau1_2[[#This Row],[Date]],"mmmm")</f>
        <v>juillet</v>
      </c>
    </row>
    <row r="1931" spans="1:20" x14ac:dyDescent="0.35">
      <c r="A1931" t="s">
        <v>2993</v>
      </c>
      <c r="B1931" s="2">
        <v>46110</v>
      </c>
      <c r="C1931" t="s">
        <v>486</v>
      </c>
      <c r="D1931" t="s">
        <v>2213</v>
      </c>
      <c r="E1931" t="s">
        <v>156</v>
      </c>
      <c r="F1931" t="s">
        <v>170</v>
      </c>
      <c r="G1931" t="s">
        <v>34</v>
      </c>
      <c r="H1931" t="s">
        <v>95</v>
      </c>
      <c r="I1931">
        <v>1</v>
      </c>
      <c r="J1931">
        <v>450000</v>
      </c>
      <c r="K1931">
        <v>370000</v>
      </c>
      <c r="L1931" t="s">
        <v>21</v>
      </c>
      <c r="M1931" t="s">
        <v>37</v>
      </c>
      <c r="N1931" t="s">
        <v>52</v>
      </c>
      <c r="O1931" t="s">
        <v>91</v>
      </c>
      <c r="P1931">
        <f>Tableau1_2[[#This Row],[Quantité]]*Tableau1_2[[#This Row],[Prix_Unitaire]]</f>
        <v>450000</v>
      </c>
      <c r="Q1931">
        <f>Tableau1_2[[#This Row],[Quantité]]*Tableau1_2[[#This Row],[Coût_Unitaire]]</f>
        <v>370000</v>
      </c>
      <c r="R1931">
        <f>Tableau1_2[[#This Row],[CA]]-Tableau1_2[[#This Row],[Cout Total]]</f>
        <v>80000</v>
      </c>
      <c r="S1931" s="4">
        <f>Tableau1_2[[#This Row],[Marge]]/Tableau1_2[[#This Row],[CA]]</f>
        <v>0.17777777777777778</v>
      </c>
      <c r="T1931" t="str">
        <f>TEXT(Tableau1_2[[#This Row],[Date]],"mmmm")</f>
        <v>mars</v>
      </c>
    </row>
    <row r="1932" spans="1:20" x14ac:dyDescent="0.35">
      <c r="A1932" t="s">
        <v>2994</v>
      </c>
      <c r="B1932" s="2">
        <v>46286</v>
      </c>
      <c r="C1932" t="s">
        <v>1371</v>
      </c>
      <c r="D1932" t="s">
        <v>1913</v>
      </c>
      <c r="E1932" t="s">
        <v>190</v>
      </c>
      <c r="F1932" t="s">
        <v>191</v>
      </c>
      <c r="G1932" t="s">
        <v>34</v>
      </c>
      <c r="H1932" t="s">
        <v>158</v>
      </c>
      <c r="I1932">
        <v>8</v>
      </c>
      <c r="J1932">
        <v>95000</v>
      </c>
      <c r="K1932">
        <v>67900</v>
      </c>
      <c r="L1932" t="s">
        <v>36</v>
      </c>
      <c r="M1932" t="s">
        <v>31</v>
      </c>
      <c r="N1932" t="s">
        <v>23</v>
      </c>
      <c r="O1932" t="s">
        <v>24</v>
      </c>
      <c r="P1932">
        <f>Tableau1_2[[#This Row],[Quantité]]*Tableau1_2[[#This Row],[Prix_Unitaire]]</f>
        <v>760000</v>
      </c>
      <c r="Q1932">
        <f>Tableau1_2[[#This Row],[Quantité]]*Tableau1_2[[#This Row],[Coût_Unitaire]]</f>
        <v>543200</v>
      </c>
      <c r="R1932">
        <f>Tableau1_2[[#This Row],[CA]]-Tableau1_2[[#This Row],[Cout Total]]</f>
        <v>216800</v>
      </c>
      <c r="S1932" s="4">
        <f>Tableau1_2[[#This Row],[Marge]]/Tableau1_2[[#This Row],[CA]]</f>
        <v>0.28526315789473683</v>
      </c>
      <c r="T1932" t="str">
        <f>TEXT(Tableau1_2[[#This Row],[Date]],"mmmm")</f>
        <v>septembre</v>
      </c>
    </row>
    <row r="1933" spans="1:20" x14ac:dyDescent="0.35">
      <c r="A1933" t="s">
        <v>2995</v>
      </c>
      <c r="B1933" s="2">
        <v>46146</v>
      </c>
      <c r="C1933" t="s">
        <v>2205</v>
      </c>
      <c r="D1933" t="s">
        <v>1836</v>
      </c>
      <c r="E1933" t="s">
        <v>77</v>
      </c>
      <c r="F1933" t="s">
        <v>78</v>
      </c>
      <c r="G1933" t="s">
        <v>34</v>
      </c>
      <c r="H1933" t="s">
        <v>86</v>
      </c>
      <c r="I1933">
        <v>10</v>
      </c>
      <c r="J1933">
        <v>180000</v>
      </c>
      <c r="K1933">
        <v>131000</v>
      </c>
      <c r="L1933" t="s">
        <v>66</v>
      </c>
      <c r="M1933" t="s">
        <v>37</v>
      </c>
      <c r="N1933" t="s">
        <v>87</v>
      </c>
      <c r="O1933" t="s">
        <v>24</v>
      </c>
      <c r="P1933">
        <f>Tableau1_2[[#This Row],[Quantité]]*Tableau1_2[[#This Row],[Prix_Unitaire]]</f>
        <v>1800000</v>
      </c>
      <c r="Q1933">
        <f>Tableau1_2[[#This Row],[Quantité]]*Tableau1_2[[#This Row],[Coût_Unitaire]]</f>
        <v>1310000</v>
      </c>
      <c r="R1933">
        <f>Tableau1_2[[#This Row],[CA]]-Tableau1_2[[#This Row],[Cout Total]]</f>
        <v>490000</v>
      </c>
      <c r="S1933" s="4">
        <f>Tableau1_2[[#This Row],[Marge]]/Tableau1_2[[#This Row],[CA]]</f>
        <v>0.2722222222222222</v>
      </c>
      <c r="T1933" t="str">
        <f>TEXT(Tableau1_2[[#This Row],[Date]],"mmmm")</f>
        <v>mai</v>
      </c>
    </row>
    <row r="1934" spans="1:20" x14ac:dyDescent="0.35">
      <c r="A1934" t="s">
        <v>2996</v>
      </c>
      <c r="B1934" s="2">
        <v>46226</v>
      </c>
      <c r="C1934" t="s">
        <v>2107</v>
      </c>
      <c r="D1934" t="s">
        <v>2087</v>
      </c>
      <c r="E1934" t="s">
        <v>84</v>
      </c>
      <c r="F1934" t="s">
        <v>85</v>
      </c>
      <c r="G1934" t="s">
        <v>19</v>
      </c>
      <c r="H1934" t="s">
        <v>166</v>
      </c>
      <c r="I1934">
        <v>8</v>
      </c>
      <c r="J1934">
        <v>133000</v>
      </c>
      <c r="K1934">
        <v>103000</v>
      </c>
      <c r="L1934" t="s">
        <v>30</v>
      </c>
      <c r="M1934" t="s">
        <v>31</v>
      </c>
      <c r="N1934" t="s">
        <v>52</v>
      </c>
      <c r="O1934" t="s">
        <v>24</v>
      </c>
      <c r="P1934">
        <f>Tableau1_2[[#This Row],[Quantité]]*Tableau1_2[[#This Row],[Prix_Unitaire]]</f>
        <v>1064000</v>
      </c>
      <c r="Q1934">
        <f>Tableau1_2[[#This Row],[Quantité]]*Tableau1_2[[#This Row],[Coût_Unitaire]]</f>
        <v>824000</v>
      </c>
      <c r="R1934">
        <f>Tableau1_2[[#This Row],[CA]]-Tableau1_2[[#This Row],[Cout Total]]</f>
        <v>240000</v>
      </c>
      <c r="S1934" s="4">
        <f>Tableau1_2[[#This Row],[Marge]]/Tableau1_2[[#This Row],[CA]]</f>
        <v>0.22556390977443608</v>
      </c>
      <c r="T1934" t="str">
        <f>TEXT(Tableau1_2[[#This Row],[Date]],"mmmm")</f>
        <v>juillet</v>
      </c>
    </row>
    <row r="1935" spans="1:20" x14ac:dyDescent="0.35">
      <c r="A1935" t="s">
        <v>2997</v>
      </c>
      <c r="B1935" s="2">
        <v>46369</v>
      </c>
      <c r="C1935" t="s">
        <v>33</v>
      </c>
      <c r="D1935" t="s">
        <v>1219</v>
      </c>
      <c r="E1935" t="s">
        <v>84</v>
      </c>
      <c r="F1935" t="s">
        <v>85</v>
      </c>
      <c r="G1935" t="s">
        <v>34</v>
      </c>
      <c r="H1935" t="s">
        <v>86</v>
      </c>
      <c r="I1935">
        <v>3</v>
      </c>
      <c r="J1935">
        <v>189000</v>
      </c>
      <c r="K1935">
        <v>131000</v>
      </c>
      <c r="L1935" t="s">
        <v>66</v>
      </c>
      <c r="M1935" t="s">
        <v>51</v>
      </c>
      <c r="N1935" t="s">
        <v>23</v>
      </c>
      <c r="O1935" t="s">
        <v>24</v>
      </c>
      <c r="P1935">
        <f>Tableau1_2[[#This Row],[Quantité]]*Tableau1_2[[#This Row],[Prix_Unitaire]]</f>
        <v>567000</v>
      </c>
      <c r="Q1935">
        <f>Tableau1_2[[#This Row],[Quantité]]*Tableau1_2[[#This Row],[Coût_Unitaire]]</f>
        <v>393000</v>
      </c>
      <c r="R1935">
        <f>Tableau1_2[[#This Row],[CA]]-Tableau1_2[[#This Row],[Cout Total]]</f>
        <v>174000</v>
      </c>
      <c r="S1935" s="4">
        <f>Tableau1_2[[#This Row],[Marge]]/Tableau1_2[[#This Row],[CA]]</f>
        <v>0.30687830687830686</v>
      </c>
      <c r="T1935" t="str">
        <f>TEXT(Tableau1_2[[#This Row],[Date]],"mmmm")</f>
        <v>décembre</v>
      </c>
    </row>
    <row r="1936" spans="1:20" x14ac:dyDescent="0.35">
      <c r="A1936" t="s">
        <v>2998</v>
      </c>
      <c r="B1936" s="2">
        <v>46341</v>
      </c>
      <c r="C1936" t="s">
        <v>945</v>
      </c>
      <c r="D1936" t="s">
        <v>665</v>
      </c>
      <c r="E1936" t="s">
        <v>41</v>
      </c>
      <c r="F1936" t="s">
        <v>42</v>
      </c>
      <c r="G1936" t="s">
        <v>43</v>
      </c>
      <c r="H1936" t="s">
        <v>162</v>
      </c>
      <c r="I1936">
        <v>2</v>
      </c>
      <c r="J1936">
        <v>8400</v>
      </c>
      <c r="K1936">
        <v>4800</v>
      </c>
      <c r="L1936" t="s">
        <v>50</v>
      </c>
      <c r="M1936" t="s">
        <v>51</v>
      </c>
      <c r="N1936" t="s">
        <v>23</v>
      </c>
      <c r="O1936" t="s">
        <v>45</v>
      </c>
      <c r="P1936">
        <f>Tableau1_2[[#This Row],[Quantité]]*Tableau1_2[[#This Row],[Prix_Unitaire]]</f>
        <v>16800</v>
      </c>
      <c r="Q1936">
        <f>Tableau1_2[[#This Row],[Quantité]]*Tableau1_2[[#This Row],[Coût_Unitaire]]</f>
        <v>9600</v>
      </c>
      <c r="R1936">
        <f>Tableau1_2[[#This Row],[CA]]-Tableau1_2[[#This Row],[Cout Total]]</f>
        <v>7200</v>
      </c>
      <c r="S1936" s="4">
        <f>Tableau1_2[[#This Row],[Marge]]/Tableau1_2[[#This Row],[CA]]</f>
        <v>0.42857142857142855</v>
      </c>
      <c r="T1936" t="str">
        <f>TEXT(Tableau1_2[[#This Row],[Date]],"mmmm")</f>
        <v>novembre</v>
      </c>
    </row>
    <row r="1937" spans="1:20" x14ac:dyDescent="0.35">
      <c r="A1937" t="s">
        <v>2999</v>
      </c>
      <c r="B1937" s="2">
        <v>46171</v>
      </c>
      <c r="C1937" t="s">
        <v>2466</v>
      </c>
      <c r="D1937" t="s">
        <v>241</v>
      </c>
      <c r="E1937" t="s">
        <v>56</v>
      </c>
      <c r="F1937" t="s">
        <v>57</v>
      </c>
      <c r="G1937" t="s">
        <v>34</v>
      </c>
      <c r="H1937" t="s">
        <v>158</v>
      </c>
      <c r="I1937">
        <v>6</v>
      </c>
      <c r="J1937">
        <v>95000</v>
      </c>
      <c r="K1937">
        <v>67900</v>
      </c>
      <c r="L1937" t="s">
        <v>50</v>
      </c>
      <c r="M1937" t="s">
        <v>37</v>
      </c>
      <c r="N1937" t="s">
        <v>23</v>
      </c>
      <c r="O1937" t="s">
        <v>24</v>
      </c>
      <c r="P1937">
        <f>Tableau1_2[[#This Row],[Quantité]]*Tableau1_2[[#This Row],[Prix_Unitaire]]</f>
        <v>570000</v>
      </c>
      <c r="Q1937">
        <f>Tableau1_2[[#This Row],[Quantité]]*Tableau1_2[[#This Row],[Coût_Unitaire]]</f>
        <v>407400</v>
      </c>
      <c r="R1937">
        <f>Tableau1_2[[#This Row],[CA]]-Tableau1_2[[#This Row],[Cout Total]]</f>
        <v>162600</v>
      </c>
      <c r="S1937" s="4">
        <f>Tableau1_2[[#This Row],[Marge]]/Tableau1_2[[#This Row],[CA]]</f>
        <v>0.28526315789473683</v>
      </c>
      <c r="T1937" t="str">
        <f>TEXT(Tableau1_2[[#This Row],[Date]],"mmmm")</f>
        <v>mai</v>
      </c>
    </row>
    <row r="1938" spans="1:20" x14ac:dyDescent="0.35">
      <c r="A1938" t="s">
        <v>3000</v>
      </c>
      <c r="B1938" s="2">
        <v>46282</v>
      </c>
      <c r="C1938" t="s">
        <v>1348</v>
      </c>
      <c r="D1938" t="s">
        <v>391</v>
      </c>
      <c r="E1938" t="s">
        <v>18</v>
      </c>
      <c r="F1938" t="s">
        <v>18</v>
      </c>
      <c r="G1938" t="s">
        <v>28</v>
      </c>
      <c r="H1938" t="s">
        <v>29</v>
      </c>
      <c r="I1938">
        <v>2</v>
      </c>
      <c r="J1938">
        <v>6600</v>
      </c>
      <c r="K1938">
        <v>4100</v>
      </c>
      <c r="L1938" t="s">
        <v>36</v>
      </c>
      <c r="M1938" t="s">
        <v>51</v>
      </c>
      <c r="N1938" t="s">
        <v>52</v>
      </c>
      <c r="O1938" t="s">
        <v>24</v>
      </c>
      <c r="P1938">
        <f>Tableau1_2[[#This Row],[Quantité]]*Tableau1_2[[#This Row],[Prix_Unitaire]]</f>
        <v>13200</v>
      </c>
      <c r="Q1938">
        <f>Tableau1_2[[#This Row],[Quantité]]*Tableau1_2[[#This Row],[Coût_Unitaire]]</f>
        <v>8200</v>
      </c>
      <c r="R1938">
        <f>Tableau1_2[[#This Row],[CA]]-Tableau1_2[[#This Row],[Cout Total]]</f>
        <v>5000</v>
      </c>
      <c r="S1938" s="4">
        <f>Tableau1_2[[#This Row],[Marge]]/Tableau1_2[[#This Row],[CA]]</f>
        <v>0.37878787878787878</v>
      </c>
      <c r="T1938" t="str">
        <f>TEXT(Tableau1_2[[#This Row],[Date]],"mmmm")</f>
        <v>septembre</v>
      </c>
    </row>
    <row r="1939" spans="1:20" x14ac:dyDescent="0.35">
      <c r="A1939" t="s">
        <v>3001</v>
      </c>
      <c r="B1939" s="2">
        <v>46059</v>
      </c>
      <c r="C1939" t="s">
        <v>1152</v>
      </c>
      <c r="D1939" t="s">
        <v>1276</v>
      </c>
      <c r="E1939" t="s">
        <v>84</v>
      </c>
      <c r="F1939" t="s">
        <v>85</v>
      </c>
      <c r="G1939" t="s">
        <v>43</v>
      </c>
      <c r="H1939" t="s">
        <v>49</v>
      </c>
      <c r="I1939">
        <v>8</v>
      </c>
      <c r="J1939">
        <v>9000</v>
      </c>
      <c r="K1939">
        <v>5600</v>
      </c>
      <c r="L1939" t="s">
        <v>66</v>
      </c>
      <c r="M1939" t="s">
        <v>51</v>
      </c>
      <c r="N1939" t="s">
        <v>23</v>
      </c>
      <c r="O1939" t="s">
        <v>24</v>
      </c>
      <c r="P1939">
        <f>Tableau1_2[[#This Row],[Quantité]]*Tableau1_2[[#This Row],[Prix_Unitaire]]</f>
        <v>72000</v>
      </c>
      <c r="Q1939">
        <f>Tableau1_2[[#This Row],[Quantité]]*Tableau1_2[[#This Row],[Coût_Unitaire]]</f>
        <v>44800</v>
      </c>
      <c r="R1939">
        <f>Tableau1_2[[#This Row],[CA]]-Tableau1_2[[#This Row],[Cout Total]]</f>
        <v>27200</v>
      </c>
      <c r="S1939" s="4">
        <f>Tableau1_2[[#This Row],[Marge]]/Tableau1_2[[#This Row],[CA]]</f>
        <v>0.37777777777777777</v>
      </c>
      <c r="T1939" t="str">
        <f>TEXT(Tableau1_2[[#This Row],[Date]],"mmmm")</f>
        <v>février</v>
      </c>
    </row>
    <row r="1940" spans="1:20" x14ac:dyDescent="0.35">
      <c r="A1940" t="s">
        <v>3002</v>
      </c>
      <c r="B1940" s="2">
        <v>46208</v>
      </c>
      <c r="C1940" t="s">
        <v>1248</v>
      </c>
      <c r="D1940" t="s">
        <v>1091</v>
      </c>
      <c r="E1940" t="s">
        <v>18</v>
      </c>
      <c r="F1940" t="s">
        <v>18</v>
      </c>
      <c r="G1940" t="s">
        <v>34</v>
      </c>
      <c r="H1940" t="s">
        <v>35</v>
      </c>
      <c r="I1940">
        <v>6</v>
      </c>
      <c r="J1940">
        <v>52200</v>
      </c>
      <c r="K1940">
        <v>40200</v>
      </c>
      <c r="L1940" t="s">
        <v>73</v>
      </c>
      <c r="M1940" t="s">
        <v>51</v>
      </c>
      <c r="N1940" t="s">
        <v>52</v>
      </c>
      <c r="O1940" t="s">
        <v>24</v>
      </c>
      <c r="P1940">
        <f>Tableau1_2[[#This Row],[Quantité]]*Tableau1_2[[#This Row],[Prix_Unitaire]]</f>
        <v>313200</v>
      </c>
      <c r="Q1940">
        <f>Tableau1_2[[#This Row],[Quantité]]*Tableau1_2[[#This Row],[Coût_Unitaire]]</f>
        <v>241200</v>
      </c>
      <c r="R1940">
        <f>Tableau1_2[[#This Row],[CA]]-Tableau1_2[[#This Row],[Cout Total]]</f>
        <v>72000</v>
      </c>
      <c r="S1940" s="4">
        <f>Tableau1_2[[#This Row],[Marge]]/Tableau1_2[[#This Row],[CA]]</f>
        <v>0.22988505747126436</v>
      </c>
      <c r="T1940" t="str">
        <f>TEXT(Tableau1_2[[#This Row],[Date]],"mmmm")</f>
        <v>juillet</v>
      </c>
    </row>
    <row r="1941" spans="1:20" x14ac:dyDescent="0.35">
      <c r="A1941" t="s">
        <v>3003</v>
      </c>
      <c r="B1941" s="2">
        <v>46163</v>
      </c>
      <c r="C1941" t="s">
        <v>886</v>
      </c>
      <c r="D1941" t="s">
        <v>1380</v>
      </c>
      <c r="E1941" t="s">
        <v>18</v>
      </c>
      <c r="F1941" t="s">
        <v>18</v>
      </c>
      <c r="G1941" t="s">
        <v>34</v>
      </c>
      <c r="H1941" t="s">
        <v>141</v>
      </c>
      <c r="I1941">
        <v>7</v>
      </c>
      <c r="J1941">
        <v>168000</v>
      </c>
      <c r="K1941">
        <v>116400</v>
      </c>
      <c r="L1941" t="s">
        <v>66</v>
      </c>
      <c r="M1941" t="s">
        <v>51</v>
      </c>
      <c r="N1941" t="s">
        <v>52</v>
      </c>
      <c r="O1941" t="s">
        <v>24</v>
      </c>
      <c r="P1941">
        <f>Tableau1_2[[#This Row],[Quantité]]*Tableau1_2[[#This Row],[Prix_Unitaire]]</f>
        <v>1176000</v>
      </c>
      <c r="Q1941">
        <f>Tableau1_2[[#This Row],[Quantité]]*Tableau1_2[[#This Row],[Coût_Unitaire]]</f>
        <v>814800</v>
      </c>
      <c r="R1941">
        <f>Tableau1_2[[#This Row],[CA]]-Tableau1_2[[#This Row],[Cout Total]]</f>
        <v>361200</v>
      </c>
      <c r="S1941" s="4">
        <f>Tableau1_2[[#This Row],[Marge]]/Tableau1_2[[#This Row],[CA]]</f>
        <v>0.30714285714285716</v>
      </c>
      <c r="T1941" t="str">
        <f>TEXT(Tableau1_2[[#This Row],[Date]],"mmmm")</f>
        <v>mai</v>
      </c>
    </row>
    <row r="1942" spans="1:20" x14ac:dyDescent="0.35">
      <c r="A1942" t="s">
        <v>3004</v>
      </c>
      <c r="B1942" s="2">
        <v>46261</v>
      </c>
      <c r="C1942" t="s">
        <v>151</v>
      </c>
      <c r="D1942" t="s">
        <v>1375</v>
      </c>
      <c r="E1942" t="s">
        <v>41</v>
      </c>
      <c r="F1942" t="s">
        <v>42</v>
      </c>
      <c r="G1942" t="s">
        <v>43</v>
      </c>
      <c r="H1942" t="s">
        <v>44</v>
      </c>
      <c r="I1942">
        <v>6</v>
      </c>
      <c r="J1942">
        <v>15000</v>
      </c>
      <c r="K1942">
        <v>9500</v>
      </c>
      <c r="L1942" t="s">
        <v>80</v>
      </c>
      <c r="M1942" t="s">
        <v>51</v>
      </c>
      <c r="N1942" t="s">
        <v>23</v>
      </c>
      <c r="O1942" t="s">
        <v>24</v>
      </c>
      <c r="P1942">
        <f>Tableau1_2[[#This Row],[Quantité]]*Tableau1_2[[#This Row],[Prix_Unitaire]]</f>
        <v>90000</v>
      </c>
      <c r="Q1942">
        <f>Tableau1_2[[#This Row],[Quantité]]*Tableau1_2[[#This Row],[Coût_Unitaire]]</f>
        <v>57000</v>
      </c>
      <c r="R1942">
        <f>Tableau1_2[[#This Row],[CA]]-Tableau1_2[[#This Row],[Cout Total]]</f>
        <v>33000</v>
      </c>
      <c r="S1942" s="4">
        <f>Tableau1_2[[#This Row],[Marge]]/Tableau1_2[[#This Row],[CA]]</f>
        <v>0.36666666666666664</v>
      </c>
      <c r="T1942" t="str">
        <f>TEXT(Tableau1_2[[#This Row],[Date]],"mmmm")</f>
        <v>août</v>
      </c>
    </row>
    <row r="1943" spans="1:20" x14ac:dyDescent="0.35">
      <c r="A1943" t="s">
        <v>3005</v>
      </c>
      <c r="B1943" s="2">
        <v>46289</v>
      </c>
      <c r="C1943" t="s">
        <v>941</v>
      </c>
      <c r="D1943" t="s">
        <v>1241</v>
      </c>
      <c r="E1943" t="s">
        <v>70</v>
      </c>
      <c r="F1943" t="s">
        <v>71</v>
      </c>
      <c r="G1943" t="s">
        <v>34</v>
      </c>
      <c r="H1943" t="s">
        <v>95</v>
      </c>
      <c r="I1943">
        <v>2</v>
      </c>
      <c r="J1943">
        <v>450000</v>
      </c>
      <c r="K1943">
        <v>381100</v>
      </c>
      <c r="L1943" t="s">
        <v>80</v>
      </c>
      <c r="M1943" t="s">
        <v>22</v>
      </c>
      <c r="N1943" t="s">
        <v>52</v>
      </c>
      <c r="O1943" t="s">
        <v>24</v>
      </c>
      <c r="P1943">
        <f>Tableau1_2[[#This Row],[Quantité]]*Tableau1_2[[#This Row],[Prix_Unitaire]]</f>
        <v>900000</v>
      </c>
      <c r="Q1943">
        <f>Tableau1_2[[#This Row],[Quantité]]*Tableau1_2[[#This Row],[Coût_Unitaire]]</f>
        <v>762200</v>
      </c>
      <c r="R1943">
        <f>Tableau1_2[[#This Row],[CA]]-Tableau1_2[[#This Row],[Cout Total]]</f>
        <v>137800</v>
      </c>
      <c r="S1943" s="4">
        <f>Tableau1_2[[#This Row],[Marge]]/Tableau1_2[[#This Row],[CA]]</f>
        <v>0.15311111111111111</v>
      </c>
      <c r="T1943" t="str">
        <f>TEXT(Tableau1_2[[#This Row],[Date]],"mmmm")</f>
        <v>septembre</v>
      </c>
    </row>
    <row r="1944" spans="1:20" x14ac:dyDescent="0.35">
      <c r="A1944" t="s">
        <v>3006</v>
      </c>
      <c r="B1944" s="2">
        <v>46297</v>
      </c>
      <c r="C1944" t="s">
        <v>154</v>
      </c>
      <c r="D1944" t="s">
        <v>1181</v>
      </c>
      <c r="E1944" t="s">
        <v>18</v>
      </c>
      <c r="F1944" t="s">
        <v>18</v>
      </c>
      <c r="G1944" t="s">
        <v>34</v>
      </c>
      <c r="H1944" t="s">
        <v>141</v>
      </c>
      <c r="I1944">
        <v>9</v>
      </c>
      <c r="J1944">
        <v>168000</v>
      </c>
      <c r="K1944">
        <v>116400</v>
      </c>
      <c r="L1944" t="s">
        <v>66</v>
      </c>
      <c r="M1944" t="s">
        <v>51</v>
      </c>
      <c r="N1944" t="s">
        <v>52</v>
      </c>
      <c r="O1944" t="s">
        <v>24</v>
      </c>
      <c r="P1944">
        <f>Tableau1_2[[#This Row],[Quantité]]*Tableau1_2[[#This Row],[Prix_Unitaire]]</f>
        <v>1512000</v>
      </c>
      <c r="Q1944">
        <f>Tableau1_2[[#This Row],[Quantité]]*Tableau1_2[[#This Row],[Coût_Unitaire]]</f>
        <v>1047600</v>
      </c>
      <c r="R1944">
        <f>Tableau1_2[[#This Row],[CA]]-Tableau1_2[[#This Row],[Cout Total]]</f>
        <v>464400</v>
      </c>
      <c r="S1944" s="4">
        <f>Tableau1_2[[#This Row],[Marge]]/Tableau1_2[[#This Row],[CA]]</f>
        <v>0.30714285714285716</v>
      </c>
      <c r="T1944" t="str">
        <f>TEXT(Tableau1_2[[#This Row],[Date]],"mmmm")</f>
        <v>octobre</v>
      </c>
    </row>
    <row r="1945" spans="1:20" x14ac:dyDescent="0.35">
      <c r="A1945" t="s">
        <v>3007</v>
      </c>
      <c r="B1945" s="2">
        <v>46060</v>
      </c>
      <c r="C1945" t="s">
        <v>419</v>
      </c>
      <c r="D1945" t="s">
        <v>276</v>
      </c>
      <c r="E1945" t="s">
        <v>84</v>
      </c>
      <c r="F1945" t="s">
        <v>85</v>
      </c>
      <c r="G1945" t="s">
        <v>19</v>
      </c>
      <c r="H1945" t="s">
        <v>20</v>
      </c>
      <c r="I1945">
        <v>8</v>
      </c>
      <c r="J1945">
        <v>61800</v>
      </c>
      <c r="K1945">
        <v>43600</v>
      </c>
      <c r="L1945" t="s">
        <v>80</v>
      </c>
      <c r="M1945" t="s">
        <v>51</v>
      </c>
      <c r="N1945" t="s">
        <v>52</v>
      </c>
      <c r="O1945" t="s">
        <v>24</v>
      </c>
      <c r="P1945">
        <f>Tableau1_2[[#This Row],[Quantité]]*Tableau1_2[[#This Row],[Prix_Unitaire]]</f>
        <v>494400</v>
      </c>
      <c r="Q1945">
        <f>Tableau1_2[[#This Row],[Quantité]]*Tableau1_2[[#This Row],[Coût_Unitaire]]</f>
        <v>348800</v>
      </c>
      <c r="R1945">
        <f>Tableau1_2[[#This Row],[CA]]-Tableau1_2[[#This Row],[Cout Total]]</f>
        <v>145600</v>
      </c>
      <c r="S1945" s="4">
        <f>Tableau1_2[[#This Row],[Marge]]/Tableau1_2[[#This Row],[CA]]</f>
        <v>0.29449838187702265</v>
      </c>
      <c r="T1945" t="str">
        <f>TEXT(Tableau1_2[[#This Row],[Date]],"mmmm")</f>
        <v>février</v>
      </c>
    </row>
    <row r="1946" spans="1:20" x14ac:dyDescent="0.35">
      <c r="A1946" t="s">
        <v>3008</v>
      </c>
      <c r="B1946" s="2">
        <v>46061</v>
      </c>
      <c r="C1946" t="s">
        <v>523</v>
      </c>
      <c r="D1946" t="s">
        <v>738</v>
      </c>
      <c r="E1946" t="s">
        <v>190</v>
      </c>
      <c r="F1946" t="s">
        <v>191</v>
      </c>
      <c r="G1946" t="s">
        <v>28</v>
      </c>
      <c r="H1946" t="s">
        <v>29</v>
      </c>
      <c r="I1946">
        <v>1</v>
      </c>
      <c r="J1946">
        <v>7000</v>
      </c>
      <c r="K1946">
        <v>3900</v>
      </c>
      <c r="L1946" t="s">
        <v>21</v>
      </c>
      <c r="M1946" t="s">
        <v>22</v>
      </c>
      <c r="N1946" t="s">
        <v>23</v>
      </c>
      <c r="O1946" t="s">
        <v>45</v>
      </c>
      <c r="P1946">
        <f>Tableau1_2[[#This Row],[Quantité]]*Tableau1_2[[#This Row],[Prix_Unitaire]]</f>
        <v>7000</v>
      </c>
      <c r="Q1946">
        <f>Tableau1_2[[#This Row],[Quantité]]*Tableau1_2[[#This Row],[Coût_Unitaire]]</f>
        <v>3900</v>
      </c>
      <c r="R1946">
        <f>Tableau1_2[[#This Row],[CA]]-Tableau1_2[[#This Row],[Cout Total]]</f>
        <v>3100</v>
      </c>
      <c r="S1946" s="4">
        <f>Tableau1_2[[#This Row],[Marge]]/Tableau1_2[[#This Row],[CA]]</f>
        <v>0.44285714285714284</v>
      </c>
      <c r="T1946" t="str">
        <f>TEXT(Tableau1_2[[#This Row],[Date]],"mmmm")</f>
        <v>février</v>
      </c>
    </row>
    <row r="1947" spans="1:20" x14ac:dyDescent="0.35">
      <c r="A1947" t="s">
        <v>3009</v>
      </c>
      <c r="B1947" s="2">
        <v>46377</v>
      </c>
      <c r="C1947" t="s">
        <v>901</v>
      </c>
      <c r="D1947" t="s">
        <v>1794</v>
      </c>
      <c r="E1947" t="s">
        <v>156</v>
      </c>
      <c r="F1947" t="s">
        <v>170</v>
      </c>
      <c r="G1947" t="s">
        <v>34</v>
      </c>
      <c r="H1947" t="s">
        <v>86</v>
      </c>
      <c r="I1947">
        <v>1</v>
      </c>
      <c r="J1947">
        <v>171000</v>
      </c>
      <c r="K1947">
        <v>139000</v>
      </c>
      <c r="L1947" t="s">
        <v>96</v>
      </c>
      <c r="M1947" t="s">
        <v>37</v>
      </c>
      <c r="N1947" t="s">
        <v>87</v>
      </c>
      <c r="O1947" t="s">
        <v>24</v>
      </c>
      <c r="P1947">
        <f>Tableau1_2[[#This Row],[Quantité]]*Tableau1_2[[#This Row],[Prix_Unitaire]]</f>
        <v>171000</v>
      </c>
      <c r="Q1947">
        <f>Tableau1_2[[#This Row],[Quantité]]*Tableau1_2[[#This Row],[Coût_Unitaire]]</f>
        <v>139000</v>
      </c>
      <c r="R1947">
        <f>Tableau1_2[[#This Row],[CA]]-Tableau1_2[[#This Row],[Cout Total]]</f>
        <v>32000</v>
      </c>
      <c r="S1947" s="4">
        <f>Tableau1_2[[#This Row],[Marge]]/Tableau1_2[[#This Row],[CA]]</f>
        <v>0.1871345029239766</v>
      </c>
      <c r="T1947" t="str">
        <f>TEXT(Tableau1_2[[#This Row],[Date]],"mmmm")</f>
        <v>décembre</v>
      </c>
    </row>
    <row r="1948" spans="1:20" x14ac:dyDescent="0.35">
      <c r="A1948" t="s">
        <v>3010</v>
      </c>
      <c r="B1948" s="2">
        <v>46160</v>
      </c>
      <c r="C1948" t="s">
        <v>1047</v>
      </c>
      <c r="D1948" t="s">
        <v>846</v>
      </c>
      <c r="E1948" t="s">
        <v>156</v>
      </c>
      <c r="F1948" t="s">
        <v>170</v>
      </c>
      <c r="G1948" t="s">
        <v>34</v>
      </c>
      <c r="H1948" t="s">
        <v>86</v>
      </c>
      <c r="I1948">
        <v>10</v>
      </c>
      <c r="J1948">
        <v>180000</v>
      </c>
      <c r="K1948">
        <v>135000</v>
      </c>
      <c r="L1948" t="s">
        <v>50</v>
      </c>
      <c r="M1948" t="s">
        <v>51</v>
      </c>
      <c r="N1948" t="s">
        <v>23</v>
      </c>
      <c r="O1948" t="s">
        <v>24</v>
      </c>
      <c r="P1948">
        <f>Tableau1_2[[#This Row],[Quantité]]*Tableau1_2[[#This Row],[Prix_Unitaire]]</f>
        <v>1800000</v>
      </c>
      <c r="Q1948">
        <f>Tableau1_2[[#This Row],[Quantité]]*Tableau1_2[[#This Row],[Coût_Unitaire]]</f>
        <v>1350000</v>
      </c>
      <c r="R1948">
        <f>Tableau1_2[[#This Row],[CA]]-Tableau1_2[[#This Row],[Cout Total]]</f>
        <v>450000</v>
      </c>
      <c r="S1948" s="4">
        <f>Tableau1_2[[#This Row],[Marge]]/Tableau1_2[[#This Row],[CA]]</f>
        <v>0.25</v>
      </c>
      <c r="T1948" t="str">
        <f>TEXT(Tableau1_2[[#This Row],[Date]],"mmmm")</f>
        <v>mai</v>
      </c>
    </row>
    <row r="1949" spans="1:20" x14ac:dyDescent="0.35">
      <c r="A1949" t="s">
        <v>3011</v>
      </c>
      <c r="B1949" s="2">
        <v>46232</v>
      </c>
      <c r="C1949" t="s">
        <v>2342</v>
      </c>
      <c r="D1949" t="s">
        <v>3012</v>
      </c>
      <c r="E1949" t="s">
        <v>156</v>
      </c>
      <c r="F1949" t="s">
        <v>157</v>
      </c>
      <c r="G1949" t="s">
        <v>28</v>
      </c>
      <c r="H1949" t="s">
        <v>72</v>
      </c>
      <c r="I1949">
        <v>9</v>
      </c>
      <c r="J1949">
        <v>9500</v>
      </c>
      <c r="K1949">
        <v>6200</v>
      </c>
      <c r="L1949" t="s">
        <v>66</v>
      </c>
      <c r="M1949" t="s">
        <v>22</v>
      </c>
      <c r="N1949" t="s">
        <v>52</v>
      </c>
      <c r="O1949" t="s">
        <v>24</v>
      </c>
      <c r="P1949">
        <f>Tableau1_2[[#This Row],[Quantité]]*Tableau1_2[[#This Row],[Prix_Unitaire]]</f>
        <v>85500</v>
      </c>
      <c r="Q1949">
        <f>Tableau1_2[[#This Row],[Quantité]]*Tableau1_2[[#This Row],[Coût_Unitaire]]</f>
        <v>55800</v>
      </c>
      <c r="R1949">
        <f>Tableau1_2[[#This Row],[CA]]-Tableau1_2[[#This Row],[Cout Total]]</f>
        <v>29700</v>
      </c>
      <c r="S1949" s="4">
        <f>Tableau1_2[[#This Row],[Marge]]/Tableau1_2[[#This Row],[CA]]</f>
        <v>0.3473684210526316</v>
      </c>
      <c r="T1949" t="str">
        <f>TEXT(Tableau1_2[[#This Row],[Date]],"mmmm")</f>
        <v>juillet</v>
      </c>
    </row>
    <row r="1950" spans="1:20" x14ac:dyDescent="0.35">
      <c r="A1950" t="s">
        <v>3013</v>
      </c>
      <c r="B1950" s="2">
        <v>46384</v>
      </c>
      <c r="C1950" t="s">
        <v>1567</v>
      </c>
      <c r="D1950" t="s">
        <v>2443</v>
      </c>
      <c r="E1950" t="s">
        <v>18</v>
      </c>
      <c r="F1950" t="s">
        <v>18</v>
      </c>
      <c r="G1950" t="s">
        <v>19</v>
      </c>
      <c r="H1950" t="s">
        <v>61</v>
      </c>
      <c r="I1950">
        <v>8</v>
      </c>
      <c r="J1950">
        <v>220000</v>
      </c>
      <c r="K1950">
        <v>155200</v>
      </c>
      <c r="L1950" t="s">
        <v>30</v>
      </c>
      <c r="M1950" t="s">
        <v>37</v>
      </c>
      <c r="N1950" t="s">
        <v>52</v>
      </c>
      <c r="O1950" t="s">
        <v>24</v>
      </c>
      <c r="P1950">
        <f>Tableau1_2[[#This Row],[Quantité]]*Tableau1_2[[#This Row],[Prix_Unitaire]]</f>
        <v>1760000</v>
      </c>
      <c r="Q1950">
        <f>Tableau1_2[[#This Row],[Quantité]]*Tableau1_2[[#This Row],[Coût_Unitaire]]</f>
        <v>1241600</v>
      </c>
      <c r="R1950">
        <f>Tableau1_2[[#This Row],[CA]]-Tableau1_2[[#This Row],[Cout Total]]</f>
        <v>518400</v>
      </c>
      <c r="S1950" s="4">
        <f>Tableau1_2[[#This Row],[Marge]]/Tableau1_2[[#This Row],[CA]]</f>
        <v>0.29454545454545455</v>
      </c>
      <c r="T1950" t="str">
        <f>TEXT(Tableau1_2[[#This Row],[Date]],"mmmm")</f>
        <v>décembre</v>
      </c>
    </row>
    <row r="1951" spans="1:20" x14ac:dyDescent="0.35">
      <c r="A1951" t="s">
        <v>3014</v>
      </c>
      <c r="B1951" s="2">
        <v>46220</v>
      </c>
      <c r="C1951" t="s">
        <v>26</v>
      </c>
      <c r="D1951" t="s">
        <v>194</v>
      </c>
      <c r="E1951" t="s">
        <v>70</v>
      </c>
      <c r="F1951" t="s">
        <v>71</v>
      </c>
      <c r="G1951" t="s">
        <v>28</v>
      </c>
      <c r="H1951" t="s">
        <v>29</v>
      </c>
      <c r="I1951">
        <v>2</v>
      </c>
      <c r="J1951">
        <v>7400</v>
      </c>
      <c r="K1951">
        <v>4100</v>
      </c>
      <c r="L1951" t="s">
        <v>73</v>
      </c>
      <c r="M1951" t="s">
        <v>51</v>
      </c>
      <c r="N1951" t="s">
        <v>52</v>
      </c>
      <c r="O1951" t="s">
        <v>45</v>
      </c>
      <c r="P1951">
        <f>Tableau1_2[[#This Row],[Quantité]]*Tableau1_2[[#This Row],[Prix_Unitaire]]</f>
        <v>14800</v>
      </c>
      <c r="Q1951">
        <f>Tableau1_2[[#This Row],[Quantité]]*Tableau1_2[[#This Row],[Coût_Unitaire]]</f>
        <v>8200</v>
      </c>
      <c r="R1951">
        <f>Tableau1_2[[#This Row],[CA]]-Tableau1_2[[#This Row],[Cout Total]]</f>
        <v>6600</v>
      </c>
      <c r="S1951" s="4">
        <f>Tableau1_2[[#This Row],[Marge]]/Tableau1_2[[#This Row],[CA]]</f>
        <v>0.44594594594594594</v>
      </c>
      <c r="T1951" t="str">
        <f>TEXT(Tableau1_2[[#This Row],[Date]],"mmmm")</f>
        <v>juillet</v>
      </c>
    </row>
    <row r="1952" spans="1:20" x14ac:dyDescent="0.35">
      <c r="A1952" t="s">
        <v>3015</v>
      </c>
      <c r="B1952" s="2">
        <v>46063</v>
      </c>
      <c r="C1952" t="s">
        <v>353</v>
      </c>
      <c r="D1952" t="s">
        <v>438</v>
      </c>
      <c r="E1952" t="s">
        <v>70</v>
      </c>
      <c r="F1952" t="s">
        <v>71</v>
      </c>
      <c r="G1952" t="s">
        <v>19</v>
      </c>
      <c r="H1952" t="s">
        <v>166</v>
      </c>
      <c r="I1952">
        <v>1</v>
      </c>
      <c r="J1952">
        <v>133000</v>
      </c>
      <c r="K1952">
        <v>100000</v>
      </c>
      <c r="L1952" t="s">
        <v>73</v>
      </c>
      <c r="M1952" t="s">
        <v>31</v>
      </c>
      <c r="N1952" t="s">
        <v>23</v>
      </c>
      <c r="O1952" t="s">
        <v>24</v>
      </c>
      <c r="P1952">
        <f>Tableau1_2[[#This Row],[Quantité]]*Tableau1_2[[#This Row],[Prix_Unitaire]]</f>
        <v>133000</v>
      </c>
      <c r="Q1952">
        <f>Tableau1_2[[#This Row],[Quantité]]*Tableau1_2[[#This Row],[Coût_Unitaire]]</f>
        <v>100000</v>
      </c>
      <c r="R1952">
        <f>Tableau1_2[[#This Row],[CA]]-Tableau1_2[[#This Row],[Cout Total]]</f>
        <v>33000</v>
      </c>
      <c r="S1952" s="4">
        <f>Tableau1_2[[#This Row],[Marge]]/Tableau1_2[[#This Row],[CA]]</f>
        <v>0.24812030075187969</v>
      </c>
      <c r="T1952" t="str">
        <f>TEXT(Tableau1_2[[#This Row],[Date]],"mmmm")</f>
        <v>février</v>
      </c>
    </row>
    <row r="1953" spans="1:20" x14ac:dyDescent="0.35">
      <c r="A1953" t="s">
        <v>3016</v>
      </c>
      <c r="B1953" s="2">
        <v>46322</v>
      </c>
      <c r="C1953" t="s">
        <v>777</v>
      </c>
      <c r="D1953" t="s">
        <v>1908</v>
      </c>
      <c r="E1953" t="s">
        <v>41</v>
      </c>
      <c r="F1953" t="s">
        <v>42</v>
      </c>
      <c r="G1953" t="s">
        <v>43</v>
      </c>
      <c r="H1953" t="s">
        <v>162</v>
      </c>
      <c r="I1953">
        <v>4</v>
      </c>
      <c r="J1953">
        <v>8000</v>
      </c>
      <c r="K1953">
        <v>4800</v>
      </c>
      <c r="L1953" t="s">
        <v>66</v>
      </c>
      <c r="M1953" t="s">
        <v>37</v>
      </c>
      <c r="N1953" t="s">
        <v>23</v>
      </c>
      <c r="O1953" t="s">
        <v>24</v>
      </c>
      <c r="P1953">
        <f>Tableau1_2[[#This Row],[Quantité]]*Tableau1_2[[#This Row],[Prix_Unitaire]]</f>
        <v>32000</v>
      </c>
      <c r="Q1953">
        <f>Tableau1_2[[#This Row],[Quantité]]*Tableau1_2[[#This Row],[Coût_Unitaire]]</f>
        <v>19200</v>
      </c>
      <c r="R1953">
        <f>Tableau1_2[[#This Row],[CA]]-Tableau1_2[[#This Row],[Cout Total]]</f>
        <v>12800</v>
      </c>
      <c r="S1953" s="4">
        <f>Tableau1_2[[#This Row],[Marge]]/Tableau1_2[[#This Row],[CA]]</f>
        <v>0.4</v>
      </c>
      <c r="T1953" t="str">
        <f>TEXT(Tableau1_2[[#This Row],[Date]],"mmmm")</f>
        <v>octobre</v>
      </c>
    </row>
    <row r="1954" spans="1:20" x14ac:dyDescent="0.35">
      <c r="A1954" t="s">
        <v>3017</v>
      </c>
      <c r="B1954" s="2">
        <v>46347</v>
      </c>
      <c r="C1954" t="s">
        <v>1503</v>
      </c>
      <c r="D1954" t="s">
        <v>2174</v>
      </c>
      <c r="E1954" t="s">
        <v>156</v>
      </c>
      <c r="F1954" t="s">
        <v>170</v>
      </c>
      <c r="G1954" t="s">
        <v>34</v>
      </c>
      <c r="H1954" t="s">
        <v>35</v>
      </c>
      <c r="I1954">
        <v>1</v>
      </c>
      <c r="J1954">
        <v>57800</v>
      </c>
      <c r="K1954">
        <v>39000</v>
      </c>
      <c r="L1954" t="s">
        <v>21</v>
      </c>
      <c r="M1954" t="s">
        <v>51</v>
      </c>
      <c r="N1954" t="s">
        <v>23</v>
      </c>
      <c r="O1954" t="s">
        <v>24</v>
      </c>
      <c r="P1954">
        <f>Tableau1_2[[#This Row],[Quantité]]*Tableau1_2[[#This Row],[Prix_Unitaire]]</f>
        <v>57800</v>
      </c>
      <c r="Q1954">
        <f>Tableau1_2[[#This Row],[Quantité]]*Tableau1_2[[#This Row],[Coût_Unitaire]]</f>
        <v>39000</v>
      </c>
      <c r="R1954">
        <f>Tableau1_2[[#This Row],[CA]]-Tableau1_2[[#This Row],[Cout Total]]</f>
        <v>18800</v>
      </c>
      <c r="S1954" s="4">
        <f>Tableau1_2[[#This Row],[Marge]]/Tableau1_2[[#This Row],[CA]]</f>
        <v>0.32525951557093424</v>
      </c>
      <c r="T1954" t="str">
        <f>TEXT(Tableau1_2[[#This Row],[Date]],"mmmm")</f>
        <v>novembre</v>
      </c>
    </row>
    <row r="1955" spans="1:20" x14ac:dyDescent="0.35">
      <c r="A1955" t="s">
        <v>3018</v>
      </c>
      <c r="B1955" s="2">
        <v>46259</v>
      </c>
      <c r="C1955" t="s">
        <v>1353</v>
      </c>
      <c r="D1955" t="s">
        <v>1195</v>
      </c>
      <c r="E1955" t="s">
        <v>56</v>
      </c>
      <c r="F1955" t="s">
        <v>57</v>
      </c>
      <c r="G1955" t="s">
        <v>34</v>
      </c>
      <c r="H1955" t="s">
        <v>86</v>
      </c>
      <c r="I1955">
        <v>1</v>
      </c>
      <c r="J1955">
        <v>180000</v>
      </c>
      <c r="K1955">
        <v>131000</v>
      </c>
      <c r="L1955" t="s">
        <v>36</v>
      </c>
      <c r="M1955" t="s">
        <v>31</v>
      </c>
      <c r="N1955" t="s">
        <v>52</v>
      </c>
      <c r="O1955" t="s">
        <v>24</v>
      </c>
      <c r="P1955">
        <f>Tableau1_2[[#This Row],[Quantité]]*Tableau1_2[[#This Row],[Prix_Unitaire]]</f>
        <v>180000</v>
      </c>
      <c r="Q1955">
        <f>Tableau1_2[[#This Row],[Quantité]]*Tableau1_2[[#This Row],[Coût_Unitaire]]</f>
        <v>131000</v>
      </c>
      <c r="R1955">
        <f>Tableau1_2[[#This Row],[CA]]-Tableau1_2[[#This Row],[Cout Total]]</f>
        <v>49000</v>
      </c>
      <c r="S1955" s="4">
        <f>Tableau1_2[[#This Row],[Marge]]/Tableau1_2[[#This Row],[CA]]</f>
        <v>0.2722222222222222</v>
      </c>
      <c r="T1955" t="str">
        <f>TEXT(Tableau1_2[[#This Row],[Date]],"mmmm")</f>
        <v>août</v>
      </c>
    </row>
    <row r="1956" spans="1:20" x14ac:dyDescent="0.35">
      <c r="A1956" t="s">
        <v>3019</v>
      </c>
      <c r="B1956" s="2">
        <v>46181</v>
      </c>
      <c r="C1956" t="s">
        <v>101</v>
      </c>
      <c r="D1956" t="s">
        <v>2046</v>
      </c>
      <c r="E1956" t="s">
        <v>156</v>
      </c>
      <c r="F1956" t="s">
        <v>157</v>
      </c>
      <c r="G1956" t="s">
        <v>34</v>
      </c>
      <c r="H1956" t="s">
        <v>158</v>
      </c>
      <c r="I1956">
        <v>4</v>
      </c>
      <c r="J1956">
        <v>95000</v>
      </c>
      <c r="K1956">
        <v>70000</v>
      </c>
      <c r="L1956" t="s">
        <v>30</v>
      </c>
      <c r="M1956" t="s">
        <v>51</v>
      </c>
      <c r="N1956" t="s">
        <v>52</v>
      </c>
      <c r="O1956" t="s">
        <v>24</v>
      </c>
      <c r="P1956">
        <f>Tableau1_2[[#This Row],[Quantité]]*Tableau1_2[[#This Row],[Prix_Unitaire]]</f>
        <v>380000</v>
      </c>
      <c r="Q1956">
        <f>Tableau1_2[[#This Row],[Quantité]]*Tableau1_2[[#This Row],[Coût_Unitaire]]</f>
        <v>280000</v>
      </c>
      <c r="R1956">
        <f>Tableau1_2[[#This Row],[CA]]-Tableau1_2[[#This Row],[Cout Total]]</f>
        <v>100000</v>
      </c>
      <c r="S1956" s="4">
        <f>Tableau1_2[[#This Row],[Marge]]/Tableau1_2[[#This Row],[CA]]</f>
        <v>0.26315789473684209</v>
      </c>
      <c r="T1956" t="str">
        <f>TEXT(Tableau1_2[[#This Row],[Date]],"mmmm")</f>
        <v>juin</v>
      </c>
    </row>
    <row r="1957" spans="1:20" x14ac:dyDescent="0.35">
      <c r="A1957" t="s">
        <v>3020</v>
      </c>
      <c r="B1957" s="2">
        <v>46173</v>
      </c>
      <c r="C1957" t="s">
        <v>1160</v>
      </c>
      <c r="D1957" t="s">
        <v>1012</v>
      </c>
      <c r="E1957" t="s">
        <v>18</v>
      </c>
      <c r="F1957" t="s">
        <v>18</v>
      </c>
      <c r="G1957" t="s">
        <v>34</v>
      </c>
      <c r="H1957" t="s">
        <v>95</v>
      </c>
      <c r="I1957">
        <v>10</v>
      </c>
      <c r="J1957">
        <v>450000</v>
      </c>
      <c r="K1957">
        <v>358900</v>
      </c>
      <c r="L1957" t="s">
        <v>73</v>
      </c>
      <c r="M1957" t="s">
        <v>51</v>
      </c>
      <c r="N1957" t="s">
        <v>52</v>
      </c>
      <c r="O1957" t="s">
        <v>24</v>
      </c>
      <c r="P1957">
        <f>Tableau1_2[[#This Row],[Quantité]]*Tableau1_2[[#This Row],[Prix_Unitaire]]</f>
        <v>4500000</v>
      </c>
      <c r="Q1957">
        <f>Tableau1_2[[#This Row],[Quantité]]*Tableau1_2[[#This Row],[Coût_Unitaire]]</f>
        <v>3589000</v>
      </c>
      <c r="R1957">
        <f>Tableau1_2[[#This Row],[CA]]-Tableau1_2[[#This Row],[Cout Total]]</f>
        <v>911000</v>
      </c>
      <c r="S1957" s="4">
        <f>Tableau1_2[[#This Row],[Marge]]/Tableau1_2[[#This Row],[CA]]</f>
        <v>0.20244444444444445</v>
      </c>
      <c r="T1957" t="str">
        <f>TEXT(Tableau1_2[[#This Row],[Date]],"mmmm")</f>
        <v>mai</v>
      </c>
    </row>
    <row r="1958" spans="1:20" x14ac:dyDescent="0.35">
      <c r="A1958" t="s">
        <v>3021</v>
      </c>
      <c r="B1958" s="2">
        <v>46345</v>
      </c>
      <c r="C1958" t="s">
        <v>685</v>
      </c>
      <c r="D1958" t="s">
        <v>327</v>
      </c>
      <c r="E1958" t="s">
        <v>18</v>
      </c>
      <c r="F1958" t="s">
        <v>18</v>
      </c>
      <c r="G1958" t="s">
        <v>43</v>
      </c>
      <c r="H1958" t="s">
        <v>162</v>
      </c>
      <c r="I1958">
        <v>3</v>
      </c>
      <c r="J1958">
        <v>8000</v>
      </c>
      <c r="K1958">
        <v>5200</v>
      </c>
      <c r="L1958" t="s">
        <v>30</v>
      </c>
      <c r="M1958" t="s">
        <v>22</v>
      </c>
      <c r="N1958" t="s">
        <v>52</v>
      </c>
      <c r="O1958" t="s">
        <v>24</v>
      </c>
      <c r="P1958">
        <f>Tableau1_2[[#This Row],[Quantité]]*Tableau1_2[[#This Row],[Prix_Unitaire]]</f>
        <v>24000</v>
      </c>
      <c r="Q1958">
        <f>Tableau1_2[[#This Row],[Quantité]]*Tableau1_2[[#This Row],[Coût_Unitaire]]</f>
        <v>15600</v>
      </c>
      <c r="R1958">
        <f>Tableau1_2[[#This Row],[CA]]-Tableau1_2[[#This Row],[Cout Total]]</f>
        <v>8400</v>
      </c>
      <c r="S1958" s="4">
        <f>Tableau1_2[[#This Row],[Marge]]/Tableau1_2[[#This Row],[CA]]</f>
        <v>0.35</v>
      </c>
      <c r="T1958" t="str">
        <f>TEXT(Tableau1_2[[#This Row],[Date]],"mmmm")</f>
        <v>novembre</v>
      </c>
    </row>
    <row r="1959" spans="1:20" x14ac:dyDescent="0.35">
      <c r="A1959" t="s">
        <v>3022</v>
      </c>
      <c r="B1959" s="2">
        <v>46090</v>
      </c>
      <c r="C1959" t="s">
        <v>1609</v>
      </c>
      <c r="D1959" t="s">
        <v>385</v>
      </c>
      <c r="E1959" t="s">
        <v>41</v>
      </c>
      <c r="F1959" t="s">
        <v>42</v>
      </c>
      <c r="G1959" t="s">
        <v>34</v>
      </c>
      <c r="H1959" t="s">
        <v>35</v>
      </c>
      <c r="I1959">
        <v>9</v>
      </c>
      <c r="J1959">
        <v>52200</v>
      </c>
      <c r="K1959">
        <v>40200</v>
      </c>
      <c r="L1959" t="s">
        <v>73</v>
      </c>
      <c r="M1959" t="s">
        <v>37</v>
      </c>
      <c r="N1959" t="s">
        <v>52</v>
      </c>
      <c r="O1959" t="s">
        <v>91</v>
      </c>
      <c r="P1959">
        <f>Tableau1_2[[#This Row],[Quantité]]*Tableau1_2[[#This Row],[Prix_Unitaire]]</f>
        <v>469800</v>
      </c>
      <c r="Q1959">
        <f>Tableau1_2[[#This Row],[Quantité]]*Tableau1_2[[#This Row],[Coût_Unitaire]]</f>
        <v>361800</v>
      </c>
      <c r="R1959">
        <f>Tableau1_2[[#This Row],[CA]]-Tableau1_2[[#This Row],[Cout Total]]</f>
        <v>108000</v>
      </c>
      <c r="S1959" s="4">
        <f>Tableau1_2[[#This Row],[Marge]]/Tableau1_2[[#This Row],[CA]]</f>
        <v>0.22988505747126436</v>
      </c>
      <c r="T1959" t="str">
        <f>TEXT(Tableau1_2[[#This Row],[Date]],"mmmm")</f>
        <v>mars</v>
      </c>
    </row>
    <row r="1960" spans="1:20" x14ac:dyDescent="0.35">
      <c r="A1960" t="s">
        <v>3023</v>
      </c>
      <c r="B1960" s="2">
        <v>46286</v>
      </c>
      <c r="C1960" t="s">
        <v>1051</v>
      </c>
      <c r="D1960" t="s">
        <v>1246</v>
      </c>
      <c r="E1960" t="s">
        <v>18</v>
      </c>
      <c r="F1960" t="s">
        <v>18</v>
      </c>
      <c r="G1960" t="s">
        <v>43</v>
      </c>
      <c r="H1960" t="s">
        <v>49</v>
      </c>
      <c r="I1960">
        <v>2</v>
      </c>
      <c r="J1960">
        <v>8600</v>
      </c>
      <c r="K1960">
        <v>6000</v>
      </c>
      <c r="L1960" t="s">
        <v>73</v>
      </c>
      <c r="M1960" t="s">
        <v>22</v>
      </c>
      <c r="N1960" t="s">
        <v>52</v>
      </c>
      <c r="O1960" t="s">
        <v>91</v>
      </c>
      <c r="P1960">
        <f>Tableau1_2[[#This Row],[Quantité]]*Tableau1_2[[#This Row],[Prix_Unitaire]]</f>
        <v>17200</v>
      </c>
      <c r="Q1960">
        <f>Tableau1_2[[#This Row],[Quantité]]*Tableau1_2[[#This Row],[Coût_Unitaire]]</f>
        <v>12000</v>
      </c>
      <c r="R1960">
        <f>Tableau1_2[[#This Row],[CA]]-Tableau1_2[[#This Row],[Cout Total]]</f>
        <v>5200</v>
      </c>
      <c r="S1960" s="4">
        <f>Tableau1_2[[#This Row],[Marge]]/Tableau1_2[[#This Row],[CA]]</f>
        <v>0.30232558139534882</v>
      </c>
      <c r="T1960" t="str">
        <f>TEXT(Tableau1_2[[#This Row],[Date]],"mmmm")</f>
        <v>septembre</v>
      </c>
    </row>
    <row r="1961" spans="1:20" x14ac:dyDescent="0.35">
      <c r="A1961" t="s">
        <v>3024</v>
      </c>
      <c r="B1961" s="2">
        <v>46250</v>
      </c>
      <c r="C1961" t="s">
        <v>995</v>
      </c>
      <c r="D1961" t="s">
        <v>435</v>
      </c>
      <c r="E1961" t="s">
        <v>156</v>
      </c>
      <c r="F1961" t="s">
        <v>170</v>
      </c>
      <c r="G1961" t="s">
        <v>34</v>
      </c>
      <c r="H1961" t="s">
        <v>141</v>
      </c>
      <c r="I1961">
        <v>7</v>
      </c>
      <c r="J1961">
        <v>160000</v>
      </c>
      <c r="K1961">
        <v>116400</v>
      </c>
      <c r="L1961" t="s">
        <v>96</v>
      </c>
      <c r="M1961" t="s">
        <v>31</v>
      </c>
      <c r="N1961" t="s">
        <v>23</v>
      </c>
      <c r="O1961" t="s">
        <v>45</v>
      </c>
      <c r="P1961">
        <f>Tableau1_2[[#This Row],[Quantité]]*Tableau1_2[[#This Row],[Prix_Unitaire]]</f>
        <v>1120000</v>
      </c>
      <c r="Q1961">
        <f>Tableau1_2[[#This Row],[Quantité]]*Tableau1_2[[#This Row],[Coût_Unitaire]]</f>
        <v>814800</v>
      </c>
      <c r="R1961">
        <f>Tableau1_2[[#This Row],[CA]]-Tableau1_2[[#This Row],[Cout Total]]</f>
        <v>305200</v>
      </c>
      <c r="S1961" s="4">
        <f>Tableau1_2[[#This Row],[Marge]]/Tableau1_2[[#This Row],[CA]]</f>
        <v>0.27250000000000002</v>
      </c>
      <c r="T1961" t="str">
        <f>TEXT(Tableau1_2[[#This Row],[Date]],"mmmm")</f>
        <v>août</v>
      </c>
    </row>
    <row r="1962" spans="1:20" x14ac:dyDescent="0.35">
      <c r="A1962" t="s">
        <v>3025</v>
      </c>
      <c r="B1962" s="2">
        <v>46303</v>
      </c>
      <c r="C1962" t="s">
        <v>2545</v>
      </c>
      <c r="D1962" t="s">
        <v>1217</v>
      </c>
      <c r="E1962" t="s">
        <v>18</v>
      </c>
      <c r="F1962" t="s">
        <v>18</v>
      </c>
      <c r="G1962" t="s">
        <v>34</v>
      </c>
      <c r="H1962" t="s">
        <v>95</v>
      </c>
      <c r="I1962">
        <v>3</v>
      </c>
      <c r="J1962">
        <v>450000</v>
      </c>
      <c r="K1962">
        <v>381100</v>
      </c>
      <c r="L1962" t="s">
        <v>36</v>
      </c>
      <c r="M1962" t="s">
        <v>37</v>
      </c>
      <c r="N1962" t="s">
        <v>23</v>
      </c>
      <c r="O1962" t="s">
        <v>24</v>
      </c>
      <c r="P1962">
        <f>Tableau1_2[[#This Row],[Quantité]]*Tableau1_2[[#This Row],[Prix_Unitaire]]</f>
        <v>1350000</v>
      </c>
      <c r="Q1962">
        <f>Tableau1_2[[#This Row],[Quantité]]*Tableau1_2[[#This Row],[Coût_Unitaire]]</f>
        <v>1143300</v>
      </c>
      <c r="R1962">
        <f>Tableau1_2[[#This Row],[CA]]-Tableau1_2[[#This Row],[Cout Total]]</f>
        <v>206700</v>
      </c>
      <c r="S1962" s="4">
        <f>Tableau1_2[[#This Row],[Marge]]/Tableau1_2[[#This Row],[CA]]</f>
        <v>0.15311111111111111</v>
      </c>
      <c r="T1962" t="str">
        <f>TEXT(Tableau1_2[[#This Row],[Date]],"mmmm")</f>
        <v>octobre</v>
      </c>
    </row>
    <row r="1963" spans="1:20" x14ac:dyDescent="0.35">
      <c r="A1963" t="s">
        <v>3026</v>
      </c>
      <c r="B1963" s="2">
        <v>46325</v>
      </c>
      <c r="C1963" t="s">
        <v>1869</v>
      </c>
      <c r="D1963" t="s">
        <v>631</v>
      </c>
      <c r="E1963" t="s">
        <v>56</v>
      </c>
      <c r="F1963" t="s">
        <v>57</v>
      </c>
      <c r="G1963" t="s">
        <v>19</v>
      </c>
      <c r="H1963" t="s">
        <v>166</v>
      </c>
      <c r="I1963">
        <v>7</v>
      </c>
      <c r="J1963">
        <v>140000</v>
      </c>
      <c r="K1963">
        <v>97000</v>
      </c>
      <c r="L1963" t="s">
        <v>30</v>
      </c>
      <c r="M1963" t="s">
        <v>51</v>
      </c>
      <c r="N1963" t="s">
        <v>23</v>
      </c>
      <c r="O1963" t="s">
        <v>24</v>
      </c>
      <c r="P1963">
        <f>Tableau1_2[[#This Row],[Quantité]]*Tableau1_2[[#This Row],[Prix_Unitaire]]</f>
        <v>980000</v>
      </c>
      <c r="Q1963">
        <f>Tableau1_2[[#This Row],[Quantité]]*Tableau1_2[[#This Row],[Coût_Unitaire]]</f>
        <v>679000</v>
      </c>
      <c r="R1963">
        <f>Tableau1_2[[#This Row],[CA]]-Tableau1_2[[#This Row],[Cout Total]]</f>
        <v>301000</v>
      </c>
      <c r="S1963" s="4">
        <f>Tableau1_2[[#This Row],[Marge]]/Tableau1_2[[#This Row],[CA]]</f>
        <v>0.30714285714285716</v>
      </c>
      <c r="T1963" t="str">
        <f>TEXT(Tableau1_2[[#This Row],[Date]],"mmmm")</f>
        <v>octobre</v>
      </c>
    </row>
    <row r="1964" spans="1:20" x14ac:dyDescent="0.35">
      <c r="A1964" t="s">
        <v>3027</v>
      </c>
      <c r="B1964" s="2">
        <v>46316</v>
      </c>
      <c r="C1964" t="s">
        <v>478</v>
      </c>
      <c r="D1964" t="s">
        <v>674</v>
      </c>
      <c r="E1964" t="s">
        <v>18</v>
      </c>
      <c r="F1964" t="s">
        <v>18</v>
      </c>
      <c r="G1964" t="s">
        <v>34</v>
      </c>
      <c r="H1964" t="s">
        <v>95</v>
      </c>
      <c r="I1964">
        <v>9</v>
      </c>
      <c r="J1964">
        <v>450000</v>
      </c>
      <c r="K1964">
        <v>370000</v>
      </c>
      <c r="L1964" t="s">
        <v>96</v>
      </c>
      <c r="M1964" t="s">
        <v>31</v>
      </c>
      <c r="N1964" t="s">
        <v>87</v>
      </c>
      <c r="O1964" t="s">
        <v>24</v>
      </c>
      <c r="P1964">
        <f>Tableau1_2[[#This Row],[Quantité]]*Tableau1_2[[#This Row],[Prix_Unitaire]]</f>
        <v>4050000</v>
      </c>
      <c r="Q1964">
        <f>Tableau1_2[[#This Row],[Quantité]]*Tableau1_2[[#This Row],[Coût_Unitaire]]</f>
        <v>3330000</v>
      </c>
      <c r="R1964">
        <f>Tableau1_2[[#This Row],[CA]]-Tableau1_2[[#This Row],[Cout Total]]</f>
        <v>720000</v>
      </c>
      <c r="S1964" s="4">
        <f>Tableau1_2[[#This Row],[Marge]]/Tableau1_2[[#This Row],[CA]]</f>
        <v>0.17777777777777778</v>
      </c>
      <c r="T1964" t="str">
        <f>TEXT(Tableau1_2[[#This Row],[Date]],"mmmm")</f>
        <v>octobre</v>
      </c>
    </row>
    <row r="1965" spans="1:20" x14ac:dyDescent="0.35">
      <c r="A1965" t="s">
        <v>3028</v>
      </c>
      <c r="B1965" s="2">
        <v>46232</v>
      </c>
      <c r="C1965" t="s">
        <v>89</v>
      </c>
      <c r="D1965" t="s">
        <v>1122</v>
      </c>
      <c r="E1965" t="s">
        <v>77</v>
      </c>
      <c r="F1965" t="s">
        <v>78</v>
      </c>
      <c r="G1965" t="s">
        <v>28</v>
      </c>
      <c r="H1965" t="s">
        <v>248</v>
      </c>
      <c r="I1965">
        <v>10</v>
      </c>
      <c r="J1965">
        <v>23800</v>
      </c>
      <c r="K1965">
        <v>15500</v>
      </c>
      <c r="L1965" t="s">
        <v>30</v>
      </c>
      <c r="M1965" t="s">
        <v>31</v>
      </c>
      <c r="N1965" t="s">
        <v>52</v>
      </c>
      <c r="O1965" t="s">
        <v>91</v>
      </c>
      <c r="P1965">
        <f>Tableau1_2[[#This Row],[Quantité]]*Tableau1_2[[#This Row],[Prix_Unitaire]]</f>
        <v>238000</v>
      </c>
      <c r="Q1965">
        <f>Tableau1_2[[#This Row],[Quantité]]*Tableau1_2[[#This Row],[Coût_Unitaire]]</f>
        <v>155000</v>
      </c>
      <c r="R1965">
        <f>Tableau1_2[[#This Row],[CA]]-Tableau1_2[[#This Row],[Cout Total]]</f>
        <v>83000</v>
      </c>
      <c r="S1965" s="4">
        <f>Tableau1_2[[#This Row],[Marge]]/Tableau1_2[[#This Row],[CA]]</f>
        <v>0.34873949579831931</v>
      </c>
      <c r="T1965" t="str">
        <f>TEXT(Tableau1_2[[#This Row],[Date]],"mmmm")</f>
        <v>juillet</v>
      </c>
    </row>
    <row r="1966" spans="1:20" x14ac:dyDescent="0.35">
      <c r="A1966" t="s">
        <v>3029</v>
      </c>
      <c r="B1966" s="2">
        <v>46124</v>
      </c>
      <c r="C1966" t="s">
        <v>1106</v>
      </c>
      <c r="D1966" t="s">
        <v>988</v>
      </c>
      <c r="E1966" t="s">
        <v>84</v>
      </c>
      <c r="F1966" t="s">
        <v>85</v>
      </c>
      <c r="G1966" t="s">
        <v>34</v>
      </c>
      <c r="H1966" t="s">
        <v>141</v>
      </c>
      <c r="I1966">
        <v>2</v>
      </c>
      <c r="J1966">
        <v>160000</v>
      </c>
      <c r="K1966">
        <v>123600</v>
      </c>
      <c r="L1966" t="s">
        <v>21</v>
      </c>
      <c r="M1966" t="s">
        <v>37</v>
      </c>
      <c r="N1966" t="s">
        <v>23</v>
      </c>
      <c r="O1966" t="s">
        <v>24</v>
      </c>
      <c r="P1966">
        <f>Tableau1_2[[#This Row],[Quantité]]*Tableau1_2[[#This Row],[Prix_Unitaire]]</f>
        <v>320000</v>
      </c>
      <c r="Q1966">
        <f>Tableau1_2[[#This Row],[Quantité]]*Tableau1_2[[#This Row],[Coût_Unitaire]]</f>
        <v>247200</v>
      </c>
      <c r="R1966">
        <f>Tableau1_2[[#This Row],[CA]]-Tableau1_2[[#This Row],[Cout Total]]</f>
        <v>72800</v>
      </c>
      <c r="S1966" s="4">
        <f>Tableau1_2[[#This Row],[Marge]]/Tableau1_2[[#This Row],[CA]]</f>
        <v>0.22750000000000001</v>
      </c>
      <c r="T1966" t="str">
        <f>TEXT(Tableau1_2[[#This Row],[Date]],"mmmm")</f>
        <v>avril</v>
      </c>
    </row>
    <row r="1967" spans="1:20" x14ac:dyDescent="0.35">
      <c r="A1967" t="s">
        <v>3030</v>
      </c>
      <c r="B1967" s="2">
        <v>46300</v>
      </c>
      <c r="C1967" t="s">
        <v>413</v>
      </c>
      <c r="D1967" t="s">
        <v>1396</v>
      </c>
      <c r="E1967" t="s">
        <v>70</v>
      </c>
      <c r="F1967" t="s">
        <v>71</v>
      </c>
      <c r="G1967" t="s">
        <v>43</v>
      </c>
      <c r="H1967" t="s">
        <v>44</v>
      </c>
      <c r="I1967">
        <v>2</v>
      </c>
      <c r="J1967">
        <v>15000</v>
      </c>
      <c r="K1967">
        <v>9800</v>
      </c>
      <c r="L1967" t="s">
        <v>66</v>
      </c>
      <c r="M1967" t="s">
        <v>51</v>
      </c>
      <c r="N1967" t="s">
        <v>87</v>
      </c>
      <c r="O1967" t="s">
        <v>24</v>
      </c>
      <c r="P1967">
        <f>Tableau1_2[[#This Row],[Quantité]]*Tableau1_2[[#This Row],[Prix_Unitaire]]</f>
        <v>30000</v>
      </c>
      <c r="Q1967">
        <f>Tableau1_2[[#This Row],[Quantité]]*Tableau1_2[[#This Row],[Coût_Unitaire]]</f>
        <v>19600</v>
      </c>
      <c r="R1967">
        <f>Tableau1_2[[#This Row],[CA]]-Tableau1_2[[#This Row],[Cout Total]]</f>
        <v>10400</v>
      </c>
      <c r="S1967" s="4">
        <f>Tableau1_2[[#This Row],[Marge]]/Tableau1_2[[#This Row],[CA]]</f>
        <v>0.34666666666666668</v>
      </c>
      <c r="T1967" t="str">
        <f>TEXT(Tableau1_2[[#This Row],[Date]],"mmmm")</f>
        <v>octobre</v>
      </c>
    </row>
    <row r="1968" spans="1:20" x14ac:dyDescent="0.35">
      <c r="A1968" t="s">
        <v>3031</v>
      </c>
      <c r="B1968" s="2">
        <v>46116</v>
      </c>
      <c r="C1968" t="s">
        <v>730</v>
      </c>
      <c r="D1968" t="s">
        <v>971</v>
      </c>
      <c r="E1968" t="s">
        <v>56</v>
      </c>
      <c r="F1968" t="s">
        <v>57</v>
      </c>
      <c r="G1968" t="s">
        <v>19</v>
      </c>
      <c r="H1968" t="s">
        <v>166</v>
      </c>
      <c r="I1968">
        <v>5</v>
      </c>
      <c r="J1968">
        <v>133000</v>
      </c>
      <c r="K1968">
        <v>97000</v>
      </c>
      <c r="L1968" t="s">
        <v>36</v>
      </c>
      <c r="M1968" t="s">
        <v>37</v>
      </c>
      <c r="N1968" t="s">
        <v>23</v>
      </c>
      <c r="O1968" t="s">
        <v>24</v>
      </c>
      <c r="P1968">
        <f>Tableau1_2[[#This Row],[Quantité]]*Tableau1_2[[#This Row],[Prix_Unitaire]]</f>
        <v>665000</v>
      </c>
      <c r="Q1968">
        <f>Tableau1_2[[#This Row],[Quantité]]*Tableau1_2[[#This Row],[Coût_Unitaire]]</f>
        <v>485000</v>
      </c>
      <c r="R1968">
        <f>Tableau1_2[[#This Row],[CA]]-Tableau1_2[[#This Row],[Cout Total]]</f>
        <v>180000</v>
      </c>
      <c r="S1968" s="4">
        <f>Tableau1_2[[#This Row],[Marge]]/Tableau1_2[[#This Row],[CA]]</f>
        <v>0.27067669172932329</v>
      </c>
      <c r="T1968" t="str">
        <f>TEXT(Tableau1_2[[#This Row],[Date]],"mmmm")</f>
        <v>avril</v>
      </c>
    </row>
    <row r="1969" spans="1:20" x14ac:dyDescent="0.35">
      <c r="A1969" t="s">
        <v>3032</v>
      </c>
      <c r="B1969" s="2">
        <v>46334</v>
      </c>
      <c r="C1969" t="s">
        <v>557</v>
      </c>
      <c r="D1969" t="s">
        <v>998</v>
      </c>
      <c r="E1969" t="s">
        <v>41</v>
      </c>
      <c r="F1969" t="s">
        <v>42</v>
      </c>
      <c r="G1969" t="s">
        <v>34</v>
      </c>
      <c r="H1969" t="s">
        <v>35</v>
      </c>
      <c r="I1969">
        <v>8</v>
      </c>
      <c r="J1969">
        <v>55000</v>
      </c>
      <c r="K1969">
        <v>39000</v>
      </c>
      <c r="L1969" t="s">
        <v>66</v>
      </c>
      <c r="M1969" t="s">
        <v>37</v>
      </c>
      <c r="N1969" t="s">
        <v>23</v>
      </c>
      <c r="O1969" t="s">
        <v>24</v>
      </c>
      <c r="P1969">
        <f>Tableau1_2[[#This Row],[Quantité]]*Tableau1_2[[#This Row],[Prix_Unitaire]]</f>
        <v>440000</v>
      </c>
      <c r="Q1969">
        <f>Tableau1_2[[#This Row],[Quantité]]*Tableau1_2[[#This Row],[Coût_Unitaire]]</f>
        <v>312000</v>
      </c>
      <c r="R1969">
        <f>Tableau1_2[[#This Row],[CA]]-Tableau1_2[[#This Row],[Cout Total]]</f>
        <v>128000</v>
      </c>
      <c r="S1969" s="4">
        <f>Tableau1_2[[#This Row],[Marge]]/Tableau1_2[[#This Row],[CA]]</f>
        <v>0.29090909090909089</v>
      </c>
      <c r="T1969" t="str">
        <f>TEXT(Tableau1_2[[#This Row],[Date]],"mmmm")</f>
        <v>novembre</v>
      </c>
    </row>
    <row r="1970" spans="1:20" x14ac:dyDescent="0.35">
      <c r="A1970" t="s">
        <v>3033</v>
      </c>
      <c r="B1970" s="2">
        <v>46277</v>
      </c>
      <c r="C1970" t="s">
        <v>222</v>
      </c>
      <c r="D1970" t="s">
        <v>1308</v>
      </c>
      <c r="E1970" t="s">
        <v>18</v>
      </c>
      <c r="F1970" t="s">
        <v>18</v>
      </c>
      <c r="G1970" t="s">
        <v>19</v>
      </c>
      <c r="H1970" t="s">
        <v>166</v>
      </c>
      <c r="I1970">
        <v>10</v>
      </c>
      <c r="J1970">
        <v>140000</v>
      </c>
      <c r="K1970">
        <v>100000</v>
      </c>
      <c r="L1970" t="s">
        <v>73</v>
      </c>
      <c r="M1970" t="s">
        <v>22</v>
      </c>
      <c r="N1970" t="s">
        <v>87</v>
      </c>
      <c r="O1970" t="s">
        <v>24</v>
      </c>
      <c r="P1970">
        <f>Tableau1_2[[#This Row],[Quantité]]*Tableau1_2[[#This Row],[Prix_Unitaire]]</f>
        <v>1400000</v>
      </c>
      <c r="Q1970">
        <f>Tableau1_2[[#This Row],[Quantité]]*Tableau1_2[[#This Row],[Coût_Unitaire]]</f>
        <v>1000000</v>
      </c>
      <c r="R1970">
        <f>Tableau1_2[[#This Row],[CA]]-Tableau1_2[[#This Row],[Cout Total]]</f>
        <v>400000</v>
      </c>
      <c r="S1970" s="4">
        <f>Tableau1_2[[#This Row],[Marge]]/Tableau1_2[[#This Row],[CA]]</f>
        <v>0.2857142857142857</v>
      </c>
      <c r="T1970" t="str">
        <f>TEXT(Tableau1_2[[#This Row],[Date]],"mmmm")</f>
        <v>septembre</v>
      </c>
    </row>
    <row r="1971" spans="1:20" x14ac:dyDescent="0.35">
      <c r="A1971" t="s">
        <v>3034</v>
      </c>
      <c r="B1971" s="2">
        <v>46099</v>
      </c>
      <c r="C1971" t="s">
        <v>2115</v>
      </c>
      <c r="D1971" t="s">
        <v>1295</v>
      </c>
      <c r="E1971" t="s">
        <v>70</v>
      </c>
      <c r="F1971" t="s">
        <v>71</v>
      </c>
      <c r="G1971" t="s">
        <v>19</v>
      </c>
      <c r="H1971" t="s">
        <v>166</v>
      </c>
      <c r="I1971">
        <v>10</v>
      </c>
      <c r="J1971">
        <v>133000</v>
      </c>
      <c r="K1971">
        <v>103000</v>
      </c>
      <c r="L1971" t="s">
        <v>30</v>
      </c>
      <c r="M1971" t="s">
        <v>37</v>
      </c>
      <c r="N1971" t="s">
        <v>52</v>
      </c>
      <c r="O1971" t="s">
        <v>45</v>
      </c>
      <c r="P1971">
        <f>Tableau1_2[[#This Row],[Quantité]]*Tableau1_2[[#This Row],[Prix_Unitaire]]</f>
        <v>1330000</v>
      </c>
      <c r="Q1971">
        <f>Tableau1_2[[#This Row],[Quantité]]*Tableau1_2[[#This Row],[Coût_Unitaire]]</f>
        <v>1030000</v>
      </c>
      <c r="R1971">
        <f>Tableau1_2[[#This Row],[CA]]-Tableau1_2[[#This Row],[Cout Total]]</f>
        <v>300000</v>
      </c>
      <c r="S1971" s="4">
        <f>Tableau1_2[[#This Row],[Marge]]/Tableau1_2[[#This Row],[CA]]</f>
        <v>0.22556390977443608</v>
      </c>
      <c r="T1971" t="str">
        <f>TEXT(Tableau1_2[[#This Row],[Date]],"mmmm")</f>
        <v>mars</v>
      </c>
    </row>
    <row r="1972" spans="1:20" x14ac:dyDescent="0.35">
      <c r="A1972" t="s">
        <v>3035</v>
      </c>
      <c r="B1972" s="2">
        <v>46349</v>
      </c>
      <c r="C1972" t="s">
        <v>888</v>
      </c>
      <c r="D1972" t="s">
        <v>784</v>
      </c>
      <c r="E1972" t="s">
        <v>70</v>
      </c>
      <c r="F1972" t="s">
        <v>71</v>
      </c>
      <c r="G1972" t="s">
        <v>34</v>
      </c>
      <c r="H1972" t="s">
        <v>158</v>
      </c>
      <c r="I1972">
        <v>4</v>
      </c>
      <c r="J1972">
        <v>90200</v>
      </c>
      <c r="K1972">
        <v>70000</v>
      </c>
      <c r="L1972" t="s">
        <v>50</v>
      </c>
      <c r="M1972" t="s">
        <v>37</v>
      </c>
      <c r="N1972" t="s">
        <v>23</v>
      </c>
      <c r="O1972" t="s">
        <v>24</v>
      </c>
      <c r="P1972">
        <f>Tableau1_2[[#This Row],[Quantité]]*Tableau1_2[[#This Row],[Prix_Unitaire]]</f>
        <v>360800</v>
      </c>
      <c r="Q1972">
        <f>Tableau1_2[[#This Row],[Quantité]]*Tableau1_2[[#This Row],[Coût_Unitaire]]</f>
        <v>280000</v>
      </c>
      <c r="R1972">
        <f>Tableau1_2[[#This Row],[CA]]-Tableau1_2[[#This Row],[Cout Total]]</f>
        <v>80800</v>
      </c>
      <c r="S1972" s="4">
        <f>Tableau1_2[[#This Row],[Marge]]/Tableau1_2[[#This Row],[CA]]</f>
        <v>0.22394678492239467</v>
      </c>
      <c r="T1972" t="str">
        <f>TEXT(Tableau1_2[[#This Row],[Date]],"mmmm")</f>
        <v>novembre</v>
      </c>
    </row>
    <row r="1973" spans="1:20" x14ac:dyDescent="0.35">
      <c r="A1973" t="s">
        <v>3036</v>
      </c>
      <c r="B1973" s="2">
        <v>46052</v>
      </c>
      <c r="C1973" t="s">
        <v>405</v>
      </c>
      <c r="D1973" t="s">
        <v>345</v>
      </c>
      <c r="E1973" t="s">
        <v>190</v>
      </c>
      <c r="F1973" t="s">
        <v>191</v>
      </c>
      <c r="G1973" t="s">
        <v>43</v>
      </c>
      <c r="H1973" t="s">
        <v>162</v>
      </c>
      <c r="I1973">
        <v>9</v>
      </c>
      <c r="J1973">
        <v>8000</v>
      </c>
      <c r="K1973">
        <v>5000</v>
      </c>
      <c r="L1973" t="s">
        <v>96</v>
      </c>
      <c r="M1973" t="s">
        <v>51</v>
      </c>
      <c r="N1973" t="s">
        <v>23</v>
      </c>
      <c r="O1973" t="s">
        <v>45</v>
      </c>
      <c r="P1973">
        <f>Tableau1_2[[#This Row],[Quantité]]*Tableau1_2[[#This Row],[Prix_Unitaire]]</f>
        <v>72000</v>
      </c>
      <c r="Q1973">
        <f>Tableau1_2[[#This Row],[Quantité]]*Tableau1_2[[#This Row],[Coût_Unitaire]]</f>
        <v>45000</v>
      </c>
      <c r="R1973">
        <f>Tableau1_2[[#This Row],[CA]]-Tableau1_2[[#This Row],[Cout Total]]</f>
        <v>27000</v>
      </c>
      <c r="S1973" s="4">
        <f>Tableau1_2[[#This Row],[Marge]]/Tableau1_2[[#This Row],[CA]]</f>
        <v>0.375</v>
      </c>
      <c r="T1973" t="str">
        <f>TEXT(Tableau1_2[[#This Row],[Date]],"mmmm")</f>
        <v>janvier</v>
      </c>
    </row>
    <row r="1974" spans="1:20" x14ac:dyDescent="0.35">
      <c r="A1974" t="s">
        <v>3037</v>
      </c>
      <c r="B1974" s="2">
        <v>46288</v>
      </c>
      <c r="C1974" t="s">
        <v>1617</v>
      </c>
      <c r="D1974" t="s">
        <v>1021</v>
      </c>
      <c r="E1974" t="s">
        <v>190</v>
      </c>
      <c r="F1974" t="s">
        <v>191</v>
      </c>
      <c r="G1974" t="s">
        <v>19</v>
      </c>
      <c r="H1974" t="s">
        <v>61</v>
      </c>
      <c r="I1974">
        <v>10</v>
      </c>
      <c r="J1974">
        <v>220000</v>
      </c>
      <c r="K1974">
        <v>164800</v>
      </c>
      <c r="L1974" t="s">
        <v>30</v>
      </c>
      <c r="M1974" t="s">
        <v>22</v>
      </c>
      <c r="N1974" t="s">
        <v>87</v>
      </c>
      <c r="O1974" t="s">
        <v>24</v>
      </c>
      <c r="P1974">
        <f>Tableau1_2[[#This Row],[Quantité]]*Tableau1_2[[#This Row],[Prix_Unitaire]]</f>
        <v>2200000</v>
      </c>
      <c r="Q1974">
        <f>Tableau1_2[[#This Row],[Quantité]]*Tableau1_2[[#This Row],[Coût_Unitaire]]</f>
        <v>1648000</v>
      </c>
      <c r="R1974">
        <f>Tableau1_2[[#This Row],[CA]]-Tableau1_2[[#This Row],[Cout Total]]</f>
        <v>552000</v>
      </c>
      <c r="S1974" s="4">
        <f>Tableau1_2[[#This Row],[Marge]]/Tableau1_2[[#This Row],[CA]]</f>
        <v>0.25090909090909091</v>
      </c>
      <c r="T1974" t="str">
        <f>TEXT(Tableau1_2[[#This Row],[Date]],"mmmm")</f>
        <v>septembre</v>
      </c>
    </row>
    <row r="1975" spans="1:20" x14ac:dyDescent="0.35">
      <c r="A1975" t="s">
        <v>3038</v>
      </c>
      <c r="B1975" s="2">
        <v>46253</v>
      </c>
      <c r="C1975" t="s">
        <v>1572</v>
      </c>
      <c r="D1975" t="s">
        <v>889</v>
      </c>
      <c r="E1975" t="s">
        <v>18</v>
      </c>
      <c r="F1975" t="s">
        <v>18</v>
      </c>
      <c r="G1975" t="s">
        <v>34</v>
      </c>
      <c r="H1975" t="s">
        <v>86</v>
      </c>
      <c r="I1975">
        <v>8</v>
      </c>
      <c r="J1975">
        <v>180000</v>
      </c>
      <c r="K1975">
        <v>135000</v>
      </c>
      <c r="L1975" t="s">
        <v>96</v>
      </c>
      <c r="M1975" t="s">
        <v>37</v>
      </c>
      <c r="N1975" t="s">
        <v>23</v>
      </c>
      <c r="O1975" t="s">
        <v>91</v>
      </c>
      <c r="P1975">
        <f>Tableau1_2[[#This Row],[Quantité]]*Tableau1_2[[#This Row],[Prix_Unitaire]]</f>
        <v>1440000</v>
      </c>
      <c r="Q1975">
        <f>Tableau1_2[[#This Row],[Quantité]]*Tableau1_2[[#This Row],[Coût_Unitaire]]</f>
        <v>1080000</v>
      </c>
      <c r="R1975">
        <f>Tableau1_2[[#This Row],[CA]]-Tableau1_2[[#This Row],[Cout Total]]</f>
        <v>360000</v>
      </c>
      <c r="S1975" s="4">
        <f>Tableau1_2[[#This Row],[Marge]]/Tableau1_2[[#This Row],[CA]]</f>
        <v>0.25</v>
      </c>
      <c r="T1975" t="str">
        <f>TEXT(Tableau1_2[[#This Row],[Date]],"mmmm")</f>
        <v>août</v>
      </c>
    </row>
    <row r="1976" spans="1:20" x14ac:dyDescent="0.35">
      <c r="A1976" t="s">
        <v>3039</v>
      </c>
      <c r="B1976" s="2">
        <v>46031</v>
      </c>
      <c r="C1976" t="s">
        <v>593</v>
      </c>
      <c r="D1976" t="s">
        <v>779</v>
      </c>
      <c r="E1976" t="s">
        <v>70</v>
      </c>
      <c r="F1976" t="s">
        <v>18</v>
      </c>
      <c r="G1976" t="s">
        <v>43</v>
      </c>
      <c r="H1976" t="s">
        <v>177</v>
      </c>
      <c r="I1976">
        <v>5</v>
      </c>
      <c r="J1976">
        <v>18000</v>
      </c>
      <c r="K1976">
        <v>12100</v>
      </c>
      <c r="L1976" t="s">
        <v>30</v>
      </c>
      <c r="M1976" t="s">
        <v>37</v>
      </c>
      <c r="N1976" t="s">
        <v>23</v>
      </c>
      <c r="O1976" t="s">
        <v>24</v>
      </c>
      <c r="P1976">
        <f>Tableau1_2[[#This Row],[Quantité]]*Tableau1_2[[#This Row],[Prix_Unitaire]]</f>
        <v>90000</v>
      </c>
      <c r="Q1976">
        <f>Tableau1_2[[#This Row],[Quantité]]*Tableau1_2[[#This Row],[Coût_Unitaire]]</f>
        <v>60500</v>
      </c>
      <c r="R1976">
        <f>Tableau1_2[[#This Row],[CA]]-Tableau1_2[[#This Row],[Cout Total]]</f>
        <v>29500</v>
      </c>
      <c r="S1976" s="4">
        <f>Tableau1_2[[#This Row],[Marge]]/Tableau1_2[[#This Row],[CA]]</f>
        <v>0.32777777777777778</v>
      </c>
      <c r="T1976" t="str">
        <f>TEXT(Tableau1_2[[#This Row],[Date]],"mmmm")</f>
        <v>janvier</v>
      </c>
    </row>
    <row r="1977" spans="1:20" x14ac:dyDescent="0.35">
      <c r="A1977" t="s">
        <v>3040</v>
      </c>
      <c r="B1977" s="2">
        <v>46251</v>
      </c>
      <c r="C1977" t="s">
        <v>123</v>
      </c>
      <c r="D1977" t="s">
        <v>775</v>
      </c>
      <c r="E1977" t="s">
        <v>18</v>
      </c>
      <c r="F1977" t="s">
        <v>18</v>
      </c>
      <c r="G1977" t="s">
        <v>19</v>
      </c>
      <c r="H1977" t="s">
        <v>166</v>
      </c>
      <c r="I1977">
        <v>2</v>
      </c>
      <c r="J1977">
        <v>140000</v>
      </c>
      <c r="K1977">
        <v>100000</v>
      </c>
      <c r="L1977" t="s">
        <v>96</v>
      </c>
      <c r="M1977" t="s">
        <v>37</v>
      </c>
      <c r="N1977" t="s">
        <v>23</v>
      </c>
      <c r="O1977" t="s">
        <v>24</v>
      </c>
      <c r="P1977">
        <f>Tableau1_2[[#This Row],[Quantité]]*Tableau1_2[[#This Row],[Prix_Unitaire]]</f>
        <v>280000</v>
      </c>
      <c r="Q1977">
        <f>Tableau1_2[[#This Row],[Quantité]]*Tableau1_2[[#This Row],[Coût_Unitaire]]</f>
        <v>200000</v>
      </c>
      <c r="R1977">
        <f>Tableau1_2[[#This Row],[CA]]-Tableau1_2[[#This Row],[Cout Total]]</f>
        <v>80000</v>
      </c>
      <c r="S1977" s="4">
        <f>Tableau1_2[[#This Row],[Marge]]/Tableau1_2[[#This Row],[CA]]</f>
        <v>0.2857142857142857</v>
      </c>
      <c r="T1977" t="str">
        <f>TEXT(Tableau1_2[[#This Row],[Date]],"mmmm")</f>
        <v>août</v>
      </c>
    </row>
    <row r="1978" spans="1:20" x14ac:dyDescent="0.35">
      <c r="A1978" t="s">
        <v>3041</v>
      </c>
      <c r="B1978" s="2">
        <v>46027</v>
      </c>
      <c r="C1978" t="s">
        <v>89</v>
      </c>
      <c r="D1978" t="s">
        <v>643</v>
      </c>
      <c r="E1978" t="s">
        <v>56</v>
      </c>
      <c r="F1978" t="s">
        <v>57</v>
      </c>
      <c r="G1978" t="s">
        <v>34</v>
      </c>
      <c r="H1978" t="s">
        <v>141</v>
      </c>
      <c r="I1978">
        <v>6</v>
      </c>
      <c r="J1978">
        <v>160000</v>
      </c>
      <c r="K1978">
        <v>116400</v>
      </c>
      <c r="L1978" t="s">
        <v>96</v>
      </c>
      <c r="M1978" t="s">
        <v>22</v>
      </c>
      <c r="N1978" t="s">
        <v>52</v>
      </c>
      <c r="O1978" t="s">
        <v>24</v>
      </c>
      <c r="P1978">
        <f>Tableau1_2[[#This Row],[Quantité]]*Tableau1_2[[#This Row],[Prix_Unitaire]]</f>
        <v>960000</v>
      </c>
      <c r="Q1978">
        <f>Tableau1_2[[#This Row],[Quantité]]*Tableau1_2[[#This Row],[Coût_Unitaire]]</f>
        <v>698400</v>
      </c>
      <c r="R1978">
        <f>Tableau1_2[[#This Row],[CA]]-Tableau1_2[[#This Row],[Cout Total]]</f>
        <v>261600</v>
      </c>
      <c r="S1978" s="4">
        <f>Tableau1_2[[#This Row],[Marge]]/Tableau1_2[[#This Row],[CA]]</f>
        <v>0.27250000000000002</v>
      </c>
      <c r="T1978" t="str">
        <f>TEXT(Tableau1_2[[#This Row],[Date]],"mmmm")</f>
        <v>janvier</v>
      </c>
    </row>
    <row r="1979" spans="1:20" x14ac:dyDescent="0.35">
      <c r="A1979" t="s">
        <v>3042</v>
      </c>
      <c r="B1979" s="2">
        <v>46381</v>
      </c>
      <c r="C1979" t="s">
        <v>2034</v>
      </c>
      <c r="D1979" t="s">
        <v>700</v>
      </c>
      <c r="E1979" t="s">
        <v>77</v>
      </c>
      <c r="F1979" t="s">
        <v>78</v>
      </c>
      <c r="G1979" t="s">
        <v>43</v>
      </c>
      <c r="H1979" t="s">
        <v>162</v>
      </c>
      <c r="I1979">
        <v>6</v>
      </c>
      <c r="J1979">
        <v>7600</v>
      </c>
      <c r="K1979">
        <v>4800</v>
      </c>
      <c r="L1979" t="s">
        <v>66</v>
      </c>
      <c r="M1979" t="s">
        <v>37</v>
      </c>
      <c r="N1979" t="s">
        <v>23</v>
      </c>
      <c r="O1979" t="s">
        <v>45</v>
      </c>
      <c r="P1979">
        <f>Tableau1_2[[#This Row],[Quantité]]*Tableau1_2[[#This Row],[Prix_Unitaire]]</f>
        <v>45600</v>
      </c>
      <c r="Q1979">
        <f>Tableau1_2[[#This Row],[Quantité]]*Tableau1_2[[#This Row],[Coût_Unitaire]]</f>
        <v>28800</v>
      </c>
      <c r="R1979">
        <f>Tableau1_2[[#This Row],[CA]]-Tableau1_2[[#This Row],[Cout Total]]</f>
        <v>16800</v>
      </c>
      <c r="S1979" s="4">
        <f>Tableau1_2[[#This Row],[Marge]]/Tableau1_2[[#This Row],[CA]]</f>
        <v>0.36842105263157893</v>
      </c>
      <c r="T1979" t="str">
        <f>TEXT(Tableau1_2[[#This Row],[Date]],"mmmm")</f>
        <v>décembre</v>
      </c>
    </row>
    <row r="1980" spans="1:20" x14ac:dyDescent="0.35">
      <c r="A1980" t="s">
        <v>3043</v>
      </c>
      <c r="B1980" s="2">
        <v>46354</v>
      </c>
      <c r="C1980" t="s">
        <v>237</v>
      </c>
      <c r="D1980" t="s">
        <v>1484</v>
      </c>
      <c r="E1980" t="s">
        <v>156</v>
      </c>
      <c r="F1980" t="s">
        <v>170</v>
      </c>
      <c r="G1980" t="s">
        <v>34</v>
      </c>
      <c r="H1980" t="s">
        <v>141</v>
      </c>
      <c r="I1980">
        <v>10</v>
      </c>
      <c r="J1980">
        <v>160000</v>
      </c>
      <c r="K1980">
        <v>120000</v>
      </c>
      <c r="L1980" t="s">
        <v>73</v>
      </c>
      <c r="M1980" t="s">
        <v>31</v>
      </c>
      <c r="N1980" t="s">
        <v>87</v>
      </c>
      <c r="O1980" t="s">
        <v>24</v>
      </c>
      <c r="P1980">
        <f>Tableau1_2[[#This Row],[Quantité]]*Tableau1_2[[#This Row],[Prix_Unitaire]]</f>
        <v>1600000</v>
      </c>
      <c r="Q1980">
        <f>Tableau1_2[[#This Row],[Quantité]]*Tableau1_2[[#This Row],[Coût_Unitaire]]</f>
        <v>1200000</v>
      </c>
      <c r="R1980">
        <f>Tableau1_2[[#This Row],[CA]]-Tableau1_2[[#This Row],[Cout Total]]</f>
        <v>400000</v>
      </c>
      <c r="S1980" s="4">
        <f>Tableau1_2[[#This Row],[Marge]]/Tableau1_2[[#This Row],[CA]]</f>
        <v>0.25</v>
      </c>
      <c r="T1980" t="str">
        <f>TEXT(Tableau1_2[[#This Row],[Date]],"mmmm")</f>
        <v>novembre</v>
      </c>
    </row>
    <row r="1981" spans="1:20" x14ac:dyDescent="0.35">
      <c r="A1981" t="s">
        <v>3044</v>
      </c>
      <c r="B1981" s="2">
        <v>46255</v>
      </c>
      <c r="C1981" t="s">
        <v>252</v>
      </c>
      <c r="D1981" t="s">
        <v>1573</v>
      </c>
      <c r="E1981" t="s">
        <v>84</v>
      </c>
      <c r="F1981" t="s">
        <v>85</v>
      </c>
      <c r="G1981" t="s">
        <v>19</v>
      </c>
      <c r="H1981" t="s">
        <v>112</v>
      </c>
      <c r="I1981">
        <v>2</v>
      </c>
      <c r="J1981">
        <v>85000</v>
      </c>
      <c r="K1981">
        <v>62000</v>
      </c>
      <c r="L1981" t="s">
        <v>50</v>
      </c>
      <c r="M1981" t="s">
        <v>37</v>
      </c>
      <c r="N1981" t="s">
        <v>87</v>
      </c>
      <c r="O1981" t="s">
        <v>24</v>
      </c>
      <c r="P1981">
        <f>Tableau1_2[[#This Row],[Quantité]]*Tableau1_2[[#This Row],[Prix_Unitaire]]</f>
        <v>170000</v>
      </c>
      <c r="Q1981">
        <f>Tableau1_2[[#This Row],[Quantité]]*Tableau1_2[[#This Row],[Coût_Unitaire]]</f>
        <v>124000</v>
      </c>
      <c r="R1981">
        <f>Tableau1_2[[#This Row],[CA]]-Tableau1_2[[#This Row],[Cout Total]]</f>
        <v>46000</v>
      </c>
      <c r="S1981" s="4">
        <f>Tableau1_2[[#This Row],[Marge]]/Tableau1_2[[#This Row],[CA]]</f>
        <v>0.27058823529411763</v>
      </c>
      <c r="T1981" t="str">
        <f>TEXT(Tableau1_2[[#This Row],[Date]],"mmmm")</f>
        <v>août</v>
      </c>
    </row>
    <row r="1982" spans="1:20" x14ac:dyDescent="0.35">
      <c r="A1982" t="s">
        <v>3045</v>
      </c>
      <c r="B1982" s="2">
        <v>46288</v>
      </c>
      <c r="C1982" t="s">
        <v>305</v>
      </c>
      <c r="D1982" t="s">
        <v>1087</v>
      </c>
      <c r="E1982" t="s">
        <v>56</v>
      </c>
      <c r="F1982" t="s">
        <v>57</v>
      </c>
      <c r="G1982" t="s">
        <v>28</v>
      </c>
      <c r="H1982" t="s">
        <v>65</v>
      </c>
      <c r="I1982">
        <v>9</v>
      </c>
      <c r="J1982">
        <v>12000</v>
      </c>
      <c r="K1982">
        <v>7700</v>
      </c>
      <c r="L1982" t="s">
        <v>50</v>
      </c>
      <c r="M1982" t="s">
        <v>37</v>
      </c>
      <c r="N1982" t="s">
        <v>52</v>
      </c>
      <c r="O1982" t="s">
        <v>45</v>
      </c>
      <c r="P1982">
        <f>Tableau1_2[[#This Row],[Quantité]]*Tableau1_2[[#This Row],[Prix_Unitaire]]</f>
        <v>108000</v>
      </c>
      <c r="Q1982">
        <f>Tableau1_2[[#This Row],[Quantité]]*Tableau1_2[[#This Row],[Coût_Unitaire]]</f>
        <v>69300</v>
      </c>
      <c r="R1982">
        <f>Tableau1_2[[#This Row],[CA]]-Tableau1_2[[#This Row],[Cout Total]]</f>
        <v>38700</v>
      </c>
      <c r="S1982" s="4">
        <f>Tableau1_2[[#This Row],[Marge]]/Tableau1_2[[#This Row],[CA]]</f>
        <v>0.35833333333333334</v>
      </c>
      <c r="T1982" t="str">
        <f>TEXT(Tableau1_2[[#This Row],[Date]],"mmmm")</f>
        <v>septembre</v>
      </c>
    </row>
    <row r="1983" spans="1:20" x14ac:dyDescent="0.35">
      <c r="A1983" t="s">
        <v>3046</v>
      </c>
      <c r="B1983" s="2">
        <v>46201</v>
      </c>
      <c r="C1983" t="s">
        <v>947</v>
      </c>
      <c r="D1983" t="s">
        <v>755</v>
      </c>
      <c r="E1983" t="s">
        <v>18</v>
      </c>
      <c r="F1983" t="s">
        <v>18</v>
      </c>
      <c r="G1983" t="s">
        <v>34</v>
      </c>
      <c r="H1983" t="s">
        <v>141</v>
      </c>
      <c r="I1983">
        <v>9</v>
      </c>
      <c r="J1983">
        <v>168000</v>
      </c>
      <c r="K1983">
        <v>116400</v>
      </c>
      <c r="L1983" t="s">
        <v>36</v>
      </c>
      <c r="M1983" t="s">
        <v>51</v>
      </c>
      <c r="N1983" t="s">
        <v>87</v>
      </c>
      <c r="O1983" t="s">
        <v>24</v>
      </c>
      <c r="P1983">
        <f>Tableau1_2[[#This Row],[Quantité]]*Tableau1_2[[#This Row],[Prix_Unitaire]]</f>
        <v>1512000</v>
      </c>
      <c r="Q1983">
        <f>Tableau1_2[[#This Row],[Quantité]]*Tableau1_2[[#This Row],[Coût_Unitaire]]</f>
        <v>1047600</v>
      </c>
      <c r="R1983">
        <f>Tableau1_2[[#This Row],[CA]]-Tableau1_2[[#This Row],[Cout Total]]</f>
        <v>464400</v>
      </c>
      <c r="S1983" s="4">
        <f>Tableau1_2[[#This Row],[Marge]]/Tableau1_2[[#This Row],[CA]]</f>
        <v>0.30714285714285716</v>
      </c>
      <c r="T1983" t="str">
        <f>TEXT(Tableau1_2[[#This Row],[Date]],"mmmm")</f>
        <v>juin</v>
      </c>
    </row>
    <row r="1984" spans="1:20" x14ac:dyDescent="0.35">
      <c r="A1984" t="s">
        <v>3047</v>
      </c>
      <c r="B1984" s="2">
        <v>46214</v>
      </c>
      <c r="C1984" t="s">
        <v>2011</v>
      </c>
      <c r="D1984" t="s">
        <v>367</v>
      </c>
      <c r="E1984" t="s">
        <v>18</v>
      </c>
      <c r="F1984" t="s">
        <v>18</v>
      </c>
      <c r="G1984" t="s">
        <v>43</v>
      </c>
      <c r="H1984" t="s">
        <v>177</v>
      </c>
      <c r="I1984">
        <v>9</v>
      </c>
      <c r="J1984">
        <v>18000</v>
      </c>
      <c r="K1984">
        <v>12900</v>
      </c>
      <c r="L1984" t="s">
        <v>96</v>
      </c>
      <c r="M1984" t="s">
        <v>37</v>
      </c>
      <c r="N1984" t="s">
        <v>52</v>
      </c>
      <c r="O1984" t="s">
        <v>24</v>
      </c>
      <c r="P1984">
        <f>Tableau1_2[[#This Row],[Quantité]]*Tableau1_2[[#This Row],[Prix_Unitaire]]</f>
        <v>162000</v>
      </c>
      <c r="Q1984">
        <f>Tableau1_2[[#This Row],[Quantité]]*Tableau1_2[[#This Row],[Coût_Unitaire]]</f>
        <v>116100</v>
      </c>
      <c r="R1984">
        <f>Tableau1_2[[#This Row],[CA]]-Tableau1_2[[#This Row],[Cout Total]]</f>
        <v>45900</v>
      </c>
      <c r="S1984" s="4">
        <f>Tableau1_2[[#This Row],[Marge]]/Tableau1_2[[#This Row],[CA]]</f>
        <v>0.28333333333333333</v>
      </c>
      <c r="T1984" t="str">
        <f>TEXT(Tableau1_2[[#This Row],[Date]],"mmmm")</f>
        <v>juillet</v>
      </c>
    </row>
    <row r="1985" spans="1:20" x14ac:dyDescent="0.35">
      <c r="A1985" t="s">
        <v>3048</v>
      </c>
      <c r="B1985" s="2">
        <v>46334</v>
      </c>
      <c r="C1985" t="s">
        <v>886</v>
      </c>
      <c r="D1985" t="s">
        <v>55</v>
      </c>
      <c r="E1985" t="s">
        <v>18</v>
      </c>
      <c r="F1985" t="s">
        <v>18</v>
      </c>
      <c r="G1985" t="s">
        <v>43</v>
      </c>
      <c r="H1985" t="s">
        <v>49</v>
      </c>
      <c r="I1985">
        <v>7</v>
      </c>
      <c r="J1985">
        <v>9000</v>
      </c>
      <c r="K1985">
        <v>5600</v>
      </c>
      <c r="L1985" t="s">
        <v>50</v>
      </c>
      <c r="M1985" t="s">
        <v>37</v>
      </c>
      <c r="N1985" t="s">
        <v>23</v>
      </c>
      <c r="O1985" t="s">
        <v>24</v>
      </c>
      <c r="P1985">
        <f>Tableau1_2[[#This Row],[Quantité]]*Tableau1_2[[#This Row],[Prix_Unitaire]]</f>
        <v>63000</v>
      </c>
      <c r="Q1985">
        <f>Tableau1_2[[#This Row],[Quantité]]*Tableau1_2[[#This Row],[Coût_Unitaire]]</f>
        <v>39200</v>
      </c>
      <c r="R1985">
        <f>Tableau1_2[[#This Row],[CA]]-Tableau1_2[[#This Row],[Cout Total]]</f>
        <v>23800</v>
      </c>
      <c r="S1985" s="4">
        <f>Tableau1_2[[#This Row],[Marge]]/Tableau1_2[[#This Row],[CA]]</f>
        <v>0.37777777777777777</v>
      </c>
      <c r="T1985" t="str">
        <f>TEXT(Tableau1_2[[#This Row],[Date]],"mmmm")</f>
        <v>novembre</v>
      </c>
    </row>
    <row r="1986" spans="1:20" x14ac:dyDescent="0.35">
      <c r="A1986" t="s">
        <v>3049</v>
      </c>
      <c r="B1986" s="2">
        <v>46255</v>
      </c>
      <c r="C1986" t="s">
        <v>59</v>
      </c>
      <c r="D1986" t="s">
        <v>1628</v>
      </c>
      <c r="E1986" t="s">
        <v>156</v>
      </c>
      <c r="F1986" t="s">
        <v>170</v>
      </c>
      <c r="G1986" t="s">
        <v>43</v>
      </c>
      <c r="H1986" t="s">
        <v>79</v>
      </c>
      <c r="I1986">
        <v>2</v>
      </c>
      <c r="J1986">
        <v>6300</v>
      </c>
      <c r="K1986">
        <v>4200</v>
      </c>
      <c r="L1986" t="s">
        <v>96</v>
      </c>
      <c r="M1986" t="s">
        <v>51</v>
      </c>
      <c r="N1986" t="s">
        <v>23</v>
      </c>
      <c r="O1986" t="s">
        <v>45</v>
      </c>
      <c r="P1986">
        <f>Tableau1_2[[#This Row],[Quantité]]*Tableau1_2[[#This Row],[Prix_Unitaire]]</f>
        <v>12600</v>
      </c>
      <c r="Q1986">
        <f>Tableau1_2[[#This Row],[Quantité]]*Tableau1_2[[#This Row],[Coût_Unitaire]]</f>
        <v>8400</v>
      </c>
      <c r="R1986">
        <f>Tableau1_2[[#This Row],[CA]]-Tableau1_2[[#This Row],[Cout Total]]</f>
        <v>4200</v>
      </c>
      <c r="S1986" s="4">
        <f>Tableau1_2[[#This Row],[Marge]]/Tableau1_2[[#This Row],[CA]]</f>
        <v>0.33333333333333331</v>
      </c>
      <c r="T1986" t="str">
        <f>TEXT(Tableau1_2[[#This Row],[Date]],"mmmm")</f>
        <v>août</v>
      </c>
    </row>
    <row r="1987" spans="1:20" x14ac:dyDescent="0.35">
      <c r="A1987" t="s">
        <v>3050</v>
      </c>
      <c r="B1987" s="2">
        <v>46373</v>
      </c>
      <c r="C1987" t="s">
        <v>1386</v>
      </c>
      <c r="D1987" t="s">
        <v>1956</v>
      </c>
      <c r="E1987" t="s">
        <v>77</v>
      </c>
      <c r="F1987" t="s">
        <v>78</v>
      </c>
      <c r="G1987" t="s">
        <v>43</v>
      </c>
      <c r="H1987" t="s">
        <v>162</v>
      </c>
      <c r="I1987">
        <v>5</v>
      </c>
      <c r="J1987">
        <v>8000</v>
      </c>
      <c r="K1987">
        <v>4800</v>
      </c>
      <c r="L1987" t="s">
        <v>50</v>
      </c>
      <c r="M1987" t="s">
        <v>51</v>
      </c>
      <c r="N1987" t="s">
        <v>52</v>
      </c>
      <c r="O1987" t="s">
        <v>91</v>
      </c>
      <c r="P1987">
        <f>Tableau1_2[[#This Row],[Quantité]]*Tableau1_2[[#This Row],[Prix_Unitaire]]</f>
        <v>40000</v>
      </c>
      <c r="Q1987">
        <f>Tableau1_2[[#This Row],[Quantité]]*Tableau1_2[[#This Row],[Coût_Unitaire]]</f>
        <v>24000</v>
      </c>
      <c r="R1987">
        <f>Tableau1_2[[#This Row],[CA]]-Tableau1_2[[#This Row],[Cout Total]]</f>
        <v>16000</v>
      </c>
      <c r="S1987" s="4">
        <f>Tableau1_2[[#This Row],[Marge]]/Tableau1_2[[#This Row],[CA]]</f>
        <v>0.4</v>
      </c>
      <c r="T1987" t="str">
        <f>TEXT(Tableau1_2[[#This Row],[Date]],"mmmm")</f>
        <v>décembre</v>
      </c>
    </row>
    <row r="1988" spans="1:20" x14ac:dyDescent="0.35">
      <c r="A1988" t="s">
        <v>3051</v>
      </c>
      <c r="B1988" s="2">
        <v>46065</v>
      </c>
      <c r="C1988" t="s">
        <v>2031</v>
      </c>
      <c r="D1988" t="s">
        <v>294</v>
      </c>
      <c r="E1988" t="s">
        <v>41</v>
      </c>
      <c r="F1988" t="s">
        <v>42</v>
      </c>
      <c r="G1988" t="s">
        <v>43</v>
      </c>
      <c r="H1988" t="s">
        <v>177</v>
      </c>
      <c r="I1988">
        <v>4</v>
      </c>
      <c r="J1988">
        <v>18000</v>
      </c>
      <c r="K1988">
        <v>12500</v>
      </c>
      <c r="L1988" t="s">
        <v>73</v>
      </c>
      <c r="M1988" t="s">
        <v>37</v>
      </c>
      <c r="N1988" t="s">
        <v>52</v>
      </c>
      <c r="O1988" t="s">
        <v>24</v>
      </c>
      <c r="P1988">
        <f>Tableau1_2[[#This Row],[Quantité]]*Tableau1_2[[#This Row],[Prix_Unitaire]]</f>
        <v>72000</v>
      </c>
      <c r="Q1988">
        <f>Tableau1_2[[#This Row],[Quantité]]*Tableau1_2[[#This Row],[Coût_Unitaire]]</f>
        <v>50000</v>
      </c>
      <c r="R1988">
        <f>Tableau1_2[[#This Row],[CA]]-Tableau1_2[[#This Row],[Cout Total]]</f>
        <v>22000</v>
      </c>
      <c r="S1988" s="4">
        <f>Tableau1_2[[#This Row],[Marge]]/Tableau1_2[[#This Row],[CA]]</f>
        <v>0.30555555555555558</v>
      </c>
      <c r="T1988" t="str">
        <f>TEXT(Tableau1_2[[#This Row],[Date]],"mmmm")</f>
        <v>février</v>
      </c>
    </row>
    <row r="1989" spans="1:20" x14ac:dyDescent="0.35">
      <c r="A1989" t="s">
        <v>2429</v>
      </c>
      <c r="B1989" s="2">
        <v>46297</v>
      </c>
      <c r="C1989" t="s">
        <v>2430</v>
      </c>
      <c r="D1989" t="s">
        <v>208</v>
      </c>
      <c r="E1989" t="s">
        <v>84</v>
      </c>
      <c r="F1989" t="s">
        <v>85</v>
      </c>
      <c r="G1989" t="s">
        <v>28</v>
      </c>
      <c r="H1989" t="s">
        <v>248</v>
      </c>
      <c r="I1989">
        <v>10</v>
      </c>
      <c r="J1989">
        <v>26200</v>
      </c>
      <c r="K1989">
        <v>16500</v>
      </c>
      <c r="L1989" t="s">
        <v>50</v>
      </c>
      <c r="M1989" t="s">
        <v>37</v>
      </c>
      <c r="N1989" t="s">
        <v>87</v>
      </c>
      <c r="O1989" t="s">
        <v>45</v>
      </c>
      <c r="P1989">
        <f>Tableau1_2[[#This Row],[Quantité]]*Tableau1_2[[#This Row],[Prix_Unitaire]]</f>
        <v>262000</v>
      </c>
      <c r="Q1989">
        <f>Tableau1_2[[#This Row],[Quantité]]*Tableau1_2[[#This Row],[Coût_Unitaire]]</f>
        <v>165000</v>
      </c>
      <c r="R1989">
        <f>Tableau1_2[[#This Row],[CA]]-Tableau1_2[[#This Row],[Cout Total]]</f>
        <v>97000</v>
      </c>
      <c r="S1989" s="4">
        <f>Tableau1_2[[#This Row],[Marge]]/Tableau1_2[[#This Row],[CA]]</f>
        <v>0.37022900763358779</v>
      </c>
      <c r="T1989" t="str">
        <f>TEXT(Tableau1_2[[#This Row],[Date]],"mmmm")</f>
        <v>octobre</v>
      </c>
    </row>
    <row r="1990" spans="1:20" x14ac:dyDescent="0.35">
      <c r="A1990" t="s">
        <v>1239</v>
      </c>
      <c r="B1990" s="2">
        <v>46382</v>
      </c>
      <c r="C1990" t="s">
        <v>39</v>
      </c>
      <c r="D1990" t="s">
        <v>235</v>
      </c>
      <c r="E1990" t="s">
        <v>18</v>
      </c>
      <c r="F1990" t="s">
        <v>18</v>
      </c>
      <c r="G1990" t="s">
        <v>34</v>
      </c>
      <c r="H1990" t="s">
        <v>141</v>
      </c>
      <c r="I1990">
        <v>2</v>
      </c>
      <c r="J1990">
        <v>152000</v>
      </c>
      <c r="K1990">
        <v>116400</v>
      </c>
      <c r="L1990" t="s">
        <v>50</v>
      </c>
      <c r="M1990" t="s">
        <v>31</v>
      </c>
      <c r="N1990" t="s">
        <v>52</v>
      </c>
      <c r="O1990" t="s">
        <v>24</v>
      </c>
      <c r="P1990">
        <f>Tableau1_2[[#This Row],[Quantité]]*Tableau1_2[[#This Row],[Prix_Unitaire]]</f>
        <v>304000</v>
      </c>
      <c r="Q1990">
        <f>Tableau1_2[[#This Row],[Quantité]]*Tableau1_2[[#This Row],[Coût_Unitaire]]</f>
        <v>232800</v>
      </c>
      <c r="R1990">
        <f>Tableau1_2[[#This Row],[CA]]-Tableau1_2[[#This Row],[Cout Total]]</f>
        <v>71200</v>
      </c>
      <c r="S1990" s="4">
        <f>Tableau1_2[[#This Row],[Marge]]/Tableau1_2[[#This Row],[CA]]</f>
        <v>0.23421052631578948</v>
      </c>
      <c r="T1990" t="str">
        <f>TEXT(Tableau1_2[[#This Row],[Date]],"mmmm")</f>
        <v>décembre</v>
      </c>
    </row>
    <row r="1991" spans="1:20" x14ac:dyDescent="0.35">
      <c r="A1991" t="s">
        <v>1627</v>
      </c>
      <c r="B1991" s="2">
        <v>46144</v>
      </c>
      <c r="C1991" t="s">
        <v>151</v>
      </c>
      <c r="D1991" t="s">
        <v>1628</v>
      </c>
      <c r="E1991" t="s">
        <v>18</v>
      </c>
      <c r="F1991" t="s">
        <v>18</v>
      </c>
      <c r="G1991" t="s">
        <v>43</v>
      </c>
      <c r="H1991" t="s">
        <v>162</v>
      </c>
      <c r="I1991">
        <v>7</v>
      </c>
      <c r="J1991">
        <v>8000</v>
      </c>
      <c r="K1991">
        <v>5200</v>
      </c>
      <c r="L1991" t="s">
        <v>73</v>
      </c>
      <c r="M1991" t="s">
        <v>31</v>
      </c>
      <c r="N1991" t="s">
        <v>87</v>
      </c>
      <c r="O1991" t="s">
        <v>24</v>
      </c>
      <c r="P1991">
        <f>Tableau1_2[[#This Row],[Quantité]]*Tableau1_2[[#This Row],[Prix_Unitaire]]</f>
        <v>56000</v>
      </c>
      <c r="Q1991">
        <f>Tableau1_2[[#This Row],[Quantité]]*Tableau1_2[[#This Row],[Coût_Unitaire]]</f>
        <v>36400</v>
      </c>
      <c r="R1991">
        <f>Tableau1_2[[#This Row],[CA]]-Tableau1_2[[#This Row],[Cout Total]]</f>
        <v>19600</v>
      </c>
      <c r="S1991" s="4">
        <f>Tableau1_2[[#This Row],[Marge]]/Tableau1_2[[#This Row],[CA]]</f>
        <v>0.35</v>
      </c>
      <c r="T1991" t="str">
        <f>TEXT(Tableau1_2[[#This Row],[Date]],"mmmm")</f>
        <v>mai</v>
      </c>
    </row>
    <row r="1992" spans="1:20" x14ac:dyDescent="0.35">
      <c r="A1992" t="s">
        <v>2573</v>
      </c>
      <c r="B1992" s="2">
        <v>46162</v>
      </c>
      <c r="C1992" t="s">
        <v>2574</v>
      </c>
      <c r="D1992" t="s">
        <v>2575</v>
      </c>
      <c r="E1992" t="s">
        <v>18</v>
      </c>
      <c r="F1992" t="s">
        <v>18</v>
      </c>
      <c r="G1992" t="s">
        <v>28</v>
      </c>
      <c r="H1992" t="s">
        <v>248</v>
      </c>
      <c r="I1992">
        <v>10</v>
      </c>
      <c r="J1992">
        <v>26200</v>
      </c>
      <c r="K1992">
        <v>15500</v>
      </c>
      <c r="L1992" t="s">
        <v>36</v>
      </c>
      <c r="M1992" t="s">
        <v>51</v>
      </c>
      <c r="N1992" t="s">
        <v>87</v>
      </c>
      <c r="O1992" t="s">
        <v>24</v>
      </c>
      <c r="P1992">
        <f>Tableau1_2[[#This Row],[Quantité]]*Tableau1_2[[#This Row],[Prix_Unitaire]]</f>
        <v>262000</v>
      </c>
      <c r="Q1992">
        <f>Tableau1_2[[#This Row],[Quantité]]*Tableau1_2[[#This Row],[Coût_Unitaire]]</f>
        <v>155000</v>
      </c>
      <c r="R1992">
        <f>Tableau1_2[[#This Row],[CA]]-Tableau1_2[[#This Row],[Cout Total]]</f>
        <v>107000</v>
      </c>
      <c r="S1992" s="4">
        <f>Tableau1_2[[#This Row],[Marge]]/Tableau1_2[[#This Row],[CA]]</f>
        <v>0.40839694656488551</v>
      </c>
      <c r="T1992" t="str">
        <f>TEXT(Tableau1_2[[#This Row],[Date]],"mmmm")</f>
        <v>mai</v>
      </c>
    </row>
    <row r="1993" spans="1:20" x14ac:dyDescent="0.35">
      <c r="A1993" t="s">
        <v>2533</v>
      </c>
      <c r="B1993" s="2">
        <v>46331</v>
      </c>
      <c r="C1993" t="s">
        <v>1827</v>
      </c>
      <c r="D1993" t="s">
        <v>345</v>
      </c>
      <c r="E1993" t="s">
        <v>70</v>
      </c>
      <c r="F1993" t="s">
        <v>71</v>
      </c>
      <c r="G1993" t="s">
        <v>34</v>
      </c>
      <c r="H1993" t="s">
        <v>35</v>
      </c>
      <c r="I1993">
        <v>4</v>
      </c>
      <c r="J1993">
        <v>55000</v>
      </c>
      <c r="K1993">
        <v>40200</v>
      </c>
      <c r="L1993" t="s">
        <v>80</v>
      </c>
      <c r="M1993" t="s">
        <v>37</v>
      </c>
      <c r="N1993" t="s">
        <v>23</v>
      </c>
      <c r="O1993" t="s">
        <v>45</v>
      </c>
      <c r="P1993">
        <f>Tableau1_2[[#This Row],[Quantité]]*Tableau1_2[[#This Row],[Prix_Unitaire]]</f>
        <v>220000</v>
      </c>
      <c r="Q1993">
        <f>Tableau1_2[[#This Row],[Quantité]]*Tableau1_2[[#This Row],[Coût_Unitaire]]</f>
        <v>160800</v>
      </c>
      <c r="R1993">
        <f>Tableau1_2[[#This Row],[CA]]-Tableau1_2[[#This Row],[Cout Total]]</f>
        <v>59200</v>
      </c>
      <c r="S1993" s="4">
        <f>Tableau1_2[[#This Row],[Marge]]/Tableau1_2[[#This Row],[CA]]</f>
        <v>0.2690909090909091</v>
      </c>
      <c r="T1993" t="str">
        <f>TEXT(Tableau1_2[[#This Row],[Date]],"mmmm")</f>
        <v>novembre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D903-1307-466D-B55B-D9E52C41E7AA}">
  <dimension ref="A1"/>
  <sheetViews>
    <sheetView workbookViewId="0">
      <selection activeCell="G19" sqref="G19"/>
    </sheetView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5A31-4989-414A-AFB1-9BB31447E508}">
  <dimension ref="A1:B8"/>
  <sheetViews>
    <sheetView workbookViewId="0">
      <selection activeCell="C14" sqref="C14"/>
    </sheetView>
  </sheetViews>
  <sheetFormatPr baseColWidth="10" defaultRowHeight="14.5" x14ac:dyDescent="0.35"/>
  <cols>
    <col min="1" max="1" width="21.453125" bestFit="1" customWidth="1"/>
    <col min="2" max="2" width="19.7265625" bestFit="1" customWidth="1"/>
  </cols>
  <sheetData>
    <row r="1" spans="1:2" x14ac:dyDescent="0.35">
      <c r="A1" s="12" t="s">
        <v>3062</v>
      </c>
      <c r="B1" s="12" t="s">
        <v>3063</v>
      </c>
    </row>
    <row r="2" spans="1:2" x14ac:dyDescent="0.35">
      <c r="A2" t="s">
        <v>3056</v>
      </c>
      <c r="B2" s="23">
        <f>SUM(CA)</f>
        <v>1163867400</v>
      </c>
    </row>
    <row r="3" spans="1:2" x14ac:dyDescent="0.35">
      <c r="A3" t="s">
        <v>3057</v>
      </c>
      <c r="B3" s="23">
        <f>SUM(Marge)</f>
        <v>281124000</v>
      </c>
    </row>
    <row r="4" spans="1:2" x14ac:dyDescent="0.35">
      <c r="A4" t="s">
        <v>3058</v>
      </c>
      <c r="B4" s="23">
        <f>SUM(taux_de_marge)</f>
        <v>593.821489296197</v>
      </c>
    </row>
    <row r="5" spans="1:2" x14ac:dyDescent="0.35">
      <c r="A5" t="s">
        <v>3107</v>
      </c>
      <c r="B5">
        <f>COUNTA(ID_Vente)</f>
        <v>1991</v>
      </c>
    </row>
    <row r="6" spans="1:2" x14ac:dyDescent="0.35">
      <c r="A6" t="s">
        <v>3059</v>
      </c>
      <c r="B6">
        <f>SUM(Quantite)</f>
        <v>10929</v>
      </c>
    </row>
    <row r="7" spans="1:2" x14ac:dyDescent="0.35">
      <c r="A7" t="s">
        <v>3060</v>
      </c>
      <c r="B7">
        <f>COUNTA(_xlfn.UNIQUE(ID_Client))</f>
        <v>490</v>
      </c>
    </row>
    <row r="8" spans="1:2" x14ac:dyDescent="0.35">
      <c r="A8" t="s">
        <v>3061</v>
      </c>
      <c r="B8" s="23">
        <f>B2/B5</f>
        <v>584564.23907584127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A5A8-CC59-4827-9552-05D8BD0F5F9A}">
  <dimension ref="A1:G16"/>
  <sheetViews>
    <sheetView workbookViewId="0">
      <selection activeCell="G18" sqref="G18"/>
    </sheetView>
  </sheetViews>
  <sheetFormatPr baseColWidth="10" defaultRowHeight="14.5" x14ac:dyDescent="0.35"/>
  <cols>
    <col min="1" max="1" width="19.54296875" bestFit="1" customWidth="1"/>
    <col min="2" max="2" width="12.36328125" bestFit="1" customWidth="1"/>
    <col min="3" max="3" width="15.453125" bestFit="1" customWidth="1"/>
    <col min="4" max="4" width="11.81640625" bestFit="1" customWidth="1"/>
    <col min="5" max="5" width="11.81640625" customWidth="1"/>
    <col min="6" max="6" width="19.54296875" bestFit="1" customWidth="1"/>
    <col min="7" max="7" width="12.36328125" bestFit="1" customWidth="1"/>
  </cols>
  <sheetData>
    <row r="1" spans="1:7" s="14" customFormat="1" x14ac:dyDescent="0.35">
      <c r="A1" s="15" t="s">
        <v>3065</v>
      </c>
      <c r="B1" s="15"/>
      <c r="C1" s="15"/>
      <c r="D1" s="15"/>
      <c r="E1" s="15"/>
    </row>
    <row r="3" spans="1:7" x14ac:dyDescent="0.35">
      <c r="A3" s="5" t="s">
        <v>3078</v>
      </c>
      <c r="B3" t="s">
        <v>3080</v>
      </c>
      <c r="C3" t="s">
        <v>3082</v>
      </c>
      <c r="D3" s="7" t="s">
        <v>3084</v>
      </c>
      <c r="E3" s="9"/>
      <c r="F3" s="13" t="s">
        <v>3094</v>
      </c>
      <c r="G3" s="8"/>
    </row>
    <row r="4" spans="1:7" x14ac:dyDescent="0.35">
      <c r="A4" s="6" t="s">
        <v>3076</v>
      </c>
      <c r="B4">
        <v>85577000</v>
      </c>
      <c r="C4">
        <v>18426600</v>
      </c>
      <c r="D4" t="str">
        <f t="shared" ref="D4:D15" si="0">IF(B4&lt;$G$12,"faible activité",IF(B4&gt;$G$12,"forte activité","moyenne activité"))</f>
        <v>faible activité</v>
      </c>
      <c r="F4" s="17" t="str">
        <f>_xlfn.XLOOKUP(G4,C4:C15,mois)</f>
        <v>août</v>
      </c>
      <c r="G4" s="18">
        <f>MAX(C4:C15)</f>
        <v>26295800</v>
      </c>
    </row>
    <row r="5" spans="1:7" x14ac:dyDescent="0.35">
      <c r="A5" s="6" t="s">
        <v>3072</v>
      </c>
      <c r="B5">
        <v>79849700</v>
      </c>
      <c r="C5">
        <v>20112100</v>
      </c>
      <c r="D5" t="str">
        <f t="shared" si="0"/>
        <v>faible activité</v>
      </c>
    </row>
    <row r="6" spans="1:7" x14ac:dyDescent="0.35">
      <c r="A6" s="6" t="s">
        <v>3071</v>
      </c>
      <c r="B6">
        <v>95791200</v>
      </c>
      <c r="C6">
        <v>23604500</v>
      </c>
      <c r="D6" t="str">
        <f t="shared" si="0"/>
        <v>faible activité</v>
      </c>
      <c r="F6" s="12" t="s">
        <v>3095</v>
      </c>
    </row>
    <row r="7" spans="1:7" x14ac:dyDescent="0.35">
      <c r="A7" s="6" t="s">
        <v>3069</v>
      </c>
      <c r="B7">
        <v>100791800</v>
      </c>
      <c r="C7">
        <v>23955900</v>
      </c>
      <c r="D7" t="str">
        <f t="shared" si="0"/>
        <v>forte activité</v>
      </c>
      <c r="F7" s="17" t="str">
        <f>_xlfn.XLOOKUP(G7,B4:B15,mois)</f>
        <v>novembre</v>
      </c>
      <c r="G7" s="18">
        <f>MIN(B4:B15)</f>
        <v>69855900</v>
      </c>
    </row>
    <row r="8" spans="1:7" x14ac:dyDescent="0.35">
      <c r="A8" s="6" t="s">
        <v>3074</v>
      </c>
      <c r="B8">
        <v>100508000</v>
      </c>
      <c r="C8">
        <v>24344900</v>
      </c>
      <c r="D8" t="str">
        <f t="shared" si="0"/>
        <v>forte activité</v>
      </c>
    </row>
    <row r="9" spans="1:7" x14ac:dyDescent="0.35">
      <c r="A9" s="6" t="s">
        <v>3066</v>
      </c>
      <c r="B9">
        <v>107495200</v>
      </c>
      <c r="C9">
        <v>25610400</v>
      </c>
      <c r="D9" t="str">
        <f t="shared" si="0"/>
        <v>forte activité</v>
      </c>
      <c r="F9" s="12" t="s">
        <v>3096</v>
      </c>
      <c r="G9" s="8"/>
    </row>
    <row r="10" spans="1:7" x14ac:dyDescent="0.35">
      <c r="A10" s="6" t="s">
        <v>3068</v>
      </c>
      <c r="B10">
        <v>94696900</v>
      </c>
      <c r="C10">
        <v>23643400</v>
      </c>
      <c r="D10" t="str">
        <f t="shared" si="0"/>
        <v>faible activité</v>
      </c>
      <c r="F10" s="17" t="str">
        <f>_xlfn.XLOOKUP(G10,C4:C15,mois)</f>
        <v>août</v>
      </c>
      <c r="G10" s="18">
        <f>MAX(C4:C15)</f>
        <v>26295800</v>
      </c>
    </row>
    <row r="11" spans="1:7" x14ac:dyDescent="0.35">
      <c r="A11" s="6" t="s">
        <v>3073</v>
      </c>
      <c r="B11">
        <v>110838600</v>
      </c>
      <c r="C11">
        <v>26295800</v>
      </c>
      <c r="D11" t="str">
        <f t="shared" si="0"/>
        <v>forte activité</v>
      </c>
    </row>
    <row r="12" spans="1:7" x14ac:dyDescent="0.35">
      <c r="A12" s="6" t="s">
        <v>3077</v>
      </c>
      <c r="B12">
        <v>105433000</v>
      </c>
      <c r="C12">
        <v>26212100</v>
      </c>
      <c r="D12" t="str">
        <f t="shared" si="0"/>
        <v>forte activité</v>
      </c>
      <c r="F12" s="19" t="s">
        <v>3085</v>
      </c>
      <c r="G12" s="20">
        <f>AVERAGE(B4:B15)</f>
        <v>96988950</v>
      </c>
    </row>
    <row r="13" spans="1:7" x14ac:dyDescent="0.35">
      <c r="A13" s="6" t="s">
        <v>3075</v>
      </c>
      <c r="B13">
        <v>107080700</v>
      </c>
      <c r="C13">
        <v>25362400</v>
      </c>
      <c r="D13" t="str">
        <f t="shared" si="0"/>
        <v>forte activité</v>
      </c>
    </row>
    <row r="14" spans="1:7" x14ac:dyDescent="0.35">
      <c r="A14" s="6" t="s">
        <v>3070</v>
      </c>
      <c r="B14">
        <v>69855900</v>
      </c>
      <c r="C14">
        <v>17366400</v>
      </c>
      <c r="D14" t="str">
        <f t="shared" si="0"/>
        <v>faible activité</v>
      </c>
    </row>
    <row r="15" spans="1:7" x14ac:dyDescent="0.35">
      <c r="A15" s="6" t="s">
        <v>3067</v>
      </c>
      <c r="B15">
        <v>105949400</v>
      </c>
      <c r="C15">
        <v>26189500</v>
      </c>
      <c r="D15" t="str">
        <f t="shared" si="0"/>
        <v>forte activité</v>
      </c>
      <c r="F15" t="s">
        <v>3093</v>
      </c>
    </row>
    <row r="16" spans="1:7" x14ac:dyDescent="0.35">
      <c r="A16" s="6" t="s">
        <v>3079</v>
      </c>
      <c r="B16">
        <v>1163867400</v>
      </c>
      <c r="C16">
        <v>281124000</v>
      </c>
    </row>
  </sheetData>
  <conditionalFormatting sqref="D4:D15">
    <cfRule type="expression" dxfId="3" priority="2">
      <formula>$B4&gt;$G$12</formula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9C8F-29C5-4436-908E-ED2444C8DF07}">
  <dimension ref="A1:K23"/>
  <sheetViews>
    <sheetView topLeftCell="B1" workbookViewId="0">
      <selection activeCell="J10" sqref="J10"/>
    </sheetView>
  </sheetViews>
  <sheetFormatPr baseColWidth="10" defaultRowHeight="14.5" x14ac:dyDescent="0.35"/>
  <cols>
    <col min="1" max="1" width="19.6328125" bestFit="1" customWidth="1"/>
    <col min="2" max="2" width="17.6328125" bestFit="1" customWidth="1"/>
    <col min="4" max="4" width="23.54296875" bestFit="1" customWidth="1"/>
    <col min="5" max="5" width="12.36328125" bestFit="1" customWidth="1"/>
    <col min="6" max="6" width="15.453125" bestFit="1" customWidth="1"/>
    <col min="7" max="7" width="12.36328125" customWidth="1"/>
    <col min="8" max="8" width="17.6328125" bestFit="1" customWidth="1"/>
    <col min="9" max="9" width="15.453125" bestFit="1" customWidth="1"/>
    <col min="10" max="10" width="12.36328125" bestFit="1" customWidth="1"/>
    <col min="11" max="11" width="24.1796875" bestFit="1" customWidth="1"/>
    <col min="12" max="12" width="15.453125" bestFit="1" customWidth="1"/>
    <col min="13" max="13" width="17.1796875" bestFit="1" customWidth="1"/>
    <col min="14" max="14" width="20.26953125" bestFit="1" customWidth="1"/>
  </cols>
  <sheetData>
    <row r="1" spans="1:11" s="14" customFormat="1" x14ac:dyDescent="0.35">
      <c r="A1" s="15" t="s">
        <v>3086</v>
      </c>
      <c r="D1" s="15" t="s">
        <v>3097</v>
      </c>
      <c r="E1" s="15"/>
      <c r="F1" s="15"/>
      <c r="G1" s="15"/>
      <c r="H1" s="15" t="s">
        <v>3098</v>
      </c>
    </row>
    <row r="3" spans="1:11" x14ac:dyDescent="0.35">
      <c r="A3" s="5" t="s">
        <v>3087</v>
      </c>
      <c r="B3" t="s">
        <v>3083</v>
      </c>
      <c r="D3" s="5" t="s">
        <v>3088</v>
      </c>
      <c r="E3" t="s">
        <v>3080</v>
      </c>
      <c r="F3" t="s">
        <v>3082</v>
      </c>
      <c r="H3" s="5" t="s">
        <v>3088</v>
      </c>
      <c r="I3" t="s">
        <v>3082</v>
      </c>
      <c r="J3" t="s">
        <v>3080</v>
      </c>
      <c r="K3" t="s">
        <v>3081</v>
      </c>
    </row>
    <row r="4" spans="1:11" x14ac:dyDescent="0.35">
      <c r="A4" s="6" t="s">
        <v>141</v>
      </c>
      <c r="B4">
        <v>999</v>
      </c>
      <c r="D4" s="6" t="s">
        <v>28</v>
      </c>
      <c r="E4">
        <v>19432000</v>
      </c>
      <c r="F4">
        <v>7259000</v>
      </c>
      <c r="H4" s="6" t="s">
        <v>95</v>
      </c>
      <c r="I4">
        <v>69991800</v>
      </c>
      <c r="J4">
        <v>396742500</v>
      </c>
      <c r="K4" s="4">
        <v>0.17852513616684929</v>
      </c>
    </row>
    <row r="5" spans="1:11" x14ac:dyDescent="0.35">
      <c r="A5" s="6" t="s">
        <v>95</v>
      </c>
      <c r="B5">
        <v>882</v>
      </c>
      <c r="D5" s="10" t="s">
        <v>248</v>
      </c>
      <c r="E5">
        <v>12998000</v>
      </c>
      <c r="F5">
        <v>4741500</v>
      </c>
      <c r="H5" s="6" t="s">
        <v>141</v>
      </c>
      <c r="I5">
        <v>41330400</v>
      </c>
      <c r="J5">
        <v>160656000</v>
      </c>
      <c r="K5" s="4">
        <v>0.25236852665371295</v>
      </c>
    </row>
    <row r="6" spans="1:11" x14ac:dyDescent="0.35">
      <c r="A6" s="6" t="s">
        <v>86</v>
      </c>
      <c r="B6">
        <v>859</v>
      </c>
      <c r="D6" s="10" t="s">
        <v>65</v>
      </c>
      <c r="E6">
        <v>4503600</v>
      </c>
      <c r="F6">
        <v>1691500</v>
      </c>
      <c r="H6" s="6" t="s">
        <v>86</v>
      </c>
      <c r="I6">
        <v>39202000</v>
      </c>
      <c r="J6">
        <v>154719000</v>
      </c>
      <c r="K6" s="4">
        <v>0.25370449183756011</v>
      </c>
    </row>
    <row r="7" spans="1:11" x14ac:dyDescent="0.35">
      <c r="A7" s="6" t="s">
        <v>158</v>
      </c>
      <c r="B7">
        <v>783</v>
      </c>
      <c r="D7" s="10" t="s">
        <v>29</v>
      </c>
      <c r="E7">
        <v>1930400</v>
      </c>
      <c r="F7">
        <v>826000</v>
      </c>
      <c r="H7" s="6" t="s">
        <v>61</v>
      </c>
      <c r="I7">
        <v>30071200</v>
      </c>
      <c r="J7">
        <v>110308000</v>
      </c>
      <c r="K7" s="4">
        <v>0.27013788578785392</v>
      </c>
    </row>
    <row r="8" spans="1:11" x14ac:dyDescent="0.35">
      <c r="A8" s="6" t="s">
        <v>35</v>
      </c>
      <c r="B8">
        <v>763</v>
      </c>
      <c r="D8" s="6" t="s">
        <v>43</v>
      </c>
      <c r="E8">
        <v>19408600</v>
      </c>
      <c r="F8">
        <v>6586000</v>
      </c>
      <c r="H8" s="6" t="s">
        <v>166</v>
      </c>
      <c r="I8">
        <v>23817000</v>
      </c>
      <c r="J8">
        <v>83909000</v>
      </c>
      <c r="K8" s="4">
        <v>0.28349367877822618</v>
      </c>
    </row>
    <row r="9" spans="1:11" x14ac:dyDescent="0.35">
      <c r="A9" s="6" t="s">
        <v>166</v>
      </c>
      <c r="B9">
        <v>602</v>
      </c>
      <c r="D9" s="10" t="s">
        <v>44</v>
      </c>
      <c r="E9">
        <v>8254200</v>
      </c>
      <c r="F9">
        <v>2979400</v>
      </c>
      <c r="H9" s="6" t="s">
        <v>158</v>
      </c>
      <c r="I9">
        <v>19521600</v>
      </c>
      <c r="J9">
        <v>74361000</v>
      </c>
      <c r="K9" s="4">
        <v>0.2609194979503201</v>
      </c>
    </row>
    <row r="10" spans="1:11" x14ac:dyDescent="0.35">
      <c r="A10" s="6" t="s">
        <v>79</v>
      </c>
      <c r="B10">
        <v>583</v>
      </c>
      <c r="D10" s="10" t="s">
        <v>177</v>
      </c>
      <c r="E10">
        <v>6937200</v>
      </c>
      <c r="F10">
        <v>2095000</v>
      </c>
      <c r="H10" s="6" t="s">
        <v>112</v>
      </c>
      <c r="I10">
        <v>12696900</v>
      </c>
      <c r="J10">
        <v>46120400</v>
      </c>
      <c r="K10" s="4">
        <v>0.27218052011611071</v>
      </c>
    </row>
    <row r="11" spans="1:11" x14ac:dyDescent="0.35">
      <c r="A11" s="6" t="s">
        <v>162</v>
      </c>
      <c r="B11">
        <v>577</v>
      </c>
      <c r="D11" s="10" t="s">
        <v>49</v>
      </c>
      <c r="E11">
        <v>4217200</v>
      </c>
      <c r="F11">
        <v>1511600</v>
      </c>
      <c r="H11" s="6" t="s">
        <v>35</v>
      </c>
      <c r="I11">
        <v>11900400</v>
      </c>
      <c r="J11">
        <v>41718600</v>
      </c>
      <c r="K11" s="4">
        <v>0.28454796015907041</v>
      </c>
    </row>
    <row r="12" spans="1:11" x14ac:dyDescent="0.35">
      <c r="A12" s="6" t="s">
        <v>44</v>
      </c>
      <c r="B12">
        <v>553</v>
      </c>
      <c r="D12" s="6" t="s">
        <v>34</v>
      </c>
      <c r="E12">
        <v>41718600</v>
      </c>
      <c r="F12">
        <v>11900400</v>
      </c>
      <c r="H12" s="6" t="s">
        <v>20</v>
      </c>
      <c r="I12">
        <v>9762000</v>
      </c>
      <c r="J12">
        <v>31528200</v>
      </c>
      <c r="K12" s="4">
        <v>0.30851957681994507</v>
      </c>
    </row>
    <row r="13" spans="1:11" x14ac:dyDescent="0.35">
      <c r="A13" s="6" t="s">
        <v>112</v>
      </c>
      <c r="B13">
        <v>542</v>
      </c>
      <c r="D13" s="10" t="s">
        <v>35</v>
      </c>
      <c r="E13">
        <v>41718600</v>
      </c>
      <c r="F13">
        <v>11900400</v>
      </c>
      <c r="H13" s="6" t="s">
        <v>131</v>
      </c>
      <c r="I13">
        <v>4928400</v>
      </c>
      <c r="J13">
        <v>13539000</v>
      </c>
      <c r="K13" s="4">
        <v>0.36480256867067268</v>
      </c>
    </row>
    <row r="14" spans="1:11" x14ac:dyDescent="0.35">
      <c r="A14" s="6" t="s">
        <v>248</v>
      </c>
      <c r="B14">
        <v>518</v>
      </c>
      <c r="D14" s="6" t="s">
        <v>19</v>
      </c>
      <c r="E14">
        <v>161557600</v>
      </c>
      <c r="F14">
        <v>46275900</v>
      </c>
      <c r="H14" s="6" t="s">
        <v>3079</v>
      </c>
      <c r="I14">
        <v>263221700</v>
      </c>
      <c r="J14">
        <v>1113601700</v>
      </c>
      <c r="K14" s="11">
        <v>0.26472943937826049</v>
      </c>
    </row>
    <row r="15" spans="1:11" x14ac:dyDescent="0.35">
      <c r="A15" s="6" t="s">
        <v>61</v>
      </c>
      <c r="B15">
        <v>501</v>
      </c>
      <c r="D15" s="10" t="s">
        <v>166</v>
      </c>
      <c r="E15">
        <v>83909000</v>
      </c>
      <c r="F15">
        <v>23817000</v>
      </c>
    </row>
    <row r="16" spans="1:11" x14ac:dyDescent="0.35">
      <c r="A16" s="6" t="s">
        <v>20</v>
      </c>
      <c r="B16">
        <v>485</v>
      </c>
      <c r="D16" s="10" t="s">
        <v>112</v>
      </c>
      <c r="E16">
        <v>46120400</v>
      </c>
      <c r="F16">
        <v>12696900</v>
      </c>
    </row>
    <row r="17" spans="1:6" x14ac:dyDescent="0.35">
      <c r="A17" s="6" t="s">
        <v>49</v>
      </c>
      <c r="B17">
        <v>468</v>
      </c>
      <c r="D17" s="10" t="s">
        <v>20</v>
      </c>
      <c r="E17">
        <v>31528200</v>
      </c>
      <c r="F17">
        <v>9762000</v>
      </c>
    </row>
    <row r="18" spans="1:6" x14ac:dyDescent="0.35">
      <c r="A18" s="6" t="s">
        <v>131</v>
      </c>
      <c r="B18">
        <v>450</v>
      </c>
      <c r="D18" s="6" t="s">
        <v>3079</v>
      </c>
      <c r="E18">
        <v>242116800</v>
      </c>
      <c r="F18">
        <v>72021300</v>
      </c>
    </row>
    <row r="19" spans="1:6" x14ac:dyDescent="0.35">
      <c r="A19" s="6" t="s">
        <v>177</v>
      </c>
      <c r="B19">
        <v>386</v>
      </c>
    </row>
    <row r="20" spans="1:6" x14ac:dyDescent="0.35">
      <c r="A20" s="6" t="s">
        <v>65</v>
      </c>
      <c r="B20">
        <v>375</v>
      </c>
    </row>
    <row r="21" spans="1:6" x14ac:dyDescent="0.35">
      <c r="A21" s="6" t="s">
        <v>72</v>
      </c>
      <c r="B21">
        <v>327</v>
      </c>
    </row>
    <row r="22" spans="1:6" x14ac:dyDescent="0.35">
      <c r="A22" s="6" t="s">
        <v>29</v>
      </c>
      <c r="B22">
        <v>276</v>
      </c>
    </row>
    <row r="23" spans="1:6" x14ac:dyDescent="0.35">
      <c r="A23" s="6" t="s">
        <v>3079</v>
      </c>
      <c r="B23">
        <v>10929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95DC-E99D-4409-A085-C3C470836AAB}">
  <dimension ref="A1:G6"/>
  <sheetViews>
    <sheetView workbookViewId="0">
      <selection activeCell="E4" sqref="E4"/>
    </sheetView>
  </sheetViews>
  <sheetFormatPr baseColWidth="10" defaultRowHeight="14.5" x14ac:dyDescent="0.35"/>
  <cols>
    <col min="1" max="1" width="41" bestFit="1" customWidth="1"/>
    <col min="2" max="2" width="10.81640625" bestFit="1" customWidth="1"/>
    <col min="5" max="5" width="14" bestFit="1" customWidth="1"/>
    <col min="6" max="6" width="12.36328125" bestFit="1" customWidth="1"/>
  </cols>
  <sheetData>
    <row r="1" spans="1:7" x14ac:dyDescent="0.35">
      <c r="A1" s="12" t="s">
        <v>3092</v>
      </c>
      <c r="B1" t="str">
        <f>_xlfn.XLOOKUP(MAX(CA),CA,Region)</f>
        <v>Mayo-Kebbi</v>
      </c>
      <c r="E1" s="12" t="s">
        <v>3089</v>
      </c>
      <c r="F1" s="12"/>
      <c r="G1" s="12"/>
    </row>
    <row r="2" spans="1:7" x14ac:dyDescent="0.35">
      <c r="A2" s="12" t="s">
        <v>3090</v>
      </c>
      <c r="B2" t="str">
        <f>_xlfn.XLOOKUP(MAX(CA),CA,Ville)</f>
        <v>Moundou</v>
      </c>
    </row>
    <row r="3" spans="1:7" x14ac:dyDescent="0.35">
      <c r="A3" s="12" t="s">
        <v>3091</v>
      </c>
      <c r="B3" t="str">
        <f>_xlfn.XLOOKUP(MAX(Marge),Marge,Region)</f>
        <v>Lac</v>
      </c>
      <c r="E3" s="5" t="s">
        <v>4</v>
      </c>
      <c r="F3" t="s">
        <v>3080</v>
      </c>
    </row>
    <row r="4" spans="1:7" x14ac:dyDescent="0.35">
      <c r="A4" s="12"/>
      <c r="E4" s="6" t="s">
        <v>70</v>
      </c>
      <c r="F4">
        <v>71071200</v>
      </c>
    </row>
    <row r="5" spans="1:7" x14ac:dyDescent="0.35">
      <c r="E5" s="6" t="s">
        <v>56</v>
      </c>
      <c r="F5">
        <v>98907500</v>
      </c>
    </row>
    <row r="6" spans="1:7" x14ac:dyDescent="0.35">
      <c r="E6" s="6" t="s">
        <v>3079</v>
      </c>
      <c r="F6">
        <v>169978700</v>
      </c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20C0-9B9C-43D5-905A-9108A59CABA0}">
  <dimension ref="A1:H13"/>
  <sheetViews>
    <sheetView workbookViewId="0">
      <selection activeCell="D5" sqref="D5"/>
    </sheetView>
  </sheetViews>
  <sheetFormatPr baseColWidth="10" defaultRowHeight="14.5" x14ac:dyDescent="0.35"/>
  <cols>
    <col min="1" max="1" width="56.1796875" bestFit="1" customWidth="1"/>
    <col min="4" max="4" width="14.54296875" bestFit="1" customWidth="1"/>
    <col min="5" max="5" width="17.6328125" bestFit="1" customWidth="1"/>
    <col min="6" max="6" width="12.36328125" bestFit="1" customWidth="1"/>
    <col min="7" max="7" width="15.453125" bestFit="1" customWidth="1"/>
    <col min="8" max="8" width="24.1796875" bestFit="1" customWidth="1"/>
  </cols>
  <sheetData>
    <row r="1" spans="1:8" x14ac:dyDescent="0.35">
      <c r="A1" t="s">
        <v>3099</v>
      </c>
      <c r="B1" s="15" t="str">
        <f>_xlfn.XLOOKUP(MAX(CA),CA,Commercial)</f>
        <v>Issa</v>
      </c>
      <c r="D1" s="15" t="s">
        <v>3102</v>
      </c>
      <c r="E1" s="15"/>
      <c r="F1" s="15"/>
    </row>
    <row r="2" spans="1:8" x14ac:dyDescent="0.35">
      <c r="A2" t="s">
        <v>3100</v>
      </c>
      <c r="B2" s="15" t="str">
        <f>_xlfn.XLOOKUP(MAX(Marge),Marge,Commercial)</f>
        <v>Saleh</v>
      </c>
    </row>
    <row r="3" spans="1:8" x14ac:dyDescent="0.35">
      <c r="A3" t="s">
        <v>3101</v>
      </c>
      <c r="B3" s="15" t="str">
        <f>_xlfn.XLOOKUP(MAX(Quantite),Quantite,Commercial)</f>
        <v>Hawa</v>
      </c>
    </row>
    <row r="4" spans="1:8" x14ac:dyDescent="0.35">
      <c r="D4" s="5" t="s">
        <v>3114</v>
      </c>
      <c r="E4" t="s">
        <v>3083</v>
      </c>
      <c r="F4" t="s">
        <v>3080</v>
      </c>
      <c r="G4" t="s">
        <v>3082</v>
      </c>
      <c r="H4" s="11" t="s">
        <v>3081</v>
      </c>
    </row>
    <row r="5" spans="1:8" x14ac:dyDescent="0.35">
      <c r="D5" s="6" t="s">
        <v>36</v>
      </c>
      <c r="E5">
        <v>1260</v>
      </c>
      <c r="F5">
        <v>130836300</v>
      </c>
      <c r="G5">
        <v>31887200</v>
      </c>
      <c r="H5" s="11">
        <v>0.29555179798320785</v>
      </c>
    </row>
    <row r="6" spans="1:8" x14ac:dyDescent="0.35">
      <c r="D6" s="6" t="s">
        <v>96</v>
      </c>
      <c r="E6">
        <v>1419</v>
      </c>
      <c r="F6">
        <v>139137200</v>
      </c>
      <c r="G6">
        <v>34701400</v>
      </c>
      <c r="H6" s="11">
        <v>0.30464233339152325</v>
      </c>
    </row>
    <row r="7" spans="1:8" x14ac:dyDescent="0.35">
      <c r="D7" s="6" t="s">
        <v>80</v>
      </c>
      <c r="E7">
        <v>1300</v>
      </c>
      <c r="F7">
        <v>153929700</v>
      </c>
      <c r="G7">
        <v>35206800</v>
      </c>
      <c r="H7" s="11">
        <v>0.29706867362039596</v>
      </c>
    </row>
    <row r="8" spans="1:8" x14ac:dyDescent="0.35">
      <c r="D8" s="6" t="s">
        <v>21</v>
      </c>
      <c r="E8">
        <v>1393</v>
      </c>
      <c r="F8">
        <v>150074400</v>
      </c>
      <c r="G8">
        <v>36477100</v>
      </c>
      <c r="H8" s="11">
        <v>0.29825460548031757</v>
      </c>
    </row>
    <row r="9" spans="1:8" x14ac:dyDescent="0.35">
      <c r="D9" s="6" t="s">
        <v>30</v>
      </c>
      <c r="E9">
        <v>1354</v>
      </c>
      <c r="F9">
        <v>145417000</v>
      </c>
      <c r="G9">
        <v>36029500</v>
      </c>
      <c r="H9" s="11">
        <v>0.29647556487592469</v>
      </c>
    </row>
    <row r="10" spans="1:8" x14ac:dyDescent="0.35">
      <c r="D10" s="6" t="s">
        <v>50</v>
      </c>
      <c r="E10">
        <v>1333</v>
      </c>
      <c r="F10">
        <v>145763900</v>
      </c>
      <c r="G10">
        <v>34553700</v>
      </c>
      <c r="H10" s="11">
        <v>0.2924625524494478</v>
      </c>
    </row>
    <row r="11" spans="1:8" x14ac:dyDescent="0.35">
      <c r="D11" s="6" t="s">
        <v>66</v>
      </c>
      <c r="E11">
        <v>1433</v>
      </c>
      <c r="F11">
        <v>158237000</v>
      </c>
      <c r="G11">
        <v>37914100</v>
      </c>
      <c r="H11" s="11">
        <v>0.29690888867726112</v>
      </c>
    </row>
    <row r="12" spans="1:8" x14ac:dyDescent="0.35">
      <c r="D12" s="6" t="s">
        <v>73</v>
      </c>
      <c r="E12">
        <v>1437</v>
      </c>
      <c r="F12">
        <v>140471900</v>
      </c>
      <c r="G12">
        <v>34354200</v>
      </c>
      <c r="H12" s="11">
        <v>0.30406211949542089</v>
      </c>
    </row>
    <row r="13" spans="1:8" x14ac:dyDescent="0.35">
      <c r="D13" s="6" t="s">
        <v>3079</v>
      </c>
      <c r="E13">
        <v>10929</v>
      </c>
      <c r="F13">
        <v>1163867400</v>
      </c>
      <c r="G13">
        <v>281124000</v>
      </c>
      <c r="H13" s="11">
        <v>0.29825288261988797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B419-DC7A-47F2-B4B4-F00A0632CAD2}">
  <dimension ref="A1:D12"/>
  <sheetViews>
    <sheetView workbookViewId="0">
      <selection activeCell="A7" sqref="A7"/>
    </sheetView>
  </sheetViews>
  <sheetFormatPr baseColWidth="10" defaultRowHeight="14.5" x14ac:dyDescent="0.35"/>
  <cols>
    <col min="1" max="1" width="11.7265625" bestFit="1" customWidth="1"/>
    <col min="2" max="2" width="17.36328125" bestFit="1" customWidth="1"/>
    <col min="3" max="4" width="12.36328125" bestFit="1" customWidth="1"/>
    <col min="8" max="8" width="19.54296875" bestFit="1" customWidth="1"/>
    <col min="9" max="9" width="18.54296875" bestFit="1" customWidth="1"/>
  </cols>
  <sheetData>
    <row r="1" spans="1:4" x14ac:dyDescent="0.35">
      <c r="A1" s="17" t="s">
        <v>3103</v>
      </c>
      <c r="B1" s="17"/>
      <c r="C1" s="21" t="str">
        <f>_xlfn.XLOOKUP(MAX(CA),CA,Canal)</f>
        <v>En ligne</v>
      </c>
    </row>
    <row r="2" spans="1:4" x14ac:dyDescent="0.35">
      <c r="A2" s="17" t="s">
        <v>3104</v>
      </c>
      <c r="B2" s="17"/>
      <c r="C2" s="21" t="str">
        <f>_xlfn.XLOOKUP(MAX(Marge),Marge,Canal)</f>
        <v>En ligne</v>
      </c>
    </row>
    <row r="4" spans="1:4" x14ac:dyDescent="0.35">
      <c r="A4" t="s">
        <v>3105</v>
      </c>
    </row>
    <row r="6" spans="1:4" x14ac:dyDescent="0.35">
      <c r="A6" s="5" t="s">
        <v>13</v>
      </c>
      <c r="B6" t="s">
        <v>3108</v>
      </c>
      <c r="C6" t="s">
        <v>3080</v>
      </c>
      <c r="D6" s="7" t="s">
        <v>3109</v>
      </c>
    </row>
    <row r="7" spans="1:4" x14ac:dyDescent="0.35">
      <c r="A7" s="6" t="s">
        <v>23</v>
      </c>
      <c r="B7">
        <v>909</v>
      </c>
      <c r="C7">
        <v>521393800</v>
      </c>
      <c r="D7">
        <f>C7/B7</f>
        <v>573590.53905390541</v>
      </c>
    </row>
    <row r="8" spans="1:4" x14ac:dyDescent="0.35">
      <c r="A8" s="6" t="s">
        <v>52</v>
      </c>
      <c r="B8">
        <v>709</v>
      </c>
      <c r="C8">
        <v>409557500</v>
      </c>
      <c r="D8">
        <f t="shared" ref="D8:D10" si="0">C8/B8</f>
        <v>577655.14809590974</v>
      </c>
    </row>
    <row r="9" spans="1:4" x14ac:dyDescent="0.35">
      <c r="A9" s="6" t="s">
        <v>87</v>
      </c>
      <c r="B9">
        <v>373</v>
      </c>
      <c r="C9">
        <v>232916100</v>
      </c>
      <c r="D9">
        <f t="shared" si="0"/>
        <v>624439.94638069707</v>
      </c>
    </row>
    <row r="10" spans="1:4" x14ac:dyDescent="0.35">
      <c r="A10" s="6" t="s">
        <v>3079</v>
      </c>
      <c r="B10">
        <v>1991</v>
      </c>
      <c r="C10">
        <v>1163867400</v>
      </c>
      <c r="D10">
        <f t="shared" si="0"/>
        <v>584564.23907584127</v>
      </c>
    </row>
    <row r="12" spans="1:4" x14ac:dyDescent="0.35">
      <c r="A12" t="s">
        <v>3106</v>
      </c>
      <c r="B12" s="15" t="str">
        <f>_xlfn.XLOOKUP(MAX(D7:D9),D7:D9,A7:A9)</f>
        <v>Livraison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2778-1A24-4D32-A68A-CB830D6D5DE4}">
  <dimension ref="A1:E10"/>
  <sheetViews>
    <sheetView topLeftCell="B1" workbookViewId="0">
      <selection activeCell="G8" sqref="G8"/>
    </sheetView>
  </sheetViews>
  <sheetFormatPr baseColWidth="10" defaultRowHeight="14.5" x14ac:dyDescent="0.35"/>
  <cols>
    <col min="1" max="1" width="19" bestFit="1" customWidth="1"/>
    <col min="4" max="4" width="13.54296875" customWidth="1"/>
  </cols>
  <sheetData>
    <row r="1" spans="1:5" x14ac:dyDescent="0.35">
      <c r="A1" s="17" t="s">
        <v>3111</v>
      </c>
      <c r="B1" s="17"/>
      <c r="C1" s="17"/>
      <c r="D1" s="21" t="str">
        <f>_xlfn.XLOOKUP(MAX(B4:B7),B4:B7,A4:A7)</f>
        <v>Mobile Money</v>
      </c>
    </row>
    <row r="3" spans="1:5" x14ac:dyDescent="0.35">
      <c r="A3" s="5" t="s">
        <v>3110</v>
      </c>
      <c r="B3" s="7" t="s">
        <v>3113</v>
      </c>
    </row>
    <row r="4" spans="1:5" x14ac:dyDescent="0.35">
      <c r="A4" s="6" t="s">
        <v>31</v>
      </c>
      <c r="B4" cm="1">
        <f t="array" ref="B4">COUNTIF(Mode_paiement,A4)</f>
        <v>317</v>
      </c>
    </row>
    <row r="5" spans="1:5" x14ac:dyDescent="0.35">
      <c r="A5" s="6" t="s">
        <v>51</v>
      </c>
      <c r="B5" cm="1">
        <f t="array" ref="B5">COUNTIF(Mode_paiement,A5)</f>
        <v>574</v>
      </c>
    </row>
    <row r="6" spans="1:5" x14ac:dyDescent="0.35">
      <c r="A6" s="6" t="s">
        <v>37</v>
      </c>
      <c r="B6" cm="1">
        <f t="array" ref="B6">COUNTIF(Mode_paiement,A6)</f>
        <v>792</v>
      </c>
    </row>
    <row r="7" spans="1:5" x14ac:dyDescent="0.35">
      <c r="A7" s="6" t="s">
        <v>22</v>
      </c>
      <c r="B7" cm="1">
        <f t="array" ref="B7">COUNTIF(Mode_paiement,A7)</f>
        <v>308</v>
      </c>
    </row>
    <row r="8" spans="1:5" x14ac:dyDescent="0.35">
      <c r="A8" s="6" t="s">
        <v>3079</v>
      </c>
      <c r="B8" s="16">
        <f>SUM(B4:B7)</f>
        <v>1991</v>
      </c>
    </row>
    <row r="10" spans="1:5" x14ac:dyDescent="0.35">
      <c r="A10" s="17" t="s">
        <v>3112</v>
      </c>
      <c r="B10" s="17"/>
      <c r="C10" s="17"/>
      <c r="D10" s="17"/>
      <c r="E10" s="22">
        <f>B6/B8</f>
        <v>0.39779005524861877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2EFB-55EA-4D5A-9ABA-EB2F9D805351}">
  <sheetPr>
    <pageSetUpPr fitToPage="1"/>
  </sheetPr>
  <dimension ref="G2:I31"/>
  <sheetViews>
    <sheetView showGridLines="0" tabSelected="1" topLeftCell="A6" zoomScale="90" zoomScaleNormal="90" workbookViewId="0">
      <selection activeCell="M46" sqref="M46"/>
    </sheetView>
  </sheetViews>
  <sheetFormatPr baseColWidth="10" defaultRowHeight="14.5" x14ac:dyDescent="0.35"/>
  <cols>
    <col min="1" max="1" width="3.1796875" customWidth="1"/>
  </cols>
  <sheetData>
    <row r="2" spans="7:9" ht="38.5" customHeight="1" x14ac:dyDescent="0.35"/>
    <row r="3" spans="7:9" ht="8" customHeight="1" x14ac:dyDescent="0.35"/>
    <row r="4" spans="7:9" ht="70" customHeight="1" x14ac:dyDescent="0.35"/>
    <row r="14" spans="7:9" x14ac:dyDescent="0.35">
      <c r="G14" s="24"/>
      <c r="H14" s="25"/>
      <c r="I14" s="26"/>
    </row>
    <row r="15" spans="7:9" x14ac:dyDescent="0.35">
      <c r="G15" s="27"/>
      <c r="H15" s="28"/>
      <c r="I15" s="29"/>
    </row>
    <row r="16" spans="7:9" x14ac:dyDescent="0.35">
      <c r="G16" s="27"/>
      <c r="H16" s="28"/>
      <c r="I16" s="29"/>
    </row>
    <row r="17" spans="7:9" x14ac:dyDescent="0.35">
      <c r="G17" s="27"/>
      <c r="H17" s="28"/>
      <c r="I17" s="29"/>
    </row>
    <row r="18" spans="7:9" x14ac:dyDescent="0.35">
      <c r="G18" s="27"/>
      <c r="H18" s="28"/>
      <c r="I18" s="29"/>
    </row>
    <row r="19" spans="7:9" x14ac:dyDescent="0.35">
      <c r="G19" s="27"/>
      <c r="H19" s="28"/>
      <c r="I19" s="29"/>
    </row>
    <row r="20" spans="7:9" x14ac:dyDescent="0.35">
      <c r="G20" s="27"/>
      <c r="H20" s="28"/>
      <c r="I20" s="29"/>
    </row>
    <row r="21" spans="7:9" x14ac:dyDescent="0.35">
      <c r="G21" s="27"/>
      <c r="H21" s="28"/>
      <c r="I21" s="29"/>
    </row>
    <row r="22" spans="7:9" x14ac:dyDescent="0.35">
      <c r="G22" s="27"/>
      <c r="H22" s="28"/>
      <c r="I22" s="29"/>
    </row>
    <row r="23" spans="7:9" x14ac:dyDescent="0.35">
      <c r="G23" s="27"/>
      <c r="H23" s="28"/>
      <c r="I23" s="29"/>
    </row>
    <row r="24" spans="7:9" x14ac:dyDescent="0.35">
      <c r="G24" s="27"/>
      <c r="H24" s="28"/>
      <c r="I24" s="29"/>
    </row>
    <row r="25" spans="7:9" x14ac:dyDescent="0.35">
      <c r="G25" s="27"/>
      <c r="H25" s="28"/>
      <c r="I25" s="29"/>
    </row>
    <row r="26" spans="7:9" x14ac:dyDescent="0.35">
      <c r="G26" s="27"/>
      <c r="H26" s="28"/>
      <c r="I26" s="29"/>
    </row>
    <row r="27" spans="7:9" x14ac:dyDescent="0.35">
      <c r="G27" s="27"/>
      <c r="H27" s="28"/>
      <c r="I27" s="29"/>
    </row>
    <row r="28" spans="7:9" x14ac:dyDescent="0.35">
      <c r="G28" s="27"/>
      <c r="H28" s="28"/>
      <c r="I28" s="29"/>
    </row>
    <row r="29" spans="7:9" x14ac:dyDescent="0.35">
      <c r="G29" s="27"/>
      <c r="H29" s="28"/>
      <c r="I29" s="29"/>
    </row>
    <row r="30" spans="7:9" x14ac:dyDescent="0.35">
      <c r="G30" s="27"/>
      <c r="H30" s="28"/>
      <c r="I30" s="29"/>
    </row>
    <row r="31" spans="7:9" x14ac:dyDescent="0.35">
      <c r="G31" s="30"/>
      <c r="H31" s="31"/>
      <c r="I31" s="32"/>
    </row>
  </sheetData>
  <pageMargins left="0.7" right="0.7" top="0.75" bottom="0.75" header="0.3" footer="0.3"/>
  <pageSetup paperSize="9" scale="69" fitToHeight="0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A7B3-7B7E-48C8-930D-35B1FCCE13E5}">
  <dimension ref="A2:H41"/>
  <sheetViews>
    <sheetView topLeftCell="A139" workbookViewId="0">
      <selection activeCell="J14" sqref="J14"/>
    </sheetView>
  </sheetViews>
  <sheetFormatPr baseColWidth="10" defaultRowHeight="14.5" x14ac:dyDescent="0.35"/>
  <cols>
    <col min="1" max="1" width="19.54296875" bestFit="1" customWidth="1"/>
    <col min="2" max="3" width="12.36328125" bestFit="1" customWidth="1"/>
    <col min="4" max="4" width="14" bestFit="1" customWidth="1"/>
    <col min="5" max="5" width="12.36328125" bestFit="1" customWidth="1"/>
    <col min="6" max="6" width="17.6328125" bestFit="1" customWidth="1"/>
    <col min="7" max="7" width="19" bestFit="1" customWidth="1"/>
    <col min="8" max="8" width="18.54296875" bestFit="1" customWidth="1"/>
  </cols>
  <sheetData>
    <row r="2" spans="2:7" x14ac:dyDescent="0.35">
      <c r="C2" t="s">
        <v>3124</v>
      </c>
    </row>
    <row r="3" spans="2:7" x14ac:dyDescent="0.35">
      <c r="B3" s="5" t="s">
        <v>3064</v>
      </c>
      <c r="C3" t="s">
        <v>3080</v>
      </c>
      <c r="D3" t="s">
        <v>3082</v>
      </c>
      <c r="F3" t="s">
        <v>3125</v>
      </c>
    </row>
    <row r="4" spans="2:7" x14ac:dyDescent="0.35">
      <c r="B4" s="6" t="s">
        <v>3115</v>
      </c>
      <c r="C4">
        <v>85577000</v>
      </c>
      <c r="D4">
        <v>18426600</v>
      </c>
      <c r="F4" s="5" t="s">
        <v>7</v>
      </c>
      <c r="G4" t="s">
        <v>3080</v>
      </c>
    </row>
    <row r="5" spans="2:7" x14ac:dyDescent="0.35">
      <c r="B5" s="6" t="s">
        <v>3116</v>
      </c>
      <c r="C5">
        <v>79849700</v>
      </c>
      <c r="D5">
        <v>20112100</v>
      </c>
      <c r="F5" s="6" t="s">
        <v>95</v>
      </c>
      <c r="G5">
        <v>396742500</v>
      </c>
    </row>
    <row r="6" spans="2:7" x14ac:dyDescent="0.35">
      <c r="B6" s="6" t="s">
        <v>3071</v>
      </c>
      <c r="C6">
        <v>95791200</v>
      </c>
      <c r="D6">
        <v>23604500</v>
      </c>
      <c r="F6" s="6" t="s">
        <v>141</v>
      </c>
      <c r="G6">
        <v>160656000</v>
      </c>
    </row>
    <row r="7" spans="2:7" x14ac:dyDescent="0.35">
      <c r="B7" s="6" t="s">
        <v>3117</v>
      </c>
      <c r="C7">
        <v>100791800</v>
      </c>
      <c r="D7">
        <v>23955900</v>
      </c>
      <c r="F7" s="6" t="s">
        <v>86</v>
      </c>
      <c r="G7">
        <v>154719000</v>
      </c>
    </row>
    <row r="8" spans="2:7" x14ac:dyDescent="0.35">
      <c r="B8" s="6" t="s">
        <v>3074</v>
      </c>
      <c r="C8">
        <v>100508000</v>
      </c>
      <c r="D8">
        <v>24344900</v>
      </c>
      <c r="F8" s="6" t="s">
        <v>61</v>
      </c>
      <c r="G8">
        <v>110308000</v>
      </c>
    </row>
    <row r="9" spans="2:7" x14ac:dyDescent="0.35">
      <c r="B9" s="6" t="s">
        <v>3066</v>
      </c>
      <c r="C9">
        <v>107495200</v>
      </c>
      <c r="D9">
        <v>25610400</v>
      </c>
      <c r="F9" s="6" t="s">
        <v>166</v>
      </c>
      <c r="G9">
        <v>83909000</v>
      </c>
    </row>
    <row r="10" spans="2:7" x14ac:dyDescent="0.35">
      <c r="B10" s="6" t="s">
        <v>3118</v>
      </c>
      <c r="C10">
        <v>94696900</v>
      </c>
      <c r="D10">
        <v>23643400</v>
      </c>
      <c r="F10" s="6" t="s">
        <v>158</v>
      </c>
      <c r="G10">
        <v>74361000</v>
      </c>
    </row>
    <row r="11" spans="2:7" x14ac:dyDescent="0.35">
      <c r="B11" s="6" t="s">
        <v>3073</v>
      </c>
      <c r="C11">
        <v>110838600</v>
      </c>
      <c r="D11">
        <v>26295800</v>
      </c>
      <c r="F11" s="6" t="s">
        <v>112</v>
      </c>
      <c r="G11">
        <v>46120400</v>
      </c>
    </row>
    <row r="12" spans="2:7" x14ac:dyDescent="0.35">
      <c r="B12" s="6" t="s">
        <v>3119</v>
      </c>
      <c r="C12">
        <v>105433000</v>
      </c>
      <c r="D12">
        <v>26212100</v>
      </c>
      <c r="F12" s="6" t="s">
        <v>35</v>
      </c>
      <c r="G12">
        <v>41718600</v>
      </c>
    </row>
    <row r="13" spans="2:7" x14ac:dyDescent="0.35">
      <c r="B13" s="6" t="s">
        <v>3120</v>
      </c>
      <c r="C13">
        <v>107080700</v>
      </c>
      <c r="D13">
        <v>25362400</v>
      </c>
      <c r="F13" s="6" t="s">
        <v>20</v>
      </c>
      <c r="G13">
        <v>31528200</v>
      </c>
    </row>
    <row r="14" spans="2:7" x14ac:dyDescent="0.35">
      <c r="B14" s="6" t="s">
        <v>3121</v>
      </c>
      <c r="C14">
        <v>69855900</v>
      </c>
      <c r="D14">
        <v>17366400</v>
      </c>
      <c r="F14" s="6" t="s">
        <v>131</v>
      </c>
      <c r="G14">
        <v>13539000</v>
      </c>
    </row>
    <row r="15" spans="2:7" x14ac:dyDescent="0.35">
      <c r="B15" s="6" t="s">
        <v>3122</v>
      </c>
      <c r="C15">
        <v>105949400</v>
      </c>
      <c r="D15">
        <v>26189500</v>
      </c>
      <c r="F15" s="6" t="s">
        <v>3079</v>
      </c>
      <c r="G15">
        <v>1113601700</v>
      </c>
    </row>
    <row r="16" spans="2:7" x14ac:dyDescent="0.35">
      <c r="B16" s="6" t="s">
        <v>3079</v>
      </c>
      <c r="C16">
        <v>1163867400</v>
      </c>
      <c r="D16">
        <v>281124000</v>
      </c>
    </row>
    <row r="20" spans="1:8" x14ac:dyDescent="0.35">
      <c r="D20" s="5" t="s">
        <v>3127</v>
      </c>
      <c r="E20" t="s">
        <v>3080</v>
      </c>
      <c r="G20" s="5" t="s">
        <v>3110</v>
      </c>
      <c r="H20" t="s">
        <v>3123</v>
      </c>
    </row>
    <row r="21" spans="1:8" x14ac:dyDescent="0.35">
      <c r="D21" s="6" t="s">
        <v>18</v>
      </c>
      <c r="E21">
        <v>396175400</v>
      </c>
      <c r="G21" s="6" t="s">
        <v>31</v>
      </c>
      <c r="H21">
        <v>317</v>
      </c>
    </row>
    <row r="22" spans="1:8" x14ac:dyDescent="0.35">
      <c r="A22" s="5" t="s">
        <v>3126</v>
      </c>
      <c r="B22" t="s">
        <v>3080</v>
      </c>
      <c r="D22" s="6" t="s">
        <v>156</v>
      </c>
      <c r="E22">
        <v>147962600</v>
      </c>
      <c r="G22" s="6" t="s">
        <v>51</v>
      </c>
      <c r="H22">
        <v>574</v>
      </c>
    </row>
    <row r="23" spans="1:8" x14ac:dyDescent="0.35">
      <c r="A23" s="6" t="s">
        <v>66</v>
      </c>
      <c r="B23">
        <v>158237000</v>
      </c>
      <c r="D23" s="6" t="s">
        <v>84</v>
      </c>
      <c r="E23">
        <v>129755100</v>
      </c>
      <c r="G23" s="6" t="s">
        <v>37</v>
      </c>
      <c r="H23">
        <v>792</v>
      </c>
    </row>
    <row r="24" spans="1:8" x14ac:dyDescent="0.35">
      <c r="A24" s="6" t="s">
        <v>80</v>
      </c>
      <c r="B24">
        <v>153929700</v>
      </c>
      <c r="D24" s="6" t="s">
        <v>41</v>
      </c>
      <c r="E24">
        <v>116982800</v>
      </c>
      <c r="G24" s="6" t="s">
        <v>22</v>
      </c>
      <c r="H24">
        <v>308</v>
      </c>
    </row>
    <row r="25" spans="1:8" x14ac:dyDescent="0.35">
      <c r="A25" s="6" t="s">
        <v>21</v>
      </c>
      <c r="B25">
        <v>150074400</v>
      </c>
      <c r="D25" s="6" t="s">
        <v>77</v>
      </c>
      <c r="E25">
        <v>102498800</v>
      </c>
      <c r="G25" s="6" t="s">
        <v>3079</v>
      </c>
      <c r="H25">
        <v>1991</v>
      </c>
    </row>
    <row r="26" spans="1:8" x14ac:dyDescent="0.35">
      <c r="A26" s="6" t="s">
        <v>50</v>
      </c>
      <c r="B26">
        <v>145763900</v>
      </c>
      <c r="D26" s="6" t="s">
        <v>190</v>
      </c>
      <c r="E26">
        <v>100514000</v>
      </c>
    </row>
    <row r="27" spans="1:8" x14ac:dyDescent="0.35">
      <c r="A27" s="6" t="s">
        <v>30</v>
      </c>
      <c r="B27">
        <v>145417000</v>
      </c>
      <c r="D27" s="6" t="s">
        <v>56</v>
      </c>
      <c r="E27">
        <v>98907500</v>
      </c>
    </row>
    <row r="28" spans="1:8" x14ac:dyDescent="0.35">
      <c r="A28" s="6" t="s">
        <v>3079</v>
      </c>
      <c r="B28">
        <v>753422000</v>
      </c>
      <c r="D28" s="6" t="s">
        <v>70</v>
      </c>
      <c r="E28">
        <v>71071200</v>
      </c>
    </row>
    <row r="29" spans="1:8" x14ac:dyDescent="0.35">
      <c r="D29" s="6" t="s">
        <v>3079</v>
      </c>
      <c r="E29">
        <v>1163867400</v>
      </c>
    </row>
    <row r="36" spans="1:2" x14ac:dyDescent="0.35">
      <c r="A36" s="5" t="s">
        <v>3078</v>
      </c>
      <c r="B36" t="s">
        <v>3080</v>
      </c>
    </row>
    <row r="37" spans="1:2" x14ac:dyDescent="0.35">
      <c r="A37" s="6" t="s">
        <v>28</v>
      </c>
      <c r="B37">
        <v>36271000</v>
      </c>
    </row>
    <row r="38" spans="1:2" x14ac:dyDescent="0.35">
      <c r="A38" s="6" t="s">
        <v>43</v>
      </c>
      <c r="B38">
        <v>27533700</v>
      </c>
    </row>
    <row r="39" spans="1:2" x14ac:dyDescent="0.35">
      <c r="A39" s="6" t="s">
        <v>34</v>
      </c>
      <c r="B39">
        <v>828197100</v>
      </c>
    </row>
    <row r="40" spans="1:2" x14ac:dyDescent="0.35">
      <c r="A40" s="6" t="s">
        <v>19</v>
      </c>
      <c r="B40">
        <v>271865600</v>
      </c>
    </row>
    <row r="41" spans="1:2" x14ac:dyDescent="0.35">
      <c r="A41" s="6" t="s">
        <v>3079</v>
      </c>
      <c r="B41">
        <v>1163867400</v>
      </c>
    </row>
  </sheetData>
  <dataValidations count="1">
    <dataValidation type="list" allowBlank="1" showInputMessage="1" showErrorMessage="1" sqref="H6" xr:uid="{FB0E570A-AFA2-418A-A716-08F07ACF2267}">
      <formula1>$F$5:$F$14</formula1>
    </dataValidation>
  </dataValidation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60D9B8-E458-483A-BA71-380BB8ECD5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20</vt:i4>
      </vt:variant>
    </vt:vector>
  </HeadingPairs>
  <TitlesOfParts>
    <vt:vector size="32" baseType="lpstr">
      <vt:lpstr>BDD Ventes brute</vt:lpstr>
      <vt:lpstr>transformation</vt:lpstr>
      <vt:lpstr>Feuil5</vt:lpstr>
      <vt:lpstr>A performance Globale</vt:lpstr>
      <vt:lpstr>B Analyse temporelle</vt:lpstr>
      <vt:lpstr>C Analyse des produits</vt:lpstr>
      <vt:lpstr>D Analyse géographique</vt:lpstr>
      <vt:lpstr>E Analyse des commerciaux</vt:lpstr>
      <vt:lpstr>F Analyse des canaux</vt:lpstr>
      <vt:lpstr>G Analyse des paiements</vt:lpstr>
      <vt:lpstr>DASHBOARD</vt:lpstr>
      <vt:lpstr>TDC</vt:lpstr>
      <vt:lpstr>CA</vt:lpstr>
      <vt:lpstr>Canal</vt:lpstr>
      <vt:lpstr>Categorie</vt:lpstr>
      <vt:lpstr>Client</vt:lpstr>
      <vt:lpstr>Commercial</vt:lpstr>
      <vt:lpstr>Cout_total</vt:lpstr>
      <vt:lpstr>Cout_Unitaire</vt:lpstr>
      <vt:lpstr>Date</vt:lpstr>
      <vt:lpstr>ID_Client</vt:lpstr>
      <vt:lpstr>ID_Vente</vt:lpstr>
      <vt:lpstr>Marge</vt:lpstr>
      <vt:lpstr>Mode_paiement</vt:lpstr>
      <vt:lpstr>mois</vt:lpstr>
      <vt:lpstr>Prix_Unitaire</vt:lpstr>
      <vt:lpstr>Produit</vt:lpstr>
      <vt:lpstr>Quantite</vt:lpstr>
      <vt:lpstr>Region</vt:lpstr>
      <vt:lpstr>Statut</vt:lpstr>
      <vt:lpstr>taux_de_marge</vt:lpstr>
      <vt:lpstr>Ville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 Mbayam</cp:lastModifiedBy>
  <cp:lastPrinted>2026-08-28T00:37:21Z</cp:lastPrinted>
  <dcterms:created xsi:type="dcterms:W3CDTF">2026-08-25T23:02:12Z</dcterms:created>
  <dcterms:modified xsi:type="dcterms:W3CDTF">2026-09-02T16:40:15Z</dcterms:modified>
</cp:coreProperties>
</file>